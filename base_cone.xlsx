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5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6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7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8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9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0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1.xml" ContentType="application/vnd.openxmlformats-officedocument.drawing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2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40.xml" ContentType="application/vnd.openxmlformats-officedocument.drawingml.chart+xml"/>
  <Override PartName="/xl/drawings/drawing23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harts/chart4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6E62C9D4-4C0B-45F2-8AB6-B940AFE5CF78}" xr6:coauthVersionLast="47" xr6:coauthVersionMax="47" xr10:uidLastSave="{00000000-0000-0000-0000-000000000000}"/>
  <bookViews>
    <workbookView xWindow="-120" yWindow="-120" windowWidth="29040" windowHeight="15720" firstSheet="5" activeTab="5" xr2:uid="{A6266475-FBE8-4458-974E-DD7CB477E57E}"/>
  </bookViews>
  <sheets>
    <sheet name="Visão Geral" sheetId="96" r:id="rId1"/>
    <sheet name="Visão O4R1" sheetId="144" r:id="rId2"/>
    <sheet name="Modelo Estrutura" sheetId="88" r:id="rId3"/>
    <sheet name="LEIA-ME" sheetId="173" r:id="rId4"/>
    <sheet name="BASE CONE" sheetId="183" r:id="rId5"/>
    <sheet name="CONE" sheetId="146" r:id="rId6"/>
    <sheet name="GOL - TESTE" sheetId="155" state="hidden" r:id="rId7"/>
    <sheet name="TERA - TESTE" sheetId="156" state="hidden" r:id="rId8"/>
    <sheet name="OPTMIUS - TESTE" sheetId="157" state="hidden" r:id="rId9"/>
    <sheet name="GOL (R1.5)" sheetId="137" state="hidden" r:id="rId10"/>
    <sheet name="Tera" sheetId="133" state="hidden" r:id="rId11"/>
    <sheet name="MATRIZ TIME - excluir" sheetId="168" state="hidden" r:id="rId12"/>
    <sheet name="ESCOPO CRÉDITO" sheetId="205" r:id="rId13"/>
    <sheet name="ESCOPO PROPOSTA" sheetId="204" r:id="rId14"/>
    <sheet name="MATRIZ ESCOPO" sheetId="182" r:id="rId15"/>
    <sheet name="RELEASE" sheetId="190" r:id="rId16"/>
    <sheet name="MATRIZ TIMES TESTE" sheetId="193" r:id="rId17"/>
    <sheet name="MATRIZ TIME" sheetId="181" r:id="rId18"/>
    <sheet name="GOL O4R2" sheetId="199" r:id="rId19"/>
    <sheet name="TERA O4R2" sheetId="198" r:id="rId20"/>
    <sheet name="OPTIMUS O4R2" sheetId="197" r:id="rId21"/>
    <sheet name="NIVUS O4R2" sheetId="201" r:id="rId22"/>
    <sheet name="TAOS O4R2" sheetId="200" r:id="rId23"/>
    <sheet name="FUSCA O4R2" sheetId="203" r:id="rId24"/>
    <sheet name="UP O4R2" sheetId="202" r:id="rId25"/>
    <sheet name="Amarok (via JIRA)" sheetId="131" state="hidden" r:id="rId26"/>
    <sheet name="Gol (Release 3)" sheetId="32" state="hidden" r:id="rId27"/>
  </sheets>
  <definedNames>
    <definedName name="_xlnm._FilterDatabase" localSheetId="0" hidden="1">'Visão Geral'!$J$2:$N$11</definedName>
    <definedName name="_xlnm._FilterDatabase" localSheetId="1" hidden="1">'Visão O4R1'!$J$2:$N$11</definedName>
    <definedName name="criado">'BASE CONE'!$J:$J</definedName>
    <definedName name="DadosExternos_1" localSheetId="4" hidden="1">'BASE CONE'!$A$1:$U$929</definedName>
    <definedName name="dtc">'BASE CONE'!$K:$K</definedName>
    <definedName name="Item">'BASE CONE'!$A:$A</definedName>
    <definedName name="jornada">'BASE CONE'!$T:$T</definedName>
    <definedName name="release">'BASE CONE'!$U:$U</definedName>
    <definedName name="resolvido">'BASE CONE'!$M:$M</definedName>
    <definedName name="status">'BASE CONE'!$E:$E</definedName>
    <definedName name="time">'BASE CONE'!$F:$F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99" l="1"/>
  <c r="I39" i="199"/>
  <c r="K39" i="199"/>
  <c r="K39" i="201"/>
  <c r="K39" i="197"/>
  <c r="F41" i="203"/>
  <c r="G38" i="202"/>
  <c r="G39" i="202"/>
  <c r="K38" i="202"/>
  <c r="K39" i="202"/>
  <c r="J38" i="202"/>
  <c r="J39" i="202"/>
  <c r="I38" i="202"/>
  <c r="I39" i="202"/>
  <c r="H38" i="202"/>
  <c r="H39" i="202"/>
  <c r="K38" i="203"/>
  <c r="K39" i="203"/>
  <c r="J38" i="203"/>
  <c r="J39" i="203"/>
  <c r="I38" i="203"/>
  <c r="I39" i="203"/>
  <c r="H38" i="203"/>
  <c r="H39" i="203"/>
  <c r="G38" i="203"/>
  <c r="G39" i="203"/>
  <c r="K38" i="200"/>
  <c r="K39" i="200"/>
  <c r="J38" i="200"/>
  <c r="J39" i="200"/>
  <c r="I38" i="200"/>
  <c r="I39" i="200"/>
  <c r="H38" i="200"/>
  <c r="H39" i="200"/>
  <c r="G38" i="200"/>
  <c r="G39" i="200"/>
  <c r="I39" i="198"/>
  <c r="H39" i="198"/>
  <c r="G39" i="198"/>
  <c r="J39" i="199"/>
  <c r="H39" i="199"/>
  <c r="F41" i="199"/>
  <c r="F42" i="199"/>
  <c r="F43" i="199"/>
  <c r="F44" i="199"/>
  <c r="F45" i="199"/>
  <c r="F46" i="199"/>
  <c r="F41" i="198"/>
  <c r="F42" i="198"/>
  <c r="F43" i="198"/>
  <c r="F44" i="198"/>
  <c r="K38" i="199"/>
  <c r="F40" i="181"/>
  <c r="K39" i="198"/>
  <c r="J39" i="198" s="1"/>
  <c r="G38" i="181"/>
  <c r="H38" i="181"/>
  <c r="I38" i="181"/>
  <c r="K38" i="181"/>
  <c r="J38" i="181" s="1"/>
  <c r="G24" i="181"/>
  <c r="H24" i="181"/>
  <c r="I24" i="181"/>
  <c r="K24" i="181"/>
  <c r="J24" i="181" s="1"/>
  <c r="G25" i="181"/>
  <c r="H25" i="181"/>
  <c r="I25" i="181"/>
  <c r="K25" i="181"/>
  <c r="J25" i="181" s="1"/>
  <c r="G26" i="181"/>
  <c r="H26" i="181"/>
  <c r="I26" i="181"/>
  <c r="K26" i="181"/>
  <c r="J26" i="181" s="1"/>
  <c r="G27" i="181"/>
  <c r="H27" i="181"/>
  <c r="I27" i="181"/>
  <c r="K27" i="181"/>
  <c r="J27" i="181" s="1"/>
  <c r="G28" i="181"/>
  <c r="H28" i="181"/>
  <c r="I28" i="181"/>
  <c r="K28" i="181"/>
  <c r="J28" i="181" s="1"/>
  <c r="G29" i="181"/>
  <c r="H29" i="181"/>
  <c r="I29" i="181"/>
  <c r="K29" i="181"/>
  <c r="J29" i="181" s="1"/>
  <c r="G30" i="181"/>
  <c r="H30" i="181"/>
  <c r="I30" i="181"/>
  <c r="K30" i="181"/>
  <c r="J30" i="181" s="1"/>
  <c r="G31" i="181"/>
  <c r="H31" i="181"/>
  <c r="I31" i="181"/>
  <c r="K31" i="181"/>
  <c r="J31" i="181" s="1"/>
  <c r="G32" i="181"/>
  <c r="H32" i="181"/>
  <c r="I32" i="181"/>
  <c r="K32" i="181"/>
  <c r="J32" i="181" s="1"/>
  <c r="G33" i="181"/>
  <c r="H33" i="181"/>
  <c r="I33" i="181"/>
  <c r="K33" i="181"/>
  <c r="J33" i="181" s="1"/>
  <c r="G34" i="181"/>
  <c r="H34" i="181"/>
  <c r="I34" i="181"/>
  <c r="K34" i="181"/>
  <c r="J34" i="181" s="1"/>
  <c r="G35" i="181"/>
  <c r="H35" i="181"/>
  <c r="I35" i="181"/>
  <c r="K35" i="181"/>
  <c r="J35" i="181" s="1"/>
  <c r="G36" i="181"/>
  <c r="H36" i="181"/>
  <c r="I36" i="181"/>
  <c r="K36" i="181"/>
  <c r="J36" i="181" s="1"/>
  <c r="G37" i="181"/>
  <c r="H37" i="181"/>
  <c r="I37" i="181"/>
  <c r="K37" i="181"/>
  <c r="J37" i="181" s="1"/>
  <c r="F41" i="181"/>
  <c r="F42" i="181"/>
  <c r="F43" i="181"/>
  <c r="F44" i="181"/>
  <c r="F45" i="181"/>
  <c r="F46" i="181"/>
  <c r="F47" i="181"/>
  <c r="F48" i="181"/>
  <c r="F49" i="181"/>
  <c r="F50" i="181"/>
  <c r="F51" i="181"/>
  <c r="F52" i="181"/>
  <c r="F53" i="181"/>
  <c r="F54" i="181"/>
  <c r="F55" i="181"/>
  <c r="F56" i="181"/>
  <c r="F57" i="181"/>
  <c r="F58" i="181"/>
  <c r="F59" i="181"/>
  <c r="F60" i="181"/>
  <c r="F61" i="181"/>
  <c r="F62" i="181"/>
  <c r="F63" i="181"/>
  <c r="F64" i="181"/>
  <c r="F65" i="181"/>
  <c r="F66" i="181"/>
  <c r="F67" i="181"/>
  <c r="F68" i="181"/>
  <c r="H29" i="199" l="1"/>
  <c r="G18" i="205"/>
  <c r="H18" i="205"/>
  <c r="I18" i="205"/>
  <c r="J18" i="205"/>
  <c r="G19" i="205"/>
  <c r="H19" i="205"/>
  <c r="I19" i="205"/>
  <c r="J19" i="205"/>
  <c r="G20" i="205"/>
  <c r="H20" i="205"/>
  <c r="I20" i="205"/>
  <c r="J20" i="205"/>
  <c r="K20" i="205"/>
  <c r="G21" i="205"/>
  <c r="H21" i="205"/>
  <c r="I21" i="205"/>
  <c r="J21" i="205"/>
  <c r="K21" i="205"/>
  <c r="G22" i="205"/>
  <c r="H22" i="205"/>
  <c r="I22" i="205"/>
  <c r="J22" i="205"/>
  <c r="K22" i="205"/>
  <c r="G23" i="205"/>
  <c r="H23" i="205"/>
  <c r="I23" i="205"/>
  <c r="J23" i="205"/>
  <c r="K23" i="205"/>
  <c r="G24" i="205"/>
  <c r="H24" i="205"/>
  <c r="I24" i="205"/>
  <c r="J24" i="205"/>
  <c r="K24" i="205"/>
  <c r="G25" i="205"/>
  <c r="H25" i="205"/>
  <c r="I25" i="205"/>
  <c r="J25" i="205"/>
  <c r="K25" i="205"/>
  <c r="B93" i="205"/>
  <c r="C93" i="205"/>
  <c r="B94" i="205"/>
  <c r="C94" i="205" s="1"/>
  <c r="B15" i="205"/>
  <c r="B16" i="205" s="1"/>
  <c r="J16" i="205" s="1"/>
  <c r="H16" i="205"/>
  <c r="I16" i="205"/>
  <c r="F27" i="205"/>
  <c r="F28" i="205"/>
  <c r="F29" i="205"/>
  <c r="F30" i="205"/>
  <c r="F31" i="205"/>
  <c r="F32" i="205"/>
  <c r="F33" i="205"/>
  <c r="F34" i="205"/>
  <c r="F35" i="205"/>
  <c r="F36" i="205"/>
  <c r="F37" i="205"/>
  <c r="F38" i="205"/>
  <c r="F39" i="205"/>
  <c r="F40" i="205"/>
  <c r="F41" i="205"/>
  <c r="F42" i="205"/>
  <c r="F43" i="205"/>
  <c r="F44" i="205"/>
  <c r="F45" i="205"/>
  <c r="F46" i="205"/>
  <c r="F47" i="205"/>
  <c r="F48" i="205"/>
  <c r="F49" i="205"/>
  <c r="F50" i="205"/>
  <c r="F51" i="205"/>
  <c r="F52" i="205"/>
  <c r="F53" i="205"/>
  <c r="F54" i="205"/>
  <c r="F55" i="205"/>
  <c r="F56" i="205"/>
  <c r="F57" i="205"/>
  <c r="F58" i="205"/>
  <c r="F59" i="205"/>
  <c r="C4" i="205"/>
  <c r="D15" i="205" s="1"/>
  <c r="F56" i="204"/>
  <c r="F57" i="204"/>
  <c r="F58" i="204"/>
  <c r="F59" i="204"/>
  <c r="G16" i="204"/>
  <c r="G17" i="204"/>
  <c r="G15" i="204"/>
  <c r="B93" i="204"/>
  <c r="F55" i="204"/>
  <c r="F54" i="204"/>
  <c r="F53" i="204"/>
  <c r="F52" i="204"/>
  <c r="F51" i="204"/>
  <c r="F50" i="204"/>
  <c r="F49" i="204"/>
  <c r="F48" i="204"/>
  <c r="F47" i="204"/>
  <c r="F46" i="204"/>
  <c r="F45" i="204"/>
  <c r="F44" i="204"/>
  <c r="F43" i="204"/>
  <c r="F42" i="204"/>
  <c r="F41" i="204"/>
  <c r="F40" i="204"/>
  <c r="F39" i="204"/>
  <c r="F38" i="204"/>
  <c r="F37" i="204"/>
  <c r="F36" i="204"/>
  <c r="F35" i="204"/>
  <c r="F34" i="204"/>
  <c r="F33" i="204"/>
  <c r="B15" i="204"/>
  <c r="C4" i="204"/>
  <c r="G30" i="182"/>
  <c r="G31" i="182"/>
  <c r="G16" i="182"/>
  <c r="G17" i="182"/>
  <c r="G18" i="182"/>
  <c r="G19" i="182"/>
  <c r="G20" i="182"/>
  <c r="G21" i="182"/>
  <c r="G22" i="182"/>
  <c r="G23" i="182"/>
  <c r="G24" i="182"/>
  <c r="G25" i="182"/>
  <c r="G26" i="182"/>
  <c r="G27" i="182"/>
  <c r="G28" i="182"/>
  <c r="G29" i="182"/>
  <c r="H29" i="182"/>
  <c r="I29" i="182"/>
  <c r="J29" i="182"/>
  <c r="K29" i="182"/>
  <c r="H30" i="182"/>
  <c r="I30" i="182"/>
  <c r="J30" i="182"/>
  <c r="K30" i="182"/>
  <c r="H31" i="182"/>
  <c r="I31" i="182"/>
  <c r="J31" i="182"/>
  <c r="K31" i="182"/>
  <c r="B35" i="199"/>
  <c r="B36" i="199"/>
  <c r="B37" i="199"/>
  <c r="B38" i="199"/>
  <c r="B39" i="199"/>
  <c r="B40" i="199"/>
  <c r="B41" i="199"/>
  <c r="G33" i="199"/>
  <c r="G34" i="199"/>
  <c r="G35" i="199"/>
  <c r="G36" i="199"/>
  <c r="G37" i="199"/>
  <c r="G38" i="199"/>
  <c r="H38" i="199"/>
  <c r="I38" i="199"/>
  <c r="B93" i="203"/>
  <c r="F68" i="203"/>
  <c r="F67" i="203"/>
  <c r="F66" i="203"/>
  <c r="F65" i="203"/>
  <c r="F64" i="203"/>
  <c r="F63" i="203"/>
  <c r="F62" i="203"/>
  <c r="F61" i="203"/>
  <c r="F60" i="203"/>
  <c r="F59" i="203"/>
  <c r="F58" i="203"/>
  <c r="F57" i="203"/>
  <c r="F56" i="203"/>
  <c r="F55" i="203"/>
  <c r="F54" i="203"/>
  <c r="F53" i="203"/>
  <c r="F52" i="203"/>
  <c r="F51" i="203"/>
  <c r="F50" i="203"/>
  <c r="F49" i="203"/>
  <c r="F48" i="203"/>
  <c r="F47" i="203"/>
  <c r="F46" i="203"/>
  <c r="F45" i="203"/>
  <c r="F44" i="203"/>
  <c r="B15" i="203"/>
  <c r="C4" i="203"/>
  <c r="B93" i="202"/>
  <c r="F68" i="202"/>
  <c r="F67" i="202"/>
  <c r="F66" i="202"/>
  <c r="F65" i="202"/>
  <c r="F64" i="202"/>
  <c r="F63" i="202"/>
  <c r="F62" i="202"/>
  <c r="F61" i="202"/>
  <c r="F60" i="202"/>
  <c r="F59" i="202"/>
  <c r="F58" i="202"/>
  <c r="F57" i="202"/>
  <c r="F56" i="202"/>
  <c r="F55" i="202"/>
  <c r="F54" i="202"/>
  <c r="F53" i="202"/>
  <c r="F52" i="202"/>
  <c r="F51" i="202"/>
  <c r="F50" i="202"/>
  <c r="F49" i="202"/>
  <c r="F48" i="202"/>
  <c r="F47" i="202"/>
  <c r="F46" i="202"/>
  <c r="F45" i="202"/>
  <c r="F44" i="202"/>
  <c r="B15" i="202"/>
  <c r="C4" i="202"/>
  <c r="B93" i="201"/>
  <c r="F68" i="201"/>
  <c r="F67" i="201"/>
  <c r="F66" i="201"/>
  <c r="F65" i="201"/>
  <c r="F64" i="201"/>
  <c r="F63" i="201"/>
  <c r="F62" i="201"/>
  <c r="F61" i="201"/>
  <c r="F60" i="201"/>
  <c r="F59" i="201"/>
  <c r="F58" i="201"/>
  <c r="F57" i="201"/>
  <c r="F56" i="201"/>
  <c r="F55" i="201"/>
  <c r="F54" i="201"/>
  <c r="F53" i="201"/>
  <c r="F52" i="201"/>
  <c r="F51" i="201"/>
  <c r="F50" i="201"/>
  <c r="F49" i="201"/>
  <c r="F48" i="201"/>
  <c r="F47" i="201"/>
  <c r="F46" i="201"/>
  <c r="B15" i="201"/>
  <c r="C4" i="201"/>
  <c r="B93" i="200"/>
  <c r="F68" i="200"/>
  <c r="F67" i="200"/>
  <c r="F66" i="200"/>
  <c r="F65" i="200"/>
  <c r="F64" i="200"/>
  <c r="F63" i="200"/>
  <c r="F62" i="200"/>
  <c r="F61" i="200"/>
  <c r="F60" i="200"/>
  <c r="F59" i="200"/>
  <c r="F58" i="200"/>
  <c r="F57" i="200"/>
  <c r="F56" i="200"/>
  <c r="F55" i="200"/>
  <c r="F54" i="200"/>
  <c r="F53" i="200"/>
  <c r="F52" i="200"/>
  <c r="F51" i="200"/>
  <c r="F50" i="200"/>
  <c r="F49" i="200"/>
  <c r="F48" i="200"/>
  <c r="F47" i="200"/>
  <c r="F46" i="200"/>
  <c r="F45" i="200"/>
  <c r="F44" i="200"/>
  <c r="B15" i="200"/>
  <c r="C4" i="200"/>
  <c r="B93" i="199"/>
  <c r="F68" i="199"/>
  <c r="F67" i="199"/>
  <c r="F66" i="199"/>
  <c r="F65" i="199"/>
  <c r="F64" i="199"/>
  <c r="F63" i="199"/>
  <c r="F62" i="199"/>
  <c r="F61" i="199"/>
  <c r="F60" i="199"/>
  <c r="F59" i="199"/>
  <c r="F58" i="199"/>
  <c r="F57" i="199"/>
  <c r="F56" i="199"/>
  <c r="F55" i="199"/>
  <c r="F54" i="199"/>
  <c r="F53" i="199"/>
  <c r="F52" i="199"/>
  <c r="F51" i="199"/>
  <c r="F50" i="199"/>
  <c r="F49" i="199"/>
  <c r="F47" i="199"/>
  <c r="F48" i="199" s="1"/>
  <c r="B15" i="199"/>
  <c r="C4" i="199"/>
  <c r="B93" i="198"/>
  <c r="F68" i="198"/>
  <c r="F67" i="198"/>
  <c r="F66" i="198"/>
  <c r="F65" i="198"/>
  <c r="F64" i="198"/>
  <c r="F63" i="198"/>
  <c r="F62" i="198"/>
  <c r="F61" i="198"/>
  <c r="F60" i="198"/>
  <c r="F59" i="198"/>
  <c r="F58" i="198"/>
  <c r="F57" i="198"/>
  <c r="F56" i="198"/>
  <c r="F55" i="198"/>
  <c r="F54" i="198"/>
  <c r="F53" i="198"/>
  <c r="F52" i="198"/>
  <c r="F51" i="198"/>
  <c r="F50" i="198"/>
  <c r="F49" i="198"/>
  <c r="F48" i="198"/>
  <c r="F47" i="198"/>
  <c r="F46" i="198"/>
  <c r="F45" i="198"/>
  <c r="B15" i="198"/>
  <c r="C4" i="198"/>
  <c r="B93" i="197"/>
  <c r="F68" i="197"/>
  <c r="F67" i="197"/>
  <c r="F66" i="197"/>
  <c r="F65" i="197"/>
  <c r="F64" i="197"/>
  <c r="F63" i="197"/>
  <c r="F62" i="197"/>
  <c r="F61" i="197"/>
  <c r="F60" i="197"/>
  <c r="F59" i="197"/>
  <c r="F58" i="197"/>
  <c r="F57" i="197"/>
  <c r="F56" i="197"/>
  <c r="F55" i="197"/>
  <c r="F54" i="197"/>
  <c r="F53" i="197"/>
  <c r="F52" i="197"/>
  <c r="F51" i="197"/>
  <c r="F50" i="197"/>
  <c r="F49" i="197"/>
  <c r="F48" i="197"/>
  <c r="B15" i="197"/>
  <c r="C4" i="197"/>
  <c r="C4" i="181"/>
  <c r="G28" i="190"/>
  <c r="H28" i="190"/>
  <c r="I28" i="190"/>
  <c r="K28" i="190"/>
  <c r="J28" i="190" s="1"/>
  <c r="G29" i="190"/>
  <c r="H29" i="190"/>
  <c r="I29" i="190"/>
  <c r="K29" i="190"/>
  <c r="J29" i="190" s="1"/>
  <c r="G30" i="190"/>
  <c r="H30" i="190"/>
  <c r="I30" i="190"/>
  <c r="K30" i="190"/>
  <c r="J30" i="190" s="1"/>
  <c r="G31" i="190"/>
  <c r="H31" i="190"/>
  <c r="I31" i="190"/>
  <c r="K31" i="190"/>
  <c r="J31" i="190" s="1"/>
  <c r="G32" i="190"/>
  <c r="H32" i="190"/>
  <c r="I32" i="190"/>
  <c r="K32" i="190"/>
  <c r="J32" i="190" s="1"/>
  <c r="G33" i="190"/>
  <c r="H33" i="190"/>
  <c r="I33" i="190"/>
  <c r="K33" i="190"/>
  <c r="J33" i="190" s="1"/>
  <c r="G34" i="190"/>
  <c r="H34" i="190"/>
  <c r="I34" i="190"/>
  <c r="K34" i="190"/>
  <c r="J34" i="190" s="1"/>
  <c r="G35" i="190"/>
  <c r="H35" i="190"/>
  <c r="I35" i="190"/>
  <c r="K35" i="190"/>
  <c r="J35" i="190" s="1"/>
  <c r="G36" i="190"/>
  <c r="H36" i="190"/>
  <c r="I36" i="190"/>
  <c r="K36" i="190"/>
  <c r="J36" i="190" s="1"/>
  <c r="G31" i="193"/>
  <c r="H31" i="193"/>
  <c r="I31" i="193"/>
  <c r="K31" i="193"/>
  <c r="J31" i="193" s="1"/>
  <c r="L31" i="193"/>
  <c r="G32" i="193"/>
  <c r="H32" i="193"/>
  <c r="I32" i="193"/>
  <c r="K32" i="193"/>
  <c r="J32" i="193" s="1"/>
  <c r="L32" i="193"/>
  <c r="G33" i="193"/>
  <c r="H33" i="193"/>
  <c r="I33" i="193"/>
  <c r="K33" i="193"/>
  <c r="J33" i="193" s="1"/>
  <c r="L33" i="193"/>
  <c r="G34" i="193"/>
  <c r="H34" i="193"/>
  <c r="I34" i="193"/>
  <c r="K34" i="193"/>
  <c r="J34" i="193" s="1"/>
  <c r="L34" i="193"/>
  <c r="G35" i="193"/>
  <c r="H35" i="193"/>
  <c r="I35" i="193"/>
  <c r="K35" i="193"/>
  <c r="J35" i="193" s="1"/>
  <c r="L35" i="193"/>
  <c r="G36" i="193"/>
  <c r="H36" i="193"/>
  <c r="I36" i="193"/>
  <c r="K36" i="193"/>
  <c r="J36" i="193" s="1"/>
  <c r="L36" i="193"/>
  <c r="G37" i="193"/>
  <c r="H37" i="193"/>
  <c r="I37" i="193"/>
  <c r="K37" i="193"/>
  <c r="J37" i="193" s="1"/>
  <c r="L37" i="193"/>
  <c r="C4" i="193"/>
  <c r="B94" i="193"/>
  <c r="F69" i="193"/>
  <c r="F68" i="193"/>
  <c r="F67" i="193"/>
  <c r="F66" i="193"/>
  <c r="F65" i="193"/>
  <c r="F64" i="193"/>
  <c r="F63" i="193"/>
  <c r="F62" i="193"/>
  <c r="F61" i="193"/>
  <c r="F60" i="193"/>
  <c r="F59" i="193"/>
  <c r="F58" i="193"/>
  <c r="F57" i="193"/>
  <c r="F56" i="193"/>
  <c r="F55" i="193"/>
  <c r="F54" i="193"/>
  <c r="F53" i="193"/>
  <c r="F52" i="193"/>
  <c r="F51" i="193"/>
  <c r="F50" i="193"/>
  <c r="F49" i="193"/>
  <c r="F48" i="193"/>
  <c r="F47" i="193"/>
  <c r="F46" i="193"/>
  <c r="F45" i="193"/>
  <c r="F44" i="193"/>
  <c r="F43" i="193"/>
  <c r="F42" i="193"/>
  <c r="F41" i="193"/>
  <c r="F40" i="193"/>
  <c r="F39" i="193"/>
  <c r="B16" i="193"/>
  <c r="H2" i="146"/>
  <c r="J2" i="146"/>
  <c r="L2" i="146"/>
  <c r="N2" i="146"/>
  <c r="P2" i="146"/>
  <c r="R2" i="146"/>
  <c r="F2" i="146"/>
  <c r="B92" i="190"/>
  <c r="F67" i="190"/>
  <c r="F66" i="190"/>
  <c r="F65" i="190"/>
  <c r="F64" i="190"/>
  <c r="F63" i="190"/>
  <c r="F62" i="190"/>
  <c r="F61" i="190"/>
  <c r="F60" i="190"/>
  <c r="F59" i="190"/>
  <c r="F58" i="190"/>
  <c r="F57" i="190"/>
  <c r="F56" i="190"/>
  <c r="F55" i="190"/>
  <c r="F54" i="190"/>
  <c r="F53" i="190"/>
  <c r="F52" i="190"/>
  <c r="F51" i="190"/>
  <c r="F50" i="190"/>
  <c r="F49" i="190"/>
  <c r="F48" i="190"/>
  <c r="F47" i="190"/>
  <c r="F46" i="190"/>
  <c r="F45" i="190"/>
  <c r="F44" i="190"/>
  <c r="F43" i="190"/>
  <c r="F42" i="190"/>
  <c r="F41" i="190"/>
  <c r="F40" i="190"/>
  <c r="F39" i="190"/>
  <c r="F38" i="190"/>
  <c r="B14" i="190"/>
  <c r="C3" i="190"/>
  <c r="K16" i="182"/>
  <c r="K17" i="182"/>
  <c r="K18" i="182"/>
  <c r="K19" i="182"/>
  <c r="K20" i="182"/>
  <c r="K21" i="182"/>
  <c r="K22" i="182"/>
  <c r="K23" i="182"/>
  <c r="K24" i="182"/>
  <c r="K25" i="182"/>
  <c r="K26" i="182"/>
  <c r="K27" i="182"/>
  <c r="K28" i="182"/>
  <c r="K15" i="182"/>
  <c r="J16" i="182"/>
  <c r="J17" i="182"/>
  <c r="J18" i="182"/>
  <c r="J19" i="182"/>
  <c r="J20" i="182"/>
  <c r="J21" i="182"/>
  <c r="J22" i="182"/>
  <c r="J23" i="182"/>
  <c r="J24" i="182"/>
  <c r="J25" i="182"/>
  <c r="J26" i="182"/>
  <c r="J27" i="182"/>
  <c r="J28" i="182"/>
  <c r="J15" i="182"/>
  <c r="I16" i="182"/>
  <c r="I17" i="182"/>
  <c r="I18" i="182"/>
  <c r="I19" i="182"/>
  <c r="I20" i="182"/>
  <c r="I21" i="182"/>
  <c r="I22" i="182"/>
  <c r="I23" i="182"/>
  <c r="I24" i="182"/>
  <c r="I25" i="182"/>
  <c r="I26" i="182"/>
  <c r="I27" i="182"/>
  <c r="I28" i="182"/>
  <c r="I15" i="182"/>
  <c r="C4" i="182"/>
  <c r="E5" i="146"/>
  <c r="E6" i="146" s="1"/>
  <c r="E7" i="146" s="1"/>
  <c r="E8" i="146" s="1"/>
  <c r="E9" i="146" s="1"/>
  <c r="E10" i="146" s="1"/>
  <c r="E11" i="146" s="1"/>
  <c r="E12" i="146" s="1"/>
  <c r="E13" i="146" s="1"/>
  <c r="E14" i="146" s="1"/>
  <c r="E15" i="146" s="1"/>
  <c r="E16" i="146" s="1"/>
  <c r="E17" i="146" s="1"/>
  <c r="E18" i="146" s="1"/>
  <c r="E19" i="146" s="1"/>
  <c r="E20" i="146" s="1"/>
  <c r="E21" i="146" s="1"/>
  <c r="E22" i="146" s="1"/>
  <c r="E23" i="146" s="1"/>
  <c r="E24" i="146" s="1"/>
  <c r="E25" i="146" s="1"/>
  <c r="E26" i="146" s="1"/>
  <c r="E27" i="146" s="1"/>
  <c r="E28" i="146" s="1"/>
  <c r="E29" i="146" s="1"/>
  <c r="E30" i="146" s="1"/>
  <c r="E31" i="146" s="1"/>
  <c r="E32" i="146" s="1"/>
  <c r="E33" i="146" s="1"/>
  <c r="E34" i="146" s="1"/>
  <c r="E35" i="146" s="1"/>
  <c r="E36" i="146" s="1"/>
  <c r="E37" i="146" s="1"/>
  <c r="E38" i="146" s="1"/>
  <c r="E39" i="146" s="1"/>
  <c r="E40" i="146" s="1"/>
  <c r="E41" i="146" s="1"/>
  <c r="E42" i="146" s="1"/>
  <c r="E43" i="146" s="1"/>
  <c r="E44" i="146" s="1"/>
  <c r="E45" i="146" s="1"/>
  <c r="E46" i="146" s="1"/>
  <c r="E47" i="146" s="1"/>
  <c r="E48" i="146" s="1"/>
  <c r="E49" i="146" s="1"/>
  <c r="E50" i="146" s="1"/>
  <c r="E51" i="146" s="1"/>
  <c r="E52" i="146" s="1"/>
  <c r="E53" i="146" s="1"/>
  <c r="E54" i="146" s="1"/>
  <c r="E55" i="146" s="1"/>
  <c r="E56" i="146" s="1"/>
  <c r="E57" i="146" s="1"/>
  <c r="B93" i="182"/>
  <c r="F55" i="182"/>
  <c r="F54" i="182"/>
  <c r="F53" i="182"/>
  <c r="F52" i="182"/>
  <c r="F51" i="182"/>
  <c r="F50" i="182"/>
  <c r="F49" i="182"/>
  <c r="F48" i="182"/>
  <c r="F47" i="182"/>
  <c r="F46" i="182"/>
  <c r="F45" i="182"/>
  <c r="F44" i="182"/>
  <c r="F43" i="182"/>
  <c r="F42" i="182"/>
  <c r="F41" i="182"/>
  <c r="F40" i="182"/>
  <c r="F39" i="182"/>
  <c r="F38" i="182"/>
  <c r="F37" i="182"/>
  <c r="F36" i="182"/>
  <c r="F35" i="182"/>
  <c r="F34" i="182"/>
  <c r="F33" i="182"/>
  <c r="B15" i="182"/>
  <c r="B93" i="181"/>
  <c r="B15" i="181"/>
  <c r="H26" i="168"/>
  <c r="H27" i="168"/>
  <c r="H28" i="168"/>
  <c r="H29" i="168"/>
  <c r="H30" i="168"/>
  <c r="H31" i="168"/>
  <c r="H32" i="168"/>
  <c r="H14" i="168"/>
  <c r="H15" i="168"/>
  <c r="H16" i="168"/>
  <c r="H17" i="168"/>
  <c r="H18" i="168"/>
  <c r="H19" i="168"/>
  <c r="H20" i="168"/>
  <c r="H21" i="168"/>
  <c r="H22" i="168"/>
  <c r="H23" i="168"/>
  <c r="H24" i="168"/>
  <c r="H25" i="168"/>
  <c r="C3" i="168"/>
  <c r="G14" i="168"/>
  <c r="J14" i="168"/>
  <c r="I14" i="168"/>
  <c r="B25" i="168"/>
  <c r="B26" i="168"/>
  <c r="B27" i="168"/>
  <c r="B28" i="168"/>
  <c r="J25" i="168"/>
  <c r="I15" i="168"/>
  <c r="I16" i="168"/>
  <c r="I17" i="168"/>
  <c r="I18" i="168"/>
  <c r="I19" i="168"/>
  <c r="I20" i="168"/>
  <c r="I21" i="168"/>
  <c r="I22" i="168"/>
  <c r="I23" i="168"/>
  <c r="I24" i="168"/>
  <c r="I25" i="168"/>
  <c r="J15" i="168"/>
  <c r="J16" i="168"/>
  <c r="J17" i="168"/>
  <c r="J18" i="168"/>
  <c r="J19" i="168"/>
  <c r="J20" i="168"/>
  <c r="J21" i="168"/>
  <c r="J22" i="168"/>
  <c r="J23" i="168"/>
  <c r="J24" i="168"/>
  <c r="K15" i="168"/>
  <c r="K16" i="168"/>
  <c r="K17" i="168"/>
  <c r="K18" i="168"/>
  <c r="K19" i="168"/>
  <c r="K20" i="168"/>
  <c r="K21" i="168"/>
  <c r="K22" i="168"/>
  <c r="K23" i="168"/>
  <c r="K24" i="168"/>
  <c r="K25" i="168"/>
  <c r="K14" i="168"/>
  <c r="F28" i="168"/>
  <c r="F29" i="168"/>
  <c r="F30" i="168"/>
  <c r="F31" i="168"/>
  <c r="F32" i="168"/>
  <c r="B92" i="168"/>
  <c r="C92" i="168"/>
  <c r="B93" i="168"/>
  <c r="C93" i="168"/>
  <c r="B94" i="168"/>
  <c r="C94" i="168"/>
  <c r="B95" i="168"/>
  <c r="C95" i="168"/>
  <c r="B96" i="168"/>
  <c r="C96" i="168"/>
  <c r="B97" i="168"/>
  <c r="C97" i="168"/>
  <c r="B98" i="168"/>
  <c r="C98" i="168"/>
  <c r="B99" i="168"/>
  <c r="C99" i="168"/>
  <c r="B100" i="168"/>
  <c r="C100" i="168"/>
  <c r="B101" i="168"/>
  <c r="C101" i="168"/>
  <c r="B102" i="168"/>
  <c r="C102" i="168"/>
  <c r="B103" i="168"/>
  <c r="C103" i="168"/>
  <c r="B104" i="168"/>
  <c r="C104" i="168"/>
  <c r="B105" i="168"/>
  <c r="C105" i="168"/>
  <c r="B106" i="168"/>
  <c r="C106" i="168"/>
  <c r="B107" i="168"/>
  <c r="C107" i="168"/>
  <c r="B108" i="168"/>
  <c r="C108" i="168"/>
  <c r="B109" i="168"/>
  <c r="C109" i="168"/>
  <c r="B110" i="168"/>
  <c r="C110" i="168"/>
  <c r="B111" i="168"/>
  <c r="C111" i="168"/>
  <c r="B112" i="168"/>
  <c r="C112" i="168"/>
  <c r="B113" i="168"/>
  <c r="C113" i="168"/>
  <c r="B114" i="168"/>
  <c r="C114" i="168"/>
  <c r="B115" i="168"/>
  <c r="C115" i="168"/>
  <c r="B116" i="168"/>
  <c r="C116" i="168"/>
  <c r="B117" i="168"/>
  <c r="C117" i="168"/>
  <c r="B118" i="168"/>
  <c r="C118" i="168"/>
  <c r="B119" i="168"/>
  <c r="C119" i="168"/>
  <c r="B120" i="168"/>
  <c r="C120" i="168"/>
  <c r="B121" i="168"/>
  <c r="C121" i="168"/>
  <c r="B122" i="168"/>
  <c r="C122" i="168"/>
  <c r="B123" i="168"/>
  <c r="C123" i="168"/>
  <c r="B124" i="168"/>
  <c r="C124" i="168"/>
  <c r="B125" i="168"/>
  <c r="C125" i="168"/>
  <c r="B126" i="168"/>
  <c r="C126" i="168"/>
  <c r="B127" i="168"/>
  <c r="C127" i="168"/>
  <c r="B128" i="168"/>
  <c r="C128" i="168"/>
  <c r="B129" i="168"/>
  <c r="C129" i="168"/>
  <c r="B130" i="168"/>
  <c r="C130" i="168"/>
  <c r="B131" i="168"/>
  <c r="C131" i="168"/>
  <c r="B132" i="168"/>
  <c r="C132" i="168"/>
  <c r="B133" i="168"/>
  <c r="C133" i="168"/>
  <c r="B134" i="168"/>
  <c r="C134" i="168"/>
  <c r="B135" i="168"/>
  <c r="C135" i="168"/>
  <c r="B136" i="168"/>
  <c r="C136" i="168"/>
  <c r="B137" i="168"/>
  <c r="C137" i="168"/>
  <c r="B138" i="168"/>
  <c r="C138" i="168"/>
  <c r="B139" i="168"/>
  <c r="C139" i="168"/>
  <c r="B140" i="168"/>
  <c r="C140" i="168"/>
  <c r="B141" i="168"/>
  <c r="C141" i="168"/>
  <c r="B142" i="168"/>
  <c r="C142" i="168"/>
  <c r="B143" i="168"/>
  <c r="C143" i="168"/>
  <c r="B144" i="168"/>
  <c r="C144" i="168"/>
  <c r="B145" i="168"/>
  <c r="C145" i="168"/>
  <c r="B146" i="168"/>
  <c r="C146" i="168"/>
  <c r="B147" i="168"/>
  <c r="C147" i="168"/>
  <c r="B148" i="168"/>
  <c r="C148" i="168"/>
  <c r="B149" i="168"/>
  <c r="C149" i="168"/>
  <c r="B150" i="168"/>
  <c r="C150" i="168"/>
  <c r="B151" i="168"/>
  <c r="C151" i="168"/>
  <c r="B152" i="168"/>
  <c r="C152" i="168"/>
  <c r="B153" i="168"/>
  <c r="C153" i="168"/>
  <c r="B154" i="168"/>
  <c r="C154" i="168"/>
  <c r="B155" i="168"/>
  <c r="C155" i="168"/>
  <c r="B156" i="168"/>
  <c r="C156" i="168"/>
  <c r="B157" i="168"/>
  <c r="C157" i="168"/>
  <c r="B158" i="168"/>
  <c r="C158" i="168"/>
  <c r="B159" i="168"/>
  <c r="C159" i="168"/>
  <c r="B160" i="168"/>
  <c r="C160" i="168"/>
  <c r="B161" i="168"/>
  <c r="C161" i="168"/>
  <c r="B162" i="168"/>
  <c r="C162" i="168"/>
  <c r="B163" i="168"/>
  <c r="C163" i="168"/>
  <c r="B164" i="168"/>
  <c r="C164" i="168"/>
  <c r="B165" i="168"/>
  <c r="C165" i="168"/>
  <c r="B166" i="168"/>
  <c r="C166" i="168"/>
  <c r="B167" i="168"/>
  <c r="C167" i="168"/>
  <c r="B168" i="168"/>
  <c r="C168" i="168"/>
  <c r="B169" i="168"/>
  <c r="C169" i="168"/>
  <c r="B170" i="168"/>
  <c r="C170" i="168"/>
  <c r="B171" i="168"/>
  <c r="C171" i="168"/>
  <c r="B172" i="168"/>
  <c r="C172" i="168"/>
  <c r="B173" i="168"/>
  <c r="C173" i="168"/>
  <c r="B174" i="168"/>
  <c r="C174" i="168"/>
  <c r="B175" i="168"/>
  <c r="C175" i="168"/>
  <c r="B176" i="168"/>
  <c r="C176" i="168"/>
  <c r="B177" i="168"/>
  <c r="C177" i="168"/>
  <c r="B178" i="168"/>
  <c r="C178" i="168"/>
  <c r="B179" i="168"/>
  <c r="C179" i="168"/>
  <c r="B180" i="168"/>
  <c r="C180" i="168"/>
  <c r="B181" i="168"/>
  <c r="C181" i="168"/>
  <c r="B182" i="168"/>
  <c r="C182" i="168"/>
  <c r="B183" i="168"/>
  <c r="C183" i="168"/>
  <c r="B184" i="168"/>
  <c r="C184" i="168"/>
  <c r="B185" i="168"/>
  <c r="C185" i="168"/>
  <c r="B186" i="168"/>
  <c r="C186" i="168"/>
  <c r="B187" i="168"/>
  <c r="C187" i="168"/>
  <c r="B188" i="168"/>
  <c r="C188" i="168"/>
  <c r="B189" i="168"/>
  <c r="C189" i="168"/>
  <c r="B190" i="168"/>
  <c r="C190" i="168"/>
  <c r="B191" i="168"/>
  <c r="C191" i="168"/>
  <c r="B192" i="168"/>
  <c r="C192" i="168"/>
  <c r="B193" i="168"/>
  <c r="C193" i="168"/>
  <c r="B194" i="168"/>
  <c r="C194" i="168"/>
  <c r="B195" i="168"/>
  <c r="C195" i="168"/>
  <c r="B196" i="168"/>
  <c r="C196" i="168"/>
  <c r="B197" i="168"/>
  <c r="C197" i="168"/>
  <c r="B198" i="168"/>
  <c r="C198" i="168"/>
  <c r="B199" i="168"/>
  <c r="C199" i="168"/>
  <c r="B200" i="168"/>
  <c r="C200" i="168"/>
  <c r="B201" i="168"/>
  <c r="C201" i="168"/>
  <c r="B202" i="168"/>
  <c r="C202" i="168"/>
  <c r="B203" i="168"/>
  <c r="C203" i="168"/>
  <c r="B204" i="168"/>
  <c r="C204" i="168"/>
  <c r="B205" i="168"/>
  <c r="C205" i="168"/>
  <c r="B206" i="168"/>
  <c r="C206" i="168"/>
  <c r="B207" i="168"/>
  <c r="C207" i="168"/>
  <c r="B208" i="168"/>
  <c r="C208" i="168"/>
  <c r="B209" i="168"/>
  <c r="C209" i="168"/>
  <c r="B210" i="168"/>
  <c r="C210" i="168"/>
  <c r="B211" i="168"/>
  <c r="C211" i="168"/>
  <c r="B212" i="168"/>
  <c r="C212" i="168"/>
  <c r="B213" i="168"/>
  <c r="C213" i="168"/>
  <c r="B214" i="168"/>
  <c r="C214" i="168"/>
  <c r="B215" i="168"/>
  <c r="C215" i="168"/>
  <c r="B216" i="168"/>
  <c r="C216" i="168"/>
  <c r="B217" i="168"/>
  <c r="C217" i="168"/>
  <c r="B218" i="168"/>
  <c r="C218" i="168"/>
  <c r="B219" i="168"/>
  <c r="C219" i="168"/>
  <c r="B220" i="168"/>
  <c r="C220" i="168"/>
  <c r="B221" i="168"/>
  <c r="C221" i="168"/>
  <c r="B222" i="168"/>
  <c r="C222" i="168"/>
  <c r="B223" i="168"/>
  <c r="C223" i="168"/>
  <c r="B224" i="168"/>
  <c r="C224" i="168"/>
  <c r="B225" i="168"/>
  <c r="C225" i="168"/>
  <c r="B226" i="168"/>
  <c r="C226" i="168"/>
  <c r="B227" i="168"/>
  <c r="C227" i="168"/>
  <c r="B228" i="168"/>
  <c r="C228" i="168"/>
  <c r="B229" i="168"/>
  <c r="C229" i="168"/>
  <c r="B230" i="168"/>
  <c r="C230" i="168"/>
  <c r="B231" i="168"/>
  <c r="C231" i="168"/>
  <c r="B232" i="168"/>
  <c r="C232" i="168"/>
  <c r="B233" i="168"/>
  <c r="C233" i="168"/>
  <c r="B234" i="168"/>
  <c r="C234" i="168"/>
  <c r="B235" i="168"/>
  <c r="C235" i="168"/>
  <c r="B236" i="168"/>
  <c r="C236" i="168"/>
  <c r="B237" i="168"/>
  <c r="C237" i="168"/>
  <c r="B238" i="168"/>
  <c r="C238" i="168"/>
  <c r="B239" i="168"/>
  <c r="C239" i="168"/>
  <c r="B240" i="168"/>
  <c r="C240" i="168"/>
  <c r="B241" i="168"/>
  <c r="C241" i="168"/>
  <c r="B242" i="168"/>
  <c r="C242" i="168"/>
  <c r="B243" i="168"/>
  <c r="C243" i="168"/>
  <c r="B244" i="168"/>
  <c r="C244" i="168"/>
  <c r="B245" i="168"/>
  <c r="C245" i="168"/>
  <c r="B246" i="168"/>
  <c r="C246" i="168"/>
  <c r="B247" i="168"/>
  <c r="C247" i="168"/>
  <c r="B248" i="168"/>
  <c r="C248" i="168"/>
  <c r="B249" i="168"/>
  <c r="C249" i="168"/>
  <c r="B250" i="168"/>
  <c r="C250" i="168"/>
  <c r="B251" i="168"/>
  <c r="C251" i="168"/>
  <c r="B252" i="168"/>
  <c r="C252" i="168"/>
  <c r="B253" i="168"/>
  <c r="C253" i="168"/>
  <c r="B254" i="168"/>
  <c r="C254" i="168"/>
  <c r="B255" i="168"/>
  <c r="C255" i="168"/>
  <c r="B256" i="168"/>
  <c r="C256" i="168"/>
  <c r="B257" i="168"/>
  <c r="C257" i="168"/>
  <c r="B258" i="168"/>
  <c r="C258" i="168"/>
  <c r="B259" i="168"/>
  <c r="C259" i="168"/>
  <c r="B260" i="168"/>
  <c r="C260" i="168"/>
  <c r="B261" i="168"/>
  <c r="C261" i="168"/>
  <c r="B262" i="168"/>
  <c r="C262" i="168"/>
  <c r="B263" i="168"/>
  <c r="C263" i="168"/>
  <c r="B264" i="168"/>
  <c r="C264" i="168"/>
  <c r="B265" i="168"/>
  <c r="C265" i="168"/>
  <c r="B266" i="168"/>
  <c r="C266" i="168"/>
  <c r="B267" i="168"/>
  <c r="C267" i="168"/>
  <c r="B268" i="168"/>
  <c r="C268" i="168"/>
  <c r="B269" i="168"/>
  <c r="C269" i="168"/>
  <c r="B270" i="168"/>
  <c r="C270" i="168"/>
  <c r="B271" i="168"/>
  <c r="C271" i="168"/>
  <c r="B272" i="168"/>
  <c r="C272" i="168"/>
  <c r="B273" i="168"/>
  <c r="C273" i="168"/>
  <c r="B274" i="168"/>
  <c r="C274" i="168"/>
  <c r="B275" i="168"/>
  <c r="C275" i="168"/>
  <c r="B276" i="168"/>
  <c r="C276" i="168"/>
  <c r="B277" i="168"/>
  <c r="C277" i="168"/>
  <c r="B278" i="168"/>
  <c r="C278" i="168"/>
  <c r="B279" i="168"/>
  <c r="C279" i="168"/>
  <c r="B280" i="168"/>
  <c r="C280" i="168"/>
  <c r="B281" i="168"/>
  <c r="C281" i="168"/>
  <c r="B282" i="168"/>
  <c r="C282" i="168"/>
  <c r="B283" i="168"/>
  <c r="C283" i="168"/>
  <c r="B284" i="168"/>
  <c r="C284" i="168"/>
  <c r="B285" i="168"/>
  <c r="C285" i="168"/>
  <c r="B286" i="168"/>
  <c r="C286" i="168"/>
  <c r="B287" i="168"/>
  <c r="C287" i="168"/>
  <c r="B288" i="168"/>
  <c r="C288" i="168"/>
  <c r="B289" i="168"/>
  <c r="C289" i="168"/>
  <c r="B290" i="168"/>
  <c r="C290" i="168"/>
  <c r="B291" i="168"/>
  <c r="C291" i="168"/>
  <c r="B292" i="168"/>
  <c r="C292" i="168"/>
  <c r="B293" i="168"/>
  <c r="C293" i="168"/>
  <c r="B294" i="168"/>
  <c r="C294" i="168"/>
  <c r="B295" i="168"/>
  <c r="C295" i="168"/>
  <c r="B296" i="168"/>
  <c r="C296" i="168"/>
  <c r="B297" i="168"/>
  <c r="C297" i="168"/>
  <c r="B298" i="168"/>
  <c r="C298" i="168"/>
  <c r="B299" i="168"/>
  <c r="C299" i="168"/>
  <c r="B300" i="168"/>
  <c r="C300" i="168"/>
  <c r="B301" i="168"/>
  <c r="C301" i="168"/>
  <c r="B302" i="168"/>
  <c r="C302" i="168"/>
  <c r="B303" i="168"/>
  <c r="C303" i="168"/>
  <c r="B304" i="168"/>
  <c r="C304" i="168"/>
  <c r="B305" i="168"/>
  <c r="C305" i="168"/>
  <c r="B306" i="168"/>
  <c r="C306" i="168"/>
  <c r="B307" i="168"/>
  <c r="C307" i="168"/>
  <c r="B308" i="168"/>
  <c r="C308" i="168"/>
  <c r="B309" i="168"/>
  <c r="C309" i="168"/>
  <c r="B310" i="168"/>
  <c r="C310" i="168"/>
  <c r="B311" i="168"/>
  <c r="C311" i="168"/>
  <c r="B312" i="168"/>
  <c r="C312" i="168"/>
  <c r="B313" i="168"/>
  <c r="C313" i="168"/>
  <c r="B314" i="168"/>
  <c r="C314" i="168"/>
  <c r="B315" i="168"/>
  <c r="C315" i="168"/>
  <c r="B316" i="168"/>
  <c r="C316" i="168"/>
  <c r="B317" i="168"/>
  <c r="C317" i="168"/>
  <c r="B318" i="168"/>
  <c r="C318" i="168"/>
  <c r="B319" i="168"/>
  <c r="C319" i="168"/>
  <c r="B320" i="168"/>
  <c r="C320" i="168"/>
  <c r="B321" i="168"/>
  <c r="C321" i="168"/>
  <c r="B322" i="168"/>
  <c r="C322" i="168"/>
  <c r="B323" i="168"/>
  <c r="C323" i="168"/>
  <c r="B324" i="168"/>
  <c r="C324" i="168"/>
  <c r="B325" i="168"/>
  <c r="C325" i="168"/>
  <c r="B326" i="168"/>
  <c r="C326" i="168"/>
  <c r="B327" i="168"/>
  <c r="C327" i="168"/>
  <c r="B328" i="168"/>
  <c r="C328" i="168"/>
  <c r="B329" i="168"/>
  <c r="C329" i="168"/>
  <c r="B330" i="168"/>
  <c r="C330" i="168"/>
  <c r="B331" i="168"/>
  <c r="C331" i="168"/>
  <c r="B332" i="168"/>
  <c r="C332" i="168"/>
  <c r="B333" i="168"/>
  <c r="C333" i="168"/>
  <c r="B334" i="168"/>
  <c r="C334" i="168"/>
  <c r="B335" i="168"/>
  <c r="C335" i="168"/>
  <c r="B336" i="168"/>
  <c r="C336" i="168"/>
  <c r="B337" i="168"/>
  <c r="C337" i="168"/>
  <c r="B338" i="168"/>
  <c r="C338" i="168"/>
  <c r="B339" i="168"/>
  <c r="C339" i="168"/>
  <c r="B340" i="168"/>
  <c r="C340" i="168"/>
  <c r="B341" i="168"/>
  <c r="C341" i="168"/>
  <c r="B342" i="168"/>
  <c r="C342" i="168"/>
  <c r="B343" i="168"/>
  <c r="C343" i="168"/>
  <c r="B344" i="168"/>
  <c r="C344" i="168"/>
  <c r="B345" i="168"/>
  <c r="C345" i="168"/>
  <c r="B346" i="168"/>
  <c r="C346" i="168"/>
  <c r="B347" i="168"/>
  <c r="C347" i="168"/>
  <c r="B348" i="168"/>
  <c r="C348" i="168"/>
  <c r="B349" i="168"/>
  <c r="C349" i="168"/>
  <c r="B350" i="168"/>
  <c r="C350" i="168"/>
  <c r="B351" i="168"/>
  <c r="C351" i="168"/>
  <c r="B352" i="168"/>
  <c r="C352" i="168"/>
  <c r="B353" i="168"/>
  <c r="C353" i="168"/>
  <c r="B354" i="168"/>
  <c r="C354" i="168"/>
  <c r="B355" i="168"/>
  <c r="C355" i="168"/>
  <c r="B356" i="168"/>
  <c r="C356" i="168"/>
  <c r="B357" i="168"/>
  <c r="C357" i="168"/>
  <c r="B358" i="168"/>
  <c r="C358" i="168"/>
  <c r="B359" i="168"/>
  <c r="C359" i="168"/>
  <c r="B360" i="168"/>
  <c r="C360" i="168"/>
  <c r="B361" i="168"/>
  <c r="C361" i="168"/>
  <c r="B362" i="168"/>
  <c r="C362" i="168"/>
  <c r="B363" i="168"/>
  <c r="C363" i="168"/>
  <c r="B364" i="168"/>
  <c r="C364" i="168"/>
  <c r="B365" i="168"/>
  <c r="C365" i="168"/>
  <c r="B366" i="168"/>
  <c r="C366" i="168"/>
  <c r="B367" i="168"/>
  <c r="C367" i="168"/>
  <c r="B368" i="168"/>
  <c r="C368" i="168"/>
  <c r="B369" i="168"/>
  <c r="C369" i="168"/>
  <c r="B370" i="168"/>
  <c r="C370" i="168"/>
  <c r="B371" i="168"/>
  <c r="C371" i="168"/>
  <c r="B372" i="168"/>
  <c r="C372" i="168"/>
  <c r="B373" i="168"/>
  <c r="C373" i="168"/>
  <c r="B374" i="168"/>
  <c r="C374" i="168"/>
  <c r="B375" i="168"/>
  <c r="C375" i="168"/>
  <c r="B376" i="168"/>
  <c r="C376" i="168"/>
  <c r="B377" i="168"/>
  <c r="C377" i="168"/>
  <c r="B378" i="168"/>
  <c r="C378" i="168"/>
  <c r="B379" i="168"/>
  <c r="C379" i="168"/>
  <c r="B380" i="168"/>
  <c r="C380" i="168"/>
  <c r="B381" i="168"/>
  <c r="C381" i="168"/>
  <c r="B382" i="168"/>
  <c r="C382" i="168"/>
  <c r="B383" i="168"/>
  <c r="C383" i="168"/>
  <c r="B384" i="168"/>
  <c r="C384" i="168"/>
  <c r="B385" i="168"/>
  <c r="C385" i="168"/>
  <c r="B386" i="168"/>
  <c r="C386" i="168"/>
  <c r="B387" i="168"/>
  <c r="C387" i="168"/>
  <c r="B388" i="168"/>
  <c r="C388" i="168"/>
  <c r="B389" i="168"/>
  <c r="C389" i="168"/>
  <c r="B390" i="168"/>
  <c r="C390" i="168"/>
  <c r="B391" i="168"/>
  <c r="C391" i="168"/>
  <c r="B392" i="168"/>
  <c r="C392" i="168"/>
  <c r="B393" i="168"/>
  <c r="C393" i="168"/>
  <c r="B394" i="168"/>
  <c r="C394" i="168"/>
  <c r="B395" i="168"/>
  <c r="C395" i="168"/>
  <c r="B396" i="168"/>
  <c r="C396" i="168"/>
  <c r="B397" i="168"/>
  <c r="C397" i="168"/>
  <c r="B398" i="168"/>
  <c r="C398" i="168"/>
  <c r="B399" i="168"/>
  <c r="C399" i="168"/>
  <c r="B400" i="168"/>
  <c r="C400" i="168"/>
  <c r="B401" i="168"/>
  <c r="C401" i="168"/>
  <c r="B402" i="168"/>
  <c r="C402" i="168"/>
  <c r="B403" i="168"/>
  <c r="C403" i="168"/>
  <c r="B404" i="168"/>
  <c r="C404" i="168"/>
  <c r="B405" i="168"/>
  <c r="C405" i="168"/>
  <c r="B406" i="168"/>
  <c r="C406" i="168"/>
  <c r="B407" i="168"/>
  <c r="C407" i="168"/>
  <c r="B408" i="168"/>
  <c r="C408" i="168"/>
  <c r="B409" i="168"/>
  <c r="C409" i="168"/>
  <c r="B410" i="168"/>
  <c r="C410" i="168"/>
  <c r="B411" i="168"/>
  <c r="C411" i="168"/>
  <c r="B412" i="168"/>
  <c r="C412" i="168"/>
  <c r="B413" i="168"/>
  <c r="C413" i="168"/>
  <c r="B414" i="168"/>
  <c r="C414" i="168"/>
  <c r="B415" i="168"/>
  <c r="C415" i="168"/>
  <c r="B416" i="168"/>
  <c r="C416" i="168"/>
  <c r="B417" i="168"/>
  <c r="C417" i="168"/>
  <c r="B418" i="168"/>
  <c r="C418" i="168"/>
  <c r="B419" i="168"/>
  <c r="C419" i="168"/>
  <c r="B420" i="168"/>
  <c r="C420" i="168"/>
  <c r="B421" i="168"/>
  <c r="C421" i="168"/>
  <c r="B422" i="168"/>
  <c r="C422" i="168"/>
  <c r="B423" i="168"/>
  <c r="C423" i="168"/>
  <c r="B424" i="168"/>
  <c r="C424" i="168"/>
  <c r="B425" i="168"/>
  <c r="C425" i="168"/>
  <c r="B426" i="168"/>
  <c r="C426" i="168"/>
  <c r="B427" i="168"/>
  <c r="C427" i="168"/>
  <c r="B428" i="168"/>
  <c r="C428" i="168"/>
  <c r="B429" i="168"/>
  <c r="C429" i="168"/>
  <c r="B430" i="168"/>
  <c r="C430" i="168"/>
  <c r="B431" i="168"/>
  <c r="C431" i="168"/>
  <c r="B432" i="168"/>
  <c r="C432" i="168"/>
  <c r="B433" i="168"/>
  <c r="C433" i="168"/>
  <c r="B434" i="168"/>
  <c r="C434" i="168"/>
  <c r="B435" i="168"/>
  <c r="C435" i="168"/>
  <c r="B436" i="168"/>
  <c r="C436" i="168"/>
  <c r="B437" i="168"/>
  <c r="C437" i="168"/>
  <c r="B438" i="168"/>
  <c r="C438" i="168"/>
  <c r="B439" i="168"/>
  <c r="C439" i="168"/>
  <c r="B440" i="168"/>
  <c r="C440" i="168"/>
  <c r="B441" i="168"/>
  <c r="C441" i="168"/>
  <c r="B442" i="168"/>
  <c r="C442" i="168"/>
  <c r="B443" i="168"/>
  <c r="C443" i="168"/>
  <c r="B444" i="168"/>
  <c r="C444" i="168"/>
  <c r="B445" i="168"/>
  <c r="C445" i="168"/>
  <c r="B446" i="168"/>
  <c r="C446" i="168"/>
  <c r="B447" i="168"/>
  <c r="C447" i="168"/>
  <c r="B448" i="168"/>
  <c r="C448" i="168"/>
  <c r="B449" i="168"/>
  <c r="C449" i="168"/>
  <c r="B450" i="168"/>
  <c r="C450" i="168"/>
  <c r="B451" i="168"/>
  <c r="C451" i="168"/>
  <c r="B452" i="168"/>
  <c r="C452" i="168"/>
  <c r="B453" i="168"/>
  <c r="C453" i="168"/>
  <c r="B454" i="168"/>
  <c r="C454" i="168"/>
  <c r="B455" i="168"/>
  <c r="C455" i="168"/>
  <c r="B456" i="168"/>
  <c r="C456" i="168"/>
  <c r="B457" i="168"/>
  <c r="C457" i="168"/>
  <c r="B458" i="168"/>
  <c r="C458" i="168"/>
  <c r="B459" i="168"/>
  <c r="C459" i="168"/>
  <c r="B460" i="168"/>
  <c r="C460" i="168"/>
  <c r="B461" i="168"/>
  <c r="C461" i="168"/>
  <c r="B462" i="168"/>
  <c r="C462" i="168"/>
  <c r="B463" i="168"/>
  <c r="C463" i="168"/>
  <c r="B464" i="168"/>
  <c r="C464" i="168"/>
  <c r="B465" i="168"/>
  <c r="C465" i="168"/>
  <c r="B466" i="168"/>
  <c r="C466" i="168"/>
  <c r="B467" i="168"/>
  <c r="C467" i="168"/>
  <c r="B468" i="168"/>
  <c r="C468" i="168"/>
  <c r="B469" i="168"/>
  <c r="C469" i="168"/>
  <c r="B470" i="168"/>
  <c r="C470" i="168"/>
  <c r="B471" i="168"/>
  <c r="C471" i="168"/>
  <c r="B472" i="168"/>
  <c r="C472" i="168"/>
  <c r="B473" i="168"/>
  <c r="C473" i="168"/>
  <c r="B474" i="168"/>
  <c r="C474" i="168"/>
  <c r="B475" i="168"/>
  <c r="C475" i="168"/>
  <c r="B476" i="168"/>
  <c r="C476" i="168"/>
  <c r="B477" i="168"/>
  <c r="C477" i="168"/>
  <c r="B478" i="168"/>
  <c r="C478" i="168"/>
  <c r="B479" i="168"/>
  <c r="C479" i="168"/>
  <c r="B480" i="168"/>
  <c r="C480" i="168"/>
  <c r="B481" i="168"/>
  <c r="C481" i="168"/>
  <c r="B482" i="168"/>
  <c r="C482" i="168"/>
  <c r="B483" i="168"/>
  <c r="C483" i="168"/>
  <c r="B484" i="168"/>
  <c r="C484" i="168"/>
  <c r="B485" i="168"/>
  <c r="C485" i="168"/>
  <c r="B486" i="168"/>
  <c r="C486" i="168"/>
  <c r="B487" i="168"/>
  <c r="C487" i="168"/>
  <c r="B488" i="168"/>
  <c r="C488" i="168"/>
  <c r="B489" i="168"/>
  <c r="C489" i="168"/>
  <c r="B490" i="168"/>
  <c r="C490" i="168"/>
  <c r="B491" i="168"/>
  <c r="C491" i="168"/>
  <c r="B492" i="168"/>
  <c r="C492" i="168"/>
  <c r="B493" i="168"/>
  <c r="C493" i="168"/>
  <c r="B494" i="168"/>
  <c r="C494" i="168"/>
  <c r="B495" i="168"/>
  <c r="C495" i="168"/>
  <c r="B496" i="168"/>
  <c r="C496" i="168"/>
  <c r="B497" i="168"/>
  <c r="C497" i="168"/>
  <c r="B498" i="168"/>
  <c r="C498" i="168"/>
  <c r="B499" i="168"/>
  <c r="C499" i="168"/>
  <c r="B500" i="168"/>
  <c r="C500" i="168"/>
  <c r="B501" i="168"/>
  <c r="C501" i="168"/>
  <c r="B502" i="168"/>
  <c r="C502" i="168"/>
  <c r="B503" i="168"/>
  <c r="C503" i="168"/>
  <c r="B504" i="168"/>
  <c r="C504" i="168"/>
  <c r="B505" i="168"/>
  <c r="C505" i="168"/>
  <c r="B506" i="168"/>
  <c r="C506" i="168"/>
  <c r="B507" i="168"/>
  <c r="C507" i="168"/>
  <c r="B508" i="168"/>
  <c r="C508" i="168"/>
  <c r="B509" i="168"/>
  <c r="C509" i="168"/>
  <c r="B510" i="168"/>
  <c r="C510" i="168"/>
  <c r="B511" i="168"/>
  <c r="C511" i="168"/>
  <c r="B14" i="168"/>
  <c r="B15" i="168"/>
  <c r="G15" i="168" s="1"/>
  <c r="B16" i="168"/>
  <c r="G16" i="168" s="1"/>
  <c r="B17" i="168"/>
  <c r="G17" i="168" s="1"/>
  <c r="B18" i="168"/>
  <c r="G18" i="168" s="1"/>
  <c r="B19" i="168"/>
  <c r="G19" i="168" s="1"/>
  <c r="B20" i="168"/>
  <c r="G20" i="168" s="1"/>
  <c r="B21" i="168"/>
  <c r="G21" i="168" s="1"/>
  <c r="B22" i="168"/>
  <c r="G22" i="168" s="1"/>
  <c r="B23" i="168"/>
  <c r="G23" i="168" s="1"/>
  <c r="B24" i="168"/>
  <c r="G24" i="168" s="1"/>
  <c r="G25" i="168"/>
  <c r="F33" i="168"/>
  <c r="F34" i="168"/>
  <c r="F35" i="168"/>
  <c r="F36" i="168"/>
  <c r="F37" i="168"/>
  <c r="F38" i="168"/>
  <c r="F39" i="168"/>
  <c r="F40" i="168"/>
  <c r="F41" i="168"/>
  <c r="F42" i="168"/>
  <c r="F43" i="168"/>
  <c r="F44" i="168"/>
  <c r="F45" i="168"/>
  <c r="F46" i="168"/>
  <c r="F47" i="168"/>
  <c r="F48" i="168"/>
  <c r="F49" i="168"/>
  <c r="F50" i="168"/>
  <c r="F51" i="168"/>
  <c r="F52" i="168"/>
  <c r="F53" i="168"/>
  <c r="F54" i="168"/>
  <c r="B92" i="157"/>
  <c r="F54" i="157"/>
  <c r="F53" i="157"/>
  <c r="F52" i="157"/>
  <c r="F51" i="157"/>
  <c r="F50" i="157"/>
  <c r="F49" i="157"/>
  <c r="F48" i="157"/>
  <c r="F47" i="157"/>
  <c r="F46" i="157"/>
  <c r="F45" i="157"/>
  <c r="F44" i="157"/>
  <c r="F43" i="157"/>
  <c r="F42" i="157"/>
  <c r="F41" i="157"/>
  <c r="F40" i="157"/>
  <c r="F39" i="157"/>
  <c r="F38" i="157"/>
  <c r="F37" i="157"/>
  <c r="F36" i="157"/>
  <c r="F35" i="157"/>
  <c r="F34" i="157"/>
  <c r="F33" i="157"/>
  <c r="F32" i="157"/>
  <c r="F31" i="157"/>
  <c r="F30" i="157"/>
  <c r="F29" i="157"/>
  <c r="F28" i="157"/>
  <c r="F27" i="157"/>
  <c r="F26" i="157"/>
  <c r="F25" i="157"/>
  <c r="F24" i="157"/>
  <c r="F23" i="157"/>
  <c r="F22" i="157"/>
  <c r="F21" i="157"/>
  <c r="F20" i="157"/>
  <c r="F19" i="157"/>
  <c r="F18" i="157"/>
  <c r="F17" i="157"/>
  <c r="F16" i="157"/>
  <c r="F15" i="157"/>
  <c r="E14" i="157"/>
  <c r="E15" i="157" s="1"/>
  <c r="E16" i="157" s="1"/>
  <c r="E17" i="157" s="1"/>
  <c r="E18" i="157" s="1"/>
  <c r="E19" i="157" s="1"/>
  <c r="E20" i="157" s="1"/>
  <c r="E21" i="157" s="1"/>
  <c r="E22" i="157" s="1"/>
  <c r="E23" i="157" s="1"/>
  <c r="E24" i="157" s="1"/>
  <c r="E25" i="157" s="1"/>
  <c r="E26" i="157" s="1"/>
  <c r="E27" i="157" s="1"/>
  <c r="E28" i="157" s="1"/>
  <c r="E29" i="157" s="1"/>
  <c r="E30" i="157" s="1"/>
  <c r="E31" i="157" s="1"/>
  <c r="E32" i="157" s="1"/>
  <c r="E33" i="157" s="1"/>
  <c r="E34" i="157" s="1"/>
  <c r="E35" i="157" s="1"/>
  <c r="E36" i="157" s="1"/>
  <c r="E37" i="157" s="1"/>
  <c r="E38" i="157" s="1"/>
  <c r="E39" i="157" s="1"/>
  <c r="E40" i="157" s="1"/>
  <c r="E41" i="157" s="1"/>
  <c r="E42" i="157" s="1"/>
  <c r="E43" i="157" s="1"/>
  <c r="E44" i="157" s="1"/>
  <c r="E45" i="157" s="1"/>
  <c r="E46" i="157" s="1"/>
  <c r="E47" i="157" s="1"/>
  <c r="E48" i="157" s="1"/>
  <c r="E49" i="157" s="1"/>
  <c r="E50" i="157" s="1"/>
  <c r="E51" i="157" s="1"/>
  <c r="E52" i="157" s="1"/>
  <c r="E53" i="157" s="1"/>
  <c r="E54" i="157" s="1"/>
  <c r="D14" i="157"/>
  <c r="D15" i="157" s="1"/>
  <c r="D16" i="157" s="1"/>
  <c r="D17" i="157" s="1"/>
  <c r="D18" i="157" s="1"/>
  <c r="D19" i="157" s="1"/>
  <c r="D20" i="157" s="1"/>
  <c r="D21" i="157" s="1"/>
  <c r="D22" i="157" s="1"/>
  <c r="D23" i="157" s="1"/>
  <c r="D24" i="157" s="1"/>
  <c r="D25" i="157" s="1"/>
  <c r="D26" i="157" s="1"/>
  <c r="D27" i="157" s="1"/>
  <c r="D28" i="157" s="1"/>
  <c r="D29" i="157" s="1"/>
  <c r="D30" i="157" s="1"/>
  <c r="D31" i="157" s="1"/>
  <c r="D32" i="157" s="1"/>
  <c r="D33" i="157" s="1"/>
  <c r="D34" i="157" s="1"/>
  <c r="D35" i="157" s="1"/>
  <c r="D36" i="157" s="1"/>
  <c r="D37" i="157" s="1"/>
  <c r="D38" i="157" s="1"/>
  <c r="D39" i="157" s="1"/>
  <c r="D40" i="157" s="1"/>
  <c r="D41" i="157" s="1"/>
  <c r="D42" i="157" s="1"/>
  <c r="D43" i="157" s="1"/>
  <c r="D44" i="157" s="1"/>
  <c r="D45" i="157" s="1"/>
  <c r="D46" i="157" s="1"/>
  <c r="D47" i="157" s="1"/>
  <c r="D48" i="157" s="1"/>
  <c r="D49" i="157" s="1"/>
  <c r="D50" i="157" s="1"/>
  <c r="D51" i="157" s="1"/>
  <c r="D52" i="157" s="1"/>
  <c r="D53" i="157" s="1"/>
  <c r="D54" i="157" s="1"/>
  <c r="C14" i="157"/>
  <c r="C15" i="157" s="1"/>
  <c r="C16" i="157" s="1"/>
  <c r="C17" i="157" s="1"/>
  <c r="C18" i="157" s="1"/>
  <c r="C19" i="157" s="1"/>
  <c r="C20" i="157" s="1"/>
  <c r="C21" i="157" s="1"/>
  <c r="C22" i="157" s="1"/>
  <c r="C23" i="157" s="1"/>
  <c r="C24" i="157" s="1"/>
  <c r="C25" i="157" s="1"/>
  <c r="C26" i="157" s="1"/>
  <c r="C27" i="157" s="1"/>
  <c r="C28" i="157" s="1"/>
  <c r="C29" i="157" s="1"/>
  <c r="C30" i="157" s="1"/>
  <c r="C31" i="157" s="1"/>
  <c r="C32" i="157" s="1"/>
  <c r="C33" i="157" s="1"/>
  <c r="C34" i="157" s="1"/>
  <c r="C35" i="157" s="1"/>
  <c r="C36" i="157" s="1"/>
  <c r="C37" i="157" s="1"/>
  <c r="C38" i="157" s="1"/>
  <c r="C39" i="157" s="1"/>
  <c r="C40" i="157" s="1"/>
  <c r="C41" i="157" s="1"/>
  <c r="C42" i="157" s="1"/>
  <c r="C43" i="157" s="1"/>
  <c r="C44" i="157" s="1"/>
  <c r="C45" i="157" s="1"/>
  <c r="C46" i="157" s="1"/>
  <c r="C47" i="157" s="1"/>
  <c r="C48" i="157" s="1"/>
  <c r="C49" i="157" s="1"/>
  <c r="C50" i="157" s="1"/>
  <c r="C51" i="157" s="1"/>
  <c r="C52" i="157" s="1"/>
  <c r="C53" i="157" s="1"/>
  <c r="C54" i="157" s="1"/>
  <c r="B14" i="157"/>
  <c r="B15" i="157" s="1"/>
  <c r="B16" i="157" s="1"/>
  <c r="B17" i="157" s="1"/>
  <c r="B18" i="157" s="1"/>
  <c r="B19" i="157" s="1"/>
  <c r="B20" i="157" s="1"/>
  <c r="B21" i="157" s="1"/>
  <c r="B22" i="157" s="1"/>
  <c r="B23" i="157" s="1"/>
  <c r="B24" i="157" s="1"/>
  <c r="B25" i="157" s="1"/>
  <c r="B26" i="157" s="1"/>
  <c r="B27" i="157" s="1"/>
  <c r="B28" i="157" s="1"/>
  <c r="B29" i="157" s="1"/>
  <c r="B30" i="157" s="1"/>
  <c r="B31" i="157" s="1"/>
  <c r="B32" i="157" s="1"/>
  <c r="B33" i="157" s="1"/>
  <c r="B34" i="157" s="1"/>
  <c r="B35" i="157" s="1"/>
  <c r="B36" i="157" s="1"/>
  <c r="B37" i="157" s="1"/>
  <c r="B38" i="157" s="1"/>
  <c r="B39" i="157" s="1"/>
  <c r="B40" i="157" s="1"/>
  <c r="B41" i="157" s="1"/>
  <c r="B42" i="157" s="1"/>
  <c r="B43" i="157" s="1"/>
  <c r="B44" i="157" s="1"/>
  <c r="B45" i="157" s="1"/>
  <c r="B46" i="157" s="1"/>
  <c r="B47" i="157" s="1"/>
  <c r="B48" i="157" s="1"/>
  <c r="B49" i="157" s="1"/>
  <c r="B50" i="157" s="1"/>
  <c r="B51" i="157" s="1"/>
  <c r="B52" i="157" s="1"/>
  <c r="B53" i="157" s="1"/>
  <c r="B54" i="157" s="1"/>
  <c r="B92" i="156"/>
  <c r="F54" i="156"/>
  <c r="F53" i="156"/>
  <c r="F52" i="156"/>
  <c r="F51" i="156"/>
  <c r="F50" i="156"/>
  <c r="F49" i="156"/>
  <c r="F48" i="156"/>
  <c r="F47" i="156"/>
  <c r="F46" i="156"/>
  <c r="F45" i="156"/>
  <c r="F44" i="156"/>
  <c r="F43" i="156"/>
  <c r="F42" i="156"/>
  <c r="F41" i="156"/>
  <c r="F40" i="156"/>
  <c r="F39" i="156"/>
  <c r="F38" i="156"/>
  <c r="F37" i="156"/>
  <c r="F36" i="156"/>
  <c r="F35" i="156"/>
  <c r="F34" i="156"/>
  <c r="F33" i="156"/>
  <c r="F32" i="156"/>
  <c r="F31" i="156"/>
  <c r="F30" i="156"/>
  <c r="F29" i="156"/>
  <c r="F28" i="156"/>
  <c r="F27" i="156"/>
  <c r="F26" i="156"/>
  <c r="F25" i="156"/>
  <c r="F24" i="156"/>
  <c r="F23" i="156"/>
  <c r="F22" i="156"/>
  <c r="F21" i="156"/>
  <c r="F20" i="156"/>
  <c r="F19" i="156"/>
  <c r="F18" i="156"/>
  <c r="F17" i="156"/>
  <c r="F16" i="156"/>
  <c r="F15" i="156"/>
  <c r="E14" i="156"/>
  <c r="E15" i="156" s="1"/>
  <c r="E16" i="156" s="1"/>
  <c r="E17" i="156" s="1"/>
  <c r="E18" i="156" s="1"/>
  <c r="E19" i="156" s="1"/>
  <c r="E20" i="156" s="1"/>
  <c r="E21" i="156" s="1"/>
  <c r="E22" i="156" s="1"/>
  <c r="E23" i="156" s="1"/>
  <c r="E24" i="156" s="1"/>
  <c r="E25" i="156" s="1"/>
  <c r="E26" i="156" s="1"/>
  <c r="E27" i="156" s="1"/>
  <c r="E28" i="156" s="1"/>
  <c r="E29" i="156" s="1"/>
  <c r="E30" i="156" s="1"/>
  <c r="E31" i="156" s="1"/>
  <c r="E32" i="156" s="1"/>
  <c r="E33" i="156" s="1"/>
  <c r="E34" i="156" s="1"/>
  <c r="E35" i="156" s="1"/>
  <c r="E36" i="156" s="1"/>
  <c r="E37" i="156" s="1"/>
  <c r="E38" i="156" s="1"/>
  <c r="E39" i="156" s="1"/>
  <c r="E40" i="156" s="1"/>
  <c r="E41" i="156" s="1"/>
  <c r="E42" i="156" s="1"/>
  <c r="E43" i="156" s="1"/>
  <c r="E44" i="156" s="1"/>
  <c r="E45" i="156" s="1"/>
  <c r="E46" i="156" s="1"/>
  <c r="E47" i="156" s="1"/>
  <c r="E48" i="156" s="1"/>
  <c r="E49" i="156" s="1"/>
  <c r="E50" i="156" s="1"/>
  <c r="E51" i="156" s="1"/>
  <c r="E52" i="156" s="1"/>
  <c r="E53" i="156" s="1"/>
  <c r="E54" i="156" s="1"/>
  <c r="D14" i="156"/>
  <c r="D15" i="156" s="1"/>
  <c r="D16" i="156" s="1"/>
  <c r="D17" i="156" s="1"/>
  <c r="D18" i="156" s="1"/>
  <c r="D19" i="156" s="1"/>
  <c r="D20" i="156" s="1"/>
  <c r="D21" i="156" s="1"/>
  <c r="D22" i="156" s="1"/>
  <c r="D23" i="156" s="1"/>
  <c r="D24" i="156" s="1"/>
  <c r="D25" i="156" s="1"/>
  <c r="D26" i="156" s="1"/>
  <c r="D27" i="156" s="1"/>
  <c r="D28" i="156" s="1"/>
  <c r="D29" i="156" s="1"/>
  <c r="D30" i="156" s="1"/>
  <c r="D31" i="156" s="1"/>
  <c r="D32" i="156" s="1"/>
  <c r="D33" i="156" s="1"/>
  <c r="D34" i="156" s="1"/>
  <c r="D35" i="156" s="1"/>
  <c r="D36" i="156" s="1"/>
  <c r="D37" i="156" s="1"/>
  <c r="D38" i="156" s="1"/>
  <c r="D39" i="156" s="1"/>
  <c r="D40" i="156" s="1"/>
  <c r="D41" i="156" s="1"/>
  <c r="D42" i="156" s="1"/>
  <c r="D43" i="156" s="1"/>
  <c r="D44" i="156" s="1"/>
  <c r="D45" i="156" s="1"/>
  <c r="D46" i="156" s="1"/>
  <c r="D47" i="156" s="1"/>
  <c r="D48" i="156" s="1"/>
  <c r="D49" i="156" s="1"/>
  <c r="D50" i="156" s="1"/>
  <c r="D51" i="156" s="1"/>
  <c r="D52" i="156" s="1"/>
  <c r="D53" i="156" s="1"/>
  <c r="D54" i="156" s="1"/>
  <c r="C14" i="156"/>
  <c r="C15" i="156" s="1"/>
  <c r="C16" i="156" s="1"/>
  <c r="C17" i="156" s="1"/>
  <c r="C18" i="156" s="1"/>
  <c r="C19" i="156" s="1"/>
  <c r="C20" i="156" s="1"/>
  <c r="C21" i="156" s="1"/>
  <c r="C22" i="156" s="1"/>
  <c r="C23" i="156" s="1"/>
  <c r="C24" i="156" s="1"/>
  <c r="C25" i="156" s="1"/>
  <c r="C26" i="156" s="1"/>
  <c r="C27" i="156" s="1"/>
  <c r="C28" i="156" s="1"/>
  <c r="C29" i="156" s="1"/>
  <c r="C30" i="156" s="1"/>
  <c r="C31" i="156" s="1"/>
  <c r="C32" i="156" s="1"/>
  <c r="C33" i="156" s="1"/>
  <c r="C34" i="156" s="1"/>
  <c r="C35" i="156" s="1"/>
  <c r="C36" i="156" s="1"/>
  <c r="C37" i="156" s="1"/>
  <c r="C38" i="156" s="1"/>
  <c r="C39" i="156" s="1"/>
  <c r="C40" i="156" s="1"/>
  <c r="C41" i="156" s="1"/>
  <c r="C42" i="156" s="1"/>
  <c r="C43" i="156" s="1"/>
  <c r="C44" i="156" s="1"/>
  <c r="C45" i="156" s="1"/>
  <c r="C46" i="156" s="1"/>
  <c r="C47" i="156" s="1"/>
  <c r="C48" i="156" s="1"/>
  <c r="C49" i="156" s="1"/>
  <c r="C50" i="156" s="1"/>
  <c r="C51" i="156" s="1"/>
  <c r="C52" i="156" s="1"/>
  <c r="C53" i="156" s="1"/>
  <c r="C54" i="156" s="1"/>
  <c r="B14" i="156"/>
  <c r="B15" i="156" s="1"/>
  <c r="B16" i="156" s="1"/>
  <c r="B17" i="156" s="1"/>
  <c r="B18" i="156" s="1"/>
  <c r="B19" i="156" s="1"/>
  <c r="B20" i="156" s="1"/>
  <c r="B21" i="156" s="1"/>
  <c r="B22" i="156" s="1"/>
  <c r="B23" i="156" s="1"/>
  <c r="B24" i="156" s="1"/>
  <c r="B25" i="156" s="1"/>
  <c r="B26" i="156" s="1"/>
  <c r="B27" i="156" s="1"/>
  <c r="B28" i="156" s="1"/>
  <c r="B29" i="156" s="1"/>
  <c r="B30" i="156" s="1"/>
  <c r="B31" i="156" s="1"/>
  <c r="B32" i="156" s="1"/>
  <c r="B33" i="156" s="1"/>
  <c r="B34" i="156" s="1"/>
  <c r="B35" i="156" s="1"/>
  <c r="B36" i="156" s="1"/>
  <c r="B37" i="156" s="1"/>
  <c r="B38" i="156" s="1"/>
  <c r="B39" i="156" s="1"/>
  <c r="B40" i="156" s="1"/>
  <c r="B41" i="156" s="1"/>
  <c r="B42" i="156" s="1"/>
  <c r="B43" i="156" s="1"/>
  <c r="B44" i="156" s="1"/>
  <c r="B45" i="156" s="1"/>
  <c r="B46" i="156" s="1"/>
  <c r="B47" i="156" s="1"/>
  <c r="B48" i="156" s="1"/>
  <c r="B49" i="156" s="1"/>
  <c r="B50" i="156" s="1"/>
  <c r="B51" i="156" s="1"/>
  <c r="B52" i="156" s="1"/>
  <c r="B53" i="156" s="1"/>
  <c r="B54" i="156" s="1"/>
  <c r="B92" i="155"/>
  <c r="F54" i="155"/>
  <c r="F53" i="155"/>
  <c r="F52" i="155"/>
  <c r="F51" i="155"/>
  <c r="F50" i="155"/>
  <c r="F49" i="155"/>
  <c r="F48" i="155"/>
  <c r="F47" i="155"/>
  <c r="F46" i="155"/>
  <c r="F45" i="155"/>
  <c r="F44" i="155"/>
  <c r="F43" i="155"/>
  <c r="F42" i="155"/>
  <c r="F41" i="155"/>
  <c r="F40" i="155"/>
  <c r="F39" i="155"/>
  <c r="F38" i="155"/>
  <c r="F37" i="155"/>
  <c r="F36" i="155"/>
  <c r="F35" i="155"/>
  <c r="F34" i="155"/>
  <c r="F33" i="155"/>
  <c r="F32" i="155"/>
  <c r="F31" i="155"/>
  <c r="F30" i="155"/>
  <c r="F29" i="155"/>
  <c r="F28" i="155"/>
  <c r="F27" i="155"/>
  <c r="F26" i="155"/>
  <c r="F25" i="155"/>
  <c r="F24" i="155"/>
  <c r="F23" i="155"/>
  <c r="F22" i="155"/>
  <c r="F21" i="155"/>
  <c r="F15" i="155"/>
  <c r="F16" i="155" s="1"/>
  <c r="F17" i="155" s="1"/>
  <c r="F18" i="155" s="1"/>
  <c r="F19" i="155" s="1"/>
  <c r="F20" i="155" s="1"/>
  <c r="E14" i="155"/>
  <c r="E15" i="155" s="1"/>
  <c r="E16" i="155" s="1"/>
  <c r="E17" i="155" s="1"/>
  <c r="E18" i="155" s="1"/>
  <c r="E19" i="155" s="1"/>
  <c r="E20" i="155" s="1"/>
  <c r="E21" i="155" s="1"/>
  <c r="E22" i="155" s="1"/>
  <c r="E23" i="155" s="1"/>
  <c r="E24" i="155" s="1"/>
  <c r="E25" i="155" s="1"/>
  <c r="E26" i="155" s="1"/>
  <c r="E27" i="155" s="1"/>
  <c r="E28" i="155" s="1"/>
  <c r="E29" i="155" s="1"/>
  <c r="E30" i="155" s="1"/>
  <c r="E31" i="155" s="1"/>
  <c r="E32" i="155" s="1"/>
  <c r="E33" i="155" s="1"/>
  <c r="E34" i="155" s="1"/>
  <c r="E35" i="155" s="1"/>
  <c r="E36" i="155" s="1"/>
  <c r="E37" i="155" s="1"/>
  <c r="E38" i="155" s="1"/>
  <c r="E39" i="155" s="1"/>
  <c r="E40" i="155" s="1"/>
  <c r="E41" i="155" s="1"/>
  <c r="E42" i="155" s="1"/>
  <c r="E43" i="155" s="1"/>
  <c r="E44" i="155" s="1"/>
  <c r="E45" i="155" s="1"/>
  <c r="E46" i="155" s="1"/>
  <c r="E47" i="155" s="1"/>
  <c r="E48" i="155" s="1"/>
  <c r="E49" i="155" s="1"/>
  <c r="E50" i="155" s="1"/>
  <c r="E51" i="155" s="1"/>
  <c r="E52" i="155" s="1"/>
  <c r="E53" i="155" s="1"/>
  <c r="E54" i="155" s="1"/>
  <c r="D14" i="155"/>
  <c r="D15" i="155" s="1"/>
  <c r="D16" i="155" s="1"/>
  <c r="D17" i="155" s="1"/>
  <c r="D18" i="155" s="1"/>
  <c r="D19" i="155" s="1"/>
  <c r="D20" i="155" s="1"/>
  <c r="D21" i="155" s="1"/>
  <c r="D22" i="155" s="1"/>
  <c r="D23" i="155" s="1"/>
  <c r="D24" i="155" s="1"/>
  <c r="D25" i="155" s="1"/>
  <c r="D26" i="155" s="1"/>
  <c r="D27" i="155" s="1"/>
  <c r="D28" i="155" s="1"/>
  <c r="D29" i="155" s="1"/>
  <c r="D30" i="155" s="1"/>
  <c r="D31" i="155" s="1"/>
  <c r="D32" i="155" s="1"/>
  <c r="D33" i="155" s="1"/>
  <c r="D34" i="155" s="1"/>
  <c r="D35" i="155" s="1"/>
  <c r="D36" i="155" s="1"/>
  <c r="D37" i="155" s="1"/>
  <c r="D38" i="155" s="1"/>
  <c r="D39" i="155" s="1"/>
  <c r="D40" i="155" s="1"/>
  <c r="D41" i="155" s="1"/>
  <c r="D42" i="155" s="1"/>
  <c r="D43" i="155" s="1"/>
  <c r="D44" i="155" s="1"/>
  <c r="D45" i="155" s="1"/>
  <c r="D46" i="155" s="1"/>
  <c r="D47" i="155" s="1"/>
  <c r="D48" i="155" s="1"/>
  <c r="D49" i="155" s="1"/>
  <c r="D50" i="155" s="1"/>
  <c r="D51" i="155" s="1"/>
  <c r="D52" i="155" s="1"/>
  <c r="D53" i="155" s="1"/>
  <c r="D54" i="155" s="1"/>
  <c r="C14" i="155"/>
  <c r="C15" i="155" s="1"/>
  <c r="C16" i="155" s="1"/>
  <c r="C17" i="155" s="1"/>
  <c r="C18" i="155" s="1"/>
  <c r="C19" i="155" s="1"/>
  <c r="C20" i="155" s="1"/>
  <c r="C21" i="155" s="1"/>
  <c r="C22" i="155" s="1"/>
  <c r="C23" i="155" s="1"/>
  <c r="C24" i="155" s="1"/>
  <c r="C25" i="155" s="1"/>
  <c r="C26" i="155" s="1"/>
  <c r="C27" i="155" s="1"/>
  <c r="C28" i="155" s="1"/>
  <c r="C29" i="155" s="1"/>
  <c r="C30" i="155" s="1"/>
  <c r="C31" i="155" s="1"/>
  <c r="C32" i="155" s="1"/>
  <c r="C33" i="155" s="1"/>
  <c r="C34" i="155" s="1"/>
  <c r="C35" i="155" s="1"/>
  <c r="C36" i="155" s="1"/>
  <c r="C37" i="155" s="1"/>
  <c r="C38" i="155" s="1"/>
  <c r="C39" i="155" s="1"/>
  <c r="C40" i="155" s="1"/>
  <c r="C41" i="155" s="1"/>
  <c r="C42" i="155" s="1"/>
  <c r="C43" i="155" s="1"/>
  <c r="C44" i="155" s="1"/>
  <c r="C45" i="155" s="1"/>
  <c r="C46" i="155" s="1"/>
  <c r="C47" i="155" s="1"/>
  <c r="C48" i="155" s="1"/>
  <c r="C49" i="155" s="1"/>
  <c r="C50" i="155" s="1"/>
  <c r="C51" i="155" s="1"/>
  <c r="C52" i="155" s="1"/>
  <c r="C53" i="155" s="1"/>
  <c r="C54" i="155" s="1"/>
  <c r="B14" i="155"/>
  <c r="B15" i="155" s="1"/>
  <c r="B16" i="155" s="1"/>
  <c r="B17" i="155" s="1"/>
  <c r="B18" i="155" s="1"/>
  <c r="B19" i="155" s="1"/>
  <c r="B20" i="155" s="1"/>
  <c r="B21" i="155" s="1"/>
  <c r="B22" i="155" s="1"/>
  <c r="B23" i="155" s="1"/>
  <c r="B24" i="155" s="1"/>
  <c r="B25" i="155" s="1"/>
  <c r="B26" i="155" s="1"/>
  <c r="B27" i="155" s="1"/>
  <c r="B28" i="155" s="1"/>
  <c r="B29" i="155" s="1"/>
  <c r="B30" i="155" s="1"/>
  <c r="B31" i="155" s="1"/>
  <c r="B32" i="155" s="1"/>
  <c r="B33" i="155" s="1"/>
  <c r="B34" i="155" s="1"/>
  <c r="B35" i="155" s="1"/>
  <c r="B36" i="155" s="1"/>
  <c r="B37" i="155" s="1"/>
  <c r="B38" i="155" s="1"/>
  <c r="B39" i="155" s="1"/>
  <c r="B40" i="155" s="1"/>
  <c r="B41" i="155" s="1"/>
  <c r="B42" i="155" s="1"/>
  <c r="B43" i="155" s="1"/>
  <c r="B44" i="155" s="1"/>
  <c r="B45" i="155" s="1"/>
  <c r="B46" i="155" s="1"/>
  <c r="B47" i="155" s="1"/>
  <c r="B48" i="155" s="1"/>
  <c r="B49" i="155" s="1"/>
  <c r="B50" i="155" s="1"/>
  <c r="B51" i="155" s="1"/>
  <c r="B52" i="155" s="1"/>
  <c r="B53" i="155" s="1"/>
  <c r="B54" i="155" s="1"/>
  <c r="M3" i="144"/>
  <c r="G16" i="205" l="1"/>
  <c r="K15" i="205"/>
  <c r="J15" i="205"/>
  <c r="D16" i="205" s="1"/>
  <c r="I15" i="205"/>
  <c r="H15" i="205"/>
  <c r="G15" i="205"/>
  <c r="B17" i="205"/>
  <c r="H17" i="205" s="1"/>
  <c r="K16" i="205"/>
  <c r="C15" i="205"/>
  <c r="G17" i="205"/>
  <c r="B18" i="205"/>
  <c r="E15" i="205"/>
  <c r="B95" i="205"/>
  <c r="E15" i="204"/>
  <c r="D15" i="204"/>
  <c r="C15" i="204"/>
  <c r="B16" i="204"/>
  <c r="K15" i="204"/>
  <c r="J15" i="204"/>
  <c r="I15" i="204"/>
  <c r="H15" i="204"/>
  <c r="B94" i="204"/>
  <c r="C93" i="204"/>
  <c r="E15" i="203"/>
  <c r="D15" i="203"/>
  <c r="Q4" i="146" s="1"/>
  <c r="C15" i="203"/>
  <c r="P4" i="146" s="1"/>
  <c r="B16" i="203"/>
  <c r="K15" i="203"/>
  <c r="J15" i="203"/>
  <c r="I15" i="203"/>
  <c r="H15" i="203"/>
  <c r="G15" i="203"/>
  <c r="B94" i="203"/>
  <c r="C93" i="203"/>
  <c r="E15" i="202"/>
  <c r="D15" i="202"/>
  <c r="S4" i="146" s="1"/>
  <c r="C15" i="202"/>
  <c r="R4" i="146" s="1"/>
  <c r="B16" i="202"/>
  <c r="K15" i="202"/>
  <c r="J15" i="202" s="1"/>
  <c r="I15" i="202"/>
  <c r="H15" i="202"/>
  <c r="G15" i="202"/>
  <c r="B94" i="202"/>
  <c r="C93" i="202"/>
  <c r="E15" i="201"/>
  <c r="D15" i="201"/>
  <c r="M4" i="146" s="1"/>
  <c r="C15" i="201"/>
  <c r="L4" i="146" s="1"/>
  <c r="B16" i="201"/>
  <c r="K15" i="201"/>
  <c r="J15" i="201"/>
  <c r="I15" i="201"/>
  <c r="H15" i="201"/>
  <c r="G15" i="201"/>
  <c r="B94" i="201"/>
  <c r="C93" i="201"/>
  <c r="E15" i="200"/>
  <c r="D15" i="200"/>
  <c r="O4" i="146" s="1"/>
  <c r="C15" i="200"/>
  <c r="N4" i="146" s="1"/>
  <c r="B16" i="200"/>
  <c r="K15" i="200"/>
  <c r="J15" i="200" s="1"/>
  <c r="I15" i="200"/>
  <c r="H15" i="200"/>
  <c r="G15" i="200"/>
  <c r="B94" i="200"/>
  <c r="C93" i="200"/>
  <c r="E15" i="199"/>
  <c r="D15" i="199"/>
  <c r="G4" i="146" s="1"/>
  <c r="C15" i="199"/>
  <c r="F4" i="146" s="1"/>
  <c r="B16" i="199"/>
  <c r="K15" i="199"/>
  <c r="J15" i="199" s="1"/>
  <c r="I15" i="199"/>
  <c r="H15" i="199"/>
  <c r="G15" i="199"/>
  <c r="B94" i="199"/>
  <c r="C93" i="199"/>
  <c r="E15" i="198"/>
  <c r="D15" i="198"/>
  <c r="I4" i="146" s="1"/>
  <c r="C15" i="198"/>
  <c r="H4" i="146" s="1"/>
  <c r="B16" i="198"/>
  <c r="K15" i="198"/>
  <c r="J15" i="198" s="1"/>
  <c r="I15" i="198"/>
  <c r="H15" i="198"/>
  <c r="G15" i="198"/>
  <c r="B94" i="198"/>
  <c r="C93" i="198"/>
  <c r="E15" i="197"/>
  <c r="D15" i="197"/>
  <c r="K4" i="146" s="1"/>
  <c r="C15" i="197"/>
  <c r="J4" i="146" s="1"/>
  <c r="B16" i="197"/>
  <c r="K15" i="197"/>
  <c r="J15" i="197" s="1"/>
  <c r="I15" i="197"/>
  <c r="H15" i="197"/>
  <c r="G15" i="197"/>
  <c r="B94" i="197"/>
  <c r="C93" i="197"/>
  <c r="H15" i="181"/>
  <c r="I15" i="181"/>
  <c r="K15" i="181"/>
  <c r="J15" i="181" s="1"/>
  <c r="G15" i="181"/>
  <c r="C16" i="193"/>
  <c r="D16" i="193"/>
  <c r="E16" i="193"/>
  <c r="K16" i="193"/>
  <c r="J16" i="193" s="1"/>
  <c r="G16" i="193"/>
  <c r="L16" i="193"/>
  <c r="B17" i="193"/>
  <c r="I16" i="193"/>
  <c r="H16" i="193"/>
  <c r="B95" i="193"/>
  <c r="C94" i="193"/>
  <c r="E14" i="190"/>
  <c r="D14" i="190"/>
  <c r="C14" i="190"/>
  <c r="B15" i="190"/>
  <c r="K14" i="190"/>
  <c r="J14" i="190" s="1"/>
  <c r="I14" i="190"/>
  <c r="H14" i="190"/>
  <c r="G14" i="190"/>
  <c r="B93" i="190"/>
  <c r="C92" i="190"/>
  <c r="H15" i="182"/>
  <c r="G15" i="182"/>
  <c r="E15" i="182"/>
  <c r="E16" i="182" s="1"/>
  <c r="E17" i="182" s="1"/>
  <c r="E18" i="182" s="1"/>
  <c r="E19" i="182" s="1"/>
  <c r="E20" i="182" s="1"/>
  <c r="E21" i="182" s="1"/>
  <c r="E22" i="182" s="1"/>
  <c r="E23" i="182" s="1"/>
  <c r="E24" i="182" s="1"/>
  <c r="E25" i="182" s="1"/>
  <c r="E26" i="182" s="1"/>
  <c r="E27" i="182" s="1"/>
  <c r="E28" i="182" s="1"/>
  <c r="E29" i="182" s="1"/>
  <c r="E30" i="182" s="1"/>
  <c r="E31" i="182" s="1"/>
  <c r="E32" i="182" s="1"/>
  <c r="E33" i="182" s="1"/>
  <c r="E34" i="182" s="1"/>
  <c r="E35" i="182" s="1"/>
  <c r="E36" i="182" s="1"/>
  <c r="E37" i="182" s="1"/>
  <c r="E38" i="182" s="1"/>
  <c r="E39" i="182" s="1"/>
  <c r="E40" i="182" s="1"/>
  <c r="E41" i="182" s="1"/>
  <c r="E42" i="182" s="1"/>
  <c r="E43" i="182" s="1"/>
  <c r="E44" i="182" s="1"/>
  <c r="E45" i="182" s="1"/>
  <c r="E46" i="182" s="1"/>
  <c r="E47" i="182" s="1"/>
  <c r="E48" i="182" s="1"/>
  <c r="E49" i="182" s="1"/>
  <c r="E50" i="182" s="1"/>
  <c r="E51" i="182" s="1"/>
  <c r="E52" i="182" s="1"/>
  <c r="E53" i="182" s="1"/>
  <c r="E54" i="182" s="1"/>
  <c r="E55" i="182" s="1"/>
  <c r="D15" i="182"/>
  <c r="D16" i="182" s="1"/>
  <c r="D17" i="182" s="1"/>
  <c r="D18" i="182" s="1"/>
  <c r="D19" i="182" s="1"/>
  <c r="D20" i="182" s="1"/>
  <c r="D21" i="182" s="1"/>
  <c r="D22" i="182" s="1"/>
  <c r="D23" i="182" s="1"/>
  <c r="D24" i="182" s="1"/>
  <c r="D25" i="182" s="1"/>
  <c r="D26" i="182" s="1"/>
  <c r="D27" i="182" s="1"/>
  <c r="D28" i="182" s="1"/>
  <c r="D29" i="182" s="1"/>
  <c r="D30" i="182" s="1"/>
  <c r="D31" i="182" s="1"/>
  <c r="D32" i="182" s="1"/>
  <c r="C15" i="182"/>
  <c r="C16" i="182" s="1"/>
  <c r="C17" i="182" s="1"/>
  <c r="C18" i="182" s="1"/>
  <c r="C19" i="182" s="1"/>
  <c r="C20" i="182" s="1"/>
  <c r="C21" i="182" s="1"/>
  <c r="C22" i="182" s="1"/>
  <c r="C23" i="182" s="1"/>
  <c r="C24" i="182" s="1"/>
  <c r="C25" i="182" s="1"/>
  <c r="C26" i="182" s="1"/>
  <c r="C27" i="182" s="1"/>
  <c r="C28" i="182" s="1"/>
  <c r="C29" i="182" s="1"/>
  <c r="C30" i="182" s="1"/>
  <c r="C31" i="182" s="1"/>
  <c r="C32" i="182" s="1"/>
  <c r="B16" i="182"/>
  <c r="H16" i="182" s="1"/>
  <c r="B94" i="182"/>
  <c r="C93" i="182"/>
  <c r="E15" i="181"/>
  <c r="D15" i="181"/>
  <c r="C15" i="181"/>
  <c r="B16" i="181"/>
  <c r="B94" i="181"/>
  <c r="C93" i="181"/>
  <c r="B29" i="168"/>
  <c r="B30" i="168" s="1"/>
  <c r="B31" i="168" s="1"/>
  <c r="B32" i="168" s="1"/>
  <c r="B33" i="168" s="1"/>
  <c r="B34" i="168" s="1"/>
  <c r="B35" i="168" s="1"/>
  <c r="B36" i="168" s="1"/>
  <c r="B37" i="168" s="1"/>
  <c r="B38" i="168" s="1"/>
  <c r="B39" i="168" s="1"/>
  <c r="B40" i="168" s="1"/>
  <c r="B41" i="168" s="1"/>
  <c r="B42" i="168" s="1"/>
  <c r="B43" i="168" s="1"/>
  <c r="B44" i="168" s="1"/>
  <c r="B45" i="168" s="1"/>
  <c r="B46" i="168" s="1"/>
  <c r="B47" i="168" s="1"/>
  <c r="B48" i="168" s="1"/>
  <c r="B49" i="168" s="1"/>
  <c r="B50" i="168" s="1"/>
  <c r="B51" i="168" s="1"/>
  <c r="B52" i="168" s="1"/>
  <c r="B53" i="168" s="1"/>
  <c r="B54" i="168" s="1"/>
  <c r="F15" i="168"/>
  <c r="C14" i="168"/>
  <c r="D14" i="168"/>
  <c r="E14" i="168"/>
  <c r="B93" i="157"/>
  <c r="C92" i="157"/>
  <c r="B93" i="156"/>
  <c r="C92" i="156"/>
  <c r="B93" i="155"/>
  <c r="C92" i="155"/>
  <c r="G16" i="197" l="1"/>
  <c r="K16" i="197"/>
  <c r="F16" i="197"/>
  <c r="F16" i="205"/>
  <c r="F17" i="205" s="1"/>
  <c r="C16" i="205"/>
  <c r="C17" i="205" s="1"/>
  <c r="D17" i="205"/>
  <c r="J17" i="205"/>
  <c r="C8" i="205" s="1" a="1"/>
  <c r="C8" i="205" s="1"/>
  <c r="K17" i="205"/>
  <c r="I17" i="205"/>
  <c r="E16" i="205"/>
  <c r="E17" i="205" s="1"/>
  <c r="K18" i="205"/>
  <c r="B19" i="205"/>
  <c r="C7" i="205" a="1"/>
  <c r="C7" i="205" s="1"/>
  <c r="C95" i="205"/>
  <c r="B96" i="205"/>
  <c r="F16" i="204"/>
  <c r="C16" i="204"/>
  <c r="D16" i="204"/>
  <c r="B95" i="204"/>
  <c r="C94" i="204"/>
  <c r="B17" i="204"/>
  <c r="K16" i="204"/>
  <c r="J16" i="204"/>
  <c r="I16" i="204"/>
  <c r="H16" i="204"/>
  <c r="E16" i="204"/>
  <c r="F16" i="203"/>
  <c r="C16" i="203"/>
  <c r="P5" i="146" s="1"/>
  <c r="D16" i="203"/>
  <c r="Q5" i="146" s="1"/>
  <c r="B95" i="203"/>
  <c r="C94" i="203"/>
  <c r="B17" i="203"/>
  <c r="K16" i="203"/>
  <c r="J16" i="203" s="1"/>
  <c r="I16" i="203"/>
  <c r="H16" i="203"/>
  <c r="G16" i="203"/>
  <c r="E16" i="203"/>
  <c r="F16" i="202"/>
  <c r="C16" i="202"/>
  <c r="R5" i="146" s="1"/>
  <c r="D16" i="202"/>
  <c r="S5" i="146" s="1"/>
  <c r="B95" i="202"/>
  <c r="C94" i="202"/>
  <c r="B17" i="202"/>
  <c r="K16" i="202"/>
  <c r="J16" i="202" s="1"/>
  <c r="I16" i="202"/>
  <c r="H16" i="202"/>
  <c r="G16" i="202"/>
  <c r="E16" i="202"/>
  <c r="F16" i="201"/>
  <c r="C16" i="201"/>
  <c r="L5" i="146" s="1"/>
  <c r="D16" i="201"/>
  <c r="M5" i="146" s="1"/>
  <c r="B95" i="201"/>
  <c r="C94" i="201"/>
  <c r="B17" i="201"/>
  <c r="K16" i="201"/>
  <c r="J16" i="201" s="1"/>
  <c r="I16" i="201"/>
  <c r="H16" i="201"/>
  <c r="G16" i="201"/>
  <c r="E16" i="201"/>
  <c r="F16" i="200"/>
  <c r="C16" i="200"/>
  <c r="N5" i="146" s="1"/>
  <c r="D16" i="200"/>
  <c r="O5" i="146" s="1"/>
  <c r="B95" i="200"/>
  <c r="C94" i="200"/>
  <c r="B17" i="200"/>
  <c r="K16" i="200"/>
  <c r="J16" i="200" s="1"/>
  <c r="I16" i="200"/>
  <c r="H16" i="200"/>
  <c r="G16" i="200"/>
  <c r="E16" i="200"/>
  <c r="F16" i="199"/>
  <c r="C16" i="199"/>
  <c r="F5" i="146" s="1"/>
  <c r="D16" i="199"/>
  <c r="G5" i="146" s="1"/>
  <c r="B95" i="199"/>
  <c r="C94" i="199"/>
  <c r="B17" i="199"/>
  <c r="K16" i="199"/>
  <c r="J16" i="199" s="1"/>
  <c r="I16" i="199"/>
  <c r="H16" i="199"/>
  <c r="G16" i="199"/>
  <c r="E16" i="199"/>
  <c r="E16" i="197"/>
  <c r="F16" i="198"/>
  <c r="C16" i="198"/>
  <c r="H5" i="146" s="1"/>
  <c r="C16" i="197"/>
  <c r="J5" i="146" s="1"/>
  <c r="D16" i="198"/>
  <c r="I5" i="146" s="1"/>
  <c r="D16" i="197"/>
  <c r="K5" i="146" s="1"/>
  <c r="B95" i="198"/>
  <c r="C94" i="198"/>
  <c r="B17" i="198"/>
  <c r="K16" i="198"/>
  <c r="J16" i="198" s="1"/>
  <c r="I16" i="198"/>
  <c r="H16" i="198"/>
  <c r="G16" i="198"/>
  <c r="E16" i="198"/>
  <c r="B95" i="197"/>
  <c r="C94" i="197"/>
  <c r="B17" i="197"/>
  <c r="J16" i="197"/>
  <c r="I16" i="197"/>
  <c r="H16" i="197"/>
  <c r="H16" i="181"/>
  <c r="I16" i="181"/>
  <c r="K16" i="181"/>
  <c r="J16" i="181" s="1"/>
  <c r="G16" i="181"/>
  <c r="C17" i="193"/>
  <c r="K17" i="193"/>
  <c r="J17" i="193" s="1"/>
  <c r="G17" i="193"/>
  <c r="L17" i="193"/>
  <c r="F17" i="193"/>
  <c r="B96" i="193"/>
  <c r="C95" i="193"/>
  <c r="B18" i="193"/>
  <c r="I17" i="193"/>
  <c r="H17" i="193"/>
  <c r="C15" i="190"/>
  <c r="D15" i="190"/>
  <c r="E15" i="190"/>
  <c r="B94" i="190"/>
  <c r="C93" i="190"/>
  <c r="F15" i="190"/>
  <c r="B16" i="190"/>
  <c r="K15" i="190"/>
  <c r="J15" i="190" s="1"/>
  <c r="I15" i="190"/>
  <c r="H15" i="190"/>
  <c r="G15" i="190"/>
  <c r="F16" i="181"/>
  <c r="B95" i="182"/>
  <c r="C94" i="182"/>
  <c r="F16" i="182"/>
  <c r="B17" i="182"/>
  <c r="H17" i="182" s="1"/>
  <c r="B95" i="181"/>
  <c r="C94" i="181"/>
  <c r="B17" i="181"/>
  <c r="C16" i="181"/>
  <c r="D16" i="181"/>
  <c r="E16" i="181"/>
  <c r="E15" i="168"/>
  <c r="E16" i="168" s="1"/>
  <c r="C7" i="168" a="1"/>
  <c r="C7" i="168" s="1"/>
  <c r="D15" i="168"/>
  <c r="C15" i="168"/>
  <c r="C16" i="168" s="1"/>
  <c r="C17" i="168" s="1"/>
  <c r="C6" i="168" a="1"/>
  <c r="C6" i="168" s="1"/>
  <c r="F16" i="168"/>
  <c r="F17" i="168" s="1"/>
  <c r="F18" i="168" s="1"/>
  <c r="F19" i="168" s="1"/>
  <c r="F20" i="168" s="1"/>
  <c r="F21" i="168" s="1"/>
  <c r="F22" i="168" s="1"/>
  <c r="F23" i="168" s="1"/>
  <c r="F24" i="168" s="1"/>
  <c r="F25" i="168" s="1"/>
  <c r="F26" i="168" s="1"/>
  <c r="F27" i="168" s="1"/>
  <c r="D16" i="168"/>
  <c r="B94" i="157"/>
  <c r="C93" i="157"/>
  <c r="B94" i="156"/>
  <c r="C93" i="156"/>
  <c r="B94" i="155"/>
  <c r="C93" i="155"/>
  <c r="G17" i="197" l="1"/>
  <c r="K17" i="197"/>
  <c r="H17" i="197"/>
  <c r="I17" i="197"/>
  <c r="F17" i="197"/>
  <c r="F18" i="205"/>
  <c r="F19" i="205" s="1"/>
  <c r="E18" i="205"/>
  <c r="E19" i="205" s="1"/>
  <c r="C18" i="205"/>
  <c r="C19" i="205" s="1"/>
  <c r="D18" i="205"/>
  <c r="D19" i="205" s="1"/>
  <c r="C96" i="205"/>
  <c r="B97" i="205"/>
  <c r="K19" i="205"/>
  <c r="B20" i="205"/>
  <c r="B21" i="205" s="1"/>
  <c r="B22" i="205" s="1"/>
  <c r="B23" i="205" s="1"/>
  <c r="B24" i="205" s="1"/>
  <c r="B25" i="205" s="1"/>
  <c r="B26" i="205" s="1"/>
  <c r="B27" i="205" s="1"/>
  <c r="B28" i="205" s="1"/>
  <c r="B29" i="205" s="1"/>
  <c r="B30" i="205" s="1"/>
  <c r="B31" i="205" s="1"/>
  <c r="B32" i="205" s="1"/>
  <c r="B33" i="205" s="1"/>
  <c r="B34" i="205" s="1"/>
  <c r="B35" i="205" s="1"/>
  <c r="B36" i="205" s="1"/>
  <c r="B37" i="205" s="1"/>
  <c r="B38" i="205" s="1"/>
  <c r="B39" i="205" s="1"/>
  <c r="B40" i="205" s="1"/>
  <c r="B41" i="205" s="1"/>
  <c r="B42" i="205" s="1"/>
  <c r="B43" i="205" s="1"/>
  <c r="B44" i="205" s="1"/>
  <c r="B45" i="205" s="1"/>
  <c r="B46" i="205" s="1"/>
  <c r="B47" i="205" s="1"/>
  <c r="B48" i="205" s="1"/>
  <c r="B49" i="205" s="1"/>
  <c r="B50" i="205" s="1"/>
  <c r="B51" i="205" s="1"/>
  <c r="B52" i="205" s="1"/>
  <c r="B53" i="205" s="1"/>
  <c r="B54" i="205" s="1"/>
  <c r="B55" i="205" s="1"/>
  <c r="B56" i="205" s="1"/>
  <c r="B57" i="205" s="1"/>
  <c r="B58" i="205" s="1"/>
  <c r="B59" i="205" s="1"/>
  <c r="B96" i="204"/>
  <c r="C95" i="204"/>
  <c r="E17" i="204"/>
  <c r="B18" i="204"/>
  <c r="K17" i="204"/>
  <c r="J17" i="204"/>
  <c r="I17" i="204"/>
  <c r="H17" i="204"/>
  <c r="D17" i="204"/>
  <c r="F17" i="204"/>
  <c r="C17" i="204"/>
  <c r="F17" i="203"/>
  <c r="B96" i="203"/>
  <c r="C95" i="203"/>
  <c r="E17" i="203"/>
  <c r="B18" i="203"/>
  <c r="K17" i="203"/>
  <c r="J17" i="203" s="1"/>
  <c r="I17" i="203"/>
  <c r="H17" i="203"/>
  <c r="G17" i="203"/>
  <c r="D17" i="203"/>
  <c r="Q6" i="146" s="1"/>
  <c r="C17" i="203"/>
  <c r="P6" i="146" s="1"/>
  <c r="F17" i="202"/>
  <c r="B96" i="202"/>
  <c r="C95" i="202"/>
  <c r="E17" i="202"/>
  <c r="B18" i="202"/>
  <c r="K17" i="202"/>
  <c r="J17" i="202" s="1"/>
  <c r="I17" i="202"/>
  <c r="H17" i="202"/>
  <c r="G17" i="202"/>
  <c r="D17" i="202"/>
  <c r="S6" i="146" s="1"/>
  <c r="C17" i="202"/>
  <c r="R6" i="146" s="1"/>
  <c r="F17" i="201"/>
  <c r="B96" i="201"/>
  <c r="C95" i="201"/>
  <c r="E17" i="201"/>
  <c r="B18" i="201"/>
  <c r="K17" i="201"/>
  <c r="J17" i="201" s="1"/>
  <c r="I17" i="201"/>
  <c r="H17" i="201"/>
  <c r="G17" i="201"/>
  <c r="D17" i="201"/>
  <c r="M6" i="146" s="1"/>
  <c r="C17" i="201"/>
  <c r="L6" i="146" s="1"/>
  <c r="F17" i="200"/>
  <c r="B96" i="200"/>
  <c r="C95" i="200"/>
  <c r="E17" i="200"/>
  <c r="B18" i="200"/>
  <c r="K17" i="200"/>
  <c r="J17" i="200" s="1"/>
  <c r="I17" i="200"/>
  <c r="H17" i="200"/>
  <c r="G17" i="200"/>
  <c r="D17" i="200"/>
  <c r="O6" i="146" s="1"/>
  <c r="C17" i="200"/>
  <c r="N6" i="146" s="1"/>
  <c r="F17" i="199"/>
  <c r="B96" i="199"/>
  <c r="C95" i="199"/>
  <c r="E17" i="199"/>
  <c r="B18" i="199"/>
  <c r="K17" i="199"/>
  <c r="J17" i="199" s="1"/>
  <c r="I17" i="199"/>
  <c r="H17" i="199"/>
  <c r="G17" i="199"/>
  <c r="D17" i="199"/>
  <c r="G6" i="146" s="1"/>
  <c r="C17" i="199"/>
  <c r="F6" i="146" s="1"/>
  <c r="F17" i="198"/>
  <c r="D17" i="198"/>
  <c r="I6" i="146" s="1"/>
  <c r="B96" i="198"/>
  <c r="C95" i="198"/>
  <c r="C17" i="197"/>
  <c r="J6" i="146" s="1"/>
  <c r="E17" i="198"/>
  <c r="B18" i="198"/>
  <c r="K17" i="198"/>
  <c r="J17" i="198" s="1"/>
  <c r="I17" i="198"/>
  <c r="H17" i="198"/>
  <c r="G17" i="198"/>
  <c r="D17" i="197"/>
  <c r="K6" i="146" s="1"/>
  <c r="C17" i="198"/>
  <c r="H6" i="146" s="1"/>
  <c r="E17" i="197"/>
  <c r="B96" i="197"/>
  <c r="C95" i="197"/>
  <c r="B18" i="197"/>
  <c r="J17" i="197"/>
  <c r="F18" i="197" s="1"/>
  <c r="H17" i="181"/>
  <c r="I17" i="181"/>
  <c r="K17" i="181"/>
  <c r="J17" i="181" s="1"/>
  <c r="G17" i="181"/>
  <c r="C18" i="193"/>
  <c r="K18" i="193"/>
  <c r="J18" i="193" s="1"/>
  <c r="G18" i="193"/>
  <c r="L18" i="193"/>
  <c r="F18" i="193"/>
  <c r="B19" i="193"/>
  <c r="I18" i="193"/>
  <c r="H18" i="193"/>
  <c r="B97" i="193"/>
  <c r="C96" i="193"/>
  <c r="F16" i="190"/>
  <c r="E16" i="190"/>
  <c r="D16" i="190"/>
  <c r="C16" i="190"/>
  <c r="B17" i="190"/>
  <c r="K16" i="190"/>
  <c r="J16" i="190" s="1"/>
  <c r="I16" i="190"/>
  <c r="H16" i="190"/>
  <c r="G16" i="190"/>
  <c r="B95" i="190"/>
  <c r="C94" i="190"/>
  <c r="E17" i="181"/>
  <c r="F17" i="181"/>
  <c r="F17" i="182"/>
  <c r="B18" i="182"/>
  <c r="H18" i="182" s="1"/>
  <c r="B96" i="182"/>
  <c r="C95" i="182"/>
  <c r="D17" i="181"/>
  <c r="C17" i="181"/>
  <c r="B18" i="181"/>
  <c r="B96" i="181"/>
  <c r="C95" i="181"/>
  <c r="E17" i="168"/>
  <c r="D17" i="168"/>
  <c r="B95" i="157"/>
  <c r="C94" i="157"/>
  <c r="B95" i="156"/>
  <c r="C94" i="156"/>
  <c r="B95" i="155"/>
  <c r="C94" i="155"/>
  <c r="G18" i="197" l="1"/>
  <c r="K18" i="197"/>
  <c r="H18" i="197"/>
  <c r="I18" i="197"/>
  <c r="F20" i="205"/>
  <c r="F21" i="205" s="1"/>
  <c r="F22" i="205" s="1"/>
  <c r="F23" i="205" s="1"/>
  <c r="F24" i="205" s="1"/>
  <c r="F25" i="205" s="1"/>
  <c r="F26" i="205" s="1"/>
  <c r="D20" i="205"/>
  <c r="D21" i="205" s="1"/>
  <c r="D22" i="205" s="1"/>
  <c r="D23" i="205" s="1"/>
  <c r="D24" i="205" s="1"/>
  <c r="D25" i="205" s="1"/>
  <c r="D26" i="205" s="1"/>
  <c r="D27" i="205" s="1"/>
  <c r="D28" i="205" s="1"/>
  <c r="D29" i="205" s="1"/>
  <c r="D30" i="205" s="1"/>
  <c r="D31" i="205" s="1"/>
  <c r="D32" i="205" s="1"/>
  <c r="D33" i="205" s="1"/>
  <c r="D34" i="205" s="1"/>
  <c r="D35" i="205" s="1"/>
  <c r="D36" i="205" s="1"/>
  <c r="D37" i="205" s="1"/>
  <c r="D38" i="205" s="1"/>
  <c r="D39" i="205" s="1"/>
  <c r="D40" i="205" s="1"/>
  <c r="D41" i="205" s="1"/>
  <c r="D42" i="205" s="1"/>
  <c r="D43" i="205" s="1"/>
  <c r="D44" i="205" s="1"/>
  <c r="D45" i="205" s="1"/>
  <c r="D46" i="205" s="1"/>
  <c r="D47" i="205" s="1"/>
  <c r="D48" i="205" s="1"/>
  <c r="D49" i="205" s="1"/>
  <c r="D50" i="205" s="1"/>
  <c r="D51" i="205" s="1"/>
  <c r="D52" i="205" s="1"/>
  <c r="D53" i="205" s="1"/>
  <c r="D54" i="205" s="1"/>
  <c r="D55" i="205" s="1"/>
  <c r="D56" i="205" s="1"/>
  <c r="D57" i="205" s="1"/>
  <c r="D58" i="205" s="1"/>
  <c r="D59" i="205" s="1"/>
  <c r="E20" i="205"/>
  <c r="E21" i="205" s="1"/>
  <c r="E22" i="205" s="1"/>
  <c r="E23" i="205" s="1"/>
  <c r="E24" i="205" s="1"/>
  <c r="E25" i="205" s="1"/>
  <c r="E26" i="205" s="1"/>
  <c r="E27" i="205" s="1"/>
  <c r="E28" i="205" s="1"/>
  <c r="E29" i="205" s="1"/>
  <c r="E30" i="205" s="1"/>
  <c r="E31" i="205" s="1"/>
  <c r="E32" i="205" s="1"/>
  <c r="E33" i="205" s="1"/>
  <c r="E34" i="205" s="1"/>
  <c r="E35" i="205" s="1"/>
  <c r="E36" i="205" s="1"/>
  <c r="E37" i="205" s="1"/>
  <c r="E38" i="205" s="1"/>
  <c r="E39" i="205" s="1"/>
  <c r="E40" i="205" s="1"/>
  <c r="E41" i="205" s="1"/>
  <c r="E42" i="205" s="1"/>
  <c r="E43" i="205" s="1"/>
  <c r="E44" i="205" s="1"/>
  <c r="E45" i="205" s="1"/>
  <c r="E46" i="205" s="1"/>
  <c r="E47" i="205" s="1"/>
  <c r="E48" i="205" s="1"/>
  <c r="E49" i="205" s="1"/>
  <c r="E50" i="205" s="1"/>
  <c r="E51" i="205" s="1"/>
  <c r="E52" i="205" s="1"/>
  <c r="E53" i="205" s="1"/>
  <c r="E54" i="205" s="1"/>
  <c r="E55" i="205" s="1"/>
  <c r="E56" i="205" s="1"/>
  <c r="E57" i="205" s="1"/>
  <c r="E58" i="205" s="1"/>
  <c r="E59" i="205" s="1"/>
  <c r="C18" i="204"/>
  <c r="C97" i="205"/>
  <c r="B98" i="205"/>
  <c r="C20" i="205"/>
  <c r="C21" i="205" s="1"/>
  <c r="C22" i="205" s="1"/>
  <c r="C23" i="205" s="1"/>
  <c r="C24" i="205" s="1"/>
  <c r="C25" i="205" s="1"/>
  <c r="C26" i="205" s="1"/>
  <c r="C27" i="205" s="1"/>
  <c r="C28" i="205" s="1"/>
  <c r="C29" i="205" s="1"/>
  <c r="C30" i="205" s="1"/>
  <c r="C31" i="205" s="1"/>
  <c r="C32" i="205" s="1"/>
  <c r="C33" i="205" s="1"/>
  <c r="C34" i="205" s="1"/>
  <c r="C35" i="205" s="1"/>
  <c r="C36" i="205" s="1"/>
  <c r="C37" i="205" s="1"/>
  <c r="C38" i="205" s="1"/>
  <c r="C39" i="205" s="1"/>
  <c r="C40" i="205" s="1"/>
  <c r="C41" i="205" s="1"/>
  <c r="C42" i="205" s="1"/>
  <c r="C43" i="205" s="1"/>
  <c r="C44" i="205" s="1"/>
  <c r="C45" i="205" s="1"/>
  <c r="C46" i="205" s="1"/>
  <c r="C47" i="205" s="1"/>
  <c r="C48" i="205" s="1"/>
  <c r="C49" i="205" s="1"/>
  <c r="C50" i="205" s="1"/>
  <c r="C51" i="205" s="1"/>
  <c r="C52" i="205" s="1"/>
  <c r="C53" i="205" s="1"/>
  <c r="C54" i="205" s="1"/>
  <c r="C55" i="205" s="1"/>
  <c r="C56" i="205" s="1"/>
  <c r="C57" i="205" s="1"/>
  <c r="C58" i="205" s="1"/>
  <c r="C59" i="205" s="1"/>
  <c r="F18" i="204"/>
  <c r="E18" i="204"/>
  <c r="D18" i="204"/>
  <c r="B19" i="204"/>
  <c r="K18" i="204"/>
  <c r="B97" i="204"/>
  <c r="C96" i="204"/>
  <c r="F18" i="203"/>
  <c r="E18" i="203"/>
  <c r="C18" i="203"/>
  <c r="P7" i="146" s="1"/>
  <c r="D18" i="203"/>
  <c r="B19" i="203"/>
  <c r="K18" i="203"/>
  <c r="J18" i="203" s="1"/>
  <c r="I18" i="203"/>
  <c r="H18" i="203"/>
  <c r="G18" i="203"/>
  <c r="B97" i="203"/>
  <c r="C96" i="203"/>
  <c r="F18" i="202"/>
  <c r="E18" i="202"/>
  <c r="C18" i="202"/>
  <c r="R7" i="146" s="1"/>
  <c r="D18" i="202"/>
  <c r="S7" i="146" s="1"/>
  <c r="B19" i="202"/>
  <c r="K18" i="202"/>
  <c r="J18" i="202"/>
  <c r="I18" i="202"/>
  <c r="H18" i="202"/>
  <c r="G18" i="202"/>
  <c r="B97" i="202"/>
  <c r="C96" i="202"/>
  <c r="F18" i="201"/>
  <c r="E18" i="201"/>
  <c r="C18" i="201"/>
  <c r="L7" i="146" s="1"/>
  <c r="D18" i="201"/>
  <c r="M7" i="146" s="1"/>
  <c r="B19" i="201"/>
  <c r="K18" i="201"/>
  <c r="J18" i="201"/>
  <c r="I18" i="201"/>
  <c r="H18" i="201"/>
  <c r="G18" i="201"/>
  <c r="B97" i="201"/>
  <c r="C96" i="201"/>
  <c r="F18" i="200"/>
  <c r="E18" i="200"/>
  <c r="C18" i="200"/>
  <c r="N7" i="146" s="1"/>
  <c r="D18" i="200"/>
  <c r="O7" i="146" s="1"/>
  <c r="B19" i="200"/>
  <c r="K18" i="200"/>
  <c r="J18" i="200"/>
  <c r="I18" i="200"/>
  <c r="H18" i="200"/>
  <c r="G18" i="200"/>
  <c r="B97" i="200"/>
  <c r="C96" i="200"/>
  <c r="F18" i="199"/>
  <c r="E18" i="199"/>
  <c r="C18" i="199"/>
  <c r="F7" i="146" s="1"/>
  <c r="D18" i="199"/>
  <c r="G7" i="146" s="1"/>
  <c r="B19" i="199"/>
  <c r="K18" i="199"/>
  <c r="J18" i="199"/>
  <c r="I18" i="199"/>
  <c r="H18" i="199"/>
  <c r="G18" i="199"/>
  <c r="B97" i="199"/>
  <c r="C96" i="199"/>
  <c r="F18" i="198"/>
  <c r="E18" i="198"/>
  <c r="B97" i="198"/>
  <c r="C96" i="198"/>
  <c r="C18" i="198"/>
  <c r="H7" i="146" s="1"/>
  <c r="C18" i="197"/>
  <c r="J7" i="146" s="1"/>
  <c r="D18" i="198"/>
  <c r="I7" i="146" s="1"/>
  <c r="D18" i="197"/>
  <c r="K7" i="146" s="1"/>
  <c r="B19" i="198"/>
  <c r="K18" i="198"/>
  <c r="J18" i="198" s="1"/>
  <c r="I18" i="198"/>
  <c r="H18" i="198"/>
  <c r="G18" i="198"/>
  <c r="E18" i="197"/>
  <c r="B19" i="197"/>
  <c r="J18" i="197"/>
  <c r="F19" i="197" s="1"/>
  <c r="B97" i="197"/>
  <c r="C96" i="197"/>
  <c r="H18" i="181"/>
  <c r="I18" i="181"/>
  <c r="K18" i="181"/>
  <c r="J18" i="181" s="1"/>
  <c r="G18" i="181"/>
  <c r="C19" i="193"/>
  <c r="K19" i="193"/>
  <c r="J19" i="193" s="1"/>
  <c r="G19" i="193"/>
  <c r="L19" i="193"/>
  <c r="B20" i="193"/>
  <c r="I19" i="193"/>
  <c r="H19" i="193"/>
  <c r="F19" i="193"/>
  <c r="B98" i="193"/>
  <c r="C97" i="193"/>
  <c r="F17" i="190"/>
  <c r="C17" i="190"/>
  <c r="D17" i="190"/>
  <c r="E17" i="190"/>
  <c r="B96" i="190"/>
  <c r="C95" i="190"/>
  <c r="B18" i="190"/>
  <c r="K17" i="190"/>
  <c r="J17" i="190" s="1"/>
  <c r="I17" i="190"/>
  <c r="H17" i="190"/>
  <c r="G17" i="190"/>
  <c r="F18" i="181"/>
  <c r="B19" i="182"/>
  <c r="H19" i="182" s="1"/>
  <c r="B97" i="182"/>
  <c r="C96" i="182"/>
  <c r="F18" i="182"/>
  <c r="D18" i="181"/>
  <c r="B19" i="181"/>
  <c r="B97" i="181"/>
  <c r="C96" i="181"/>
  <c r="C18" i="181"/>
  <c r="E18" i="181"/>
  <c r="E18" i="168"/>
  <c r="B96" i="157"/>
  <c r="C95" i="157"/>
  <c r="B96" i="156"/>
  <c r="C95" i="156"/>
  <c r="B96" i="155"/>
  <c r="C95" i="155"/>
  <c r="G19" i="197" l="1"/>
  <c r="K19" i="197"/>
  <c r="H19" i="197"/>
  <c r="I19" i="197"/>
  <c r="C98" i="205"/>
  <c r="B99" i="205"/>
  <c r="B98" i="204"/>
  <c r="C97" i="204"/>
  <c r="F19" i="204"/>
  <c r="E19" i="204"/>
  <c r="B20" i="204"/>
  <c r="K19" i="204"/>
  <c r="D19" i="203"/>
  <c r="Q8" i="146" s="1"/>
  <c r="Q7" i="146"/>
  <c r="F19" i="203"/>
  <c r="C19" i="203"/>
  <c r="P8" i="146" s="1"/>
  <c r="E19" i="203"/>
  <c r="B98" i="203"/>
  <c r="C97" i="203"/>
  <c r="B20" i="203"/>
  <c r="K19" i="203"/>
  <c r="J19" i="203" s="1"/>
  <c r="I19" i="203"/>
  <c r="H19" i="203"/>
  <c r="G19" i="203"/>
  <c r="D19" i="202"/>
  <c r="S8" i="146" s="1"/>
  <c r="F19" i="202"/>
  <c r="E19" i="202"/>
  <c r="B98" i="202"/>
  <c r="C97" i="202"/>
  <c r="C19" i="202"/>
  <c r="R8" i="146" s="1"/>
  <c r="B20" i="202"/>
  <c r="K19" i="202"/>
  <c r="J19" i="202" s="1"/>
  <c r="I19" i="202"/>
  <c r="H19" i="202"/>
  <c r="G19" i="202"/>
  <c r="D19" i="201"/>
  <c r="M8" i="146" s="1"/>
  <c r="F19" i="201"/>
  <c r="C19" i="201"/>
  <c r="L8" i="146" s="1"/>
  <c r="E19" i="201"/>
  <c r="B98" i="201"/>
  <c r="C97" i="201"/>
  <c r="B20" i="201"/>
  <c r="K19" i="201"/>
  <c r="J19" i="201" s="1"/>
  <c r="I19" i="201"/>
  <c r="H19" i="201"/>
  <c r="G19" i="201"/>
  <c r="D19" i="200"/>
  <c r="O8" i="146" s="1"/>
  <c r="F19" i="200"/>
  <c r="C19" i="200"/>
  <c r="N8" i="146" s="1"/>
  <c r="E19" i="200"/>
  <c r="B98" i="200"/>
  <c r="C97" i="200"/>
  <c r="B20" i="200"/>
  <c r="K19" i="200"/>
  <c r="J19" i="200" s="1"/>
  <c r="I19" i="200"/>
  <c r="H19" i="200"/>
  <c r="G19" i="200"/>
  <c r="D19" i="199"/>
  <c r="G8" i="146" s="1"/>
  <c r="B98" i="199"/>
  <c r="C97" i="199"/>
  <c r="C19" i="199"/>
  <c r="F8" i="146" s="1"/>
  <c r="E19" i="199"/>
  <c r="F19" i="199"/>
  <c r="B20" i="199"/>
  <c r="K19" i="199"/>
  <c r="J19" i="199" s="1"/>
  <c r="I19" i="199"/>
  <c r="H19" i="199"/>
  <c r="G19" i="199"/>
  <c r="D19" i="197"/>
  <c r="K8" i="146" s="1"/>
  <c r="F19" i="198"/>
  <c r="D19" i="198"/>
  <c r="I8" i="146" s="1"/>
  <c r="B98" i="198"/>
  <c r="C97" i="198"/>
  <c r="C19" i="197"/>
  <c r="J8" i="146" s="1"/>
  <c r="E19" i="198"/>
  <c r="B20" i="198"/>
  <c r="K19" i="198"/>
  <c r="J19" i="198" s="1"/>
  <c r="I19" i="198"/>
  <c r="H19" i="198"/>
  <c r="G19" i="198"/>
  <c r="C19" i="198"/>
  <c r="H8" i="146" s="1"/>
  <c r="E19" i="197"/>
  <c r="B98" i="197"/>
  <c r="C97" i="197"/>
  <c r="B20" i="197"/>
  <c r="J19" i="197"/>
  <c r="F20" i="197" s="1"/>
  <c r="H19" i="181"/>
  <c r="I19" i="181"/>
  <c r="K19" i="181"/>
  <c r="J19" i="181" s="1"/>
  <c r="G19" i="181"/>
  <c r="C20" i="193"/>
  <c r="K20" i="193"/>
  <c r="J20" i="193" s="1"/>
  <c r="G20" i="193"/>
  <c r="L20" i="193"/>
  <c r="F20" i="193"/>
  <c r="B99" i="193"/>
  <c r="C98" i="193"/>
  <c r="B21" i="193"/>
  <c r="I20" i="193"/>
  <c r="H20" i="193"/>
  <c r="E18" i="190"/>
  <c r="F18" i="190"/>
  <c r="D18" i="190"/>
  <c r="C18" i="190"/>
  <c r="B19" i="190"/>
  <c r="K18" i="190"/>
  <c r="J18" i="190" s="1"/>
  <c r="I18" i="190"/>
  <c r="H18" i="190"/>
  <c r="G18" i="190"/>
  <c r="B97" i="190"/>
  <c r="C96" i="190"/>
  <c r="F19" i="181"/>
  <c r="B98" i="182"/>
  <c r="C97" i="182"/>
  <c r="F19" i="182"/>
  <c r="B20" i="182"/>
  <c r="H20" i="182" s="1"/>
  <c r="E19" i="181"/>
  <c r="C19" i="181"/>
  <c r="B98" i="181"/>
  <c r="C97" i="181"/>
  <c r="B20" i="181"/>
  <c r="D19" i="181"/>
  <c r="C18" i="168"/>
  <c r="D18" i="168"/>
  <c r="B97" i="157"/>
  <c r="C96" i="157"/>
  <c r="B97" i="156"/>
  <c r="C96" i="156"/>
  <c r="B97" i="155"/>
  <c r="C96" i="155"/>
  <c r="G20" i="197" l="1"/>
  <c r="K20" i="197"/>
  <c r="H20" i="197"/>
  <c r="I20" i="197"/>
  <c r="B100" i="205"/>
  <c r="C99" i="205"/>
  <c r="F20" i="204"/>
  <c r="B21" i="204"/>
  <c r="B99" i="204"/>
  <c r="C98" i="204"/>
  <c r="E20" i="204"/>
  <c r="F20" i="203"/>
  <c r="D20" i="203"/>
  <c r="Q9" i="146" s="1"/>
  <c r="E20" i="203"/>
  <c r="B21" i="203"/>
  <c r="K20" i="203"/>
  <c r="J20" i="203" s="1"/>
  <c r="I20" i="203"/>
  <c r="H20" i="203"/>
  <c r="G20" i="203"/>
  <c r="C20" i="203"/>
  <c r="P9" i="146" s="1"/>
  <c r="B99" i="203"/>
  <c r="C98" i="203"/>
  <c r="B99" i="202"/>
  <c r="C98" i="202"/>
  <c r="B21" i="202"/>
  <c r="K20" i="202"/>
  <c r="J20" i="202" s="1"/>
  <c r="I20" i="202"/>
  <c r="H20" i="202"/>
  <c r="G20" i="202"/>
  <c r="D20" i="202"/>
  <c r="S9" i="146" s="1"/>
  <c r="C20" i="202"/>
  <c r="E20" i="202"/>
  <c r="F20" i="202"/>
  <c r="F20" i="201"/>
  <c r="D20" i="201"/>
  <c r="M9" i="146" s="1"/>
  <c r="C20" i="198"/>
  <c r="H9" i="146" s="1"/>
  <c r="B21" i="201"/>
  <c r="K20" i="201"/>
  <c r="J20" i="201" s="1"/>
  <c r="I20" i="201"/>
  <c r="H20" i="201"/>
  <c r="G20" i="201"/>
  <c r="E20" i="201"/>
  <c r="C20" i="201"/>
  <c r="L9" i="146" s="1"/>
  <c r="B99" i="201"/>
  <c r="C98" i="201"/>
  <c r="F20" i="200"/>
  <c r="D20" i="200"/>
  <c r="O9" i="146" s="1"/>
  <c r="E20" i="200"/>
  <c r="B21" i="200"/>
  <c r="K20" i="200"/>
  <c r="J20" i="200" s="1"/>
  <c r="I20" i="200"/>
  <c r="H20" i="200"/>
  <c r="G20" i="200"/>
  <c r="C20" i="200"/>
  <c r="N9" i="146" s="1"/>
  <c r="B99" i="200"/>
  <c r="C98" i="200"/>
  <c r="F20" i="199"/>
  <c r="C20" i="197"/>
  <c r="J9" i="146" s="1"/>
  <c r="C20" i="199"/>
  <c r="F9" i="146" s="1"/>
  <c r="B21" i="199"/>
  <c r="K20" i="199"/>
  <c r="J20" i="199" s="1"/>
  <c r="I20" i="199"/>
  <c r="H20" i="199"/>
  <c r="G20" i="199"/>
  <c r="B99" i="199"/>
  <c r="C98" i="199"/>
  <c r="E20" i="199"/>
  <c r="D20" i="199"/>
  <c r="G9" i="146" s="1"/>
  <c r="E20" i="198"/>
  <c r="D20" i="198"/>
  <c r="I9" i="146" s="1"/>
  <c r="F20" i="198"/>
  <c r="B21" i="198"/>
  <c r="K20" i="198"/>
  <c r="J20" i="198" s="1"/>
  <c r="I20" i="198"/>
  <c r="H20" i="198"/>
  <c r="G20" i="198"/>
  <c r="B99" i="198"/>
  <c r="C98" i="198"/>
  <c r="D20" i="197"/>
  <c r="K9" i="146" s="1"/>
  <c r="E20" i="197"/>
  <c r="B21" i="197"/>
  <c r="J20" i="197"/>
  <c r="F21" i="197" s="1"/>
  <c r="B99" i="197"/>
  <c r="C98" i="197"/>
  <c r="H20" i="181"/>
  <c r="I20" i="181"/>
  <c r="K20" i="181"/>
  <c r="J20" i="181" s="1"/>
  <c r="G20" i="181"/>
  <c r="C21" i="193"/>
  <c r="L21" i="193"/>
  <c r="G21" i="193"/>
  <c r="H21" i="193"/>
  <c r="I21" i="193"/>
  <c r="K21" i="193"/>
  <c r="J21" i="193" s="1"/>
  <c r="F21" i="193"/>
  <c r="B22" i="193"/>
  <c r="K22" i="193" s="1"/>
  <c r="B100" i="193"/>
  <c r="C99" i="193"/>
  <c r="F19" i="190"/>
  <c r="D19" i="190"/>
  <c r="C19" i="190"/>
  <c r="E19" i="190"/>
  <c r="B98" i="190"/>
  <c r="C97" i="190"/>
  <c r="B20" i="190"/>
  <c r="K19" i="190"/>
  <c r="J19" i="190" s="1"/>
  <c r="I19" i="190"/>
  <c r="H19" i="190"/>
  <c r="G19" i="190"/>
  <c r="D20" i="181"/>
  <c r="F20" i="181"/>
  <c r="F20" i="182"/>
  <c r="B21" i="182"/>
  <c r="H21" i="182" s="1"/>
  <c r="B99" i="182"/>
  <c r="C98" i="182"/>
  <c r="B99" i="181"/>
  <c r="C98" i="181"/>
  <c r="C20" i="181"/>
  <c r="B21" i="181"/>
  <c r="E20" i="181"/>
  <c r="C19" i="168"/>
  <c r="B98" i="157"/>
  <c r="C97" i="157"/>
  <c r="B98" i="156"/>
  <c r="C97" i="156"/>
  <c r="B98" i="155"/>
  <c r="C97" i="155"/>
  <c r="G21" i="197" l="1"/>
  <c r="K21" i="197"/>
  <c r="H21" i="197"/>
  <c r="I21" i="197"/>
  <c r="C100" i="205"/>
  <c r="B101" i="205"/>
  <c r="B100" i="204"/>
  <c r="C99" i="204"/>
  <c r="F21" i="204"/>
  <c r="E21" i="204"/>
  <c r="B22" i="204"/>
  <c r="C21" i="202"/>
  <c r="R10" i="146" s="1"/>
  <c r="R9" i="146"/>
  <c r="F21" i="203"/>
  <c r="B22" i="203"/>
  <c r="K21" i="203"/>
  <c r="J21" i="203" s="1"/>
  <c r="I21" i="203"/>
  <c r="H21" i="203"/>
  <c r="G21" i="203"/>
  <c r="D21" i="203"/>
  <c r="Q10" i="146" s="1"/>
  <c r="C21" i="203"/>
  <c r="P10" i="146" s="1"/>
  <c r="B100" i="203"/>
  <c r="C99" i="203"/>
  <c r="E21" i="203"/>
  <c r="F21" i="202"/>
  <c r="D21" i="202"/>
  <c r="S10" i="146" s="1"/>
  <c r="B22" i="202"/>
  <c r="K21" i="202"/>
  <c r="J21" i="202" s="1"/>
  <c r="I21" i="202"/>
  <c r="H21" i="202"/>
  <c r="G21" i="202"/>
  <c r="E21" i="202"/>
  <c r="B100" i="202"/>
  <c r="C99" i="202"/>
  <c r="F21" i="201"/>
  <c r="E21" i="201"/>
  <c r="D21" i="201"/>
  <c r="M10" i="146" s="1"/>
  <c r="B100" i="201"/>
  <c r="C99" i="201"/>
  <c r="B22" i="201"/>
  <c r="K21" i="201"/>
  <c r="J21" i="201" s="1"/>
  <c r="I21" i="201"/>
  <c r="H21" i="201"/>
  <c r="G21" i="201"/>
  <c r="C21" i="201"/>
  <c r="L10" i="146" s="1"/>
  <c r="F21" i="200"/>
  <c r="B22" i="200"/>
  <c r="K21" i="200"/>
  <c r="J21" i="200" s="1"/>
  <c r="I21" i="200"/>
  <c r="H21" i="200"/>
  <c r="G21" i="200"/>
  <c r="D21" i="200"/>
  <c r="O10" i="146" s="1"/>
  <c r="C21" i="200"/>
  <c r="N10" i="146" s="1"/>
  <c r="C21" i="197"/>
  <c r="J10" i="146" s="1"/>
  <c r="D21" i="199"/>
  <c r="G10" i="146" s="1"/>
  <c r="B100" i="200"/>
  <c r="C99" i="200"/>
  <c r="E21" i="200"/>
  <c r="D21" i="197"/>
  <c r="K10" i="146" s="1"/>
  <c r="E21" i="199"/>
  <c r="B22" i="199"/>
  <c r="K21" i="199"/>
  <c r="J21" i="199" s="1"/>
  <c r="I21" i="199"/>
  <c r="H21" i="199"/>
  <c r="G21" i="199"/>
  <c r="B100" i="199"/>
  <c r="C99" i="199"/>
  <c r="C21" i="199"/>
  <c r="F10" i="146" s="1"/>
  <c r="F21" i="199"/>
  <c r="F21" i="198"/>
  <c r="B100" i="198"/>
  <c r="C99" i="198"/>
  <c r="C21" i="198"/>
  <c r="H10" i="146" s="1"/>
  <c r="B22" i="198"/>
  <c r="K21" i="198"/>
  <c r="J21" i="198" s="1"/>
  <c r="I21" i="198"/>
  <c r="H21" i="198"/>
  <c r="G21" i="198"/>
  <c r="D21" i="198"/>
  <c r="I10" i="146" s="1"/>
  <c r="E21" i="198"/>
  <c r="E21" i="197"/>
  <c r="B100" i="197"/>
  <c r="C99" i="197"/>
  <c r="B22" i="197"/>
  <c r="J21" i="197"/>
  <c r="F22" i="197" s="1"/>
  <c r="H21" i="181"/>
  <c r="I21" i="181"/>
  <c r="K21" i="181"/>
  <c r="J21" i="181" s="1"/>
  <c r="G21" i="181"/>
  <c r="C22" i="193"/>
  <c r="G22" i="193"/>
  <c r="H22" i="193"/>
  <c r="I22" i="193"/>
  <c r="J22" i="193"/>
  <c r="L22" i="193"/>
  <c r="F22" i="193"/>
  <c r="B101" i="193"/>
  <c r="C100" i="193"/>
  <c r="B23" i="193"/>
  <c r="K23" i="193" s="1"/>
  <c r="D20" i="190"/>
  <c r="F20" i="190"/>
  <c r="E20" i="190"/>
  <c r="C20" i="190"/>
  <c r="B21" i="190"/>
  <c r="K20" i="190"/>
  <c r="J20" i="190" s="1"/>
  <c r="I20" i="190"/>
  <c r="H20" i="190"/>
  <c r="G20" i="190"/>
  <c r="B99" i="190"/>
  <c r="C98" i="190"/>
  <c r="F21" i="181"/>
  <c r="B100" i="182"/>
  <c r="C99" i="182"/>
  <c r="F21" i="182"/>
  <c r="B22" i="182"/>
  <c r="H22" i="182" s="1"/>
  <c r="C21" i="181"/>
  <c r="B100" i="181"/>
  <c r="C99" i="181"/>
  <c r="D21" i="181"/>
  <c r="E21" i="181"/>
  <c r="B22" i="181"/>
  <c r="E19" i="168"/>
  <c r="D19" i="168"/>
  <c r="B99" i="157"/>
  <c r="C98" i="157"/>
  <c r="B99" i="156"/>
  <c r="C98" i="156"/>
  <c r="B99" i="155"/>
  <c r="C98" i="155"/>
  <c r="G22" i="197" l="1"/>
  <c r="K22" i="197"/>
  <c r="H22" i="197"/>
  <c r="I22" i="197"/>
  <c r="C101" i="205"/>
  <c r="B102" i="205"/>
  <c r="E22" i="204"/>
  <c r="E23" i="204" s="1"/>
  <c r="F22" i="204"/>
  <c r="B23" i="204"/>
  <c r="B101" i="204"/>
  <c r="C100" i="204"/>
  <c r="F22" i="203"/>
  <c r="B101" i="203"/>
  <c r="C100" i="203"/>
  <c r="C22" i="203"/>
  <c r="P11" i="146" s="1"/>
  <c r="D22" i="203"/>
  <c r="Q11" i="146" s="1"/>
  <c r="E22" i="203"/>
  <c r="B23" i="203"/>
  <c r="K22" i="203"/>
  <c r="J22" i="203" s="1"/>
  <c r="I22" i="203"/>
  <c r="H22" i="203"/>
  <c r="G22" i="203"/>
  <c r="B23" i="202"/>
  <c r="K22" i="202"/>
  <c r="J22" i="202" s="1"/>
  <c r="I22" i="202"/>
  <c r="H22" i="202"/>
  <c r="G22" i="202"/>
  <c r="D22" i="202"/>
  <c r="S11" i="146" s="1"/>
  <c r="B101" i="202"/>
  <c r="C100" i="202"/>
  <c r="F22" i="202"/>
  <c r="E22" i="202"/>
  <c r="C22" i="202"/>
  <c r="R11" i="146" s="1"/>
  <c r="F22" i="201"/>
  <c r="B23" i="201"/>
  <c r="K22" i="201"/>
  <c r="J22" i="201" s="1"/>
  <c r="I22" i="201"/>
  <c r="H22" i="201"/>
  <c r="G22" i="201"/>
  <c r="D22" i="201"/>
  <c r="M11" i="146" s="1"/>
  <c r="E22" i="200"/>
  <c r="C22" i="200"/>
  <c r="N11" i="146" s="1"/>
  <c r="C22" i="201"/>
  <c r="L11" i="146" s="1"/>
  <c r="E22" i="201"/>
  <c r="B101" i="201"/>
  <c r="C100" i="201"/>
  <c r="C22" i="197"/>
  <c r="J11" i="146" s="1"/>
  <c r="D22" i="199"/>
  <c r="G11" i="146" s="1"/>
  <c r="F22" i="200"/>
  <c r="E22" i="198"/>
  <c r="D22" i="200"/>
  <c r="O11" i="146" s="1"/>
  <c r="B101" i="200"/>
  <c r="C100" i="200"/>
  <c r="B23" i="200"/>
  <c r="K22" i="200"/>
  <c r="J22" i="200" s="1"/>
  <c r="E23" i="200" s="1"/>
  <c r="I22" i="200"/>
  <c r="H22" i="200"/>
  <c r="G22" i="200"/>
  <c r="B101" i="199"/>
  <c r="C100" i="199"/>
  <c r="B23" i="199"/>
  <c r="K22" i="199"/>
  <c r="J22" i="199" s="1"/>
  <c r="I22" i="199"/>
  <c r="H22" i="199"/>
  <c r="G22" i="199"/>
  <c r="E22" i="199"/>
  <c r="C22" i="199"/>
  <c r="F11" i="146" s="1"/>
  <c r="F22" i="199"/>
  <c r="F22" i="198"/>
  <c r="B101" i="198"/>
  <c r="C100" i="198"/>
  <c r="D22" i="198"/>
  <c r="I11" i="146" s="1"/>
  <c r="B23" i="198"/>
  <c r="K22" i="198"/>
  <c r="J22" i="198" s="1"/>
  <c r="I22" i="198"/>
  <c r="H22" i="198"/>
  <c r="G22" i="198"/>
  <c r="D22" i="197"/>
  <c r="K11" i="146" s="1"/>
  <c r="C22" i="198"/>
  <c r="H11" i="146" s="1"/>
  <c r="E22" i="197"/>
  <c r="B23" i="197"/>
  <c r="J22" i="197"/>
  <c r="F23" i="197" s="1"/>
  <c r="B101" i="197"/>
  <c r="C100" i="197"/>
  <c r="H22" i="181"/>
  <c r="I22" i="181"/>
  <c r="K22" i="181"/>
  <c r="J22" i="181" s="1"/>
  <c r="G22" i="181"/>
  <c r="C23" i="193"/>
  <c r="G23" i="193"/>
  <c r="H23" i="193"/>
  <c r="I23" i="193"/>
  <c r="J23" i="193"/>
  <c r="L23" i="193"/>
  <c r="F23" i="193"/>
  <c r="B102" i="193"/>
  <c r="C101" i="193"/>
  <c r="B24" i="193"/>
  <c r="K24" i="193" s="1"/>
  <c r="F21" i="190"/>
  <c r="E21" i="190"/>
  <c r="C21" i="190"/>
  <c r="D21" i="190"/>
  <c r="B100" i="190"/>
  <c r="C99" i="190"/>
  <c r="B22" i="190"/>
  <c r="K21" i="190"/>
  <c r="J21" i="190" s="1"/>
  <c r="I21" i="190"/>
  <c r="H21" i="190"/>
  <c r="G21" i="190"/>
  <c r="F22" i="181"/>
  <c r="F22" i="182"/>
  <c r="B23" i="182"/>
  <c r="H23" i="182" s="1"/>
  <c r="B101" i="182"/>
  <c r="C100" i="182"/>
  <c r="B101" i="181"/>
  <c r="C100" i="181"/>
  <c r="E22" i="181"/>
  <c r="B23" i="181"/>
  <c r="D22" i="181"/>
  <c r="C22" i="181"/>
  <c r="E20" i="168"/>
  <c r="B100" i="157"/>
  <c r="C99" i="157"/>
  <c r="B100" i="156"/>
  <c r="C99" i="156"/>
  <c r="B100" i="155"/>
  <c r="C99" i="155"/>
  <c r="G23" i="197" l="1"/>
  <c r="K23" i="197"/>
  <c r="H23" i="197"/>
  <c r="I23" i="197"/>
  <c r="C102" i="205"/>
  <c r="B103" i="205"/>
  <c r="B24" i="204"/>
  <c r="F23" i="204"/>
  <c r="B102" i="204"/>
  <c r="C101" i="204"/>
  <c r="F23" i="203"/>
  <c r="E23" i="203"/>
  <c r="D23" i="203"/>
  <c r="Q12" i="146" s="1"/>
  <c r="B24" i="203"/>
  <c r="K23" i="203"/>
  <c r="J23" i="203" s="1"/>
  <c r="I23" i="203"/>
  <c r="H23" i="203"/>
  <c r="G23" i="203"/>
  <c r="B102" i="203"/>
  <c r="C101" i="203"/>
  <c r="C23" i="203"/>
  <c r="P12" i="146" s="1"/>
  <c r="F23" i="202"/>
  <c r="E23" i="202"/>
  <c r="C23" i="202"/>
  <c r="R12" i="146" s="1"/>
  <c r="B102" i="202"/>
  <c r="C101" i="202"/>
  <c r="D23" i="202"/>
  <c r="S12" i="146" s="1"/>
  <c r="B24" i="202"/>
  <c r="K23" i="202"/>
  <c r="J23" i="202" s="1"/>
  <c r="I23" i="202"/>
  <c r="H23" i="202"/>
  <c r="G23" i="202"/>
  <c r="F23" i="201"/>
  <c r="C23" i="201"/>
  <c r="L12" i="146" s="1"/>
  <c r="B102" i="201"/>
  <c r="C101" i="201"/>
  <c r="D23" i="201"/>
  <c r="M12" i="146" s="1"/>
  <c r="C23" i="197"/>
  <c r="J12" i="146" s="1"/>
  <c r="E23" i="201"/>
  <c r="B24" i="201"/>
  <c r="K23" i="201"/>
  <c r="J23" i="201" s="1"/>
  <c r="I23" i="201"/>
  <c r="H23" i="201"/>
  <c r="G23" i="201"/>
  <c r="B24" i="200"/>
  <c r="K23" i="200"/>
  <c r="J23" i="200" s="1"/>
  <c r="I23" i="200"/>
  <c r="H23" i="200"/>
  <c r="G23" i="200"/>
  <c r="C23" i="200"/>
  <c r="N12" i="146" s="1"/>
  <c r="B102" i="200"/>
  <c r="C101" i="200"/>
  <c r="F23" i="200"/>
  <c r="D23" i="200"/>
  <c r="O12" i="146" s="1"/>
  <c r="F23" i="199"/>
  <c r="D23" i="199"/>
  <c r="G12" i="146" s="1"/>
  <c r="B24" i="199"/>
  <c r="K23" i="199"/>
  <c r="J23" i="199" s="1"/>
  <c r="I23" i="199"/>
  <c r="H23" i="199"/>
  <c r="G23" i="199"/>
  <c r="C23" i="199"/>
  <c r="F12" i="146" s="1"/>
  <c r="B102" i="199"/>
  <c r="C101" i="199"/>
  <c r="E23" i="199"/>
  <c r="B102" i="198"/>
  <c r="C101" i="198"/>
  <c r="C23" i="198"/>
  <c r="H12" i="146" s="1"/>
  <c r="F23" i="198"/>
  <c r="D23" i="197"/>
  <c r="K12" i="146" s="1"/>
  <c r="B24" i="198"/>
  <c r="K23" i="198"/>
  <c r="J23" i="198" s="1"/>
  <c r="I23" i="198"/>
  <c r="H23" i="198"/>
  <c r="G23" i="198"/>
  <c r="E23" i="198"/>
  <c r="D23" i="198"/>
  <c r="I12" i="146" s="1"/>
  <c r="E23" i="197"/>
  <c r="B102" i="197"/>
  <c r="C101" i="197"/>
  <c r="B24" i="197"/>
  <c r="J23" i="197"/>
  <c r="F24" i="197" s="1"/>
  <c r="H23" i="181"/>
  <c r="I23" i="181"/>
  <c r="K23" i="181"/>
  <c r="J23" i="181" s="1"/>
  <c r="G23" i="181"/>
  <c r="C24" i="193"/>
  <c r="G24" i="193"/>
  <c r="H24" i="193"/>
  <c r="I24" i="193"/>
  <c r="J24" i="193"/>
  <c r="L24" i="193"/>
  <c r="F24" i="193"/>
  <c r="B25" i="193"/>
  <c r="K25" i="193" s="1"/>
  <c r="B103" i="193"/>
  <c r="C102" i="193"/>
  <c r="F22" i="190"/>
  <c r="C22" i="190"/>
  <c r="E22" i="190"/>
  <c r="D22" i="190"/>
  <c r="B23" i="190"/>
  <c r="K22" i="190"/>
  <c r="J22" i="190" s="1"/>
  <c r="I22" i="190"/>
  <c r="H22" i="190"/>
  <c r="G22" i="190"/>
  <c r="B101" i="190"/>
  <c r="C100" i="190"/>
  <c r="F23" i="181"/>
  <c r="F23" i="182"/>
  <c r="B24" i="182"/>
  <c r="H24" i="182" s="1"/>
  <c r="B102" i="182"/>
  <c r="C101" i="182"/>
  <c r="E23" i="181"/>
  <c r="B102" i="181"/>
  <c r="C101" i="181"/>
  <c r="C23" i="181"/>
  <c r="D23" i="181"/>
  <c r="B24" i="181"/>
  <c r="C20" i="168"/>
  <c r="D20" i="168"/>
  <c r="B101" i="157"/>
  <c r="C100" i="157"/>
  <c r="B101" i="156"/>
  <c r="C100" i="156"/>
  <c r="B101" i="155"/>
  <c r="C100" i="155"/>
  <c r="G24" i="197" l="1"/>
  <c r="K24" i="197"/>
  <c r="H24" i="197"/>
  <c r="I24" i="197"/>
  <c r="C103" i="205"/>
  <c r="B104" i="205"/>
  <c r="F24" i="204"/>
  <c r="B25" i="204"/>
  <c r="B103" i="204"/>
  <c r="C102" i="204"/>
  <c r="E24" i="204"/>
  <c r="E25" i="204" s="1"/>
  <c r="F24" i="203"/>
  <c r="D24" i="203"/>
  <c r="Q13" i="146" s="1"/>
  <c r="C24" i="203"/>
  <c r="P13" i="146" s="1"/>
  <c r="E24" i="203"/>
  <c r="B103" i="203"/>
  <c r="C102" i="203"/>
  <c r="B25" i="203"/>
  <c r="K24" i="203"/>
  <c r="J24" i="203" s="1"/>
  <c r="I24" i="203"/>
  <c r="H24" i="203"/>
  <c r="G24" i="203"/>
  <c r="F24" i="202"/>
  <c r="B25" i="202"/>
  <c r="K24" i="202"/>
  <c r="J24" i="202" s="1"/>
  <c r="I24" i="202"/>
  <c r="H24" i="202"/>
  <c r="G24" i="202"/>
  <c r="B103" i="202"/>
  <c r="C102" i="202"/>
  <c r="C24" i="202"/>
  <c r="R13" i="146" s="1"/>
  <c r="E24" i="202"/>
  <c r="D24" i="202"/>
  <c r="S13" i="146" s="1"/>
  <c r="B25" i="201"/>
  <c r="K24" i="201"/>
  <c r="J24" i="201" s="1"/>
  <c r="I24" i="201"/>
  <c r="H24" i="201"/>
  <c r="G24" i="201"/>
  <c r="B103" i="201"/>
  <c r="C102" i="201"/>
  <c r="F24" i="201"/>
  <c r="E24" i="201"/>
  <c r="C24" i="201"/>
  <c r="L13" i="146" s="1"/>
  <c r="D24" i="201"/>
  <c r="M13" i="146" s="1"/>
  <c r="C24" i="197"/>
  <c r="J13" i="146" s="1"/>
  <c r="B103" i="200"/>
  <c r="C102" i="200"/>
  <c r="F24" i="200"/>
  <c r="C24" i="200"/>
  <c r="N13" i="146" s="1"/>
  <c r="D24" i="200"/>
  <c r="O13" i="146" s="1"/>
  <c r="B25" i="200"/>
  <c r="K24" i="200"/>
  <c r="J24" i="200" s="1"/>
  <c r="I24" i="200"/>
  <c r="H24" i="200"/>
  <c r="G24" i="200"/>
  <c r="E24" i="200"/>
  <c r="F24" i="199"/>
  <c r="E24" i="199"/>
  <c r="B25" i="199"/>
  <c r="K24" i="199"/>
  <c r="J24" i="199" s="1"/>
  <c r="I24" i="199"/>
  <c r="H24" i="199"/>
  <c r="G24" i="199"/>
  <c r="B103" i="199"/>
  <c r="C102" i="199"/>
  <c r="D24" i="199"/>
  <c r="G13" i="146" s="1"/>
  <c r="E24" i="198"/>
  <c r="C24" i="199"/>
  <c r="F13" i="146" s="1"/>
  <c r="F24" i="198"/>
  <c r="C24" i="198"/>
  <c r="H13" i="146" s="1"/>
  <c r="D24" i="198"/>
  <c r="I13" i="146" s="1"/>
  <c r="B103" i="198"/>
  <c r="C102" i="198"/>
  <c r="B25" i="198"/>
  <c r="K24" i="198"/>
  <c r="J24" i="198" s="1"/>
  <c r="I24" i="198"/>
  <c r="H24" i="198"/>
  <c r="G24" i="198"/>
  <c r="D24" i="197"/>
  <c r="K13" i="146" s="1"/>
  <c r="E24" i="197"/>
  <c r="B103" i="197"/>
  <c r="C102" i="197"/>
  <c r="B25" i="197"/>
  <c r="J24" i="197"/>
  <c r="F25" i="197" s="1"/>
  <c r="C25" i="193"/>
  <c r="B26" i="193"/>
  <c r="K26" i="193" s="1"/>
  <c r="G25" i="193"/>
  <c r="H25" i="193"/>
  <c r="I25" i="193"/>
  <c r="J25" i="193"/>
  <c r="L25" i="193"/>
  <c r="F25" i="193"/>
  <c r="B104" i="193"/>
  <c r="C103" i="193"/>
  <c r="F23" i="190"/>
  <c r="E23" i="190"/>
  <c r="C23" i="190"/>
  <c r="D23" i="190"/>
  <c r="B102" i="190"/>
  <c r="C101" i="190"/>
  <c r="B24" i="190"/>
  <c r="K23" i="190"/>
  <c r="J23" i="190" s="1"/>
  <c r="I23" i="190"/>
  <c r="H23" i="190"/>
  <c r="G23" i="190"/>
  <c r="F24" i="181"/>
  <c r="B103" i="182"/>
  <c r="C102" i="182"/>
  <c r="F24" i="182"/>
  <c r="B25" i="182"/>
  <c r="H25" i="182" s="1"/>
  <c r="B103" i="181"/>
  <c r="C102" i="181"/>
  <c r="B25" i="181"/>
  <c r="C24" i="181"/>
  <c r="D24" i="181"/>
  <c r="E24" i="181"/>
  <c r="C21" i="168"/>
  <c r="B102" i="157"/>
  <c r="C101" i="157"/>
  <c r="B102" i="156"/>
  <c r="C101" i="156"/>
  <c r="B102" i="155"/>
  <c r="C101" i="155"/>
  <c r="G25" i="197" l="1"/>
  <c r="K25" i="197"/>
  <c r="H25" i="197"/>
  <c r="I25" i="197"/>
  <c r="C104" i="205"/>
  <c r="B105" i="205"/>
  <c r="B104" i="204"/>
  <c r="C103" i="204"/>
  <c r="B26" i="204"/>
  <c r="E26" i="204"/>
  <c r="F25" i="204"/>
  <c r="B104" i="203"/>
  <c r="C103" i="203"/>
  <c r="F25" i="203"/>
  <c r="E25" i="203"/>
  <c r="B26" i="203"/>
  <c r="K25" i="203"/>
  <c r="J25" i="203" s="1"/>
  <c r="I25" i="203"/>
  <c r="H25" i="203"/>
  <c r="G25" i="203"/>
  <c r="C25" i="203"/>
  <c r="D25" i="203"/>
  <c r="Q14" i="146" s="1"/>
  <c r="F25" i="202"/>
  <c r="C25" i="202"/>
  <c r="R14" i="146" s="1"/>
  <c r="B104" i="202"/>
  <c r="C103" i="202"/>
  <c r="B26" i="202"/>
  <c r="K25" i="202"/>
  <c r="J25" i="202" s="1"/>
  <c r="I25" i="202"/>
  <c r="H25" i="202"/>
  <c r="G25" i="202"/>
  <c r="D25" i="202"/>
  <c r="S14" i="146" s="1"/>
  <c r="C25" i="197"/>
  <c r="J14" i="146" s="1"/>
  <c r="E25" i="202"/>
  <c r="F25" i="201"/>
  <c r="C25" i="201"/>
  <c r="L14" i="146" s="1"/>
  <c r="E25" i="201"/>
  <c r="D25" i="201"/>
  <c r="M14" i="146" s="1"/>
  <c r="B104" i="201"/>
  <c r="C103" i="201"/>
  <c r="B26" i="201"/>
  <c r="K25" i="201"/>
  <c r="J25" i="201" s="1"/>
  <c r="I25" i="201"/>
  <c r="H25" i="201"/>
  <c r="G25" i="201"/>
  <c r="C25" i="200"/>
  <c r="N14" i="146" s="1"/>
  <c r="F25" i="200"/>
  <c r="E25" i="200"/>
  <c r="B26" i="200"/>
  <c r="K25" i="200"/>
  <c r="J25" i="200" s="1"/>
  <c r="I25" i="200"/>
  <c r="H25" i="200"/>
  <c r="G25" i="200"/>
  <c r="D25" i="200"/>
  <c r="O14" i="146" s="1"/>
  <c r="B104" i="200"/>
  <c r="C103" i="200"/>
  <c r="F25" i="199"/>
  <c r="C25" i="199"/>
  <c r="F14" i="146" s="1"/>
  <c r="B104" i="199"/>
  <c r="C103" i="199"/>
  <c r="B26" i="199"/>
  <c r="K25" i="199"/>
  <c r="J25" i="199" s="1"/>
  <c r="I25" i="199"/>
  <c r="H25" i="199"/>
  <c r="G25" i="199"/>
  <c r="E25" i="199"/>
  <c r="D25" i="199"/>
  <c r="G14" i="146" s="1"/>
  <c r="F25" i="198"/>
  <c r="E25" i="198"/>
  <c r="B104" i="198"/>
  <c r="C103" i="198"/>
  <c r="D25" i="198"/>
  <c r="I14" i="146" s="1"/>
  <c r="D25" i="197"/>
  <c r="K14" i="146" s="1"/>
  <c r="B26" i="198"/>
  <c r="K25" i="198"/>
  <c r="J25" i="198" s="1"/>
  <c r="I25" i="198"/>
  <c r="H25" i="198"/>
  <c r="G25" i="198"/>
  <c r="C25" i="198"/>
  <c r="H14" i="146" s="1"/>
  <c r="E25" i="197"/>
  <c r="B104" i="197"/>
  <c r="C103" i="197"/>
  <c r="B26" i="197"/>
  <c r="J25" i="197"/>
  <c r="F26" i="197" s="1"/>
  <c r="C26" i="193"/>
  <c r="B27" i="193"/>
  <c r="K27" i="193" s="1"/>
  <c r="G26" i="193"/>
  <c r="H26" i="193"/>
  <c r="I26" i="193"/>
  <c r="J26" i="193"/>
  <c r="F26" i="193"/>
  <c r="L26" i="193"/>
  <c r="B105" i="193"/>
  <c r="C104" i="193"/>
  <c r="D24" i="190"/>
  <c r="F24" i="190"/>
  <c r="C24" i="190"/>
  <c r="E24" i="190"/>
  <c r="B25" i="190"/>
  <c r="K24" i="190"/>
  <c r="J24" i="190" s="1"/>
  <c r="I24" i="190"/>
  <c r="H24" i="190"/>
  <c r="G24" i="190"/>
  <c r="B103" i="190"/>
  <c r="C102" i="190"/>
  <c r="F25" i="181"/>
  <c r="B26" i="182"/>
  <c r="H26" i="182" s="1"/>
  <c r="F25" i="182"/>
  <c r="B104" i="182"/>
  <c r="C103" i="182"/>
  <c r="E25" i="181"/>
  <c r="D25" i="181"/>
  <c r="C25" i="181"/>
  <c r="B26" i="181"/>
  <c r="B104" i="181"/>
  <c r="C103" i="181"/>
  <c r="E21" i="168"/>
  <c r="D21" i="168"/>
  <c r="B103" i="157"/>
  <c r="C102" i="157"/>
  <c r="B103" i="156"/>
  <c r="C102" i="156"/>
  <c r="B103" i="155"/>
  <c r="C102" i="155"/>
  <c r="G26" i="197" l="1"/>
  <c r="K26" i="197"/>
  <c r="H26" i="197"/>
  <c r="I26" i="197"/>
  <c r="C105" i="205"/>
  <c r="B106" i="205"/>
  <c r="F26" i="204"/>
  <c r="B27" i="204"/>
  <c r="B105" i="204"/>
  <c r="C104" i="204"/>
  <c r="C26" i="203"/>
  <c r="P15" i="146" s="1"/>
  <c r="P14" i="146"/>
  <c r="B27" i="203"/>
  <c r="K26" i="203"/>
  <c r="J26" i="203" s="1"/>
  <c r="I26" i="203"/>
  <c r="H26" i="203"/>
  <c r="G26" i="203"/>
  <c r="E26" i="203"/>
  <c r="F26" i="203"/>
  <c r="D26" i="203"/>
  <c r="Q15" i="146" s="1"/>
  <c r="B105" i="203"/>
  <c r="C104" i="203"/>
  <c r="F26" i="202"/>
  <c r="C26" i="197"/>
  <c r="J15" i="146" s="1"/>
  <c r="B105" i="202"/>
  <c r="C104" i="202"/>
  <c r="E26" i="202"/>
  <c r="C26" i="202"/>
  <c r="R15" i="146" s="1"/>
  <c r="D26" i="202"/>
  <c r="S15" i="146" s="1"/>
  <c r="B27" i="202"/>
  <c r="K26" i="202"/>
  <c r="J26" i="202" s="1"/>
  <c r="I26" i="202"/>
  <c r="H26" i="202"/>
  <c r="G26" i="202"/>
  <c r="F26" i="201"/>
  <c r="D26" i="201"/>
  <c r="M15" i="146" s="1"/>
  <c r="E26" i="201"/>
  <c r="C26" i="201"/>
  <c r="L15" i="146" s="1"/>
  <c r="B27" i="201"/>
  <c r="K26" i="201"/>
  <c r="J26" i="201" s="1"/>
  <c r="I26" i="201"/>
  <c r="H26" i="201"/>
  <c r="G26" i="201"/>
  <c r="B105" i="201"/>
  <c r="C104" i="201"/>
  <c r="F26" i="200"/>
  <c r="D26" i="200"/>
  <c r="O15" i="146" s="1"/>
  <c r="B27" i="200"/>
  <c r="K26" i="200"/>
  <c r="J26" i="200" s="1"/>
  <c r="I26" i="200"/>
  <c r="H26" i="200"/>
  <c r="G26" i="200"/>
  <c r="B105" i="200"/>
  <c r="C104" i="200"/>
  <c r="E26" i="200"/>
  <c r="C26" i="200"/>
  <c r="N15" i="146" s="1"/>
  <c r="F26" i="199"/>
  <c r="D26" i="199"/>
  <c r="G15" i="146" s="1"/>
  <c r="B105" i="199"/>
  <c r="C104" i="199"/>
  <c r="C26" i="199"/>
  <c r="F15" i="146" s="1"/>
  <c r="E26" i="199"/>
  <c r="B27" i="199"/>
  <c r="K26" i="199"/>
  <c r="J26" i="199" s="1"/>
  <c r="I26" i="199"/>
  <c r="H26" i="199"/>
  <c r="G26" i="199"/>
  <c r="F26" i="198"/>
  <c r="C26" i="198"/>
  <c r="H15" i="146" s="1"/>
  <c r="B105" i="198"/>
  <c r="C104" i="198"/>
  <c r="B27" i="198"/>
  <c r="K26" i="198"/>
  <c r="J26" i="198" s="1"/>
  <c r="I26" i="198"/>
  <c r="H26" i="198"/>
  <c r="G26" i="198"/>
  <c r="D26" i="197"/>
  <c r="K15" i="146" s="1"/>
  <c r="E26" i="198"/>
  <c r="D26" i="198"/>
  <c r="I15" i="146" s="1"/>
  <c r="E26" i="197"/>
  <c r="B27" i="197"/>
  <c r="J26" i="197"/>
  <c r="B105" i="197"/>
  <c r="C104" i="197"/>
  <c r="C27" i="193"/>
  <c r="B28" i="193"/>
  <c r="K28" i="193" s="1"/>
  <c r="G27" i="193"/>
  <c r="H27" i="193"/>
  <c r="I27" i="193"/>
  <c r="J27" i="193"/>
  <c r="F27" i="193"/>
  <c r="L27" i="193"/>
  <c r="B106" i="193"/>
  <c r="C105" i="193"/>
  <c r="F25" i="190"/>
  <c r="E25" i="190"/>
  <c r="C25" i="190"/>
  <c r="D25" i="190"/>
  <c r="B104" i="190"/>
  <c r="C103" i="190"/>
  <c r="B26" i="190"/>
  <c r="K25" i="190"/>
  <c r="J25" i="190" s="1"/>
  <c r="I25" i="190"/>
  <c r="H25" i="190"/>
  <c r="G25" i="190"/>
  <c r="F26" i="181"/>
  <c r="B105" i="182"/>
  <c r="C104" i="182"/>
  <c r="F26" i="182"/>
  <c r="B27" i="182"/>
  <c r="H27" i="182" s="1"/>
  <c r="B105" i="181"/>
  <c r="C104" i="181"/>
  <c r="B27" i="181"/>
  <c r="C26" i="181"/>
  <c r="D26" i="181"/>
  <c r="E26" i="181"/>
  <c r="E22" i="168"/>
  <c r="B104" i="157"/>
  <c r="C103" i="157"/>
  <c r="B104" i="156"/>
  <c r="C103" i="156"/>
  <c r="B104" i="155"/>
  <c r="C103" i="155"/>
  <c r="G27" i="197" l="1"/>
  <c r="K27" i="197"/>
  <c r="H27" i="197"/>
  <c r="I27" i="197"/>
  <c r="F27" i="199"/>
  <c r="C27" i="197"/>
  <c r="J16" i="146" s="1"/>
  <c r="F27" i="197"/>
  <c r="C106" i="205"/>
  <c r="B107" i="205"/>
  <c r="B106" i="204"/>
  <c r="C105" i="204"/>
  <c r="B28" i="204"/>
  <c r="F27" i="204"/>
  <c r="E27" i="204"/>
  <c r="F27" i="203"/>
  <c r="C27" i="203"/>
  <c r="P16" i="146" s="1"/>
  <c r="B106" i="203"/>
  <c r="C105" i="203"/>
  <c r="D27" i="203"/>
  <c r="Q16" i="146" s="1"/>
  <c r="E27" i="203"/>
  <c r="B28" i="203"/>
  <c r="K27" i="203"/>
  <c r="J27" i="203" s="1"/>
  <c r="I27" i="203"/>
  <c r="H27" i="203"/>
  <c r="G27" i="203"/>
  <c r="F27" i="202"/>
  <c r="C27" i="202"/>
  <c r="R16" i="146" s="1"/>
  <c r="E27" i="202"/>
  <c r="B28" i="202"/>
  <c r="K27" i="202"/>
  <c r="J27" i="202"/>
  <c r="I27" i="202"/>
  <c r="H27" i="202"/>
  <c r="G27" i="202"/>
  <c r="D27" i="202"/>
  <c r="S16" i="146" s="1"/>
  <c r="B106" i="202"/>
  <c r="C105" i="202"/>
  <c r="F27" i="201"/>
  <c r="C27" i="201"/>
  <c r="L16" i="146" s="1"/>
  <c r="E27" i="201"/>
  <c r="D27" i="201"/>
  <c r="M16" i="146" s="1"/>
  <c r="B106" i="201"/>
  <c r="C105" i="201"/>
  <c r="B28" i="201"/>
  <c r="K27" i="201"/>
  <c r="J27" i="201" s="1"/>
  <c r="I27" i="201"/>
  <c r="H27" i="201"/>
  <c r="G27" i="201"/>
  <c r="F27" i="200"/>
  <c r="B106" i="200"/>
  <c r="C105" i="200"/>
  <c r="B28" i="200"/>
  <c r="K27" i="200"/>
  <c r="J27" i="200" s="1"/>
  <c r="I27" i="200"/>
  <c r="H27" i="200"/>
  <c r="G27" i="200"/>
  <c r="D27" i="200"/>
  <c r="O16" i="146" s="1"/>
  <c r="C27" i="200"/>
  <c r="N16" i="146" s="1"/>
  <c r="E27" i="200"/>
  <c r="C27" i="199"/>
  <c r="F16" i="146" s="1"/>
  <c r="B28" i="199"/>
  <c r="K27" i="199"/>
  <c r="J27" i="199" s="1"/>
  <c r="I27" i="199"/>
  <c r="H27" i="199"/>
  <c r="G27" i="199"/>
  <c r="B106" i="199"/>
  <c r="C105" i="199"/>
  <c r="E27" i="199"/>
  <c r="D27" i="199"/>
  <c r="G16" i="146" s="1"/>
  <c r="F27" i="198"/>
  <c r="B106" i="198"/>
  <c r="C105" i="198"/>
  <c r="B28" i="198"/>
  <c r="K27" i="198"/>
  <c r="J27" i="198" s="1"/>
  <c r="I27" i="198"/>
  <c r="H27" i="198"/>
  <c r="G27" i="198"/>
  <c r="C27" i="198"/>
  <c r="H16" i="146" s="1"/>
  <c r="D27" i="197"/>
  <c r="K16" i="146" s="1"/>
  <c r="D27" i="198"/>
  <c r="I16" i="146" s="1"/>
  <c r="E27" i="198"/>
  <c r="E27" i="197"/>
  <c r="B106" i="197"/>
  <c r="C105" i="197"/>
  <c r="B28" i="197"/>
  <c r="J27" i="197"/>
  <c r="F28" i="193"/>
  <c r="C28" i="193"/>
  <c r="B29" i="193"/>
  <c r="G28" i="193"/>
  <c r="H28" i="193"/>
  <c r="I28" i="193"/>
  <c r="J28" i="193"/>
  <c r="L28" i="193"/>
  <c r="B107" i="193"/>
  <c r="C106" i="193"/>
  <c r="C26" i="190"/>
  <c r="D26" i="190"/>
  <c r="F26" i="190"/>
  <c r="E26" i="190"/>
  <c r="B27" i="190"/>
  <c r="K26" i="190"/>
  <c r="J26" i="190" s="1"/>
  <c r="I26" i="190"/>
  <c r="H26" i="190"/>
  <c r="G26" i="190"/>
  <c r="B105" i="190"/>
  <c r="C104" i="190"/>
  <c r="F27" i="181"/>
  <c r="F27" i="182"/>
  <c r="B28" i="182"/>
  <c r="H28" i="182" s="1"/>
  <c r="C7" i="182" a="1"/>
  <c r="C7" i="182" s="1"/>
  <c r="C33" i="182" s="1"/>
  <c r="C34" i="182" s="1"/>
  <c r="C35" i="182" s="1"/>
  <c r="C36" i="182" s="1"/>
  <c r="C37" i="182" s="1"/>
  <c r="C38" i="182" s="1"/>
  <c r="C39" i="182" s="1"/>
  <c r="C40" i="182" s="1"/>
  <c r="C41" i="182" s="1"/>
  <c r="C42" i="182" s="1"/>
  <c r="C43" i="182" s="1"/>
  <c r="C44" i="182" s="1"/>
  <c r="C45" i="182" s="1"/>
  <c r="C46" i="182" s="1"/>
  <c r="C47" i="182" s="1"/>
  <c r="C48" i="182" s="1"/>
  <c r="C49" i="182" s="1"/>
  <c r="C50" i="182" s="1"/>
  <c r="C51" i="182" s="1"/>
  <c r="C52" i="182" s="1"/>
  <c r="C53" i="182" s="1"/>
  <c r="C54" i="182" s="1"/>
  <c r="C55" i="182" s="1"/>
  <c r="B106" i="182"/>
  <c r="C105" i="182"/>
  <c r="E27" i="181"/>
  <c r="D27" i="181"/>
  <c r="C27" i="181"/>
  <c r="B28" i="181"/>
  <c r="B106" i="181"/>
  <c r="C105" i="181"/>
  <c r="C22" i="168"/>
  <c r="D22" i="168"/>
  <c r="B105" i="157"/>
  <c r="C104" i="157"/>
  <c r="B105" i="156"/>
  <c r="C104" i="156"/>
  <c r="B105" i="155"/>
  <c r="C104" i="155"/>
  <c r="G28" i="197" l="1"/>
  <c r="K28" i="197"/>
  <c r="H28" i="197"/>
  <c r="I28" i="197"/>
  <c r="F28" i="199"/>
  <c r="C28" i="197"/>
  <c r="J17" i="146" s="1"/>
  <c r="F28" i="197"/>
  <c r="C107" i="205"/>
  <c r="B108" i="205"/>
  <c r="B29" i="204"/>
  <c r="F28" i="204"/>
  <c r="E28" i="204"/>
  <c r="E29" i="204" s="1"/>
  <c r="B107" i="204"/>
  <c r="C106" i="204"/>
  <c r="F28" i="203"/>
  <c r="B107" i="203"/>
  <c r="C106" i="203"/>
  <c r="B29" i="203"/>
  <c r="K28" i="203"/>
  <c r="J28" i="203" s="1"/>
  <c r="I28" i="203"/>
  <c r="H28" i="203"/>
  <c r="G28" i="203"/>
  <c r="C28" i="203"/>
  <c r="P17" i="146" s="1"/>
  <c r="E28" i="203"/>
  <c r="D28" i="203"/>
  <c r="Q17" i="146" s="1"/>
  <c r="F28" i="202"/>
  <c r="B107" i="202"/>
  <c r="C106" i="202"/>
  <c r="D28" i="202"/>
  <c r="S17" i="146" s="1"/>
  <c r="B29" i="202"/>
  <c r="K28" i="202"/>
  <c r="J28" i="202" s="1"/>
  <c r="I28" i="202"/>
  <c r="H28" i="202"/>
  <c r="G28" i="202"/>
  <c r="E28" i="202"/>
  <c r="C28" i="202"/>
  <c r="R17" i="146" s="1"/>
  <c r="B107" i="201"/>
  <c r="C106" i="201"/>
  <c r="D28" i="201"/>
  <c r="M17" i="146" s="1"/>
  <c r="F28" i="201"/>
  <c r="B29" i="201"/>
  <c r="K28" i="201"/>
  <c r="J28" i="201" s="1"/>
  <c r="I28" i="201"/>
  <c r="H28" i="201"/>
  <c r="G28" i="201"/>
  <c r="E28" i="201"/>
  <c r="C28" i="201"/>
  <c r="L17" i="146" s="1"/>
  <c r="D28" i="200"/>
  <c r="O17" i="146" s="1"/>
  <c r="B29" i="200"/>
  <c r="K28" i="200"/>
  <c r="J28" i="200" s="1"/>
  <c r="I28" i="200"/>
  <c r="H28" i="200"/>
  <c r="G28" i="200"/>
  <c r="F28" i="200"/>
  <c r="D28" i="199"/>
  <c r="G17" i="146" s="1"/>
  <c r="E28" i="200"/>
  <c r="B107" i="200"/>
  <c r="C106" i="200"/>
  <c r="D28" i="197"/>
  <c r="K17" i="146" s="1"/>
  <c r="C28" i="200"/>
  <c r="N17" i="146" s="1"/>
  <c r="B107" i="199"/>
  <c r="C106" i="199"/>
  <c r="B29" i="199"/>
  <c r="K28" i="199"/>
  <c r="J28" i="199" s="1"/>
  <c r="I28" i="199"/>
  <c r="H28" i="199"/>
  <c r="G28" i="199"/>
  <c r="E28" i="199"/>
  <c r="C28" i="199"/>
  <c r="F17" i="146" s="1"/>
  <c r="F28" i="198"/>
  <c r="D28" i="198"/>
  <c r="I17" i="146" s="1"/>
  <c r="B107" i="198"/>
  <c r="C106" i="198"/>
  <c r="E28" i="198"/>
  <c r="C28" i="198"/>
  <c r="H17" i="146" s="1"/>
  <c r="B29" i="198"/>
  <c r="K28" i="198"/>
  <c r="J28" i="198" s="1"/>
  <c r="I28" i="198"/>
  <c r="H28" i="198"/>
  <c r="G28" i="198"/>
  <c r="E28" i="197"/>
  <c r="B29" i="197"/>
  <c r="J28" i="197"/>
  <c r="F29" i="197" s="1"/>
  <c r="B107" i="197"/>
  <c r="C106" i="197"/>
  <c r="B29" i="181"/>
  <c r="F29" i="193"/>
  <c r="C29" i="193"/>
  <c r="G29" i="193"/>
  <c r="H29" i="193"/>
  <c r="I29" i="193"/>
  <c r="K29" i="193"/>
  <c r="J29" i="193" s="1"/>
  <c r="L29" i="193"/>
  <c r="B108" i="193"/>
  <c r="C107" i="193"/>
  <c r="B30" i="193"/>
  <c r="F27" i="190"/>
  <c r="E27" i="190"/>
  <c r="C27" i="190"/>
  <c r="D27" i="190"/>
  <c r="B106" i="190"/>
  <c r="C105" i="190"/>
  <c r="B28" i="190"/>
  <c r="B29" i="190" s="1"/>
  <c r="B30" i="190" s="1"/>
  <c r="B31" i="190" s="1"/>
  <c r="B32" i="190" s="1"/>
  <c r="B33" i="190" s="1"/>
  <c r="B34" i="190" s="1"/>
  <c r="B35" i="190" s="1"/>
  <c r="B36" i="190" s="1"/>
  <c r="B37" i="190" s="1"/>
  <c r="B38" i="190" s="1"/>
  <c r="B39" i="190" s="1"/>
  <c r="B40" i="190" s="1"/>
  <c r="B41" i="190" s="1"/>
  <c r="B42" i="190" s="1"/>
  <c r="B43" i="190" s="1"/>
  <c r="B44" i="190" s="1"/>
  <c r="B45" i="190" s="1"/>
  <c r="B46" i="190" s="1"/>
  <c r="B47" i="190" s="1"/>
  <c r="B48" i="190" s="1"/>
  <c r="B49" i="190" s="1"/>
  <c r="B50" i="190" s="1"/>
  <c r="B51" i="190" s="1"/>
  <c r="B52" i="190" s="1"/>
  <c r="B53" i="190" s="1"/>
  <c r="B54" i="190" s="1"/>
  <c r="B55" i="190" s="1"/>
  <c r="B56" i="190" s="1"/>
  <c r="B57" i="190" s="1"/>
  <c r="B58" i="190" s="1"/>
  <c r="B59" i="190" s="1"/>
  <c r="B60" i="190" s="1"/>
  <c r="B61" i="190" s="1"/>
  <c r="B62" i="190" s="1"/>
  <c r="B63" i="190" s="1"/>
  <c r="B64" i="190" s="1"/>
  <c r="B65" i="190" s="1"/>
  <c r="B66" i="190" s="1"/>
  <c r="B67" i="190" s="1"/>
  <c r="K27" i="190"/>
  <c r="J27" i="190" s="1"/>
  <c r="C7" i="190" s="1" a="1"/>
  <c r="C7" i="190" s="1"/>
  <c r="I27" i="190"/>
  <c r="H27" i="190"/>
  <c r="G27" i="190"/>
  <c r="B29" i="182"/>
  <c r="B30" i="182" s="1"/>
  <c r="B31" i="182" s="1"/>
  <c r="B32" i="182" s="1"/>
  <c r="B33" i="182" s="1"/>
  <c r="B34" i="182" s="1"/>
  <c r="B35" i="182" s="1"/>
  <c r="B36" i="182" s="1"/>
  <c r="B37" i="182" s="1"/>
  <c r="B38" i="182" s="1"/>
  <c r="B39" i="182" s="1"/>
  <c r="B40" i="182" s="1"/>
  <c r="B41" i="182" s="1"/>
  <c r="B42" i="182" s="1"/>
  <c r="B43" i="182" s="1"/>
  <c r="B44" i="182" s="1"/>
  <c r="B45" i="182" s="1"/>
  <c r="B46" i="182" s="1"/>
  <c r="B47" i="182" s="1"/>
  <c r="B48" i="182" s="1"/>
  <c r="B49" i="182" s="1"/>
  <c r="B50" i="182" s="1"/>
  <c r="B51" i="182" s="1"/>
  <c r="B52" i="182" s="1"/>
  <c r="B53" i="182" s="1"/>
  <c r="B54" i="182" s="1"/>
  <c r="B55" i="182" s="1"/>
  <c r="D28" i="181"/>
  <c r="E28" i="181"/>
  <c r="F28" i="181"/>
  <c r="C8" i="182" a="1"/>
  <c r="C8" i="182" s="1"/>
  <c r="D33" i="182" s="1"/>
  <c r="D34" i="182" s="1"/>
  <c r="D35" i="182" s="1"/>
  <c r="D36" i="182" s="1"/>
  <c r="D37" i="182" s="1"/>
  <c r="D38" i="182" s="1"/>
  <c r="D39" i="182" s="1"/>
  <c r="D40" i="182" s="1"/>
  <c r="D41" i="182" s="1"/>
  <c r="D42" i="182" s="1"/>
  <c r="D43" i="182" s="1"/>
  <c r="D44" i="182" s="1"/>
  <c r="D45" i="182" s="1"/>
  <c r="D46" i="182" s="1"/>
  <c r="D47" i="182" s="1"/>
  <c r="D48" i="182" s="1"/>
  <c r="D49" i="182" s="1"/>
  <c r="D50" i="182" s="1"/>
  <c r="D51" i="182" s="1"/>
  <c r="D52" i="182" s="1"/>
  <c r="D53" i="182" s="1"/>
  <c r="D54" i="182" s="1"/>
  <c r="D55" i="182" s="1"/>
  <c r="F28" i="182"/>
  <c r="B107" i="182"/>
  <c r="C106" i="182"/>
  <c r="C28" i="181"/>
  <c r="B107" i="181"/>
  <c r="C106" i="181"/>
  <c r="C23" i="168"/>
  <c r="B106" i="157"/>
  <c r="C105" i="157"/>
  <c r="B106" i="156"/>
  <c r="C105" i="156"/>
  <c r="B106" i="155"/>
  <c r="C105" i="155"/>
  <c r="G29" i="197" l="1"/>
  <c r="K29" i="197"/>
  <c r="H29" i="197"/>
  <c r="I29" i="197"/>
  <c r="F29" i="199"/>
  <c r="C29" i="197"/>
  <c r="J18" i="146" s="1"/>
  <c r="C108" i="205"/>
  <c r="B109" i="205"/>
  <c r="F29" i="204"/>
  <c r="B108" i="204"/>
  <c r="C107" i="204"/>
  <c r="B30" i="204"/>
  <c r="E30" i="204"/>
  <c r="D29" i="203"/>
  <c r="Q18" i="146" s="1"/>
  <c r="C29" i="203"/>
  <c r="P18" i="146" s="1"/>
  <c r="B30" i="203"/>
  <c r="K29" i="203"/>
  <c r="J29" i="203" s="1"/>
  <c r="I29" i="203"/>
  <c r="H29" i="203"/>
  <c r="G29" i="203"/>
  <c r="F29" i="203"/>
  <c r="B108" i="203"/>
  <c r="C107" i="203"/>
  <c r="E29" i="203"/>
  <c r="F29" i="202"/>
  <c r="C29" i="202"/>
  <c r="R18" i="146" s="1"/>
  <c r="E29" i="202"/>
  <c r="B30" i="202"/>
  <c r="K29" i="202"/>
  <c r="J29" i="202" s="1"/>
  <c r="I29" i="202"/>
  <c r="H29" i="202"/>
  <c r="G29" i="202"/>
  <c r="D29" i="202"/>
  <c r="S18" i="146" s="1"/>
  <c r="B108" i="202"/>
  <c r="C107" i="202"/>
  <c r="F29" i="201"/>
  <c r="E29" i="201"/>
  <c r="B30" i="201"/>
  <c r="K29" i="201"/>
  <c r="J29" i="201" s="1"/>
  <c r="I29" i="201"/>
  <c r="H29" i="201"/>
  <c r="G29" i="201"/>
  <c r="D29" i="201"/>
  <c r="M18" i="146" s="1"/>
  <c r="C29" i="201"/>
  <c r="L18" i="146" s="1"/>
  <c r="B108" i="201"/>
  <c r="C107" i="201"/>
  <c r="F29" i="200"/>
  <c r="B108" i="200"/>
  <c r="C107" i="200"/>
  <c r="C29" i="200"/>
  <c r="N18" i="146" s="1"/>
  <c r="E29" i="200"/>
  <c r="B30" i="200"/>
  <c r="K29" i="200"/>
  <c r="J29" i="200" s="1"/>
  <c r="I29" i="200"/>
  <c r="H29" i="200"/>
  <c r="G29" i="200"/>
  <c r="D29" i="200"/>
  <c r="O18" i="146" s="1"/>
  <c r="D29" i="199"/>
  <c r="G18" i="146" s="1"/>
  <c r="C29" i="199"/>
  <c r="F18" i="146" s="1"/>
  <c r="E29" i="199"/>
  <c r="B30" i="199"/>
  <c r="K29" i="199"/>
  <c r="J29" i="199" s="1"/>
  <c r="I29" i="199"/>
  <c r="G29" i="199"/>
  <c r="B108" i="199"/>
  <c r="C107" i="199"/>
  <c r="F29" i="198"/>
  <c r="E29" i="198"/>
  <c r="B30" i="198"/>
  <c r="K29" i="198"/>
  <c r="J29" i="198" s="1"/>
  <c r="I29" i="198"/>
  <c r="H29" i="198"/>
  <c r="G29" i="198"/>
  <c r="B108" i="198"/>
  <c r="C107" i="198"/>
  <c r="C29" i="198"/>
  <c r="H18" i="146" s="1"/>
  <c r="D29" i="198"/>
  <c r="I18" i="146" s="1"/>
  <c r="D29" i="197"/>
  <c r="K18" i="146" s="1"/>
  <c r="E29" i="197"/>
  <c r="B108" i="197"/>
  <c r="C107" i="197"/>
  <c r="B30" i="197"/>
  <c r="J29" i="197"/>
  <c r="F30" i="197" s="1"/>
  <c r="B30" i="181"/>
  <c r="C6" i="190" a="1"/>
  <c r="C6" i="190" s="1"/>
  <c r="F30" i="193"/>
  <c r="C30" i="193"/>
  <c r="G30" i="193"/>
  <c r="H30" i="193"/>
  <c r="I30" i="193"/>
  <c r="K30" i="193"/>
  <c r="J30" i="193" s="1"/>
  <c r="L30" i="193"/>
  <c r="B31" i="193"/>
  <c r="B109" i="193"/>
  <c r="C108" i="193"/>
  <c r="F28" i="190"/>
  <c r="F29" i="190" s="1"/>
  <c r="F30" i="190" s="1"/>
  <c r="F31" i="190" s="1"/>
  <c r="F32" i="190" s="1"/>
  <c r="F33" i="190" s="1"/>
  <c r="F34" i="190" s="1"/>
  <c r="F35" i="190" s="1"/>
  <c r="F36" i="190" s="1"/>
  <c r="F37" i="190" s="1"/>
  <c r="D28" i="190"/>
  <c r="C28" i="190"/>
  <c r="E28" i="190"/>
  <c r="E29" i="190" s="1"/>
  <c r="E30" i="190" s="1"/>
  <c r="E31" i="190" s="1"/>
  <c r="E32" i="190" s="1"/>
  <c r="E33" i="190" s="1"/>
  <c r="E34" i="190" s="1"/>
  <c r="E35" i="190" s="1"/>
  <c r="E36" i="190" s="1"/>
  <c r="E37" i="190" s="1"/>
  <c r="E38" i="190" s="1"/>
  <c r="E39" i="190" s="1"/>
  <c r="E40" i="190" s="1"/>
  <c r="E41" i="190" s="1"/>
  <c r="E42" i="190" s="1"/>
  <c r="E43" i="190" s="1"/>
  <c r="E44" i="190" s="1"/>
  <c r="E45" i="190" s="1"/>
  <c r="E46" i="190" s="1"/>
  <c r="E47" i="190" s="1"/>
  <c r="E48" i="190" s="1"/>
  <c r="E49" i="190" s="1"/>
  <c r="E50" i="190" s="1"/>
  <c r="E51" i="190" s="1"/>
  <c r="E52" i="190" s="1"/>
  <c r="E53" i="190" s="1"/>
  <c r="E54" i="190" s="1"/>
  <c r="E55" i="190" s="1"/>
  <c r="E56" i="190" s="1"/>
  <c r="E57" i="190" s="1"/>
  <c r="E58" i="190" s="1"/>
  <c r="E59" i="190" s="1"/>
  <c r="E60" i="190" s="1"/>
  <c r="E61" i="190" s="1"/>
  <c r="E62" i="190" s="1"/>
  <c r="E63" i="190" s="1"/>
  <c r="E64" i="190" s="1"/>
  <c r="E65" i="190" s="1"/>
  <c r="E66" i="190" s="1"/>
  <c r="E67" i="190" s="1"/>
  <c r="B107" i="190"/>
  <c r="C106" i="190"/>
  <c r="F29" i="182"/>
  <c r="F30" i="182" s="1"/>
  <c r="F31" i="182" s="1"/>
  <c r="F32" i="182" s="1"/>
  <c r="D29" i="181"/>
  <c r="F29" i="181"/>
  <c r="E29" i="181"/>
  <c r="C29" i="181"/>
  <c r="B108" i="182"/>
  <c r="C107" i="182"/>
  <c r="B108" i="181"/>
  <c r="C107" i="181"/>
  <c r="E23" i="168"/>
  <c r="B107" i="157"/>
  <c r="C106" i="157"/>
  <c r="B107" i="156"/>
  <c r="C106" i="156"/>
  <c r="B107" i="155"/>
  <c r="C106" i="155"/>
  <c r="G30" i="197" l="1"/>
  <c r="K30" i="197"/>
  <c r="H30" i="197"/>
  <c r="I30" i="197"/>
  <c r="F30" i="199"/>
  <c r="C30" i="197"/>
  <c r="J19" i="146" s="1"/>
  <c r="C109" i="205"/>
  <c r="B110" i="205"/>
  <c r="B31" i="204"/>
  <c r="F30" i="204"/>
  <c r="B109" i="204"/>
  <c r="C108" i="204"/>
  <c r="F30" i="203"/>
  <c r="B109" i="203"/>
  <c r="C108" i="203"/>
  <c r="B31" i="203"/>
  <c r="K30" i="203"/>
  <c r="J30" i="203" s="1"/>
  <c r="I30" i="203"/>
  <c r="H30" i="203"/>
  <c r="G30" i="203"/>
  <c r="E30" i="203"/>
  <c r="C30" i="203"/>
  <c r="P19" i="146" s="1"/>
  <c r="D30" i="203"/>
  <c r="Q19" i="146" s="1"/>
  <c r="D30" i="202"/>
  <c r="S19" i="146" s="1"/>
  <c r="B31" i="202"/>
  <c r="K30" i="202"/>
  <c r="J30" i="202" s="1"/>
  <c r="I30" i="202"/>
  <c r="H30" i="202"/>
  <c r="G30" i="202"/>
  <c r="E30" i="202"/>
  <c r="C30" i="202"/>
  <c r="R19" i="146" s="1"/>
  <c r="F30" i="202"/>
  <c r="B109" i="202"/>
  <c r="C108" i="202"/>
  <c r="F30" i="201"/>
  <c r="C30" i="201"/>
  <c r="L19" i="146" s="1"/>
  <c r="D30" i="201"/>
  <c r="M19" i="146" s="1"/>
  <c r="B31" i="201"/>
  <c r="K30" i="201"/>
  <c r="J30" i="201" s="1"/>
  <c r="I30" i="201"/>
  <c r="H30" i="201"/>
  <c r="G30" i="201"/>
  <c r="E30" i="201"/>
  <c r="B109" i="201"/>
  <c r="C108" i="201"/>
  <c r="F30" i="200"/>
  <c r="C30" i="200"/>
  <c r="N19" i="146" s="1"/>
  <c r="B109" i="200"/>
  <c r="C108" i="200"/>
  <c r="D30" i="200"/>
  <c r="O19" i="146" s="1"/>
  <c r="B31" i="200"/>
  <c r="K30" i="200"/>
  <c r="J30" i="200" s="1"/>
  <c r="I30" i="200"/>
  <c r="H30" i="200"/>
  <c r="G30" i="200"/>
  <c r="E30" i="200"/>
  <c r="E30" i="199"/>
  <c r="C30" i="199"/>
  <c r="F19" i="146" s="1"/>
  <c r="D30" i="199"/>
  <c r="G19" i="146" s="1"/>
  <c r="B109" i="199"/>
  <c r="C108" i="199"/>
  <c r="B31" i="199"/>
  <c r="K30" i="199"/>
  <c r="J30" i="199" s="1"/>
  <c r="I30" i="199"/>
  <c r="H30" i="199"/>
  <c r="G30" i="199"/>
  <c r="F30" i="198"/>
  <c r="C30" i="198"/>
  <c r="H19" i="146" s="1"/>
  <c r="B109" i="198"/>
  <c r="C108" i="198"/>
  <c r="B31" i="198"/>
  <c r="K30" i="198"/>
  <c r="J30" i="198" s="1"/>
  <c r="I30" i="198"/>
  <c r="H30" i="198"/>
  <c r="G30" i="198"/>
  <c r="D30" i="197"/>
  <c r="K19" i="146" s="1"/>
  <c r="E30" i="198"/>
  <c r="D30" i="198"/>
  <c r="I19" i="146" s="1"/>
  <c r="E30" i="197"/>
  <c r="B109" i="197"/>
  <c r="C108" i="197"/>
  <c r="B31" i="197"/>
  <c r="J30" i="197"/>
  <c r="F31" i="197" s="1"/>
  <c r="F31" i="193"/>
  <c r="F32" i="193" s="1"/>
  <c r="F33" i="193" s="1"/>
  <c r="F34" i="193" s="1"/>
  <c r="F35" i="193" s="1"/>
  <c r="F36" i="193" s="1"/>
  <c r="F37" i="193" s="1"/>
  <c r="F38" i="193" s="1"/>
  <c r="C31" i="193"/>
  <c r="D30" i="181"/>
  <c r="B110" i="193"/>
  <c r="C109" i="193"/>
  <c r="B32" i="193"/>
  <c r="E30" i="181"/>
  <c r="F30" i="181"/>
  <c r="C29" i="190"/>
  <c r="C30" i="190" s="1"/>
  <c r="C31" i="190" s="1"/>
  <c r="C32" i="190" s="1"/>
  <c r="C33" i="190" s="1"/>
  <c r="C34" i="190" s="1"/>
  <c r="C35" i="190" s="1"/>
  <c r="C36" i="190" s="1"/>
  <c r="C37" i="190" s="1"/>
  <c r="C38" i="190" s="1"/>
  <c r="C39" i="190" s="1"/>
  <c r="C40" i="190" s="1"/>
  <c r="C41" i="190" s="1"/>
  <c r="C42" i="190" s="1"/>
  <c r="C43" i="190" s="1"/>
  <c r="C44" i="190" s="1"/>
  <c r="C45" i="190" s="1"/>
  <c r="C46" i="190" s="1"/>
  <c r="C47" i="190" s="1"/>
  <c r="C48" i="190" s="1"/>
  <c r="C49" i="190" s="1"/>
  <c r="C50" i="190" s="1"/>
  <c r="C51" i="190" s="1"/>
  <c r="C52" i="190" s="1"/>
  <c r="C53" i="190" s="1"/>
  <c r="C54" i="190" s="1"/>
  <c r="C55" i="190" s="1"/>
  <c r="C56" i="190" s="1"/>
  <c r="C57" i="190" s="1"/>
  <c r="C58" i="190" s="1"/>
  <c r="C59" i="190" s="1"/>
  <c r="C60" i="190" s="1"/>
  <c r="C61" i="190" s="1"/>
  <c r="C62" i="190" s="1"/>
  <c r="C63" i="190" s="1"/>
  <c r="C64" i="190" s="1"/>
  <c r="C65" i="190" s="1"/>
  <c r="C66" i="190" s="1"/>
  <c r="C67" i="190" s="1"/>
  <c r="D29" i="190"/>
  <c r="D30" i="190" s="1"/>
  <c r="D31" i="190" s="1"/>
  <c r="D32" i="190" s="1"/>
  <c r="D33" i="190" s="1"/>
  <c r="D34" i="190" s="1"/>
  <c r="D35" i="190" s="1"/>
  <c r="D36" i="190" s="1"/>
  <c r="D37" i="190" s="1"/>
  <c r="D38" i="190" s="1"/>
  <c r="D39" i="190" s="1"/>
  <c r="D40" i="190" s="1"/>
  <c r="D41" i="190" s="1"/>
  <c r="D42" i="190" s="1"/>
  <c r="D43" i="190" s="1"/>
  <c r="D44" i="190" s="1"/>
  <c r="D45" i="190" s="1"/>
  <c r="D46" i="190" s="1"/>
  <c r="D47" i="190" s="1"/>
  <c r="D48" i="190" s="1"/>
  <c r="D49" i="190" s="1"/>
  <c r="D50" i="190" s="1"/>
  <c r="D51" i="190" s="1"/>
  <c r="D52" i="190" s="1"/>
  <c r="D53" i="190" s="1"/>
  <c r="D54" i="190" s="1"/>
  <c r="D55" i="190" s="1"/>
  <c r="D56" i="190" s="1"/>
  <c r="D57" i="190" s="1"/>
  <c r="D58" i="190" s="1"/>
  <c r="D59" i="190" s="1"/>
  <c r="D60" i="190" s="1"/>
  <c r="D61" i="190" s="1"/>
  <c r="D62" i="190" s="1"/>
  <c r="D63" i="190" s="1"/>
  <c r="D64" i="190" s="1"/>
  <c r="D65" i="190" s="1"/>
  <c r="D66" i="190" s="1"/>
  <c r="D67" i="190" s="1"/>
  <c r="B108" i="190"/>
  <c r="C107" i="190"/>
  <c r="C30" i="181"/>
  <c r="B109" i="182"/>
  <c r="C108" i="182"/>
  <c r="B31" i="181"/>
  <c r="B109" i="181"/>
  <c r="C108" i="181"/>
  <c r="E24" i="168"/>
  <c r="E25" i="168" s="1"/>
  <c r="E26" i="168" s="1"/>
  <c r="E27" i="168" s="1"/>
  <c r="E28" i="168" s="1"/>
  <c r="E29" i="168" s="1"/>
  <c r="E30" i="168" s="1"/>
  <c r="E31" i="168" s="1"/>
  <c r="E32" i="168" s="1"/>
  <c r="E33" i="168" s="1"/>
  <c r="E34" i="168" s="1"/>
  <c r="E35" i="168" s="1"/>
  <c r="E36" i="168" s="1"/>
  <c r="E37" i="168" s="1"/>
  <c r="E38" i="168" s="1"/>
  <c r="E39" i="168" s="1"/>
  <c r="E40" i="168" s="1"/>
  <c r="E41" i="168" s="1"/>
  <c r="E42" i="168" s="1"/>
  <c r="E43" i="168" s="1"/>
  <c r="E44" i="168" s="1"/>
  <c r="E45" i="168" s="1"/>
  <c r="E46" i="168" s="1"/>
  <c r="E47" i="168" s="1"/>
  <c r="E48" i="168" s="1"/>
  <c r="E49" i="168" s="1"/>
  <c r="E50" i="168" s="1"/>
  <c r="E51" i="168" s="1"/>
  <c r="E52" i="168" s="1"/>
  <c r="E53" i="168" s="1"/>
  <c r="E54" i="168" s="1"/>
  <c r="B108" i="157"/>
  <c r="C107" i="157"/>
  <c r="B108" i="156"/>
  <c r="C107" i="156"/>
  <c r="B108" i="155"/>
  <c r="C107" i="155"/>
  <c r="G31" i="197" l="1"/>
  <c r="K31" i="197"/>
  <c r="H31" i="197"/>
  <c r="I31" i="197"/>
  <c r="F31" i="199"/>
  <c r="C31" i="197"/>
  <c r="J20" i="146" s="1"/>
  <c r="C110" i="205"/>
  <c r="B111" i="205"/>
  <c r="F31" i="204"/>
  <c r="B32" i="204"/>
  <c r="B33" i="204" s="1"/>
  <c r="B34" i="204" s="1"/>
  <c r="B35" i="204" s="1"/>
  <c r="B36" i="204" s="1"/>
  <c r="B37" i="204" s="1"/>
  <c r="B38" i="204" s="1"/>
  <c r="B39" i="204" s="1"/>
  <c r="B40" i="204" s="1"/>
  <c r="B41" i="204" s="1"/>
  <c r="B42" i="204" s="1"/>
  <c r="B43" i="204" s="1"/>
  <c r="B44" i="204" s="1"/>
  <c r="B45" i="204" s="1"/>
  <c r="B46" i="204" s="1"/>
  <c r="B47" i="204" s="1"/>
  <c r="B48" i="204" s="1"/>
  <c r="B49" i="204" s="1"/>
  <c r="B50" i="204" s="1"/>
  <c r="B51" i="204" s="1"/>
  <c r="B52" i="204" s="1"/>
  <c r="B53" i="204" s="1"/>
  <c r="B54" i="204" s="1"/>
  <c r="B55" i="204" s="1"/>
  <c r="B56" i="204" s="1"/>
  <c r="B57" i="204" s="1"/>
  <c r="B58" i="204" s="1"/>
  <c r="B59" i="204" s="1"/>
  <c r="C7" i="204" a="1"/>
  <c r="C7" i="204" s="1"/>
  <c r="B110" i="204"/>
  <c r="C109" i="204"/>
  <c r="E31" i="204"/>
  <c r="F31" i="203"/>
  <c r="E31" i="203"/>
  <c r="B32" i="203"/>
  <c r="K31" i="203"/>
  <c r="J31" i="203" s="1"/>
  <c r="I31" i="203"/>
  <c r="H31" i="203"/>
  <c r="G31" i="203"/>
  <c r="B110" i="203"/>
  <c r="C109" i="203"/>
  <c r="D31" i="203"/>
  <c r="Q20" i="146" s="1"/>
  <c r="C31" i="203"/>
  <c r="P20" i="146" s="1"/>
  <c r="F31" i="202"/>
  <c r="B110" i="202"/>
  <c r="C109" i="202"/>
  <c r="C31" i="202"/>
  <c r="R20" i="146" s="1"/>
  <c r="E31" i="202"/>
  <c r="B32" i="202"/>
  <c r="K31" i="202"/>
  <c r="J31" i="202" s="1"/>
  <c r="I31" i="202"/>
  <c r="H31" i="202"/>
  <c r="G31" i="202"/>
  <c r="D31" i="202"/>
  <c r="S20" i="146" s="1"/>
  <c r="F31" i="201"/>
  <c r="E31" i="201"/>
  <c r="B32" i="201"/>
  <c r="K31" i="201"/>
  <c r="J31" i="201" s="1"/>
  <c r="I31" i="201"/>
  <c r="H31" i="201"/>
  <c r="G31" i="201"/>
  <c r="D31" i="201"/>
  <c r="M20" i="146" s="1"/>
  <c r="C31" i="201"/>
  <c r="L20" i="146" s="1"/>
  <c r="B110" i="201"/>
  <c r="C109" i="201"/>
  <c r="F31" i="200"/>
  <c r="B110" i="200"/>
  <c r="C109" i="200"/>
  <c r="C31" i="200"/>
  <c r="N20" i="146" s="1"/>
  <c r="E31" i="200"/>
  <c r="B32" i="200"/>
  <c r="K31" i="200"/>
  <c r="J31" i="200" s="1"/>
  <c r="I31" i="200"/>
  <c r="H31" i="200"/>
  <c r="G31" i="200"/>
  <c r="D31" i="200"/>
  <c r="O20" i="146" s="1"/>
  <c r="D31" i="199"/>
  <c r="G20" i="146" s="1"/>
  <c r="B32" i="199"/>
  <c r="K31" i="199"/>
  <c r="J31" i="199" s="1"/>
  <c r="I31" i="199"/>
  <c r="H31" i="199"/>
  <c r="G31" i="199"/>
  <c r="C31" i="199"/>
  <c r="F20" i="146" s="1"/>
  <c r="E31" i="199"/>
  <c r="B110" i="199"/>
  <c r="C109" i="199"/>
  <c r="F31" i="198"/>
  <c r="B110" i="198"/>
  <c r="C109" i="198"/>
  <c r="C31" i="198"/>
  <c r="H20" i="146" s="1"/>
  <c r="D31" i="198"/>
  <c r="I20" i="146" s="1"/>
  <c r="D31" i="197"/>
  <c r="K20" i="146" s="1"/>
  <c r="B32" i="198"/>
  <c r="K31" i="198"/>
  <c r="J31" i="198" s="1"/>
  <c r="I31" i="198"/>
  <c r="H31" i="198"/>
  <c r="G31" i="198"/>
  <c r="E31" i="198"/>
  <c r="E31" i="197"/>
  <c r="B110" i="197"/>
  <c r="C109" i="197"/>
  <c r="B32" i="197"/>
  <c r="J31" i="197"/>
  <c r="F32" i="197" s="1"/>
  <c r="F31" i="181"/>
  <c r="E31" i="181"/>
  <c r="B33" i="193"/>
  <c r="B111" i="193"/>
  <c r="C110" i="193"/>
  <c r="B109" i="190"/>
  <c r="C108" i="190"/>
  <c r="B110" i="182"/>
  <c r="C109" i="182"/>
  <c r="B110" i="181"/>
  <c r="C109" i="181"/>
  <c r="B32" i="181"/>
  <c r="C24" i="168"/>
  <c r="C25" i="168" s="1"/>
  <c r="C26" i="168" s="1"/>
  <c r="C27" i="168" s="1"/>
  <c r="C28" i="168" s="1"/>
  <c r="C29" i="168" s="1"/>
  <c r="C30" i="168" s="1"/>
  <c r="C31" i="168" s="1"/>
  <c r="C32" i="168" s="1"/>
  <c r="C33" i="168" s="1"/>
  <c r="C34" i="168" s="1"/>
  <c r="C35" i="168" s="1"/>
  <c r="C36" i="168" s="1"/>
  <c r="C37" i="168" s="1"/>
  <c r="C38" i="168" s="1"/>
  <c r="C39" i="168" s="1"/>
  <c r="C40" i="168" s="1"/>
  <c r="C41" i="168" s="1"/>
  <c r="C42" i="168" s="1"/>
  <c r="C43" i="168" s="1"/>
  <c r="C44" i="168" s="1"/>
  <c r="C45" i="168" s="1"/>
  <c r="C46" i="168" s="1"/>
  <c r="C47" i="168" s="1"/>
  <c r="C48" i="168" s="1"/>
  <c r="C49" i="168" s="1"/>
  <c r="C50" i="168" s="1"/>
  <c r="C51" i="168" s="1"/>
  <c r="C52" i="168" s="1"/>
  <c r="C53" i="168" s="1"/>
  <c r="C54" i="168" s="1"/>
  <c r="B109" i="157"/>
  <c r="C108" i="157"/>
  <c r="B109" i="156"/>
  <c r="C108" i="156"/>
  <c r="B109" i="155"/>
  <c r="C108" i="155"/>
  <c r="G32" i="197" l="1"/>
  <c r="K32" i="197"/>
  <c r="H32" i="197"/>
  <c r="I32" i="197"/>
  <c r="F32" i="199"/>
  <c r="C32" i="197"/>
  <c r="J21" i="146" s="1"/>
  <c r="C111" i="205"/>
  <c r="B112" i="205"/>
  <c r="C19" i="204"/>
  <c r="C20" i="204" s="1"/>
  <c r="C21" i="204" s="1"/>
  <c r="C22" i="204" s="1"/>
  <c r="C23" i="204" s="1"/>
  <c r="C24" i="204" s="1"/>
  <c r="C25" i="204" s="1"/>
  <c r="C26" i="204" s="1"/>
  <c r="C27" i="204" s="1"/>
  <c r="C28" i="204" s="1"/>
  <c r="C29" i="204" s="1"/>
  <c r="C30" i="204" s="1"/>
  <c r="C31" i="204" s="1"/>
  <c r="C32" i="204" s="1"/>
  <c r="C33" i="204" s="1"/>
  <c r="C34" i="204" s="1"/>
  <c r="C35" i="204" s="1"/>
  <c r="C36" i="204" s="1"/>
  <c r="C37" i="204" s="1"/>
  <c r="C38" i="204" s="1"/>
  <c r="C39" i="204" s="1"/>
  <c r="C40" i="204" s="1"/>
  <c r="C41" i="204" s="1"/>
  <c r="C42" i="204" s="1"/>
  <c r="C43" i="204" s="1"/>
  <c r="C44" i="204" s="1"/>
  <c r="C45" i="204" s="1"/>
  <c r="C46" i="204" s="1"/>
  <c r="C47" i="204" s="1"/>
  <c r="C48" i="204" s="1"/>
  <c r="C49" i="204" s="1"/>
  <c r="C50" i="204" s="1"/>
  <c r="C51" i="204" s="1"/>
  <c r="C52" i="204" s="1"/>
  <c r="C53" i="204" s="1"/>
  <c r="C54" i="204" s="1"/>
  <c r="C55" i="204" s="1"/>
  <c r="C56" i="204" s="1"/>
  <c r="C57" i="204" s="1"/>
  <c r="C58" i="204" s="1"/>
  <c r="C59" i="204" s="1"/>
  <c r="B111" i="204"/>
  <c r="C110" i="204"/>
  <c r="F32" i="204"/>
  <c r="C8" i="204" a="1"/>
  <c r="C8" i="204" s="1"/>
  <c r="E32" i="204"/>
  <c r="E33" i="204" s="1"/>
  <c r="E34" i="204" s="1"/>
  <c r="E35" i="204" s="1"/>
  <c r="E36" i="204" s="1"/>
  <c r="E37" i="204" s="1"/>
  <c r="E38" i="204" s="1"/>
  <c r="E39" i="204" s="1"/>
  <c r="E40" i="204" s="1"/>
  <c r="E41" i="204" s="1"/>
  <c r="E42" i="204" s="1"/>
  <c r="E43" i="204" s="1"/>
  <c r="E44" i="204" s="1"/>
  <c r="E45" i="204" s="1"/>
  <c r="E46" i="204" s="1"/>
  <c r="E47" i="204" s="1"/>
  <c r="E48" i="204" s="1"/>
  <c r="E49" i="204" s="1"/>
  <c r="E50" i="204" s="1"/>
  <c r="E51" i="204" s="1"/>
  <c r="E52" i="204" s="1"/>
  <c r="E53" i="204" s="1"/>
  <c r="E54" i="204" s="1"/>
  <c r="E55" i="204" s="1"/>
  <c r="E56" i="204" s="1"/>
  <c r="E57" i="204" s="1"/>
  <c r="E58" i="204" s="1"/>
  <c r="E59" i="204" s="1"/>
  <c r="F32" i="203"/>
  <c r="B111" i="203"/>
  <c r="C110" i="203"/>
  <c r="B33" i="203"/>
  <c r="K32" i="203"/>
  <c r="J32" i="203" s="1"/>
  <c r="I32" i="203"/>
  <c r="H32" i="203"/>
  <c r="G32" i="203"/>
  <c r="C32" i="203"/>
  <c r="P21" i="146" s="1"/>
  <c r="E32" i="203"/>
  <c r="D32" i="203"/>
  <c r="D32" i="202"/>
  <c r="S21" i="146" s="1"/>
  <c r="B33" i="202"/>
  <c r="K32" i="202"/>
  <c r="J32" i="202" s="1"/>
  <c r="I32" i="202"/>
  <c r="H32" i="202"/>
  <c r="G32" i="202"/>
  <c r="E32" i="202"/>
  <c r="C32" i="202"/>
  <c r="R21" i="146" s="1"/>
  <c r="F32" i="202"/>
  <c r="B111" i="202"/>
  <c r="C110" i="202"/>
  <c r="F32" i="201"/>
  <c r="C32" i="201"/>
  <c r="L21" i="146" s="1"/>
  <c r="D32" i="201"/>
  <c r="M21" i="146" s="1"/>
  <c r="B33" i="201"/>
  <c r="K32" i="201"/>
  <c r="J32" i="201" s="1"/>
  <c r="I32" i="201"/>
  <c r="H32" i="201"/>
  <c r="G32" i="201"/>
  <c r="E32" i="201"/>
  <c r="B111" i="201"/>
  <c r="C110" i="201"/>
  <c r="F32" i="200"/>
  <c r="C32" i="200"/>
  <c r="N21" i="146" s="1"/>
  <c r="B111" i="200"/>
  <c r="C110" i="200"/>
  <c r="D32" i="200"/>
  <c r="O21" i="146" s="1"/>
  <c r="B33" i="200"/>
  <c r="K32" i="200"/>
  <c r="J32" i="200" s="1"/>
  <c r="I32" i="200"/>
  <c r="H32" i="200"/>
  <c r="G32" i="200"/>
  <c r="E32" i="200"/>
  <c r="B111" i="199"/>
  <c r="C110" i="199"/>
  <c r="E32" i="199"/>
  <c r="C32" i="199"/>
  <c r="F21" i="146" s="1"/>
  <c r="B33" i="199"/>
  <c r="K32" i="199"/>
  <c r="J32" i="199" s="1"/>
  <c r="I32" i="199"/>
  <c r="H32" i="199"/>
  <c r="G32" i="199"/>
  <c r="D32" i="199"/>
  <c r="G21" i="146" s="1"/>
  <c r="F32" i="198"/>
  <c r="C32" i="198"/>
  <c r="H21" i="146" s="1"/>
  <c r="E32" i="198"/>
  <c r="B33" i="198"/>
  <c r="K32" i="198"/>
  <c r="J32" i="198" s="1"/>
  <c r="I32" i="198"/>
  <c r="H32" i="198"/>
  <c r="G32" i="198"/>
  <c r="D32" i="197"/>
  <c r="K21" i="146" s="1"/>
  <c r="B111" i="198"/>
  <c r="C110" i="198"/>
  <c r="F32" i="181"/>
  <c r="D32" i="198"/>
  <c r="I21" i="146" s="1"/>
  <c r="E32" i="197"/>
  <c r="B33" i="197"/>
  <c r="J32" i="197"/>
  <c r="F33" i="197" s="1"/>
  <c r="B111" i="197"/>
  <c r="C110" i="197"/>
  <c r="E32" i="181"/>
  <c r="B112" i="193"/>
  <c r="C111" i="193"/>
  <c r="B34" i="193"/>
  <c r="B110" i="190"/>
  <c r="C109" i="190"/>
  <c r="B111" i="182"/>
  <c r="C110" i="182"/>
  <c r="B33" i="181"/>
  <c r="B111" i="181"/>
  <c r="C110" i="181"/>
  <c r="B110" i="157"/>
  <c r="C109" i="157"/>
  <c r="B110" i="156"/>
  <c r="C109" i="156"/>
  <c r="B110" i="155"/>
  <c r="C109" i="155"/>
  <c r="G33" i="197" l="1"/>
  <c r="K33" i="197"/>
  <c r="H33" i="197"/>
  <c r="I33" i="197"/>
  <c r="F33" i="199"/>
  <c r="C33" i="197"/>
  <c r="J22" i="146" s="1"/>
  <c r="B113" i="205"/>
  <c r="C112" i="205"/>
  <c r="D19" i="204"/>
  <c r="D20" i="204" s="1"/>
  <c r="D21" i="204" s="1"/>
  <c r="D22" i="204" s="1"/>
  <c r="D23" i="204" s="1"/>
  <c r="D24" i="204" s="1"/>
  <c r="D25" i="204" s="1"/>
  <c r="D26" i="204" s="1"/>
  <c r="D27" i="204" s="1"/>
  <c r="D28" i="204" s="1"/>
  <c r="D29" i="204" s="1"/>
  <c r="D30" i="204" s="1"/>
  <c r="D31" i="204" s="1"/>
  <c r="D32" i="204" s="1"/>
  <c r="D33" i="204" s="1"/>
  <c r="D34" i="204" s="1"/>
  <c r="D35" i="204" s="1"/>
  <c r="D36" i="204" s="1"/>
  <c r="D37" i="204" s="1"/>
  <c r="D38" i="204" s="1"/>
  <c r="D39" i="204" s="1"/>
  <c r="D40" i="204" s="1"/>
  <c r="D41" i="204" s="1"/>
  <c r="D42" i="204" s="1"/>
  <c r="D43" i="204" s="1"/>
  <c r="D44" i="204" s="1"/>
  <c r="D45" i="204" s="1"/>
  <c r="D46" i="204" s="1"/>
  <c r="D47" i="204" s="1"/>
  <c r="D48" i="204" s="1"/>
  <c r="D49" i="204" s="1"/>
  <c r="D50" i="204" s="1"/>
  <c r="D51" i="204" s="1"/>
  <c r="D52" i="204" s="1"/>
  <c r="D53" i="204" s="1"/>
  <c r="D54" i="204" s="1"/>
  <c r="D55" i="204" s="1"/>
  <c r="D56" i="204" s="1"/>
  <c r="D57" i="204" s="1"/>
  <c r="D58" i="204" s="1"/>
  <c r="D59" i="204" s="1"/>
  <c r="B112" i="204"/>
  <c r="C111" i="204"/>
  <c r="D33" i="203"/>
  <c r="Q22" i="146" s="1"/>
  <c r="Q21" i="146"/>
  <c r="C33" i="203"/>
  <c r="P22" i="146" s="1"/>
  <c r="B34" i="203"/>
  <c r="K33" i="203"/>
  <c r="J33" i="203" s="1"/>
  <c r="I33" i="203"/>
  <c r="H33" i="203"/>
  <c r="G33" i="203"/>
  <c r="B112" i="203"/>
  <c r="C111" i="203"/>
  <c r="F33" i="203"/>
  <c r="E33" i="203"/>
  <c r="B112" i="202"/>
  <c r="C111" i="202"/>
  <c r="F33" i="202"/>
  <c r="C33" i="202"/>
  <c r="R22" i="146" s="1"/>
  <c r="E33" i="202"/>
  <c r="B34" i="202"/>
  <c r="K33" i="202"/>
  <c r="J33" i="202" s="1"/>
  <c r="I33" i="202"/>
  <c r="H33" i="202"/>
  <c r="G33" i="202"/>
  <c r="D33" i="202"/>
  <c r="S22" i="146" s="1"/>
  <c r="E33" i="201"/>
  <c r="B34" i="201"/>
  <c r="K33" i="201"/>
  <c r="J33" i="201" s="1"/>
  <c r="I33" i="201"/>
  <c r="H33" i="201"/>
  <c r="G33" i="201"/>
  <c r="D33" i="201"/>
  <c r="M22" i="146" s="1"/>
  <c r="C33" i="201"/>
  <c r="L22" i="146" s="1"/>
  <c r="F33" i="201"/>
  <c r="B112" i="201"/>
  <c r="C111" i="201"/>
  <c r="F33" i="200"/>
  <c r="B112" i="200"/>
  <c r="C111" i="200"/>
  <c r="C33" i="200"/>
  <c r="N22" i="146" s="1"/>
  <c r="E33" i="200"/>
  <c r="B34" i="200"/>
  <c r="K33" i="200"/>
  <c r="J33" i="200" s="1"/>
  <c r="I33" i="200"/>
  <c r="H33" i="200"/>
  <c r="G33" i="200"/>
  <c r="D33" i="200"/>
  <c r="O22" i="146" s="1"/>
  <c r="D33" i="199"/>
  <c r="G22" i="146" s="1"/>
  <c r="B34" i="199"/>
  <c r="K33" i="199"/>
  <c r="J33" i="199" s="1"/>
  <c r="I33" i="199"/>
  <c r="H33" i="199"/>
  <c r="E33" i="199"/>
  <c r="B112" i="199"/>
  <c r="C111" i="199"/>
  <c r="C33" i="199"/>
  <c r="F22" i="146" s="1"/>
  <c r="F33" i="198"/>
  <c r="E33" i="198"/>
  <c r="D33" i="198"/>
  <c r="I22" i="146" s="1"/>
  <c r="C33" i="198"/>
  <c r="H22" i="146" s="1"/>
  <c r="B112" i="198"/>
  <c r="C111" i="198"/>
  <c r="D33" i="197"/>
  <c r="K22" i="146" s="1"/>
  <c r="B34" i="198"/>
  <c r="K33" i="198"/>
  <c r="J33" i="198" s="1"/>
  <c r="I33" i="198"/>
  <c r="H33" i="198"/>
  <c r="G33" i="198"/>
  <c r="E33" i="197"/>
  <c r="B112" i="197"/>
  <c r="C111" i="197"/>
  <c r="B34" i="197"/>
  <c r="J33" i="197"/>
  <c r="F34" i="197" s="1"/>
  <c r="E33" i="181"/>
  <c r="B113" i="193"/>
  <c r="C112" i="193"/>
  <c r="B35" i="193"/>
  <c r="F33" i="181"/>
  <c r="B111" i="190"/>
  <c r="C110" i="190"/>
  <c r="B112" i="182"/>
  <c r="C111" i="182"/>
  <c r="B112" i="181"/>
  <c r="C111" i="181"/>
  <c r="B34" i="181"/>
  <c r="B111" i="157"/>
  <c r="C110" i="157"/>
  <c r="B111" i="156"/>
  <c r="C110" i="156"/>
  <c r="B111" i="155"/>
  <c r="C110" i="155"/>
  <c r="G34" i="197" l="1"/>
  <c r="K34" i="197"/>
  <c r="H34" i="197"/>
  <c r="I34" i="197"/>
  <c r="F34" i="199"/>
  <c r="E34" i="181"/>
  <c r="C34" i="197"/>
  <c r="J23" i="146" s="1"/>
  <c r="C113" i="205"/>
  <c r="B114" i="205"/>
  <c r="B113" i="204"/>
  <c r="C112" i="204"/>
  <c r="F34" i="203"/>
  <c r="D34" i="203"/>
  <c r="Q23" i="146" s="1"/>
  <c r="B113" i="203"/>
  <c r="C112" i="203"/>
  <c r="B35" i="203"/>
  <c r="K34" i="203"/>
  <c r="J34" i="203" s="1"/>
  <c r="I34" i="203"/>
  <c r="H34" i="203"/>
  <c r="G34" i="203"/>
  <c r="E34" i="203"/>
  <c r="C34" i="203"/>
  <c r="P23" i="146" s="1"/>
  <c r="F34" i="202"/>
  <c r="C34" i="202"/>
  <c r="R23" i="146" s="1"/>
  <c r="E34" i="202"/>
  <c r="D34" i="202"/>
  <c r="S23" i="146" s="1"/>
  <c r="B35" i="202"/>
  <c r="K34" i="202"/>
  <c r="J34" i="202" s="1"/>
  <c r="I34" i="202"/>
  <c r="H34" i="202"/>
  <c r="G34" i="202"/>
  <c r="B113" i="202"/>
  <c r="C112" i="202"/>
  <c r="F34" i="201"/>
  <c r="C34" i="201"/>
  <c r="L23" i="146" s="1"/>
  <c r="D34" i="201"/>
  <c r="M23" i="146" s="1"/>
  <c r="B35" i="201"/>
  <c r="K34" i="201"/>
  <c r="J34" i="201" s="1"/>
  <c r="I34" i="201"/>
  <c r="H34" i="201"/>
  <c r="G34" i="201"/>
  <c r="B113" i="201"/>
  <c r="C112" i="201"/>
  <c r="E34" i="201"/>
  <c r="F34" i="200"/>
  <c r="C34" i="200"/>
  <c r="N23" i="146" s="1"/>
  <c r="B113" i="200"/>
  <c r="C112" i="200"/>
  <c r="D34" i="200"/>
  <c r="O23" i="146" s="1"/>
  <c r="B35" i="200"/>
  <c r="K34" i="200"/>
  <c r="J34" i="200" s="1"/>
  <c r="I34" i="200"/>
  <c r="H34" i="200"/>
  <c r="G34" i="200"/>
  <c r="E34" i="200"/>
  <c r="B113" i="199"/>
  <c r="C112" i="199"/>
  <c r="E34" i="199"/>
  <c r="K34" i="199"/>
  <c r="J34" i="199" s="1"/>
  <c r="I34" i="199"/>
  <c r="H34" i="199"/>
  <c r="D34" i="199"/>
  <c r="G23" i="146" s="1"/>
  <c r="C34" i="199"/>
  <c r="F23" i="146" s="1"/>
  <c r="F34" i="198"/>
  <c r="B35" i="198"/>
  <c r="K34" i="198"/>
  <c r="J34" i="198" s="1"/>
  <c r="I34" i="198"/>
  <c r="H34" i="198"/>
  <c r="G34" i="198"/>
  <c r="C34" i="198"/>
  <c r="H23" i="146" s="1"/>
  <c r="D34" i="197"/>
  <c r="K23" i="146" s="1"/>
  <c r="D34" i="198"/>
  <c r="I23" i="146" s="1"/>
  <c r="E34" i="198"/>
  <c r="B113" i="198"/>
  <c r="C112" i="198"/>
  <c r="E34" i="197"/>
  <c r="B113" i="197"/>
  <c r="C112" i="197"/>
  <c r="B35" i="197"/>
  <c r="J34" i="197"/>
  <c r="F35" i="197" s="1"/>
  <c r="B114" i="193"/>
  <c r="C113" i="193"/>
  <c r="B36" i="193"/>
  <c r="B37" i="193" s="1"/>
  <c r="B38" i="193" s="1"/>
  <c r="B39" i="193" s="1"/>
  <c r="B40" i="193" s="1"/>
  <c r="B41" i="193" s="1"/>
  <c r="B42" i="193" s="1"/>
  <c r="B43" i="193" s="1"/>
  <c r="B44" i="193" s="1"/>
  <c r="B45" i="193" s="1"/>
  <c r="B46" i="193" s="1"/>
  <c r="B47" i="193" s="1"/>
  <c r="B48" i="193" s="1"/>
  <c r="B49" i="193" s="1"/>
  <c r="B50" i="193" s="1"/>
  <c r="B51" i="193" s="1"/>
  <c r="B52" i="193" s="1"/>
  <c r="B53" i="193" s="1"/>
  <c r="B54" i="193" s="1"/>
  <c r="B55" i="193" s="1"/>
  <c r="B56" i="193" s="1"/>
  <c r="B57" i="193" s="1"/>
  <c r="B58" i="193" s="1"/>
  <c r="B59" i="193" s="1"/>
  <c r="B60" i="193" s="1"/>
  <c r="B61" i="193" s="1"/>
  <c r="B62" i="193" s="1"/>
  <c r="B63" i="193" s="1"/>
  <c r="B64" i="193" s="1"/>
  <c r="B65" i="193" s="1"/>
  <c r="B66" i="193" s="1"/>
  <c r="B67" i="193" s="1"/>
  <c r="B68" i="193" s="1"/>
  <c r="B69" i="193" s="1"/>
  <c r="F34" i="181"/>
  <c r="B35" i="181"/>
  <c r="B112" i="190"/>
  <c r="C111" i="190"/>
  <c r="B113" i="182"/>
  <c r="C112" i="182"/>
  <c r="B113" i="181"/>
  <c r="C112" i="181"/>
  <c r="B112" i="157"/>
  <c r="C111" i="157"/>
  <c r="B112" i="156"/>
  <c r="C111" i="156"/>
  <c r="B112" i="155"/>
  <c r="C111" i="155"/>
  <c r="G35" i="197" l="1"/>
  <c r="K35" i="197"/>
  <c r="H35" i="197"/>
  <c r="I35" i="197"/>
  <c r="E35" i="197"/>
  <c r="F35" i="181"/>
  <c r="F36" i="181" s="1"/>
  <c r="F37" i="181" s="1"/>
  <c r="F38" i="181" s="1"/>
  <c r="F39" i="181" s="1"/>
  <c r="E35" i="181"/>
  <c r="E36" i="181" s="1"/>
  <c r="E37" i="181" s="1"/>
  <c r="E38" i="181" s="1"/>
  <c r="E39" i="181" s="1"/>
  <c r="E40" i="181" s="1"/>
  <c r="E41" i="181" s="1"/>
  <c r="E42" i="181" s="1"/>
  <c r="E43" i="181" s="1"/>
  <c r="E44" i="181" s="1"/>
  <c r="E45" i="181" s="1"/>
  <c r="E46" i="181" s="1"/>
  <c r="E47" i="181" s="1"/>
  <c r="E48" i="181" s="1"/>
  <c r="E49" i="181" s="1"/>
  <c r="E50" i="181" s="1"/>
  <c r="E51" i="181" s="1"/>
  <c r="E52" i="181" s="1"/>
  <c r="E53" i="181" s="1"/>
  <c r="E54" i="181" s="1"/>
  <c r="E55" i="181" s="1"/>
  <c r="E56" i="181" s="1"/>
  <c r="E57" i="181" s="1"/>
  <c r="E58" i="181" s="1"/>
  <c r="E59" i="181" s="1"/>
  <c r="E60" i="181" s="1"/>
  <c r="E61" i="181" s="1"/>
  <c r="E62" i="181" s="1"/>
  <c r="E63" i="181" s="1"/>
  <c r="E64" i="181" s="1"/>
  <c r="E65" i="181" s="1"/>
  <c r="E66" i="181" s="1"/>
  <c r="E67" i="181" s="1"/>
  <c r="E68" i="181" s="1"/>
  <c r="C35" i="197"/>
  <c r="J24" i="146" s="1"/>
  <c r="F35" i="199"/>
  <c r="C114" i="205"/>
  <c r="B115" i="205"/>
  <c r="B114" i="204"/>
  <c r="C113" i="204"/>
  <c r="F35" i="203"/>
  <c r="E35" i="201"/>
  <c r="B114" i="203"/>
  <c r="C113" i="203"/>
  <c r="C35" i="203"/>
  <c r="P24" i="146" s="1"/>
  <c r="D35" i="198"/>
  <c r="I24" i="146" s="1"/>
  <c r="D35" i="203"/>
  <c r="Q24" i="146" s="1"/>
  <c r="E35" i="203"/>
  <c r="B36" i="203"/>
  <c r="K35" i="203"/>
  <c r="J35" i="203" s="1"/>
  <c r="I35" i="203"/>
  <c r="H35" i="203"/>
  <c r="G35" i="203"/>
  <c r="F35" i="202"/>
  <c r="D35" i="202"/>
  <c r="S24" i="146" s="1"/>
  <c r="E35" i="202"/>
  <c r="C35" i="202"/>
  <c r="R24" i="146" s="1"/>
  <c r="B114" i="202"/>
  <c r="C113" i="202"/>
  <c r="B36" i="202"/>
  <c r="K35" i="202"/>
  <c r="J35" i="202" s="1"/>
  <c r="I35" i="202"/>
  <c r="H35" i="202"/>
  <c r="G35" i="202"/>
  <c r="F35" i="201"/>
  <c r="B114" i="201"/>
  <c r="C113" i="201"/>
  <c r="B36" i="201"/>
  <c r="K35" i="201"/>
  <c r="J35" i="201" s="1"/>
  <c r="I35" i="201"/>
  <c r="H35" i="201"/>
  <c r="G35" i="201"/>
  <c r="D35" i="201"/>
  <c r="M24" i="146" s="1"/>
  <c r="C35" i="201"/>
  <c r="L24" i="146" s="1"/>
  <c r="B114" i="200"/>
  <c r="C113" i="200"/>
  <c r="F35" i="200"/>
  <c r="C35" i="200"/>
  <c r="N24" i="146" s="1"/>
  <c r="E35" i="200"/>
  <c r="B36" i="200"/>
  <c r="K35" i="200"/>
  <c r="J35" i="200" s="1"/>
  <c r="I35" i="200"/>
  <c r="H35" i="200"/>
  <c r="G35" i="200"/>
  <c r="D35" i="200"/>
  <c r="O24" i="146" s="1"/>
  <c r="E35" i="199"/>
  <c r="B114" i="199"/>
  <c r="C113" i="199"/>
  <c r="C35" i="199"/>
  <c r="F24" i="146" s="1"/>
  <c r="D35" i="199"/>
  <c r="G24" i="146" s="1"/>
  <c r="K35" i="199"/>
  <c r="J35" i="199" s="1"/>
  <c r="I35" i="199"/>
  <c r="H35" i="199"/>
  <c r="F35" i="198"/>
  <c r="D35" i="197"/>
  <c r="K24" i="146" s="1"/>
  <c r="C35" i="198"/>
  <c r="H24" i="146" s="1"/>
  <c r="B36" i="198"/>
  <c r="K35" i="198"/>
  <c r="J35" i="198" s="1"/>
  <c r="I35" i="198"/>
  <c r="H35" i="198"/>
  <c r="G35" i="198"/>
  <c r="B114" i="198"/>
  <c r="C113" i="198"/>
  <c r="E35" i="198"/>
  <c r="B36" i="197"/>
  <c r="J35" i="197"/>
  <c r="F36" i="197" s="1"/>
  <c r="B114" i="197"/>
  <c r="C113" i="197"/>
  <c r="B36" i="181"/>
  <c r="B37" i="181" s="1"/>
  <c r="B38" i="181" s="1"/>
  <c r="B39" i="181" s="1"/>
  <c r="B115" i="193"/>
  <c r="C114" i="193"/>
  <c r="C8" i="193" a="1"/>
  <c r="C8" i="193" s="1"/>
  <c r="C32" i="193" s="1"/>
  <c r="C33" i="193" s="1"/>
  <c r="C34" i="193" s="1"/>
  <c r="C35" i="193" s="1"/>
  <c r="C36" i="193" s="1"/>
  <c r="C9" i="193" a="1"/>
  <c r="C9" i="193" s="1"/>
  <c r="B113" i="190"/>
  <c r="C112" i="190"/>
  <c r="B114" i="182"/>
  <c r="C113" i="182"/>
  <c r="B114" i="181"/>
  <c r="C113" i="181"/>
  <c r="B113" i="157"/>
  <c r="C112" i="157"/>
  <c r="B113" i="156"/>
  <c r="C112" i="156"/>
  <c r="B113" i="155"/>
  <c r="C112" i="155"/>
  <c r="G36" i="197" l="1"/>
  <c r="K36" i="197"/>
  <c r="H36" i="197"/>
  <c r="I36" i="197"/>
  <c r="E36" i="197"/>
  <c r="B40" i="181"/>
  <c r="C36" i="197"/>
  <c r="J25" i="146" s="1"/>
  <c r="F36" i="199"/>
  <c r="C115" i="205"/>
  <c r="B116" i="205"/>
  <c r="B115" i="204"/>
  <c r="C114" i="204"/>
  <c r="F36" i="203"/>
  <c r="D36" i="203"/>
  <c r="Q25" i="146" s="1"/>
  <c r="B37" i="203"/>
  <c r="K36" i="203"/>
  <c r="J36" i="203" s="1"/>
  <c r="I36" i="203"/>
  <c r="H36" i="203"/>
  <c r="G36" i="203"/>
  <c r="C36" i="203"/>
  <c r="P25" i="146" s="1"/>
  <c r="E36" i="203"/>
  <c r="B115" i="203"/>
  <c r="C114" i="203"/>
  <c r="B115" i="202"/>
  <c r="C114" i="202"/>
  <c r="F36" i="202"/>
  <c r="C36" i="202"/>
  <c r="R25" i="146" s="1"/>
  <c r="B37" i="202"/>
  <c r="K36" i="202"/>
  <c r="J36" i="202" s="1"/>
  <c r="I36" i="202"/>
  <c r="H36" i="202"/>
  <c r="G36" i="202"/>
  <c r="E36" i="202"/>
  <c r="D36" i="202"/>
  <c r="S25" i="146" s="1"/>
  <c r="D36" i="201"/>
  <c r="M25" i="146" s="1"/>
  <c r="B37" i="201"/>
  <c r="K36" i="201"/>
  <c r="J36" i="201" s="1"/>
  <c r="I36" i="201"/>
  <c r="H36" i="201"/>
  <c r="G36" i="201"/>
  <c r="D36" i="200"/>
  <c r="O25" i="146" s="1"/>
  <c r="B115" i="201"/>
  <c r="C114" i="201"/>
  <c r="F36" i="201"/>
  <c r="C36" i="201"/>
  <c r="L25" i="146" s="1"/>
  <c r="E36" i="201"/>
  <c r="E36" i="200"/>
  <c r="B37" i="200"/>
  <c r="K36" i="200"/>
  <c r="J36" i="200" s="1"/>
  <c r="I36" i="200"/>
  <c r="H36" i="200"/>
  <c r="G36" i="200"/>
  <c r="C36" i="200"/>
  <c r="N25" i="146" s="1"/>
  <c r="F36" i="200"/>
  <c r="B115" i="200"/>
  <c r="C114" i="200"/>
  <c r="C36" i="199"/>
  <c r="F25" i="146" s="1"/>
  <c r="K36" i="199"/>
  <c r="J36" i="199" s="1"/>
  <c r="I36" i="199"/>
  <c r="H36" i="199"/>
  <c r="B115" i="199"/>
  <c r="C114" i="199"/>
  <c r="D36" i="199"/>
  <c r="G25" i="146" s="1"/>
  <c r="E36" i="199"/>
  <c r="F36" i="198"/>
  <c r="B37" i="198"/>
  <c r="K36" i="198"/>
  <c r="J36" i="198" s="1"/>
  <c r="I36" i="198"/>
  <c r="H36" i="198"/>
  <c r="G36" i="198"/>
  <c r="C36" i="198"/>
  <c r="H25" i="146" s="1"/>
  <c r="E36" i="198"/>
  <c r="D36" i="197"/>
  <c r="K25" i="146" s="1"/>
  <c r="B115" i="198"/>
  <c r="C114" i="198"/>
  <c r="D36" i="198"/>
  <c r="I25" i="146" s="1"/>
  <c r="B115" i="197"/>
  <c r="C114" i="197"/>
  <c r="B37" i="197"/>
  <c r="J36" i="197"/>
  <c r="F37" i="197" s="1"/>
  <c r="B116" i="193"/>
  <c r="C115" i="193"/>
  <c r="B114" i="190"/>
  <c r="C113" i="190"/>
  <c r="B115" i="182"/>
  <c r="C114" i="182"/>
  <c r="B115" i="181"/>
  <c r="C114" i="181"/>
  <c r="B114" i="157"/>
  <c r="C113" i="157"/>
  <c r="B114" i="156"/>
  <c r="C113" i="156"/>
  <c r="B114" i="155"/>
  <c r="C113" i="155"/>
  <c r="G37" i="197" l="1"/>
  <c r="K37" i="197"/>
  <c r="H37" i="197"/>
  <c r="I37" i="197"/>
  <c r="E37" i="197"/>
  <c r="B41" i="181"/>
  <c r="C37" i="197"/>
  <c r="J26" i="146" s="1"/>
  <c r="F37" i="199"/>
  <c r="C116" i="205"/>
  <c r="B117" i="205"/>
  <c r="B116" i="204"/>
  <c r="C115" i="204"/>
  <c r="F37" i="203"/>
  <c r="E37" i="203"/>
  <c r="C37" i="203"/>
  <c r="P26" i="146" s="1"/>
  <c r="B38" i="203"/>
  <c r="K37" i="203"/>
  <c r="J37" i="203" s="1"/>
  <c r="C8" i="203" s="1" a="1"/>
  <c r="C8" i="203" s="1"/>
  <c r="I37" i="203"/>
  <c r="H37" i="203"/>
  <c r="G37" i="203"/>
  <c r="D37" i="203"/>
  <c r="Q26" i="146" s="1"/>
  <c r="E37" i="202"/>
  <c r="B116" i="203"/>
  <c r="C115" i="203"/>
  <c r="C37" i="202"/>
  <c r="R26" i="146" s="1"/>
  <c r="B38" i="202"/>
  <c r="K37" i="202"/>
  <c r="J37" i="202" s="1"/>
  <c r="I37" i="202"/>
  <c r="H37" i="202"/>
  <c r="G37" i="202"/>
  <c r="F37" i="202"/>
  <c r="C37" i="201"/>
  <c r="L26" i="146" s="1"/>
  <c r="D37" i="202"/>
  <c r="S26" i="146" s="1"/>
  <c r="B116" i="202"/>
  <c r="C115" i="202"/>
  <c r="F37" i="201"/>
  <c r="B116" i="201"/>
  <c r="C115" i="201"/>
  <c r="B38" i="201"/>
  <c r="K37" i="201"/>
  <c r="J37" i="201" s="1"/>
  <c r="I37" i="201"/>
  <c r="H37" i="201"/>
  <c r="G37" i="201"/>
  <c r="E37" i="201"/>
  <c r="D37" i="201"/>
  <c r="M26" i="146" s="1"/>
  <c r="F37" i="200"/>
  <c r="D37" i="200"/>
  <c r="O26" i="146" s="1"/>
  <c r="E37" i="200"/>
  <c r="D37" i="199"/>
  <c r="G26" i="146" s="1"/>
  <c r="B116" i="200"/>
  <c r="C115" i="200"/>
  <c r="C37" i="200"/>
  <c r="N26" i="146" s="1"/>
  <c r="B38" i="200"/>
  <c r="K37" i="200"/>
  <c r="J37" i="200" s="1"/>
  <c r="I37" i="200"/>
  <c r="H37" i="200"/>
  <c r="G37" i="200"/>
  <c r="B116" i="199"/>
  <c r="C115" i="199"/>
  <c r="K37" i="199"/>
  <c r="J37" i="199" s="1"/>
  <c r="I37" i="199"/>
  <c r="H37" i="199"/>
  <c r="E37" i="199"/>
  <c r="C37" i="199"/>
  <c r="F26" i="146" s="1"/>
  <c r="F37" i="198"/>
  <c r="D37" i="198"/>
  <c r="I26" i="146" s="1"/>
  <c r="B116" i="198"/>
  <c r="C115" i="198"/>
  <c r="D37" i="197"/>
  <c r="K26" i="146" s="1"/>
  <c r="E37" i="198"/>
  <c r="C37" i="198"/>
  <c r="H26" i="146" s="1"/>
  <c r="B38" i="198"/>
  <c r="K37" i="198"/>
  <c r="J37" i="198" s="1"/>
  <c r="I37" i="198"/>
  <c r="H37" i="198"/>
  <c r="G37" i="198"/>
  <c r="B116" i="197"/>
  <c r="C115" i="197"/>
  <c r="B38" i="197"/>
  <c r="J37" i="197"/>
  <c r="B117" i="193"/>
  <c r="C116" i="193"/>
  <c r="B115" i="190"/>
  <c r="C114" i="190"/>
  <c r="B116" i="182"/>
  <c r="C115" i="182"/>
  <c r="B116" i="181"/>
  <c r="C115" i="181"/>
  <c r="B115" i="157"/>
  <c r="C114" i="157"/>
  <c r="B115" i="156"/>
  <c r="C114" i="156"/>
  <c r="B115" i="155"/>
  <c r="C114" i="155"/>
  <c r="F38" i="202" l="1"/>
  <c r="F39" i="202" s="1"/>
  <c r="F40" i="202" s="1"/>
  <c r="F38" i="197"/>
  <c r="G38" i="197"/>
  <c r="K38" i="197"/>
  <c r="J38" i="197" s="1"/>
  <c r="I38" i="197"/>
  <c r="H38" i="197"/>
  <c r="K38" i="201"/>
  <c r="J38" i="201" s="1"/>
  <c r="F39" i="201" s="1"/>
  <c r="I38" i="201"/>
  <c r="H38" i="201"/>
  <c r="G38" i="201"/>
  <c r="E38" i="197"/>
  <c r="B42" i="181"/>
  <c r="G38" i="198"/>
  <c r="H38" i="198"/>
  <c r="L39" i="198" s="1"/>
  <c r="I38" i="198"/>
  <c r="K38" i="198"/>
  <c r="J38" i="198" s="1"/>
  <c r="C8" i="198" s="1" a="1"/>
  <c r="C8" i="198" s="1"/>
  <c r="F38" i="201"/>
  <c r="F38" i="199"/>
  <c r="C117" i="205"/>
  <c r="B118" i="205"/>
  <c r="B117" i="204"/>
  <c r="C116" i="204"/>
  <c r="C38" i="201"/>
  <c r="B117" i="203"/>
  <c r="C116" i="203"/>
  <c r="F38" i="203"/>
  <c r="F39" i="203" s="1"/>
  <c r="F40" i="203" s="1"/>
  <c r="C38" i="203"/>
  <c r="P27" i="146" s="1"/>
  <c r="E38" i="203"/>
  <c r="E39" i="203" s="1"/>
  <c r="E40" i="203" s="1"/>
  <c r="E41" i="203" s="1"/>
  <c r="E42" i="203" s="1"/>
  <c r="E43" i="203" s="1"/>
  <c r="E44" i="203" s="1"/>
  <c r="E45" i="203" s="1"/>
  <c r="E46" i="203" s="1"/>
  <c r="E47" i="203" s="1"/>
  <c r="E48" i="203" s="1"/>
  <c r="E49" i="203" s="1"/>
  <c r="E50" i="203" s="1"/>
  <c r="E51" i="203" s="1"/>
  <c r="E52" i="203" s="1"/>
  <c r="E53" i="203" s="1"/>
  <c r="E54" i="203" s="1"/>
  <c r="E55" i="203" s="1"/>
  <c r="E56" i="203" s="1"/>
  <c r="E57" i="203" s="1"/>
  <c r="E58" i="203" s="1"/>
  <c r="E59" i="203" s="1"/>
  <c r="E60" i="203" s="1"/>
  <c r="E61" i="203" s="1"/>
  <c r="E62" i="203" s="1"/>
  <c r="E63" i="203" s="1"/>
  <c r="E64" i="203" s="1"/>
  <c r="E65" i="203" s="1"/>
  <c r="E66" i="203" s="1"/>
  <c r="E67" i="203" s="1"/>
  <c r="E68" i="203" s="1"/>
  <c r="C7" i="203" a="1"/>
  <c r="C7" i="203" s="1"/>
  <c r="D38" i="203"/>
  <c r="B39" i="203"/>
  <c r="C8" i="202" a="1"/>
  <c r="C8" i="202" s="1"/>
  <c r="E38" i="202"/>
  <c r="E39" i="202" s="1"/>
  <c r="E40" i="202" s="1"/>
  <c r="E41" i="202" s="1"/>
  <c r="E42" i="202" s="1"/>
  <c r="E43" i="202" s="1"/>
  <c r="E44" i="202" s="1"/>
  <c r="E45" i="202" s="1"/>
  <c r="E46" i="202" s="1"/>
  <c r="E47" i="202" s="1"/>
  <c r="E48" i="202" s="1"/>
  <c r="E49" i="202" s="1"/>
  <c r="E50" i="202" s="1"/>
  <c r="E51" i="202" s="1"/>
  <c r="E52" i="202" s="1"/>
  <c r="E53" i="202" s="1"/>
  <c r="E54" i="202" s="1"/>
  <c r="E55" i="202" s="1"/>
  <c r="E56" i="202" s="1"/>
  <c r="E57" i="202" s="1"/>
  <c r="E58" i="202" s="1"/>
  <c r="E59" i="202" s="1"/>
  <c r="E60" i="202" s="1"/>
  <c r="E61" i="202" s="1"/>
  <c r="E62" i="202" s="1"/>
  <c r="E63" i="202" s="1"/>
  <c r="E64" i="202" s="1"/>
  <c r="E65" i="202" s="1"/>
  <c r="E66" i="202" s="1"/>
  <c r="E67" i="202" s="1"/>
  <c r="E68" i="202" s="1"/>
  <c r="C7" i="202" a="1"/>
  <c r="C7" i="202" s="1"/>
  <c r="D38" i="202"/>
  <c r="S27" i="146" s="1"/>
  <c r="B39" i="202"/>
  <c r="B117" i="202"/>
  <c r="C116" i="202"/>
  <c r="C38" i="202"/>
  <c r="R27" i="146" s="1"/>
  <c r="B117" i="201"/>
  <c r="C116" i="201"/>
  <c r="D38" i="201"/>
  <c r="E38" i="201"/>
  <c r="B39" i="201"/>
  <c r="C8" i="200" a="1"/>
  <c r="C8" i="200" s="1"/>
  <c r="F38" i="200"/>
  <c r="F39" i="200" s="1"/>
  <c r="F40" i="200" s="1"/>
  <c r="C7" i="200" a="1"/>
  <c r="C7" i="200" s="1"/>
  <c r="C38" i="200"/>
  <c r="N27" i="146" s="1"/>
  <c r="B39" i="200"/>
  <c r="E38" i="200"/>
  <c r="E39" i="200" s="1"/>
  <c r="E40" i="200" s="1"/>
  <c r="E41" i="200" s="1"/>
  <c r="E42" i="200" s="1"/>
  <c r="E43" i="200" s="1"/>
  <c r="E44" i="200" s="1"/>
  <c r="E45" i="200" s="1"/>
  <c r="E46" i="200" s="1"/>
  <c r="E47" i="200" s="1"/>
  <c r="E48" i="200" s="1"/>
  <c r="E49" i="200" s="1"/>
  <c r="E50" i="200" s="1"/>
  <c r="E51" i="200" s="1"/>
  <c r="E52" i="200" s="1"/>
  <c r="E53" i="200" s="1"/>
  <c r="E54" i="200" s="1"/>
  <c r="E55" i="200" s="1"/>
  <c r="E56" i="200" s="1"/>
  <c r="E57" i="200" s="1"/>
  <c r="E58" i="200" s="1"/>
  <c r="E59" i="200" s="1"/>
  <c r="E60" i="200" s="1"/>
  <c r="E61" i="200" s="1"/>
  <c r="E62" i="200" s="1"/>
  <c r="E63" i="200" s="1"/>
  <c r="E64" i="200" s="1"/>
  <c r="E65" i="200" s="1"/>
  <c r="E66" i="200" s="1"/>
  <c r="E67" i="200" s="1"/>
  <c r="E68" i="200" s="1"/>
  <c r="D38" i="200"/>
  <c r="O27" i="146" s="1"/>
  <c r="B117" i="200"/>
  <c r="C116" i="200"/>
  <c r="D38" i="199"/>
  <c r="G27" i="146" s="1"/>
  <c r="E38" i="198"/>
  <c r="C38" i="199"/>
  <c r="B117" i="199"/>
  <c r="C116" i="199"/>
  <c r="E38" i="199"/>
  <c r="B39" i="198"/>
  <c r="B117" i="198"/>
  <c r="C116" i="198"/>
  <c r="F38" i="198"/>
  <c r="F39" i="198" s="1"/>
  <c r="D38" i="198"/>
  <c r="I27" i="146" s="1"/>
  <c r="C38" i="198"/>
  <c r="C38" i="197"/>
  <c r="J27" i="146" s="1"/>
  <c r="D38" i="197"/>
  <c r="K27" i="146" s="1"/>
  <c r="B39" i="197"/>
  <c r="B117" i="197"/>
  <c r="C116" i="197"/>
  <c r="B118" i="193"/>
  <c r="C117" i="193"/>
  <c r="B116" i="190"/>
  <c r="C115" i="190"/>
  <c r="B117" i="182"/>
  <c r="C116" i="182"/>
  <c r="B117" i="181"/>
  <c r="C116" i="181"/>
  <c r="B116" i="157"/>
  <c r="C115" i="157"/>
  <c r="B116" i="156"/>
  <c r="C115" i="156"/>
  <c r="B116" i="155"/>
  <c r="C115" i="155"/>
  <c r="E39" i="198" l="1"/>
  <c r="E39" i="201"/>
  <c r="G39" i="201"/>
  <c r="J39" i="201"/>
  <c r="C8" i="201" s="1" a="1"/>
  <c r="C8" i="201" s="1"/>
  <c r="I39" i="201"/>
  <c r="L27" i="146"/>
  <c r="C39" i="201"/>
  <c r="J39" i="197"/>
  <c r="C7" i="197" s="1" a="1"/>
  <c r="C7" i="197" s="1"/>
  <c r="I39" i="197"/>
  <c r="H39" i="197"/>
  <c r="G39" i="197"/>
  <c r="F39" i="197"/>
  <c r="E39" i="197"/>
  <c r="H39" i="201"/>
  <c r="E40" i="198"/>
  <c r="E41" i="198" s="1"/>
  <c r="E42" i="198" s="1"/>
  <c r="E43" i="198" s="1"/>
  <c r="E44" i="198" s="1"/>
  <c r="E45" i="198" s="1"/>
  <c r="E46" i="198" s="1"/>
  <c r="E47" i="198" s="1"/>
  <c r="E48" i="198" s="1"/>
  <c r="E49" i="198" s="1"/>
  <c r="E50" i="198" s="1"/>
  <c r="E51" i="198" s="1"/>
  <c r="E52" i="198" s="1"/>
  <c r="E53" i="198" s="1"/>
  <c r="E54" i="198" s="1"/>
  <c r="E55" i="198" s="1"/>
  <c r="E56" i="198" s="1"/>
  <c r="E57" i="198" s="1"/>
  <c r="E58" i="198" s="1"/>
  <c r="E59" i="198" s="1"/>
  <c r="E60" i="198" s="1"/>
  <c r="E61" i="198" s="1"/>
  <c r="E62" i="198" s="1"/>
  <c r="E63" i="198" s="1"/>
  <c r="E64" i="198" s="1"/>
  <c r="E65" i="198" s="1"/>
  <c r="E66" i="198" s="1"/>
  <c r="E67" i="198" s="1"/>
  <c r="E68" i="198" s="1"/>
  <c r="F27" i="146"/>
  <c r="J38" i="199"/>
  <c r="F39" i="199" s="1"/>
  <c r="C7" i="198" a="1"/>
  <c r="C7" i="198" s="1"/>
  <c r="B43" i="181"/>
  <c r="C118" i="205"/>
  <c r="B119" i="205"/>
  <c r="B118" i="204"/>
  <c r="C117" i="204"/>
  <c r="D39" i="201"/>
  <c r="M27" i="146"/>
  <c r="L28" i="146"/>
  <c r="D39" i="203"/>
  <c r="Q27" i="146"/>
  <c r="C39" i="198"/>
  <c r="C40" i="198" s="1"/>
  <c r="H27" i="146"/>
  <c r="C39" i="203"/>
  <c r="B40" i="203"/>
  <c r="B118" i="203"/>
  <c r="C117" i="203"/>
  <c r="B40" i="202"/>
  <c r="D39" i="202"/>
  <c r="C39" i="202"/>
  <c r="B118" i="202"/>
  <c r="C117" i="202"/>
  <c r="B40" i="201"/>
  <c r="B118" i="201"/>
  <c r="C117" i="201"/>
  <c r="B118" i="200"/>
  <c r="C117" i="200"/>
  <c r="B40" i="200"/>
  <c r="C39" i="200"/>
  <c r="D39" i="200"/>
  <c r="B118" i="199"/>
  <c r="C117" i="199"/>
  <c r="D39" i="198"/>
  <c r="D39" i="197"/>
  <c r="B118" i="198"/>
  <c r="C117" i="198"/>
  <c r="C39" i="197"/>
  <c r="B40" i="198"/>
  <c r="B118" i="197"/>
  <c r="C117" i="197"/>
  <c r="B40" i="197"/>
  <c r="B119" i="193"/>
  <c r="C118" i="193"/>
  <c r="B117" i="190"/>
  <c r="C116" i="190"/>
  <c r="B118" i="182"/>
  <c r="C117" i="182"/>
  <c r="B118" i="181"/>
  <c r="C117" i="181"/>
  <c r="B117" i="157"/>
  <c r="C116" i="157"/>
  <c r="B117" i="156"/>
  <c r="C116" i="156"/>
  <c r="B117" i="155"/>
  <c r="C116" i="155"/>
  <c r="C40" i="201" l="1"/>
  <c r="C7" i="201" a="1"/>
  <c r="C7" i="201" s="1"/>
  <c r="C41" i="201" s="1"/>
  <c r="C8" i="197" a="1"/>
  <c r="C8" i="197" s="1"/>
  <c r="E40" i="201"/>
  <c r="E41" i="201" s="1"/>
  <c r="E42" i="201" s="1"/>
  <c r="E43" i="201" s="1"/>
  <c r="E44" i="201" s="1"/>
  <c r="E45" i="201" s="1"/>
  <c r="E46" i="201" s="1"/>
  <c r="E47" i="201" s="1"/>
  <c r="E48" i="201" s="1"/>
  <c r="E49" i="201" s="1"/>
  <c r="E50" i="201" s="1"/>
  <c r="E51" i="201" s="1"/>
  <c r="E52" i="201" s="1"/>
  <c r="E53" i="201" s="1"/>
  <c r="E54" i="201" s="1"/>
  <c r="E55" i="201" s="1"/>
  <c r="E56" i="201" s="1"/>
  <c r="E57" i="201" s="1"/>
  <c r="E58" i="201" s="1"/>
  <c r="E59" i="201" s="1"/>
  <c r="E60" i="201" s="1"/>
  <c r="E61" i="201" s="1"/>
  <c r="E62" i="201" s="1"/>
  <c r="E63" i="201" s="1"/>
  <c r="E64" i="201" s="1"/>
  <c r="E65" i="201" s="1"/>
  <c r="E66" i="201" s="1"/>
  <c r="E67" i="201" s="1"/>
  <c r="E68" i="201" s="1"/>
  <c r="E40" i="197"/>
  <c r="E41" i="197" s="1"/>
  <c r="E42" i="197" s="1"/>
  <c r="E43" i="197" s="1"/>
  <c r="E44" i="197" s="1"/>
  <c r="E45" i="197" s="1"/>
  <c r="E46" i="197" s="1"/>
  <c r="E47" i="197" s="1"/>
  <c r="E48" i="197" s="1"/>
  <c r="E49" i="197" s="1"/>
  <c r="E50" i="197" s="1"/>
  <c r="E51" i="197" s="1"/>
  <c r="E52" i="197" s="1"/>
  <c r="E53" i="197" s="1"/>
  <c r="E54" i="197" s="1"/>
  <c r="E55" i="197" s="1"/>
  <c r="E56" i="197" s="1"/>
  <c r="E57" i="197" s="1"/>
  <c r="E58" i="197" s="1"/>
  <c r="E59" i="197" s="1"/>
  <c r="E60" i="197" s="1"/>
  <c r="E61" i="197" s="1"/>
  <c r="E62" i="197" s="1"/>
  <c r="E63" i="197" s="1"/>
  <c r="E64" i="197" s="1"/>
  <c r="E65" i="197" s="1"/>
  <c r="E66" i="197" s="1"/>
  <c r="E67" i="197" s="1"/>
  <c r="E68" i="197" s="1"/>
  <c r="F40" i="197"/>
  <c r="C41" i="198"/>
  <c r="C42" i="198" s="1"/>
  <c r="C43" i="198" s="1"/>
  <c r="E39" i="199"/>
  <c r="E40" i="199" s="1"/>
  <c r="E41" i="199" s="1"/>
  <c r="E42" i="199" s="1"/>
  <c r="E43" i="199" s="1"/>
  <c r="E44" i="199" s="1"/>
  <c r="E45" i="199" s="1"/>
  <c r="E46" i="199" s="1"/>
  <c r="E47" i="199" s="1"/>
  <c r="E48" i="199" s="1"/>
  <c r="E49" i="199" s="1"/>
  <c r="E50" i="199" s="1"/>
  <c r="E51" i="199" s="1"/>
  <c r="E52" i="199" s="1"/>
  <c r="E53" i="199" s="1"/>
  <c r="E54" i="199" s="1"/>
  <c r="E55" i="199" s="1"/>
  <c r="E56" i="199" s="1"/>
  <c r="E57" i="199" s="1"/>
  <c r="E58" i="199" s="1"/>
  <c r="E59" i="199" s="1"/>
  <c r="E60" i="199" s="1"/>
  <c r="E61" i="199" s="1"/>
  <c r="E62" i="199" s="1"/>
  <c r="E63" i="199" s="1"/>
  <c r="E64" i="199" s="1"/>
  <c r="E65" i="199" s="1"/>
  <c r="E66" i="199" s="1"/>
  <c r="E67" i="199" s="1"/>
  <c r="E68" i="199" s="1"/>
  <c r="C8" i="199" a="1"/>
  <c r="C8" i="199" s="1"/>
  <c r="C7" i="199" a="1"/>
  <c r="C7" i="199" s="1"/>
  <c r="D39" i="199"/>
  <c r="G28" i="146" s="1"/>
  <c r="C39" i="199"/>
  <c r="B44" i="181"/>
  <c r="B45" i="181" s="1"/>
  <c r="B46" i="181" s="1"/>
  <c r="B47" i="181" s="1"/>
  <c r="B48" i="181" s="1"/>
  <c r="B49" i="181" s="1"/>
  <c r="B50" i="181" s="1"/>
  <c r="B51" i="181" s="1"/>
  <c r="B52" i="181" s="1"/>
  <c r="B53" i="181" s="1"/>
  <c r="B54" i="181" s="1"/>
  <c r="B55" i="181" s="1"/>
  <c r="B56" i="181" s="1"/>
  <c r="B57" i="181" s="1"/>
  <c r="B58" i="181" s="1"/>
  <c r="B59" i="181" s="1"/>
  <c r="B60" i="181" s="1"/>
  <c r="B61" i="181" s="1"/>
  <c r="B62" i="181" s="1"/>
  <c r="B63" i="181" s="1"/>
  <c r="B64" i="181" s="1"/>
  <c r="B65" i="181" s="1"/>
  <c r="B66" i="181" s="1"/>
  <c r="B67" i="181" s="1"/>
  <c r="B68" i="181" s="1"/>
  <c r="C119" i="205"/>
  <c r="B120" i="205"/>
  <c r="B119" i="204"/>
  <c r="C118" i="204"/>
  <c r="D40" i="198"/>
  <c r="I28" i="146"/>
  <c r="D40" i="200"/>
  <c r="O28" i="146"/>
  <c r="C40" i="202"/>
  <c r="R28" i="146"/>
  <c r="D40" i="203"/>
  <c r="Q28" i="146"/>
  <c r="C40" i="197"/>
  <c r="J28" i="146"/>
  <c r="C40" i="200"/>
  <c r="N28" i="146"/>
  <c r="D40" i="202"/>
  <c r="S28" i="146"/>
  <c r="C40" i="203"/>
  <c r="P28" i="146"/>
  <c r="L29" i="146"/>
  <c r="D40" i="197"/>
  <c r="K28" i="146"/>
  <c r="H28" i="146"/>
  <c r="D40" i="201"/>
  <c r="M28" i="146"/>
  <c r="B119" i="203"/>
  <c r="C118" i="203"/>
  <c r="B41" i="203"/>
  <c r="B119" i="202"/>
  <c r="C118" i="202"/>
  <c r="F41" i="202"/>
  <c r="B41" i="202"/>
  <c r="B119" i="201"/>
  <c r="C118" i="201"/>
  <c r="B41" i="201"/>
  <c r="F41" i="200"/>
  <c r="B41" i="200"/>
  <c r="B119" i="200"/>
  <c r="C118" i="200"/>
  <c r="B119" i="199"/>
  <c r="C118" i="199"/>
  <c r="B119" i="198"/>
  <c r="C118" i="198"/>
  <c r="B41" i="198"/>
  <c r="F41" i="197"/>
  <c r="B41" i="197"/>
  <c r="B119" i="197"/>
  <c r="C118" i="197"/>
  <c r="C8" i="181" a="1"/>
  <c r="C8" i="181" s="1"/>
  <c r="D31" i="181" s="1"/>
  <c r="D32" i="181" s="1"/>
  <c r="D33" i="181" s="1"/>
  <c r="D34" i="181" s="1"/>
  <c r="D35" i="181" s="1"/>
  <c r="D36" i="181" s="1"/>
  <c r="D37" i="181" s="1"/>
  <c r="D38" i="181" s="1"/>
  <c r="D39" i="181" s="1"/>
  <c r="D40" i="181" s="1"/>
  <c r="D41" i="181" s="1"/>
  <c r="D42" i="181" s="1"/>
  <c r="D43" i="181" s="1"/>
  <c r="D44" i="181" s="1"/>
  <c r="D45" i="181" s="1"/>
  <c r="D46" i="181" s="1"/>
  <c r="D47" i="181" s="1"/>
  <c r="D48" i="181" s="1"/>
  <c r="D49" i="181" s="1"/>
  <c r="D50" i="181" s="1"/>
  <c r="D51" i="181" s="1"/>
  <c r="D52" i="181" s="1"/>
  <c r="D53" i="181" s="1"/>
  <c r="D54" i="181" s="1"/>
  <c r="D55" i="181" s="1"/>
  <c r="D56" i="181" s="1"/>
  <c r="D57" i="181" s="1"/>
  <c r="D58" i="181" s="1"/>
  <c r="D59" i="181" s="1"/>
  <c r="D60" i="181" s="1"/>
  <c r="D61" i="181" s="1"/>
  <c r="D62" i="181" s="1"/>
  <c r="D63" i="181" s="1"/>
  <c r="D64" i="181" s="1"/>
  <c r="D65" i="181" s="1"/>
  <c r="D66" i="181" s="1"/>
  <c r="D67" i="181" s="1"/>
  <c r="D68" i="181" s="1"/>
  <c r="C7" i="181" a="1"/>
  <c r="C7" i="181" s="1"/>
  <c r="C31" i="181" s="1"/>
  <c r="C32" i="181" s="1"/>
  <c r="C33" i="181" s="1"/>
  <c r="C34" i="181" s="1"/>
  <c r="C35" i="181" s="1"/>
  <c r="C36" i="181" s="1"/>
  <c r="C37" i="181" s="1"/>
  <c r="C38" i="181" s="1"/>
  <c r="C39" i="181" s="1"/>
  <c r="C40" i="181" s="1"/>
  <c r="C41" i="181" s="1"/>
  <c r="C42" i="181" s="1"/>
  <c r="C43" i="181" s="1"/>
  <c r="C44" i="181" s="1"/>
  <c r="C45" i="181" s="1"/>
  <c r="C46" i="181" s="1"/>
  <c r="C47" i="181" s="1"/>
  <c r="C48" i="181" s="1"/>
  <c r="C49" i="181" s="1"/>
  <c r="C50" i="181" s="1"/>
  <c r="C51" i="181" s="1"/>
  <c r="C52" i="181" s="1"/>
  <c r="C53" i="181" s="1"/>
  <c r="C54" i="181" s="1"/>
  <c r="C55" i="181" s="1"/>
  <c r="C56" i="181" s="1"/>
  <c r="C57" i="181" s="1"/>
  <c r="C58" i="181" s="1"/>
  <c r="C59" i="181" s="1"/>
  <c r="C60" i="181" s="1"/>
  <c r="C61" i="181" s="1"/>
  <c r="C62" i="181" s="1"/>
  <c r="C63" i="181" s="1"/>
  <c r="C64" i="181" s="1"/>
  <c r="C65" i="181" s="1"/>
  <c r="C66" i="181" s="1"/>
  <c r="C67" i="181" s="1"/>
  <c r="C68" i="181" s="1"/>
  <c r="B120" i="193"/>
  <c r="C119" i="193"/>
  <c r="B118" i="190"/>
  <c r="C117" i="190"/>
  <c r="B119" i="182"/>
  <c r="C118" i="182"/>
  <c r="B119" i="181"/>
  <c r="C118" i="181"/>
  <c r="B118" i="157"/>
  <c r="C117" i="157"/>
  <c r="B118" i="156"/>
  <c r="C117" i="156"/>
  <c r="B118" i="155"/>
  <c r="C117" i="155"/>
  <c r="D40" i="199" l="1"/>
  <c r="C40" i="199"/>
  <c r="C41" i="199" s="1"/>
  <c r="C42" i="199" s="1"/>
  <c r="C43" i="199" s="1"/>
  <c r="C44" i="199" s="1"/>
  <c r="F33" i="146" s="1"/>
  <c r="F28" i="146"/>
  <c r="C120" i="205"/>
  <c r="B121" i="205"/>
  <c r="B120" i="204"/>
  <c r="C119" i="204"/>
  <c r="J29" i="146"/>
  <c r="C41" i="197"/>
  <c r="D41" i="200"/>
  <c r="O29" i="146"/>
  <c r="C41" i="203"/>
  <c r="P29" i="146"/>
  <c r="D41" i="201"/>
  <c r="M29" i="146"/>
  <c r="D41" i="203"/>
  <c r="Q29" i="146"/>
  <c r="D41" i="199"/>
  <c r="G29" i="146"/>
  <c r="D41" i="197"/>
  <c r="K29" i="146"/>
  <c r="D41" i="202"/>
  <c r="S29" i="146"/>
  <c r="H29" i="146"/>
  <c r="C42" i="201"/>
  <c r="L30" i="146"/>
  <c r="C41" i="200"/>
  <c r="N29" i="146"/>
  <c r="C41" i="202"/>
  <c r="R29" i="146"/>
  <c r="D41" i="198"/>
  <c r="I29" i="146"/>
  <c r="F42" i="203"/>
  <c r="B42" i="203"/>
  <c r="B120" i="203"/>
  <c r="C119" i="203"/>
  <c r="F42" i="202"/>
  <c r="B42" i="202"/>
  <c r="B120" i="202"/>
  <c r="C119" i="202"/>
  <c r="F42" i="201"/>
  <c r="B42" i="201"/>
  <c r="B120" i="201"/>
  <c r="C119" i="201"/>
  <c r="B120" i="200"/>
  <c r="C119" i="200"/>
  <c r="F42" i="200"/>
  <c r="B42" i="200"/>
  <c r="B42" i="199"/>
  <c r="B120" i="199"/>
  <c r="C119" i="199"/>
  <c r="B42" i="198"/>
  <c r="B120" i="198"/>
  <c r="C119" i="198"/>
  <c r="B120" i="197"/>
  <c r="C119" i="197"/>
  <c r="F42" i="197"/>
  <c r="B42" i="197"/>
  <c r="B121" i="193"/>
  <c r="C120" i="193"/>
  <c r="B119" i="190"/>
  <c r="C118" i="190"/>
  <c r="B120" i="182"/>
  <c r="C119" i="182"/>
  <c r="B120" i="181"/>
  <c r="C119" i="181"/>
  <c r="B119" i="157"/>
  <c r="C118" i="157"/>
  <c r="B119" i="156"/>
  <c r="C118" i="156"/>
  <c r="B119" i="155"/>
  <c r="C118" i="155"/>
  <c r="F29" i="146" l="1"/>
  <c r="C121" i="205"/>
  <c r="B122" i="205"/>
  <c r="B121" i="204"/>
  <c r="C120" i="204"/>
  <c r="C42" i="200"/>
  <c r="N30" i="146"/>
  <c r="D42" i="202"/>
  <c r="S30" i="146"/>
  <c r="D42" i="203"/>
  <c r="Q30" i="146"/>
  <c r="C42" i="203"/>
  <c r="P30" i="146"/>
  <c r="D42" i="198"/>
  <c r="I30" i="146"/>
  <c r="C43" i="201"/>
  <c r="L31" i="146"/>
  <c r="D42" i="197"/>
  <c r="K30" i="146"/>
  <c r="F30" i="146"/>
  <c r="D42" i="200"/>
  <c r="O30" i="146"/>
  <c r="C42" i="197"/>
  <c r="J30" i="146"/>
  <c r="C42" i="202"/>
  <c r="R30" i="146"/>
  <c r="H30" i="146"/>
  <c r="D42" i="199"/>
  <c r="G30" i="146"/>
  <c r="D42" i="201"/>
  <c r="M30" i="146"/>
  <c r="B121" i="203"/>
  <c r="C120" i="203"/>
  <c r="F43" i="203"/>
  <c r="B43" i="203"/>
  <c r="B44" i="203" s="1"/>
  <c r="B45" i="203" s="1"/>
  <c r="B46" i="203" s="1"/>
  <c r="B47" i="203" s="1"/>
  <c r="B48" i="203" s="1"/>
  <c r="B49" i="203" s="1"/>
  <c r="B50" i="203" s="1"/>
  <c r="B51" i="203" s="1"/>
  <c r="B52" i="203" s="1"/>
  <c r="B53" i="203" s="1"/>
  <c r="B54" i="203" s="1"/>
  <c r="B55" i="203" s="1"/>
  <c r="B56" i="203" s="1"/>
  <c r="B57" i="203" s="1"/>
  <c r="B58" i="203" s="1"/>
  <c r="B59" i="203" s="1"/>
  <c r="B60" i="203" s="1"/>
  <c r="B61" i="203" s="1"/>
  <c r="B62" i="203" s="1"/>
  <c r="B63" i="203" s="1"/>
  <c r="B64" i="203" s="1"/>
  <c r="B65" i="203" s="1"/>
  <c r="B66" i="203" s="1"/>
  <c r="B67" i="203" s="1"/>
  <c r="B68" i="203" s="1"/>
  <c r="B121" i="202"/>
  <c r="C120" i="202"/>
  <c r="F43" i="202"/>
  <c r="B43" i="202"/>
  <c r="B44" i="202" s="1"/>
  <c r="B45" i="202" s="1"/>
  <c r="B46" i="202" s="1"/>
  <c r="B47" i="202" s="1"/>
  <c r="B48" i="202" s="1"/>
  <c r="B49" i="202" s="1"/>
  <c r="B50" i="202" s="1"/>
  <c r="B51" i="202" s="1"/>
  <c r="B52" i="202" s="1"/>
  <c r="B53" i="202" s="1"/>
  <c r="B54" i="202" s="1"/>
  <c r="B55" i="202" s="1"/>
  <c r="B56" i="202" s="1"/>
  <c r="B57" i="202" s="1"/>
  <c r="B58" i="202" s="1"/>
  <c r="B59" i="202" s="1"/>
  <c r="B60" i="202" s="1"/>
  <c r="B61" i="202" s="1"/>
  <c r="B62" i="202" s="1"/>
  <c r="B63" i="202" s="1"/>
  <c r="B64" i="202" s="1"/>
  <c r="B65" i="202" s="1"/>
  <c r="B66" i="202" s="1"/>
  <c r="B67" i="202" s="1"/>
  <c r="B68" i="202" s="1"/>
  <c r="B121" i="201"/>
  <c r="C120" i="201"/>
  <c r="F43" i="201"/>
  <c r="F44" i="201" s="1"/>
  <c r="F45" i="201" s="1"/>
  <c r="B43" i="201"/>
  <c r="B44" i="201" s="1"/>
  <c r="B45" i="201" s="1"/>
  <c r="B46" i="201" s="1"/>
  <c r="B47" i="201" s="1"/>
  <c r="B48" i="201" s="1"/>
  <c r="B49" i="201" s="1"/>
  <c r="B50" i="201" s="1"/>
  <c r="B51" i="201" s="1"/>
  <c r="B52" i="201" s="1"/>
  <c r="B53" i="201" s="1"/>
  <c r="B54" i="201" s="1"/>
  <c r="B55" i="201" s="1"/>
  <c r="B56" i="201" s="1"/>
  <c r="B57" i="201" s="1"/>
  <c r="B58" i="201" s="1"/>
  <c r="B59" i="201" s="1"/>
  <c r="B60" i="201" s="1"/>
  <c r="B61" i="201" s="1"/>
  <c r="B62" i="201" s="1"/>
  <c r="B63" i="201" s="1"/>
  <c r="B64" i="201" s="1"/>
  <c r="B65" i="201" s="1"/>
  <c r="B66" i="201" s="1"/>
  <c r="B67" i="201" s="1"/>
  <c r="B68" i="201" s="1"/>
  <c r="F43" i="200"/>
  <c r="B43" i="200"/>
  <c r="B44" i="200" s="1"/>
  <c r="B45" i="200" s="1"/>
  <c r="B46" i="200" s="1"/>
  <c r="B47" i="200" s="1"/>
  <c r="B48" i="200" s="1"/>
  <c r="B49" i="200" s="1"/>
  <c r="B50" i="200" s="1"/>
  <c r="B51" i="200" s="1"/>
  <c r="B52" i="200" s="1"/>
  <c r="B53" i="200" s="1"/>
  <c r="B54" i="200" s="1"/>
  <c r="B55" i="200" s="1"/>
  <c r="B56" i="200" s="1"/>
  <c r="B57" i="200" s="1"/>
  <c r="B58" i="200" s="1"/>
  <c r="B59" i="200" s="1"/>
  <c r="B60" i="200" s="1"/>
  <c r="B61" i="200" s="1"/>
  <c r="B62" i="200" s="1"/>
  <c r="B63" i="200" s="1"/>
  <c r="B64" i="200" s="1"/>
  <c r="B65" i="200" s="1"/>
  <c r="B66" i="200" s="1"/>
  <c r="B67" i="200" s="1"/>
  <c r="B68" i="200" s="1"/>
  <c r="B121" i="200"/>
  <c r="C120" i="200"/>
  <c r="B121" i="199"/>
  <c r="C120" i="199"/>
  <c r="B43" i="199"/>
  <c r="B44" i="199" s="1"/>
  <c r="B45" i="199" s="1"/>
  <c r="B46" i="199" s="1"/>
  <c r="B47" i="199" s="1"/>
  <c r="B48" i="199" s="1"/>
  <c r="B49" i="199" s="1"/>
  <c r="B50" i="199" s="1"/>
  <c r="B51" i="199" s="1"/>
  <c r="B52" i="199" s="1"/>
  <c r="B53" i="199" s="1"/>
  <c r="B54" i="199" s="1"/>
  <c r="B55" i="199" s="1"/>
  <c r="B56" i="199" s="1"/>
  <c r="B57" i="199" s="1"/>
  <c r="B58" i="199" s="1"/>
  <c r="B59" i="199" s="1"/>
  <c r="B60" i="199" s="1"/>
  <c r="B61" i="199" s="1"/>
  <c r="B62" i="199" s="1"/>
  <c r="B63" i="199" s="1"/>
  <c r="B64" i="199" s="1"/>
  <c r="B65" i="199" s="1"/>
  <c r="B66" i="199" s="1"/>
  <c r="B67" i="199" s="1"/>
  <c r="B68" i="199" s="1"/>
  <c r="B121" i="198"/>
  <c r="C120" i="198"/>
  <c r="B43" i="198"/>
  <c r="B44" i="198" s="1"/>
  <c r="B45" i="198" s="1"/>
  <c r="B46" i="198" s="1"/>
  <c r="B47" i="198" s="1"/>
  <c r="B48" i="198" s="1"/>
  <c r="B49" i="198" s="1"/>
  <c r="B50" i="198" s="1"/>
  <c r="B51" i="198" s="1"/>
  <c r="B52" i="198" s="1"/>
  <c r="B53" i="198" s="1"/>
  <c r="B54" i="198" s="1"/>
  <c r="B55" i="198" s="1"/>
  <c r="B56" i="198" s="1"/>
  <c r="B57" i="198" s="1"/>
  <c r="B58" i="198" s="1"/>
  <c r="B59" i="198" s="1"/>
  <c r="B60" i="198" s="1"/>
  <c r="B61" i="198" s="1"/>
  <c r="B62" i="198" s="1"/>
  <c r="B63" i="198" s="1"/>
  <c r="B64" i="198" s="1"/>
  <c r="B65" i="198" s="1"/>
  <c r="B66" i="198" s="1"/>
  <c r="B67" i="198" s="1"/>
  <c r="B68" i="198" s="1"/>
  <c r="F43" i="197"/>
  <c r="F44" i="197" s="1"/>
  <c r="F45" i="197" s="1"/>
  <c r="F46" i="197" s="1"/>
  <c r="F47" i="197" s="1"/>
  <c r="B43" i="197"/>
  <c r="B44" i="197" s="1"/>
  <c r="B45" i="197" s="1"/>
  <c r="B46" i="197" s="1"/>
  <c r="B47" i="197" s="1"/>
  <c r="B48" i="197" s="1"/>
  <c r="B49" i="197" s="1"/>
  <c r="B50" i="197" s="1"/>
  <c r="B51" i="197" s="1"/>
  <c r="B52" i="197" s="1"/>
  <c r="B53" i="197" s="1"/>
  <c r="B54" i="197" s="1"/>
  <c r="B55" i="197" s="1"/>
  <c r="B56" i="197" s="1"/>
  <c r="B57" i="197" s="1"/>
  <c r="B58" i="197" s="1"/>
  <c r="B59" i="197" s="1"/>
  <c r="B60" i="197" s="1"/>
  <c r="B61" i="197" s="1"/>
  <c r="B62" i="197" s="1"/>
  <c r="B63" i="197" s="1"/>
  <c r="B64" i="197" s="1"/>
  <c r="B65" i="197" s="1"/>
  <c r="B66" i="197" s="1"/>
  <c r="B67" i="197" s="1"/>
  <c r="B68" i="197" s="1"/>
  <c r="B121" i="197"/>
  <c r="C120" i="197"/>
  <c r="B122" i="193"/>
  <c r="C121" i="193"/>
  <c r="B120" i="190"/>
  <c r="C119" i="190"/>
  <c r="B121" i="182"/>
  <c r="C120" i="182"/>
  <c r="B121" i="181"/>
  <c r="C120" i="181"/>
  <c r="B120" i="157"/>
  <c r="C119" i="157"/>
  <c r="B120" i="156"/>
  <c r="C119" i="156"/>
  <c r="B120" i="155"/>
  <c r="C119" i="155"/>
  <c r="C122" i="205" l="1"/>
  <c r="B123" i="205"/>
  <c r="B122" i="204"/>
  <c r="C121" i="204"/>
  <c r="H31" i="146"/>
  <c r="C44" i="201"/>
  <c r="L32" i="146"/>
  <c r="D43" i="203"/>
  <c r="Q31" i="146"/>
  <c r="D43" i="201"/>
  <c r="M31" i="146"/>
  <c r="F32" i="146"/>
  <c r="F31" i="146"/>
  <c r="D43" i="202"/>
  <c r="S31" i="146"/>
  <c r="C43" i="202"/>
  <c r="R31" i="146"/>
  <c r="D43" i="198"/>
  <c r="I31" i="146"/>
  <c r="D43" i="200"/>
  <c r="O31" i="146"/>
  <c r="D43" i="199"/>
  <c r="G31" i="146"/>
  <c r="C43" i="197"/>
  <c r="J31" i="146"/>
  <c r="D43" i="197"/>
  <c r="K31" i="146"/>
  <c r="C43" i="203"/>
  <c r="P31" i="146"/>
  <c r="C43" i="200"/>
  <c r="N31" i="146"/>
  <c r="B122" i="203"/>
  <c r="C121" i="203"/>
  <c r="B122" i="202"/>
  <c r="C121" i="202"/>
  <c r="B122" i="201"/>
  <c r="C121" i="201"/>
  <c r="B122" i="200"/>
  <c r="C121" i="200"/>
  <c r="B122" i="199"/>
  <c r="C121" i="199"/>
  <c r="B122" i="198"/>
  <c r="C121" i="198"/>
  <c r="B122" i="197"/>
  <c r="C121" i="197"/>
  <c r="B123" i="193"/>
  <c r="C122" i="193"/>
  <c r="B121" i="190"/>
  <c r="C120" i="190"/>
  <c r="B122" i="182"/>
  <c r="C121" i="182"/>
  <c r="B122" i="181"/>
  <c r="C121" i="181"/>
  <c r="B121" i="157"/>
  <c r="C120" i="157"/>
  <c r="B121" i="156"/>
  <c r="C120" i="156"/>
  <c r="B121" i="155"/>
  <c r="C120" i="155"/>
  <c r="C123" i="205" l="1"/>
  <c r="B124" i="205"/>
  <c r="B123" i="204"/>
  <c r="C122" i="204"/>
  <c r="D44" i="200"/>
  <c r="O32" i="146"/>
  <c r="C44" i="200"/>
  <c r="N32" i="146"/>
  <c r="C45" i="201"/>
  <c r="L33" i="146"/>
  <c r="D44" i="197"/>
  <c r="K32" i="146"/>
  <c r="D44" i="202"/>
  <c r="S32" i="146"/>
  <c r="D44" i="198"/>
  <c r="I32" i="146"/>
  <c r="D44" i="203"/>
  <c r="Q32" i="146"/>
  <c r="C44" i="197"/>
  <c r="J32" i="146"/>
  <c r="C44" i="203"/>
  <c r="P32" i="146"/>
  <c r="D44" i="199"/>
  <c r="G32" i="146"/>
  <c r="C44" i="202"/>
  <c r="R32" i="146"/>
  <c r="D44" i="201"/>
  <c r="M32" i="146"/>
  <c r="C44" i="198"/>
  <c r="H32" i="146"/>
  <c r="B123" i="203"/>
  <c r="C122" i="203"/>
  <c r="B123" i="202"/>
  <c r="C122" i="202"/>
  <c r="B123" i="201"/>
  <c r="C122" i="201"/>
  <c r="B123" i="200"/>
  <c r="C122" i="200"/>
  <c r="B123" i="199"/>
  <c r="C122" i="199"/>
  <c r="B123" i="198"/>
  <c r="C122" i="198"/>
  <c r="B123" i="197"/>
  <c r="C122" i="197"/>
  <c r="B124" i="193"/>
  <c r="C123" i="193"/>
  <c r="B122" i="190"/>
  <c r="C121" i="190"/>
  <c r="B123" i="182"/>
  <c r="C122" i="182"/>
  <c r="B123" i="181"/>
  <c r="C122" i="181"/>
  <c r="B122" i="157"/>
  <c r="C121" i="157"/>
  <c r="B122" i="156"/>
  <c r="C121" i="156"/>
  <c r="B122" i="155"/>
  <c r="C121" i="155"/>
  <c r="C124" i="205" l="1"/>
  <c r="B125" i="205"/>
  <c r="B124" i="204"/>
  <c r="C123" i="204"/>
  <c r="C45" i="199"/>
  <c r="F34" i="146" s="1"/>
  <c r="C45" i="198"/>
  <c r="H33" i="146"/>
  <c r="D45" i="202"/>
  <c r="S33" i="146"/>
  <c r="C45" i="200"/>
  <c r="N33" i="146"/>
  <c r="C45" i="202"/>
  <c r="R33" i="146"/>
  <c r="C46" i="201"/>
  <c r="L34" i="146"/>
  <c r="D45" i="199"/>
  <c r="G33" i="146"/>
  <c r="D45" i="198"/>
  <c r="I33" i="146"/>
  <c r="C45" i="197"/>
  <c r="J33" i="146"/>
  <c r="D45" i="201"/>
  <c r="M33" i="146"/>
  <c r="C45" i="203"/>
  <c r="P33" i="146"/>
  <c r="D45" i="203"/>
  <c r="Q33" i="146"/>
  <c r="D45" i="197"/>
  <c r="K33" i="146"/>
  <c r="D45" i="200"/>
  <c r="O33" i="146"/>
  <c r="B124" i="203"/>
  <c r="C123" i="203"/>
  <c r="B124" i="202"/>
  <c r="C123" i="202"/>
  <c r="B124" i="201"/>
  <c r="C123" i="201"/>
  <c r="B124" i="200"/>
  <c r="C123" i="200"/>
  <c r="B124" i="199"/>
  <c r="C123" i="199"/>
  <c r="B124" i="198"/>
  <c r="C123" i="198"/>
  <c r="B124" i="197"/>
  <c r="C123" i="197"/>
  <c r="B125" i="193"/>
  <c r="C124" i="193"/>
  <c r="B123" i="190"/>
  <c r="C122" i="190"/>
  <c r="B124" i="182"/>
  <c r="C123" i="182"/>
  <c r="B124" i="181"/>
  <c r="C123" i="181"/>
  <c r="B123" i="157"/>
  <c r="C122" i="157"/>
  <c r="B123" i="156"/>
  <c r="C122" i="156"/>
  <c r="B123" i="155"/>
  <c r="C122" i="155"/>
  <c r="B126" i="205" l="1"/>
  <c r="C125" i="205"/>
  <c r="B125" i="204"/>
  <c r="C124" i="204"/>
  <c r="D46" i="202"/>
  <c r="S34" i="146"/>
  <c r="C46" i="198"/>
  <c r="H34" i="146"/>
  <c r="C46" i="197"/>
  <c r="J34" i="146"/>
  <c r="C46" i="203"/>
  <c r="P34" i="146"/>
  <c r="D46" i="203"/>
  <c r="Q34" i="146"/>
  <c r="C47" i="201"/>
  <c r="L35" i="146"/>
  <c r="D46" i="200"/>
  <c r="O34" i="146"/>
  <c r="D46" i="198"/>
  <c r="I34" i="146"/>
  <c r="C46" i="202"/>
  <c r="R34" i="146"/>
  <c r="D46" i="197"/>
  <c r="K34" i="146"/>
  <c r="D46" i="201"/>
  <c r="M34" i="146"/>
  <c r="D46" i="199"/>
  <c r="G34" i="146"/>
  <c r="C46" i="200"/>
  <c r="N34" i="146"/>
  <c r="C46" i="199"/>
  <c r="F35" i="146" s="1"/>
  <c r="B125" i="203"/>
  <c r="C124" i="203"/>
  <c r="B125" i="202"/>
  <c r="C124" i="202"/>
  <c r="B125" i="201"/>
  <c r="C124" i="201"/>
  <c r="B125" i="200"/>
  <c r="C124" i="200"/>
  <c r="B125" i="199"/>
  <c r="C124" i="199"/>
  <c r="B125" i="198"/>
  <c r="C124" i="198"/>
  <c r="B125" i="197"/>
  <c r="C124" i="197"/>
  <c r="B126" i="193"/>
  <c r="C125" i="193"/>
  <c r="B124" i="190"/>
  <c r="C123" i="190"/>
  <c r="B125" i="182"/>
  <c r="C124" i="182"/>
  <c r="B125" i="181"/>
  <c r="C124" i="181"/>
  <c r="B124" i="157"/>
  <c r="C123" i="157"/>
  <c r="B124" i="156"/>
  <c r="C123" i="156"/>
  <c r="B124" i="155"/>
  <c r="C123" i="155"/>
  <c r="C126" i="205" l="1"/>
  <c r="B127" i="205"/>
  <c r="B126" i="204"/>
  <c r="C125" i="204"/>
  <c r="C47" i="197"/>
  <c r="J35" i="146"/>
  <c r="D47" i="198"/>
  <c r="I35" i="146"/>
  <c r="C47" i="198"/>
  <c r="H35" i="146"/>
  <c r="C47" i="202"/>
  <c r="R35" i="146"/>
  <c r="D47" i="201"/>
  <c r="M35" i="146"/>
  <c r="D47" i="199"/>
  <c r="G35" i="146"/>
  <c r="C48" i="201"/>
  <c r="L36" i="146"/>
  <c r="C47" i="199"/>
  <c r="F36" i="146" s="1"/>
  <c r="D47" i="203"/>
  <c r="Q35" i="146"/>
  <c r="C47" i="200"/>
  <c r="N35" i="146"/>
  <c r="D47" i="197"/>
  <c r="K35" i="146"/>
  <c r="D47" i="200"/>
  <c r="O35" i="146"/>
  <c r="C47" i="203"/>
  <c r="P35" i="146"/>
  <c r="D47" i="202"/>
  <c r="S35" i="146"/>
  <c r="B126" i="203"/>
  <c r="C125" i="203"/>
  <c r="B126" i="202"/>
  <c r="C125" i="202"/>
  <c r="B126" i="201"/>
  <c r="C125" i="201"/>
  <c r="B126" i="200"/>
  <c r="C125" i="200"/>
  <c r="B126" i="199"/>
  <c r="C125" i="199"/>
  <c r="B126" i="198"/>
  <c r="C125" i="198"/>
  <c r="B126" i="197"/>
  <c r="C125" i="197"/>
  <c r="B127" i="193"/>
  <c r="C126" i="193"/>
  <c r="B125" i="190"/>
  <c r="C124" i="190"/>
  <c r="B126" i="182"/>
  <c r="C125" i="182"/>
  <c r="B126" i="181"/>
  <c r="C125" i="181"/>
  <c r="B125" i="157"/>
  <c r="C124" i="157"/>
  <c r="B125" i="156"/>
  <c r="C124" i="156"/>
  <c r="B125" i="155"/>
  <c r="C124" i="155"/>
  <c r="C127" i="205" l="1"/>
  <c r="B128" i="205"/>
  <c r="B127" i="204"/>
  <c r="C126" i="204"/>
  <c r="D48" i="203"/>
  <c r="Q36" i="146"/>
  <c r="D48" i="197"/>
  <c r="K36" i="146"/>
  <c r="D48" i="198"/>
  <c r="I36" i="146"/>
  <c r="D48" i="199"/>
  <c r="G36" i="146"/>
  <c r="C48" i="199"/>
  <c r="F37" i="146" s="1"/>
  <c r="D48" i="200"/>
  <c r="O36" i="146"/>
  <c r="C48" i="198"/>
  <c r="H36" i="146"/>
  <c r="D48" i="202"/>
  <c r="S36" i="146"/>
  <c r="D48" i="201"/>
  <c r="M36" i="146"/>
  <c r="C48" i="203"/>
  <c r="P36" i="146"/>
  <c r="C48" i="200"/>
  <c r="N36" i="146"/>
  <c r="C49" i="201"/>
  <c r="L37" i="146"/>
  <c r="C48" i="202"/>
  <c r="R36" i="146"/>
  <c r="C48" i="197"/>
  <c r="J36" i="146"/>
  <c r="B127" i="203"/>
  <c r="C126" i="203"/>
  <c r="B127" i="202"/>
  <c r="C126" i="202"/>
  <c r="B127" i="201"/>
  <c r="C126" i="201"/>
  <c r="B127" i="200"/>
  <c r="C126" i="200"/>
  <c r="B127" i="199"/>
  <c r="C126" i="199"/>
  <c r="B127" i="198"/>
  <c r="C126" i="198"/>
  <c r="B127" i="197"/>
  <c r="C126" i="197"/>
  <c r="B128" i="193"/>
  <c r="C127" i="193"/>
  <c r="B126" i="190"/>
  <c r="C125" i="190"/>
  <c r="B127" i="182"/>
  <c r="C126" i="182"/>
  <c r="B127" i="181"/>
  <c r="C126" i="181"/>
  <c r="B126" i="157"/>
  <c r="C125" i="157"/>
  <c r="B126" i="156"/>
  <c r="C125" i="156"/>
  <c r="B126" i="155"/>
  <c r="C125" i="155"/>
  <c r="C128" i="205" l="1"/>
  <c r="B129" i="205"/>
  <c r="B128" i="204"/>
  <c r="C127" i="204"/>
  <c r="C50" i="201"/>
  <c r="L38" i="146"/>
  <c r="D49" i="198"/>
  <c r="I37" i="146"/>
  <c r="C49" i="200"/>
  <c r="N37" i="146"/>
  <c r="D49" i="197"/>
  <c r="K37" i="146"/>
  <c r="D49" i="201"/>
  <c r="M37" i="146"/>
  <c r="D49" i="202"/>
  <c r="S37" i="146"/>
  <c r="D49" i="200"/>
  <c r="O37" i="146"/>
  <c r="C49" i="197"/>
  <c r="J37" i="146"/>
  <c r="C49" i="199"/>
  <c r="F38" i="146" s="1"/>
  <c r="C49" i="202"/>
  <c r="R37" i="146"/>
  <c r="C49" i="203"/>
  <c r="P37" i="146"/>
  <c r="C49" i="198"/>
  <c r="H37" i="146"/>
  <c r="D49" i="199"/>
  <c r="G37" i="146"/>
  <c r="D49" i="203"/>
  <c r="Q37" i="146"/>
  <c r="B128" i="203"/>
  <c r="C127" i="203"/>
  <c r="B128" i="202"/>
  <c r="C127" i="202"/>
  <c r="B128" i="201"/>
  <c r="C127" i="201"/>
  <c r="B128" i="200"/>
  <c r="C127" i="200"/>
  <c r="B128" i="199"/>
  <c r="C127" i="199"/>
  <c r="B128" i="198"/>
  <c r="C127" i="198"/>
  <c r="B128" i="197"/>
  <c r="C127" i="197"/>
  <c r="B129" i="193"/>
  <c r="C128" i="193"/>
  <c r="B127" i="190"/>
  <c r="C126" i="190"/>
  <c r="B128" i="182"/>
  <c r="C127" i="182"/>
  <c r="B128" i="181"/>
  <c r="C127" i="181"/>
  <c r="B127" i="157"/>
  <c r="C126" i="157"/>
  <c r="B127" i="156"/>
  <c r="C126" i="156"/>
  <c r="B127" i="155"/>
  <c r="C126" i="155"/>
  <c r="C129" i="205" l="1"/>
  <c r="B130" i="205"/>
  <c r="B129" i="204"/>
  <c r="C128" i="204"/>
  <c r="C50" i="199"/>
  <c r="F39" i="146" s="1"/>
  <c r="D50" i="203"/>
  <c r="Q38" i="146"/>
  <c r="D50" i="198"/>
  <c r="I38" i="146"/>
  <c r="C50" i="200"/>
  <c r="N38" i="146"/>
  <c r="C50" i="197"/>
  <c r="J38" i="146"/>
  <c r="C50" i="198"/>
  <c r="H38" i="146"/>
  <c r="D50" i="202"/>
  <c r="S38" i="146"/>
  <c r="C50" i="203"/>
  <c r="P38" i="146"/>
  <c r="D50" i="201"/>
  <c r="M38" i="146"/>
  <c r="D50" i="199"/>
  <c r="G38" i="146"/>
  <c r="C50" i="202"/>
  <c r="R38" i="146"/>
  <c r="D50" i="200"/>
  <c r="O38" i="146"/>
  <c r="D50" i="197"/>
  <c r="K38" i="146"/>
  <c r="C51" i="201"/>
  <c r="L39" i="146"/>
  <c r="B129" i="203"/>
  <c r="C128" i="203"/>
  <c r="B129" i="202"/>
  <c r="C128" i="202"/>
  <c r="B129" i="201"/>
  <c r="C128" i="201"/>
  <c r="B129" i="200"/>
  <c r="C128" i="200"/>
  <c r="B129" i="199"/>
  <c r="C128" i="199"/>
  <c r="B129" i="198"/>
  <c r="C128" i="198"/>
  <c r="B129" i="197"/>
  <c r="C128" i="197"/>
  <c r="B130" i="193"/>
  <c r="C129" i="193"/>
  <c r="B128" i="190"/>
  <c r="C127" i="190"/>
  <c r="B129" i="182"/>
  <c r="C128" i="182"/>
  <c r="B129" i="181"/>
  <c r="C128" i="181"/>
  <c r="B128" i="157"/>
  <c r="C127" i="157"/>
  <c r="B128" i="156"/>
  <c r="C127" i="156"/>
  <c r="B128" i="155"/>
  <c r="C127" i="155"/>
  <c r="C130" i="205" l="1"/>
  <c r="B131" i="205"/>
  <c r="B130" i="204"/>
  <c r="C129" i="204"/>
  <c r="D51" i="200"/>
  <c r="O39" i="146"/>
  <c r="D51" i="198"/>
  <c r="I39" i="146"/>
  <c r="D51" i="203"/>
  <c r="Q39" i="146"/>
  <c r="D51" i="201"/>
  <c r="M39" i="146"/>
  <c r="C51" i="203"/>
  <c r="P39" i="146"/>
  <c r="C51" i="198"/>
  <c r="H39" i="146"/>
  <c r="C52" i="201"/>
  <c r="L40" i="146"/>
  <c r="C51" i="202"/>
  <c r="R39" i="146"/>
  <c r="C51" i="197"/>
  <c r="J39" i="146"/>
  <c r="D51" i="197"/>
  <c r="K39" i="146"/>
  <c r="D51" i="199"/>
  <c r="G39" i="146"/>
  <c r="D51" i="202"/>
  <c r="S39" i="146"/>
  <c r="C51" i="200"/>
  <c r="N39" i="146"/>
  <c r="C51" i="199"/>
  <c r="F40" i="146" s="1"/>
  <c r="B130" i="203"/>
  <c r="C129" i="203"/>
  <c r="B130" i="202"/>
  <c r="C129" i="202"/>
  <c r="B130" i="201"/>
  <c r="C129" i="201"/>
  <c r="B130" i="200"/>
  <c r="C129" i="200"/>
  <c r="B130" i="199"/>
  <c r="C129" i="199"/>
  <c r="B130" i="198"/>
  <c r="C129" i="198"/>
  <c r="B130" i="197"/>
  <c r="C129" i="197"/>
  <c r="B131" i="193"/>
  <c r="C130" i="193"/>
  <c r="B129" i="190"/>
  <c r="C128" i="190"/>
  <c r="B130" i="182"/>
  <c r="C129" i="182"/>
  <c r="B130" i="181"/>
  <c r="C129" i="181"/>
  <c r="B129" i="157"/>
  <c r="C128" i="157"/>
  <c r="B129" i="156"/>
  <c r="C128" i="156"/>
  <c r="B129" i="155"/>
  <c r="C128" i="155"/>
  <c r="C131" i="205" l="1"/>
  <c r="B132" i="205"/>
  <c r="B131" i="204"/>
  <c r="C130" i="204"/>
  <c r="D52" i="203"/>
  <c r="Q40" i="146"/>
  <c r="C52" i="199"/>
  <c r="F41" i="146" s="1"/>
  <c r="D52" i="198"/>
  <c r="I40" i="146"/>
  <c r="C52" i="198"/>
  <c r="H40" i="146"/>
  <c r="C52" i="202"/>
  <c r="R40" i="146"/>
  <c r="D52" i="202"/>
  <c r="S40" i="146"/>
  <c r="C52" i="197"/>
  <c r="J40" i="146"/>
  <c r="D52" i="199"/>
  <c r="G40" i="146"/>
  <c r="C52" i="203"/>
  <c r="P40" i="146"/>
  <c r="C52" i="200"/>
  <c r="N40" i="146"/>
  <c r="D52" i="197"/>
  <c r="K40" i="146"/>
  <c r="C53" i="201"/>
  <c r="L41" i="146"/>
  <c r="D52" i="201"/>
  <c r="M40" i="146"/>
  <c r="D52" i="200"/>
  <c r="O40" i="146"/>
  <c r="B131" i="203"/>
  <c r="C130" i="203"/>
  <c r="B131" i="202"/>
  <c r="C130" i="202"/>
  <c r="B131" i="201"/>
  <c r="C130" i="201"/>
  <c r="B131" i="200"/>
  <c r="C130" i="200"/>
  <c r="B131" i="199"/>
  <c r="C130" i="199"/>
  <c r="B131" i="198"/>
  <c r="C130" i="198"/>
  <c r="B131" i="197"/>
  <c r="C130" i="197"/>
  <c r="B132" i="193"/>
  <c r="C131" i="193"/>
  <c r="B130" i="190"/>
  <c r="C129" i="190"/>
  <c r="B131" i="182"/>
  <c r="C130" i="182"/>
  <c r="B131" i="181"/>
  <c r="C130" i="181"/>
  <c r="B130" i="157"/>
  <c r="C129" i="157"/>
  <c r="B130" i="156"/>
  <c r="C129" i="156"/>
  <c r="B130" i="155"/>
  <c r="C129" i="155"/>
  <c r="C132" i="205" l="1"/>
  <c r="B133" i="205"/>
  <c r="B132" i="204"/>
  <c r="C131" i="204"/>
  <c r="C53" i="203"/>
  <c r="P41" i="146"/>
  <c r="D53" i="199"/>
  <c r="G41" i="146"/>
  <c r="C53" i="199"/>
  <c r="F42" i="146" s="1"/>
  <c r="D53" i="198"/>
  <c r="I41" i="146"/>
  <c r="D53" i="197"/>
  <c r="K41" i="146"/>
  <c r="C54" i="201"/>
  <c r="L42" i="146"/>
  <c r="D53" i="202"/>
  <c r="S41" i="146"/>
  <c r="D53" i="200"/>
  <c r="O41" i="146"/>
  <c r="C53" i="202"/>
  <c r="R41" i="146"/>
  <c r="D53" i="201"/>
  <c r="M41" i="146"/>
  <c r="C53" i="200"/>
  <c r="N41" i="146"/>
  <c r="C53" i="197"/>
  <c r="J41" i="146"/>
  <c r="C53" i="198"/>
  <c r="H41" i="146"/>
  <c r="D53" i="203"/>
  <c r="Q41" i="146"/>
  <c r="B132" i="203"/>
  <c r="C131" i="203"/>
  <c r="B132" i="202"/>
  <c r="C131" i="202"/>
  <c r="B132" i="201"/>
  <c r="C131" i="201"/>
  <c r="B132" i="200"/>
  <c r="C131" i="200"/>
  <c r="B132" i="199"/>
  <c r="C131" i="199"/>
  <c r="B132" i="198"/>
  <c r="C131" i="198"/>
  <c r="B132" i="197"/>
  <c r="C131" i="197"/>
  <c r="B133" i="193"/>
  <c r="C132" i="193"/>
  <c r="B131" i="190"/>
  <c r="C130" i="190"/>
  <c r="B132" i="182"/>
  <c r="C131" i="182"/>
  <c r="B132" i="181"/>
  <c r="C131" i="181"/>
  <c r="B131" i="157"/>
  <c r="C130" i="157"/>
  <c r="B131" i="156"/>
  <c r="C130" i="156"/>
  <c r="B131" i="155"/>
  <c r="C130" i="155"/>
  <c r="C133" i="205" l="1"/>
  <c r="B134" i="205"/>
  <c r="B133" i="204"/>
  <c r="C132" i="204"/>
  <c r="C54" i="202"/>
  <c r="R42" i="146"/>
  <c r="D54" i="203"/>
  <c r="Q42" i="146"/>
  <c r="D54" i="199"/>
  <c r="G42" i="146"/>
  <c r="C54" i="199"/>
  <c r="F43" i="146" s="1"/>
  <c r="D54" i="200"/>
  <c r="O42" i="146"/>
  <c r="C54" i="197"/>
  <c r="J42" i="146"/>
  <c r="C55" i="201"/>
  <c r="L43" i="146"/>
  <c r="C54" i="200"/>
  <c r="N42" i="146"/>
  <c r="D54" i="197"/>
  <c r="K42" i="146"/>
  <c r="C54" i="198"/>
  <c r="H42" i="146"/>
  <c r="D54" i="201"/>
  <c r="M42" i="146"/>
  <c r="D54" i="202"/>
  <c r="S42" i="146"/>
  <c r="D54" i="198"/>
  <c r="I42" i="146"/>
  <c r="C54" i="203"/>
  <c r="P42" i="146"/>
  <c r="B133" i="203"/>
  <c r="C132" i="203"/>
  <c r="B133" i="202"/>
  <c r="C132" i="202"/>
  <c r="B133" i="201"/>
  <c r="C132" i="201"/>
  <c r="B133" i="200"/>
  <c r="C132" i="200"/>
  <c r="B133" i="199"/>
  <c r="C132" i="199"/>
  <c r="B133" i="198"/>
  <c r="C132" i="198"/>
  <c r="B133" i="197"/>
  <c r="C132" i="197"/>
  <c r="B134" i="193"/>
  <c r="C133" i="193"/>
  <c r="B132" i="190"/>
  <c r="C131" i="190"/>
  <c r="B133" i="182"/>
  <c r="C132" i="182"/>
  <c r="B133" i="181"/>
  <c r="C132" i="181"/>
  <c r="B132" i="157"/>
  <c r="C131" i="157"/>
  <c r="B132" i="156"/>
  <c r="C131" i="156"/>
  <c r="B132" i="155"/>
  <c r="C131" i="155"/>
  <c r="C134" i="205" l="1"/>
  <c r="B135" i="205"/>
  <c r="B134" i="204"/>
  <c r="C133" i="204"/>
  <c r="D55" i="197"/>
  <c r="K43" i="146"/>
  <c r="C55" i="203"/>
  <c r="P43" i="146"/>
  <c r="D55" i="203"/>
  <c r="Q43" i="146"/>
  <c r="C55" i="197"/>
  <c r="J43" i="146"/>
  <c r="C55" i="200"/>
  <c r="N43" i="146"/>
  <c r="D55" i="202"/>
  <c r="S43" i="146"/>
  <c r="D55" i="199"/>
  <c r="G43" i="146"/>
  <c r="D55" i="201"/>
  <c r="M43" i="146"/>
  <c r="D55" i="200"/>
  <c r="O43" i="146"/>
  <c r="D55" i="198"/>
  <c r="I43" i="146"/>
  <c r="C55" i="198"/>
  <c r="H43" i="146"/>
  <c r="C56" i="201"/>
  <c r="L44" i="146"/>
  <c r="C55" i="199"/>
  <c r="F44" i="146" s="1"/>
  <c r="C55" i="202"/>
  <c r="R43" i="146"/>
  <c r="B134" i="203"/>
  <c r="C133" i="203"/>
  <c r="B134" i="202"/>
  <c r="C133" i="202"/>
  <c r="B134" i="201"/>
  <c r="C133" i="201"/>
  <c r="B134" i="200"/>
  <c r="C133" i="200"/>
  <c r="B134" i="199"/>
  <c r="C133" i="199"/>
  <c r="B134" i="198"/>
  <c r="C133" i="198"/>
  <c r="B134" i="197"/>
  <c r="C133" i="197"/>
  <c r="B135" i="193"/>
  <c r="C134" i="193"/>
  <c r="B133" i="190"/>
  <c r="C132" i="190"/>
  <c r="B134" i="182"/>
  <c r="C133" i="182"/>
  <c r="B134" i="181"/>
  <c r="C133" i="181"/>
  <c r="B133" i="157"/>
  <c r="C132" i="157"/>
  <c r="B133" i="156"/>
  <c r="C132" i="156"/>
  <c r="B133" i="155"/>
  <c r="C132" i="155"/>
  <c r="C135" i="205" l="1"/>
  <c r="B136" i="205"/>
  <c r="B135" i="204"/>
  <c r="C134" i="204"/>
  <c r="D56" i="202"/>
  <c r="S44" i="146"/>
  <c r="C56" i="202"/>
  <c r="R44" i="146"/>
  <c r="C56" i="203"/>
  <c r="P44" i="146"/>
  <c r="D56" i="200"/>
  <c r="O44" i="146"/>
  <c r="C56" i="198"/>
  <c r="H44" i="146"/>
  <c r="C57" i="201"/>
  <c r="L45" i="146"/>
  <c r="D56" i="203"/>
  <c r="Q44" i="146"/>
  <c r="D56" i="201"/>
  <c r="M44" i="146"/>
  <c r="C56" i="200"/>
  <c r="N44" i="146"/>
  <c r="C56" i="199"/>
  <c r="F45" i="146" s="1"/>
  <c r="D56" i="198"/>
  <c r="I44" i="146"/>
  <c r="D56" i="199"/>
  <c r="G44" i="146"/>
  <c r="C56" i="197"/>
  <c r="J44" i="146"/>
  <c r="D56" i="197"/>
  <c r="K44" i="146"/>
  <c r="B135" i="203"/>
  <c r="C134" i="203"/>
  <c r="B135" i="202"/>
  <c r="C134" i="202"/>
  <c r="B135" i="201"/>
  <c r="C134" i="201"/>
  <c r="B135" i="200"/>
  <c r="C134" i="200"/>
  <c r="B135" i="199"/>
  <c r="C134" i="199"/>
  <c r="B135" i="198"/>
  <c r="C134" i="198"/>
  <c r="B135" i="197"/>
  <c r="C134" i="197"/>
  <c r="B136" i="193"/>
  <c r="C135" i="193"/>
  <c r="B134" i="190"/>
  <c r="C133" i="190"/>
  <c r="B135" i="182"/>
  <c r="C134" i="182"/>
  <c r="B135" i="181"/>
  <c r="C134" i="181"/>
  <c r="B134" i="157"/>
  <c r="C133" i="157"/>
  <c r="B134" i="156"/>
  <c r="C133" i="156"/>
  <c r="B134" i="155"/>
  <c r="C133" i="155"/>
  <c r="C136" i="205" l="1"/>
  <c r="B137" i="205"/>
  <c r="B136" i="204"/>
  <c r="C135" i="204"/>
  <c r="C58" i="201"/>
  <c r="L46" i="146"/>
  <c r="D57" i="199"/>
  <c r="G45" i="146"/>
  <c r="D57" i="198"/>
  <c r="I45" i="146"/>
  <c r="C57" i="198"/>
  <c r="H45" i="146"/>
  <c r="C57" i="202"/>
  <c r="R45" i="146"/>
  <c r="D57" i="197"/>
  <c r="K45" i="146"/>
  <c r="C57" i="200"/>
  <c r="N45" i="146"/>
  <c r="C57" i="203"/>
  <c r="P45" i="146"/>
  <c r="D57" i="201"/>
  <c r="M45" i="146"/>
  <c r="C57" i="197"/>
  <c r="J45" i="146"/>
  <c r="C57" i="199"/>
  <c r="F46" i="146" s="1"/>
  <c r="D57" i="203"/>
  <c r="Q45" i="146"/>
  <c r="D57" i="200"/>
  <c r="O45" i="146"/>
  <c r="D57" i="202"/>
  <c r="S45" i="146"/>
  <c r="B136" i="203"/>
  <c r="C135" i="203"/>
  <c r="B136" i="202"/>
  <c r="C135" i="202"/>
  <c r="B136" i="201"/>
  <c r="C135" i="201"/>
  <c r="B136" i="200"/>
  <c r="C135" i="200"/>
  <c r="B136" i="199"/>
  <c r="C135" i="199"/>
  <c r="B136" i="198"/>
  <c r="C135" i="198"/>
  <c r="B136" i="197"/>
  <c r="C135" i="197"/>
  <c r="B137" i="193"/>
  <c r="C136" i="193"/>
  <c r="B135" i="190"/>
  <c r="C134" i="190"/>
  <c r="B136" i="182"/>
  <c r="C135" i="182"/>
  <c r="B136" i="181"/>
  <c r="C135" i="181"/>
  <c r="B135" i="157"/>
  <c r="C134" i="157"/>
  <c r="B135" i="156"/>
  <c r="C134" i="156"/>
  <c r="B135" i="155"/>
  <c r="C134" i="155"/>
  <c r="C137" i="205" l="1"/>
  <c r="B138" i="205"/>
  <c r="B137" i="204"/>
  <c r="C136" i="204"/>
  <c r="D58" i="201"/>
  <c r="M46" i="146"/>
  <c r="C58" i="202"/>
  <c r="R46" i="146"/>
  <c r="D58" i="199"/>
  <c r="G46" i="146"/>
  <c r="D58" i="203"/>
  <c r="Q46" i="146"/>
  <c r="D58" i="197"/>
  <c r="K46" i="146"/>
  <c r="D58" i="202"/>
  <c r="S46" i="146"/>
  <c r="C58" i="203"/>
  <c r="P46" i="146"/>
  <c r="D58" i="198"/>
  <c r="I46" i="146"/>
  <c r="C58" i="199"/>
  <c r="F47" i="146" s="1"/>
  <c r="D58" i="200"/>
  <c r="O46" i="146"/>
  <c r="C58" i="197"/>
  <c r="J46" i="146"/>
  <c r="C58" i="200"/>
  <c r="N46" i="146"/>
  <c r="C58" i="198"/>
  <c r="H46" i="146"/>
  <c r="C59" i="201"/>
  <c r="L47" i="146"/>
  <c r="B137" i="203"/>
  <c r="C136" i="203"/>
  <c r="B137" i="202"/>
  <c r="C136" i="202"/>
  <c r="B137" i="201"/>
  <c r="C136" i="201"/>
  <c r="B137" i="200"/>
  <c r="C136" i="200"/>
  <c r="B137" i="199"/>
  <c r="C136" i="199"/>
  <c r="B137" i="198"/>
  <c r="C136" i="198"/>
  <c r="B137" i="197"/>
  <c r="C136" i="197"/>
  <c r="B138" i="193"/>
  <c r="C137" i="193"/>
  <c r="B136" i="190"/>
  <c r="C135" i="190"/>
  <c r="B137" i="182"/>
  <c r="C136" i="182"/>
  <c r="B137" i="181"/>
  <c r="C136" i="181"/>
  <c r="B136" i="157"/>
  <c r="C135" i="157"/>
  <c r="B136" i="156"/>
  <c r="C135" i="156"/>
  <c r="B136" i="155"/>
  <c r="C135" i="155"/>
  <c r="B139" i="205" l="1"/>
  <c r="C138" i="205"/>
  <c r="B138" i="204"/>
  <c r="C137" i="204"/>
  <c r="C59" i="199"/>
  <c r="C59" i="202"/>
  <c r="R47" i="146"/>
  <c r="C59" i="200"/>
  <c r="N47" i="146"/>
  <c r="D59" i="202"/>
  <c r="S47" i="146"/>
  <c r="D59" i="198"/>
  <c r="I47" i="146"/>
  <c r="D59" i="199"/>
  <c r="G47" i="146"/>
  <c r="C60" i="201"/>
  <c r="L48" i="146"/>
  <c r="C59" i="197"/>
  <c r="J47" i="146"/>
  <c r="D59" i="197"/>
  <c r="K47" i="146"/>
  <c r="C59" i="198"/>
  <c r="H47" i="146"/>
  <c r="D59" i="200"/>
  <c r="O47" i="146"/>
  <c r="C59" i="203"/>
  <c r="P47" i="146"/>
  <c r="D59" i="203"/>
  <c r="Q47" i="146"/>
  <c r="D59" i="201"/>
  <c r="M47" i="146"/>
  <c r="B138" i="203"/>
  <c r="C137" i="203"/>
  <c r="B138" i="202"/>
  <c r="C137" i="202"/>
  <c r="B138" i="201"/>
  <c r="C137" i="201"/>
  <c r="B138" i="200"/>
  <c r="C137" i="200"/>
  <c r="B138" i="199"/>
  <c r="C137" i="199"/>
  <c r="B138" i="198"/>
  <c r="C137" i="198"/>
  <c r="B138" i="197"/>
  <c r="C137" i="197"/>
  <c r="B139" i="193"/>
  <c r="C138" i="193"/>
  <c r="B137" i="190"/>
  <c r="C136" i="190"/>
  <c r="B138" i="182"/>
  <c r="C137" i="182"/>
  <c r="B138" i="181"/>
  <c r="C137" i="181"/>
  <c r="B137" i="157"/>
  <c r="C136" i="157"/>
  <c r="B137" i="156"/>
  <c r="C136" i="156"/>
  <c r="B137" i="155"/>
  <c r="C136" i="155"/>
  <c r="C139" i="205" l="1"/>
  <c r="B140" i="205"/>
  <c r="B139" i="204"/>
  <c r="C138" i="204"/>
  <c r="C60" i="200"/>
  <c r="N48" i="146"/>
  <c r="C60" i="203"/>
  <c r="P48" i="146"/>
  <c r="D60" i="200"/>
  <c r="O48" i="146"/>
  <c r="C60" i="202"/>
  <c r="R48" i="146"/>
  <c r="D60" i="199"/>
  <c r="G48" i="146"/>
  <c r="C60" i="197"/>
  <c r="J48" i="146"/>
  <c r="D60" i="197"/>
  <c r="K48" i="146"/>
  <c r="D60" i="201"/>
  <c r="M48" i="146"/>
  <c r="D60" i="198"/>
  <c r="I48" i="146"/>
  <c r="D60" i="203"/>
  <c r="Q48" i="146"/>
  <c r="C60" i="198"/>
  <c r="H48" i="146"/>
  <c r="C61" i="201"/>
  <c r="L49" i="146"/>
  <c r="D60" i="202"/>
  <c r="S48" i="146"/>
  <c r="C60" i="199"/>
  <c r="F48" i="146"/>
  <c r="B139" i="203"/>
  <c r="C138" i="203"/>
  <c r="B139" i="202"/>
  <c r="C138" i="202"/>
  <c r="B139" i="201"/>
  <c r="C138" i="201"/>
  <c r="B139" i="200"/>
  <c r="C138" i="200"/>
  <c r="B139" i="199"/>
  <c r="C138" i="199"/>
  <c r="B139" i="198"/>
  <c r="C138" i="198"/>
  <c r="B139" i="197"/>
  <c r="C138" i="197"/>
  <c r="B140" i="193"/>
  <c r="C139" i="193"/>
  <c r="B138" i="190"/>
  <c r="C137" i="190"/>
  <c r="B139" i="182"/>
  <c r="C138" i="182"/>
  <c r="B139" i="181"/>
  <c r="C138" i="181"/>
  <c r="B138" i="157"/>
  <c r="C137" i="157"/>
  <c r="B138" i="156"/>
  <c r="C137" i="156"/>
  <c r="B138" i="155"/>
  <c r="C137" i="155"/>
  <c r="C140" i="205" l="1"/>
  <c r="B141" i="205"/>
  <c r="B140" i="204"/>
  <c r="C139" i="204"/>
  <c r="D61" i="198"/>
  <c r="I49" i="146"/>
  <c r="C61" i="203"/>
  <c r="P49" i="146"/>
  <c r="C62" i="201"/>
  <c r="L50" i="146"/>
  <c r="D61" i="200"/>
  <c r="O49" i="146"/>
  <c r="C61" i="198"/>
  <c r="H49" i="146"/>
  <c r="C61" i="197"/>
  <c r="J49" i="146"/>
  <c r="C61" i="199"/>
  <c r="F49" i="146"/>
  <c r="D61" i="201"/>
  <c r="M49" i="146"/>
  <c r="D61" i="199"/>
  <c r="G49" i="146"/>
  <c r="D61" i="202"/>
  <c r="S49" i="146"/>
  <c r="D61" i="203"/>
  <c r="Q49" i="146"/>
  <c r="D61" i="197"/>
  <c r="K49" i="146"/>
  <c r="C61" i="202"/>
  <c r="R49" i="146"/>
  <c r="C61" i="200"/>
  <c r="N49" i="146"/>
  <c r="B140" i="203"/>
  <c r="C139" i="203"/>
  <c r="B140" i="202"/>
  <c r="C139" i="202"/>
  <c r="B140" i="201"/>
  <c r="C139" i="201"/>
  <c r="B140" i="200"/>
  <c r="C139" i="200"/>
  <c r="B140" i="199"/>
  <c r="C139" i="199"/>
  <c r="B140" i="198"/>
  <c r="C139" i="198"/>
  <c r="B140" i="197"/>
  <c r="C139" i="197"/>
  <c r="B141" i="193"/>
  <c r="C140" i="193"/>
  <c r="B139" i="190"/>
  <c r="C138" i="190"/>
  <c r="B140" i="182"/>
  <c r="C139" i="182"/>
  <c r="B140" i="181"/>
  <c r="C139" i="181"/>
  <c r="B139" i="157"/>
  <c r="C138" i="157"/>
  <c r="B139" i="156"/>
  <c r="C138" i="156"/>
  <c r="B139" i="155"/>
  <c r="C138" i="155"/>
  <c r="M15" i="144"/>
  <c r="K15" i="144"/>
  <c r="K8" i="144"/>
  <c r="K3" i="144"/>
  <c r="N3" i="144"/>
  <c r="N4" i="144"/>
  <c r="K5" i="144"/>
  <c r="M5" i="144"/>
  <c r="N5" i="144"/>
  <c r="N6" i="144"/>
  <c r="N7" i="144"/>
  <c r="M8" i="144"/>
  <c r="N8" i="144"/>
  <c r="N9" i="144"/>
  <c r="N10" i="144"/>
  <c r="N11" i="144"/>
  <c r="K13" i="144"/>
  <c r="M13" i="144"/>
  <c r="F21" i="137"/>
  <c r="B92" i="137"/>
  <c r="F54" i="137"/>
  <c r="F53" i="137"/>
  <c r="F52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9" i="137"/>
  <c r="F38" i="137"/>
  <c r="F37" i="137"/>
  <c r="F36" i="137"/>
  <c r="F35" i="137"/>
  <c r="F34" i="137"/>
  <c r="F33" i="137"/>
  <c r="F32" i="137"/>
  <c r="F31" i="137"/>
  <c r="F30" i="137"/>
  <c r="F29" i="137"/>
  <c r="F28" i="137"/>
  <c r="F27" i="137"/>
  <c r="F26" i="137"/>
  <c r="F25" i="137"/>
  <c r="F24" i="137"/>
  <c r="F23" i="137"/>
  <c r="F22" i="137"/>
  <c r="F19" i="137"/>
  <c r="F20" i="137" s="1"/>
  <c r="F15" i="137"/>
  <c r="F16" i="137" s="1"/>
  <c r="F17" i="137" s="1"/>
  <c r="E14" i="137"/>
  <c r="E15" i="137" s="1"/>
  <c r="E16" i="137" s="1"/>
  <c r="E17" i="137" s="1"/>
  <c r="E18" i="137" s="1"/>
  <c r="E19" i="137" s="1"/>
  <c r="E20" i="137" s="1"/>
  <c r="E21" i="137" s="1"/>
  <c r="E22" i="137" s="1"/>
  <c r="E23" i="137" s="1"/>
  <c r="E24" i="137" s="1"/>
  <c r="E25" i="137" s="1"/>
  <c r="E26" i="137" s="1"/>
  <c r="E27" i="137" s="1"/>
  <c r="E28" i="137" s="1"/>
  <c r="E29" i="137" s="1"/>
  <c r="E30" i="137" s="1"/>
  <c r="E31" i="137" s="1"/>
  <c r="E32" i="137" s="1"/>
  <c r="E33" i="137" s="1"/>
  <c r="E34" i="137" s="1"/>
  <c r="E35" i="137" s="1"/>
  <c r="E36" i="137" s="1"/>
  <c r="E37" i="137" s="1"/>
  <c r="E38" i="137" s="1"/>
  <c r="E39" i="137" s="1"/>
  <c r="E40" i="137" s="1"/>
  <c r="E41" i="137" s="1"/>
  <c r="E42" i="137" s="1"/>
  <c r="E43" i="137" s="1"/>
  <c r="E44" i="137" s="1"/>
  <c r="E45" i="137" s="1"/>
  <c r="E46" i="137" s="1"/>
  <c r="E47" i="137" s="1"/>
  <c r="E48" i="137" s="1"/>
  <c r="E49" i="137" s="1"/>
  <c r="E50" i="137" s="1"/>
  <c r="E51" i="137" s="1"/>
  <c r="E52" i="137" s="1"/>
  <c r="E53" i="137" s="1"/>
  <c r="E54" i="137" s="1"/>
  <c r="D14" i="137"/>
  <c r="D15" i="137" s="1"/>
  <c r="D16" i="137" s="1"/>
  <c r="D17" i="137" s="1"/>
  <c r="D18" i="137" s="1"/>
  <c r="D19" i="137" s="1"/>
  <c r="D20" i="137" s="1"/>
  <c r="D21" i="137" s="1"/>
  <c r="D22" i="137" s="1"/>
  <c r="D23" i="137" s="1"/>
  <c r="D24" i="137" s="1"/>
  <c r="D25" i="137" s="1"/>
  <c r="D26" i="137" s="1"/>
  <c r="D27" i="137" s="1"/>
  <c r="D28" i="137" s="1"/>
  <c r="D29" i="137" s="1"/>
  <c r="D30" i="137" s="1"/>
  <c r="D31" i="137" s="1"/>
  <c r="D32" i="137" s="1"/>
  <c r="D33" i="137" s="1"/>
  <c r="D34" i="137" s="1"/>
  <c r="D35" i="137" s="1"/>
  <c r="D36" i="137" s="1"/>
  <c r="D37" i="137" s="1"/>
  <c r="D38" i="137" s="1"/>
  <c r="D39" i="137" s="1"/>
  <c r="D40" i="137" s="1"/>
  <c r="D41" i="137" s="1"/>
  <c r="D42" i="137" s="1"/>
  <c r="D43" i="137" s="1"/>
  <c r="D44" i="137" s="1"/>
  <c r="D45" i="137" s="1"/>
  <c r="D46" i="137" s="1"/>
  <c r="D47" i="137" s="1"/>
  <c r="D48" i="137" s="1"/>
  <c r="D49" i="137" s="1"/>
  <c r="D50" i="137" s="1"/>
  <c r="D51" i="137" s="1"/>
  <c r="D52" i="137" s="1"/>
  <c r="D53" i="137" s="1"/>
  <c r="D54" i="137" s="1"/>
  <c r="C14" i="137"/>
  <c r="C15" i="137" s="1"/>
  <c r="C16" i="137" s="1"/>
  <c r="C17" i="137" s="1"/>
  <c r="C18" i="137" s="1"/>
  <c r="C19" i="137" s="1"/>
  <c r="C20" i="137" s="1"/>
  <c r="C21" i="137" s="1"/>
  <c r="C22" i="137" s="1"/>
  <c r="C23" i="137" s="1"/>
  <c r="C24" i="137" s="1"/>
  <c r="C25" i="137" s="1"/>
  <c r="C26" i="137" s="1"/>
  <c r="C27" i="137" s="1"/>
  <c r="C28" i="137" s="1"/>
  <c r="C29" i="137" s="1"/>
  <c r="C30" i="137" s="1"/>
  <c r="C31" i="137" s="1"/>
  <c r="C32" i="137" s="1"/>
  <c r="C33" i="137" s="1"/>
  <c r="C34" i="137" s="1"/>
  <c r="C35" i="137" s="1"/>
  <c r="C36" i="137" s="1"/>
  <c r="C37" i="137" s="1"/>
  <c r="C38" i="137" s="1"/>
  <c r="C39" i="137" s="1"/>
  <c r="C40" i="137" s="1"/>
  <c r="C41" i="137" s="1"/>
  <c r="C42" i="137" s="1"/>
  <c r="C43" i="137" s="1"/>
  <c r="C44" i="137" s="1"/>
  <c r="C45" i="137" s="1"/>
  <c r="C46" i="137" s="1"/>
  <c r="C47" i="137" s="1"/>
  <c r="C48" i="137" s="1"/>
  <c r="C49" i="137" s="1"/>
  <c r="C50" i="137" s="1"/>
  <c r="C51" i="137" s="1"/>
  <c r="C52" i="137" s="1"/>
  <c r="C53" i="137" s="1"/>
  <c r="C54" i="137" s="1"/>
  <c r="B14" i="137"/>
  <c r="B15" i="137" s="1"/>
  <c r="B16" i="137" s="1"/>
  <c r="B17" i="137" s="1"/>
  <c r="B18" i="137" s="1"/>
  <c r="B19" i="137" s="1"/>
  <c r="B20" i="137" s="1"/>
  <c r="B21" i="137" s="1"/>
  <c r="B22" i="137" s="1"/>
  <c r="B23" i="137" s="1"/>
  <c r="B24" i="137" s="1"/>
  <c r="B25" i="137" s="1"/>
  <c r="B26" i="137" s="1"/>
  <c r="B27" i="137" s="1"/>
  <c r="B28" i="137" s="1"/>
  <c r="B29" i="137" s="1"/>
  <c r="B30" i="137" s="1"/>
  <c r="B31" i="137" s="1"/>
  <c r="B32" i="137" s="1"/>
  <c r="B33" i="137" s="1"/>
  <c r="B34" i="137" s="1"/>
  <c r="B35" i="137" s="1"/>
  <c r="B36" i="137" s="1"/>
  <c r="B37" i="137" s="1"/>
  <c r="B38" i="137" s="1"/>
  <c r="B39" i="137" s="1"/>
  <c r="B40" i="137" s="1"/>
  <c r="B41" i="137" s="1"/>
  <c r="B42" i="137" s="1"/>
  <c r="B43" i="137" s="1"/>
  <c r="B44" i="137" s="1"/>
  <c r="B45" i="137" s="1"/>
  <c r="B46" i="137" s="1"/>
  <c r="B47" i="137" s="1"/>
  <c r="B48" i="137" s="1"/>
  <c r="B49" i="137" s="1"/>
  <c r="B50" i="137" s="1"/>
  <c r="B51" i="137" s="1"/>
  <c r="B52" i="137" s="1"/>
  <c r="B53" i="137" s="1"/>
  <c r="B54" i="137" s="1"/>
  <c r="B87" i="133"/>
  <c r="C81" i="133"/>
  <c r="F54" i="133"/>
  <c r="F53" i="133"/>
  <c r="F52" i="133"/>
  <c r="F51" i="133"/>
  <c r="F50" i="133"/>
  <c r="F49" i="133"/>
  <c r="F48" i="133"/>
  <c r="F47" i="133"/>
  <c r="F46" i="133"/>
  <c r="F45" i="133"/>
  <c r="F44" i="133"/>
  <c r="F43" i="133"/>
  <c r="F42" i="133"/>
  <c r="F41" i="133"/>
  <c r="F40" i="133"/>
  <c r="F39" i="133"/>
  <c r="F38" i="133"/>
  <c r="F37" i="133"/>
  <c r="F36" i="133"/>
  <c r="F35" i="133"/>
  <c r="F34" i="133"/>
  <c r="F33" i="133"/>
  <c r="F32" i="133"/>
  <c r="F31" i="133"/>
  <c r="F30" i="133"/>
  <c r="F29" i="133"/>
  <c r="F28" i="133"/>
  <c r="F27" i="133"/>
  <c r="F26" i="133"/>
  <c r="F25" i="133"/>
  <c r="F24" i="133"/>
  <c r="F23" i="133"/>
  <c r="F22" i="133"/>
  <c r="F21" i="133"/>
  <c r="F20" i="133"/>
  <c r="F19" i="133"/>
  <c r="F15" i="133"/>
  <c r="F16" i="133" s="1"/>
  <c r="F17" i="133" s="1"/>
  <c r="F18" i="133" s="1"/>
  <c r="E14" i="133"/>
  <c r="E15" i="133" s="1"/>
  <c r="E16" i="133" s="1"/>
  <c r="E17" i="133" s="1"/>
  <c r="E18" i="133" s="1"/>
  <c r="E19" i="133" s="1"/>
  <c r="E20" i="133" s="1"/>
  <c r="E21" i="133" s="1"/>
  <c r="E22" i="133" s="1"/>
  <c r="E23" i="133" s="1"/>
  <c r="E24" i="133" s="1"/>
  <c r="E25" i="133" s="1"/>
  <c r="E26" i="133" s="1"/>
  <c r="E27" i="133" s="1"/>
  <c r="E28" i="133" s="1"/>
  <c r="E29" i="133" s="1"/>
  <c r="E30" i="133" s="1"/>
  <c r="E31" i="133" s="1"/>
  <c r="E32" i="133" s="1"/>
  <c r="E33" i="133" s="1"/>
  <c r="E34" i="133" s="1"/>
  <c r="E35" i="133" s="1"/>
  <c r="E36" i="133" s="1"/>
  <c r="E37" i="133" s="1"/>
  <c r="E38" i="133" s="1"/>
  <c r="E39" i="133" s="1"/>
  <c r="E40" i="133" s="1"/>
  <c r="E41" i="133" s="1"/>
  <c r="E42" i="133" s="1"/>
  <c r="E43" i="133" s="1"/>
  <c r="E44" i="133" s="1"/>
  <c r="E45" i="133" s="1"/>
  <c r="E46" i="133" s="1"/>
  <c r="E47" i="133" s="1"/>
  <c r="E48" i="133" s="1"/>
  <c r="E49" i="133" s="1"/>
  <c r="E50" i="133" s="1"/>
  <c r="E51" i="133" s="1"/>
  <c r="E52" i="133" s="1"/>
  <c r="E53" i="133" s="1"/>
  <c r="E54" i="133" s="1"/>
  <c r="D14" i="133"/>
  <c r="D15" i="133" s="1"/>
  <c r="D16" i="133" s="1"/>
  <c r="D17" i="133" s="1"/>
  <c r="D18" i="133" s="1"/>
  <c r="D19" i="133" s="1"/>
  <c r="D20" i="133" s="1"/>
  <c r="D21" i="133" s="1"/>
  <c r="D22" i="133" s="1"/>
  <c r="D23" i="133" s="1"/>
  <c r="D24" i="133" s="1"/>
  <c r="D25" i="133" s="1"/>
  <c r="D26" i="133" s="1"/>
  <c r="D27" i="133" s="1"/>
  <c r="D28" i="133" s="1"/>
  <c r="D29" i="133" s="1"/>
  <c r="D30" i="133" s="1"/>
  <c r="D31" i="133" s="1"/>
  <c r="D32" i="133" s="1"/>
  <c r="D33" i="133" s="1"/>
  <c r="D34" i="133" s="1"/>
  <c r="D35" i="133" s="1"/>
  <c r="D36" i="133" s="1"/>
  <c r="D37" i="133" s="1"/>
  <c r="D38" i="133" s="1"/>
  <c r="D39" i="133" s="1"/>
  <c r="D40" i="133" s="1"/>
  <c r="D41" i="133" s="1"/>
  <c r="D42" i="133" s="1"/>
  <c r="D43" i="133" s="1"/>
  <c r="D44" i="133" s="1"/>
  <c r="D45" i="133" s="1"/>
  <c r="D46" i="133" s="1"/>
  <c r="D47" i="133" s="1"/>
  <c r="D48" i="133" s="1"/>
  <c r="D49" i="133" s="1"/>
  <c r="D50" i="133" s="1"/>
  <c r="D51" i="133" s="1"/>
  <c r="D52" i="133" s="1"/>
  <c r="D53" i="133" s="1"/>
  <c r="D54" i="133" s="1"/>
  <c r="C14" i="133"/>
  <c r="C15" i="133" s="1"/>
  <c r="C16" i="133" s="1"/>
  <c r="C17" i="133" s="1"/>
  <c r="C18" i="133" s="1"/>
  <c r="C19" i="133" s="1"/>
  <c r="C20" i="133" s="1"/>
  <c r="C21" i="133" s="1"/>
  <c r="C22" i="133" s="1"/>
  <c r="C23" i="133" s="1"/>
  <c r="C24" i="133" s="1"/>
  <c r="C25" i="133" s="1"/>
  <c r="C26" i="133" s="1"/>
  <c r="C27" i="133" s="1"/>
  <c r="C28" i="133" s="1"/>
  <c r="C29" i="133" s="1"/>
  <c r="C30" i="133" s="1"/>
  <c r="C31" i="133" s="1"/>
  <c r="C32" i="133" s="1"/>
  <c r="C33" i="133" s="1"/>
  <c r="C34" i="133" s="1"/>
  <c r="C35" i="133" s="1"/>
  <c r="C36" i="133" s="1"/>
  <c r="C37" i="133" s="1"/>
  <c r="C38" i="133" s="1"/>
  <c r="C39" i="133" s="1"/>
  <c r="C40" i="133" s="1"/>
  <c r="C41" i="133" s="1"/>
  <c r="C42" i="133" s="1"/>
  <c r="C43" i="133" s="1"/>
  <c r="C44" i="133" s="1"/>
  <c r="C45" i="133" s="1"/>
  <c r="C46" i="133" s="1"/>
  <c r="C47" i="133" s="1"/>
  <c r="C48" i="133" s="1"/>
  <c r="C49" i="133" s="1"/>
  <c r="C50" i="133" s="1"/>
  <c r="C51" i="133" s="1"/>
  <c r="C52" i="133" s="1"/>
  <c r="C53" i="133" s="1"/>
  <c r="C54" i="133" s="1"/>
  <c r="B14" i="133"/>
  <c r="B15" i="133" s="1"/>
  <c r="B16" i="133" s="1"/>
  <c r="B17" i="133" s="1"/>
  <c r="B18" i="133" s="1"/>
  <c r="B19" i="133" s="1"/>
  <c r="B20" i="133" s="1"/>
  <c r="B21" i="133" s="1"/>
  <c r="B22" i="133" s="1"/>
  <c r="B23" i="133" s="1"/>
  <c r="B24" i="133" s="1"/>
  <c r="B25" i="133" s="1"/>
  <c r="B26" i="133" s="1"/>
  <c r="B27" i="133" s="1"/>
  <c r="B28" i="133" s="1"/>
  <c r="B29" i="133" s="1"/>
  <c r="B30" i="133" s="1"/>
  <c r="B31" i="133" s="1"/>
  <c r="B32" i="133" s="1"/>
  <c r="B33" i="133" s="1"/>
  <c r="B34" i="133" s="1"/>
  <c r="B35" i="133" s="1"/>
  <c r="B36" i="133" s="1"/>
  <c r="B37" i="133" s="1"/>
  <c r="B38" i="133" s="1"/>
  <c r="B39" i="133" s="1"/>
  <c r="B40" i="133" s="1"/>
  <c r="B41" i="133" s="1"/>
  <c r="B42" i="133" s="1"/>
  <c r="B43" i="133" s="1"/>
  <c r="B44" i="133" s="1"/>
  <c r="B45" i="133" s="1"/>
  <c r="B46" i="133" s="1"/>
  <c r="B47" i="133" s="1"/>
  <c r="B48" i="133" s="1"/>
  <c r="B49" i="133" s="1"/>
  <c r="B50" i="133" s="1"/>
  <c r="B51" i="133" s="1"/>
  <c r="B52" i="133" s="1"/>
  <c r="B53" i="133" s="1"/>
  <c r="B54" i="133" s="1"/>
  <c r="K16" i="131"/>
  <c r="K14" i="131"/>
  <c r="B87" i="131"/>
  <c r="F54" i="131"/>
  <c r="F53" i="131"/>
  <c r="F52" i="131"/>
  <c r="F51" i="131"/>
  <c r="F50" i="131"/>
  <c r="F49" i="131"/>
  <c r="F48" i="131"/>
  <c r="F47" i="131"/>
  <c r="F46" i="131"/>
  <c r="F45" i="131"/>
  <c r="F44" i="131"/>
  <c r="F43" i="131"/>
  <c r="F42" i="131"/>
  <c r="F41" i="131"/>
  <c r="F40" i="131"/>
  <c r="F39" i="131"/>
  <c r="F38" i="131"/>
  <c r="F37" i="131"/>
  <c r="F36" i="131"/>
  <c r="F35" i="131"/>
  <c r="F34" i="131"/>
  <c r="F33" i="131"/>
  <c r="F32" i="131"/>
  <c r="F31" i="131"/>
  <c r="F30" i="131"/>
  <c r="F29" i="131"/>
  <c r="F28" i="131"/>
  <c r="F27" i="131"/>
  <c r="F26" i="131"/>
  <c r="F25" i="131"/>
  <c r="F24" i="131"/>
  <c r="F23" i="131"/>
  <c r="F22" i="131"/>
  <c r="F21" i="131"/>
  <c r="F20" i="131"/>
  <c r="F19" i="131"/>
  <c r="F15" i="131"/>
  <c r="F16" i="131" s="1"/>
  <c r="F17" i="131" s="1"/>
  <c r="F18" i="131" s="1"/>
  <c r="E14" i="131"/>
  <c r="E15" i="131" s="1"/>
  <c r="E16" i="131" s="1"/>
  <c r="E17" i="131" s="1"/>
  <c r="E18" i="131" s="1"/>
  <c r="E19" i="131" s="1"/>
  <c r="E20" i="131" s="1"/>
  <c r="E21" i="131" s="1"/>
  <c r="E22" i="131" s="1"/>
  <c r="E23" i="131" s="1"/>
  <c r="E24" i="131" s="1"/>
  <c r="E25" i="131" s="1"/>
  <c r="E26" i="131" s="1"/>
  <c r="E27" i="131" s="1"/>
  <c r="E28" i="131" s="1"/>
  <c r="E29" i="131" s="1"/>
  <c r="E30" i="131" s="1"/>
  <c r="E31" i="131" s="1"/>
  <c r="E32" i="131" s="1"/>
  <c r="E33" i="131" s="1"/>
  <c r="E34" i="131" s="1"/>
  <c r="E35" i="131" s="1"/>
  <c r="E36" i="131" s="1"/>
  <c r="E37" i="131" s="1"/>
  <c r="E38" i="131" s="1"/>
  <c r="E39" i="131" s="1"/>
  <c r="E40" i="131" s="1"/>
  <c r="E41" i="131" s="1"/>
  <c r="E42" i="131" s="1"/>
  <c r="E43" i="131" s="1"/>
  <c r="E44" i="131" s="1"/>
  <c r="E45" i="131" s="1"/>
  <c r="E46" i="131" s="1"/>
  <c r="E47" i="131" s="1"/>
  <c r="E48" i="131" s="1"/>
  <c r="E49" i="131" s="1"/>
  <c r="E50" i="131" s="1"/>
  <c r="E51" i="131" s="1"/>
  <c r="E52" i="131" s="1"/>
  <c r="E53" i="131" s="1"/>
  <c r="E54" i="131" s="1"/>
  <c r="D14" i="131"/>
  <c r="D15" i="131" s="1"/>
  <c r="D16" i="131" s="1"/>
  <c r="D17" i="131" s="1"/>
  <c r="D18" i="131" s="1"/>
  <c r="D19" i="131" s="1"/>
  <c r="D20" i="131" s="1"/>
  <c r="D21" i="131" s="1"/>
  <c r="D22" i="131" s="1"/>
  <c r="D23" i="131" s="1"/>
  <c r="D24" i="131" s="1"/>
  <c r="D25" i="131" s="1"/>
  <c r="D26" i="131" s="1"/>
  <c r="D27" i="131" s="1"/>
  <c r="D28" i="131" s="1"/>
  <c r="D29" i="131" s="1"/>
  <c r="D30" i="131" s="1"/>
  <c r="D31" i="131" s="1"/>
  <c r="D32" i="131" s="1"/>
  <c r="D33" i="131" s="1"/>
  <c r="D34" i="131" s="1"/>
  <c r="D35" i="131" s="1"/>
  <c r="D36" i="131" s="1"/>
  <c r="D37" i="131" s="1"/>
  <c r="D38" i="131" s="1"/>
  <c r="D39" i="131" s="1"/>
  <c r="D40" i="131" s="1"/>
  <c r="D41" i="131" s="1"/>
  <c r="D42" i="131" s="1"/>
  <c r="D43" i="131" s="1"/>
  <c r="D44" i="131" s="1"/>
  <c r="D45" i="131" s="1"/>
  <c r="D46" i="131" s="1"/>
  <c r="D47" i="131" s="1"/>
  <c r="D48" i="131" s="1"/>
  <c r="D49" i="131" s="1"/>
  <c r="D50" i="131" s="1"/>
  <c r="D51" i="131" s="1"/>
  <c r="D52" i="131" s="1"/>
  <c r="D53" i="131" s="1"/>
  <c r="D54" i="131" s="1"/>
  <c r="C14" i="131"/>
  <c r="C15" i="131" s="1"/>
  <c r="C16" i="131" s="1"/>
  <c r="C17" i="131" s="1"/>
  <c r="C18" i="131" s="1"/>
  <c r="C19" i="131" s="1"/>
  <c r="C20" i="131" s="1"/>
  <c r="C21" i="131" s="1"/>
  <c r="C22" i="131" s="1"/>
  <c r="C23" i="131" s="1"/>
  <c r="C24" i="131" s="1"/>
  <c r="C25" i="131" s="1"/>
  <c r="C26" i="131" s="1"/>
  <c r="C27" i="131" s="1"/>
  <c r="C28" i="131" s="1"/>
  <c r="C29" i="131" s="1"/>
  <c r="C30" i="131" s="1"/>
  <c r="C31" i="131" s="1"/>
  <c r="C32" i="131" s="1"/>
  <c r="C33" i="131" s="1"/>
  <c r="C34" i="131" s="1"/>
  <c r="C35" i="131" s="1"/>
  <c r="C36" i="131" s="1"/>
  <c r="C37" i="131" s="1"/>
  <c r="C38" i="131" s="1"/>
  <c r="C39" i="131" s="1"/>
  <c r="C40" i="131" s="1"/>
  <c r="C41" i="131" s="1"/>
  <c r="C42" i="131" s="1"/>
  <c r="C43" i="131" s="1"/>
  <c r="C44" i="131" s="1"/>
  <c r="C45" i="131" s="1"/>
  <c r="C46" i="131" s="1"/>
  <c r="C47" i="131" s="1"/>
  <c r="C48" i="131" s="1"/>
  <c r="C49" i="131" s="1"/>
  <c r="C50" i="131" s="1"/>
  <c r="C51" i="131" s="1"/>
  <c r="C52" i="131" s="1"/>
  <c r="C53" i="131" s="1"/>
  <c r="C54" i="131" s="1"/>
  <c r="B14" i="13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B33" i="131" s="1"/>
  <c r="B34" i="131" s="1"/>
  <c r="B35" i="131" s="1"/>
  <c r="B36" i="131" s="1"/>
  <c r="B37" i="131" s="1"/>
  <c r="B38" i="131" s="1"/>
  <c r="B39" i="131" s="1"/>
  <c r="B40" i="131" s="1"/>
  <c r="B41" i="131" s="1"/>
  <c r="B42" i="131" s="1"/>
  <c r="B43" i="131" s="1"/>
  <c r="B44" i="131" s="1"/>
  <c r="B45" i="131" s="1"/>
  <c r="B46" i="131" s="1"/>
  <c r="B47" i="131" s="1"/>
  <c r="B48" i="131" s="1"/>
  <c r="B49" i="131" s="1"/>
  <c r="B50" i="131" s="1"/>
  <c r="B51" i="131" s="1"/>
  <c r="B52" i="131" s="1"/>
  <c r="B53" i="131" s="1"/>
  <c r="B54" i="131" s="1"/>
  <c r="K5" i="96"/>
  <c r="C15" i="88"/>
  <c r="M13" i="96"/>
  <c r="K13" i="96"/>
  <c r="F20" i="88"/>
  <c r="F21" i="88"/>
  <c r="F22" i="88"/>
  <c r="F23" i="88"/>
  <c r="F24" i="88"/>
  <c r="F25" i="88"/>
  <c r="F26" i="88"/>
  <c r="F27" i="88"/>
  <c r="F28" i="88"/>
  <c r="F29" i="88"/>
  <c r="F30" i="88"/>
  <c r="F31" i="88"/>
  <c r="F32" i="88"/>
  <c r="F33" i="88"/>
  <c r="F34" i="88"/>
  <c r="F35" i="88"/>
  <c r="F36" i="88"/>
  <c r="F37" i="88"/>
  <c r="F38" i="88"/>
  <c r="F39" i="88"/>
  <c r="F40" i="88"/>
  <c r="F41" i="88"/>
  <c r="F42" i="88"/>
  <c r="F43" i="88"/>
  <c r="F44" i="88"/>
  <c r="F45" i="88"/>
  <c r="F46" i="88"/>
  <c r="F47" i="88"/>
  <c r="F48" i="88"/>
  <c r="F49" i="88"/>
  <c r="F50" i="88"/>
  <c r="F51" i="88"/>
  <c r="F52" i="88"/>
  <c r="F53" i="88"/>
  <c r="F54" i="88"/>
  <c r="F15" i="88"/>
  <c r="F16" i="88" s="1"/>
  <c r="F17" i="88" s="1"/>
  <c r="F18" i="88" s="1"/>
  <c r="F19" i="88" s="1"/>
  <c r="E14" i="88"/>
  <c r="E15" i="88" s="1"/>
  <c r="E16" i="88" s="1"/>
  <c r="E17" i="88" s="1"/>
  <c r="E18" i="88" s="1"/>
  <c r="E19" i="88" s="1"/>
  <c r="E20" i="88" s="1"/>
  <c r="E21" i="88" s="1"/>
  <c r="E22" i="88" s="1"/>
  <c r="E23" i="88" s="1"/>
  <c r="E24" i="88" s="1"/>
  <c r="E25" i="88" s="1"/>
  <c r="E26" i="88" s="1"/>
  <c r="E27" i="88" s="1"/>
  <c r="E28" i="88" s="1"/>
  <c r="E29" i="88" s="1"/>
  <c r="E30" i="88" s="1"/>
  <c r="E31" i="88" s="1"/>
  <c r="E32" i="88" s="1"/>
  <c r="E33" i="88" s="1"/>
  <c r="E34" i="88" s="1"/>
  <c r="E35" i="88" s="1"/>
  <c r="E36" i="88" s="1"/>
  <c r="E37" i="88" s="1"/>
  <c r="E38" i="88" s="1"/>
  <c r="E39" i="88" s="1"/>
  <c r="E40" i="88" s="1"/>
  <c r="E41" i="88" s="1"/>
  <c r="E42" i="88" s="1"/>
  <c r="E43" i="88" s="1"/>
  <c r="E44" i="88" s="1"/>
  <c r="E45" i="88" s="1"/>
  <c r="E46" i="88" s="1"/>
  <c r="E47" i="88" s="1"/>
  <c r="E48" i="88" s="1"/>
  <c r="E49" i="88" s="1"/>
  <c r="E50" i="88" s="1"/>
  <c r="E51" i="88" s="1"/>
  <c r="E52" i="88" s="1"/>
  <c r="E53" i="88" s="1"/>
  <c r="E54" i="88" s="1"/>
  <c r="D14" i="88"/>
  <c r="D15" i="88" s="1"/>
  <c r="D16" i="88" s="1"/>
  <c r="D17" i="88" s="1"/>
  <c r="D18" i="88" s="1"/>
  <c r="D19" i="88" s="1"/>
  <c r="D20" i="88" s="1"/>
  <c r="D21" i="88" s="1"/>
  <c r="D22" i="88" s="1"/>
  <c r="D23" i="88" s="1"/>
  <c r="D24" i="88" s="1"/>
  <c r="D25" i="88" s="1"/>
  <c r="D26" i="88" s="1"/>
  <c r="D27" i="88" s="1"/>
  <c r="D28" i="88" s="1"/>
  <c r="D29" i="88" s="1"/>
  <c r="D30" i="88" s="1"/>
  <c r="D31" i="88" s="1"/>
  <c r="D32" i="88" s="1"/>
  <c r="D33" i="88" s="1"/>
  <c r="D34" i="88" s="1"/>
  <c r="D35" i="88" s="1"/>
  <c r="D36" i="88" s="1"/>
  <c r="D37" i="88" s="1"/>
  <c r="D38" i="88" s="1"/>
  <c r="D39" i="88" s="1"/>
  <c r="D40" i="88" s="1"/>
  <c r="D41" i="88" s="1"/>
  <c r="D42" i="88" s="1"/>
  <c r="D43" i="88" s="1"/>
  <c r="D44" i="88" s="1"/>
  <c r="D45" i="88" s="1"/>
  <c r="D46" i="88" s="1"/>
  <c r="D47" i="88" s="1"/>
  <c r="D48" i="88" s="1"/>
  <c r="D49" i="88" s="1"/>
  <c r="D50" i="88" s="1"/>
  <c r="D51" i="88" s="1"/>
  <c r="D52" i="88" s="1"/>
  <c r="D53" i="88" s="1"/>
  <c r="D54" i="88" s="1"/>
  <c r="C14" i="88"/>
  <c r="N4" i="96"/>
  <c r="N5" i="96"/>
  <c r="N6" i="96"/>
  <c r="N7" i="96"/>
  <c r="N8" i="96"/>
  <c r="N9" i="96"/>
  <c r="N10" i="96"/>
  <c r="N11" i="96"/>
  <c r="N3" i="96"/>
  <c r="C141" i="205" l="1"/>
  <c r="B142" i="205"/>
  <c r="B141" i="204"/>
  <c r="C140" i="204"/>
  <c r="D62" i="199"/>
  <c r="G50" i="146"/>
  <c r="C62" i="197"/>
  <c r="J50" i="146"/>
  <c r="C63" i="201"/>
  <c r="L51" i="146"/>
  <c r="C62" i="200"/>
  <c r="N50" i="146"/>
  <c r="D62" i="203"/>
  <c r="Q50" i="146"/>
  <c r="D62" i="201"/>
  <c r="M50" i="146"/>
  <c r="C62" i="198"/>
  <c r="H50" i="146"/>
  <c r="C62" i="203"/>
  <c r="P50" i="146"/>
  <c r="D62" i="197"/>
  <c r="K50" i="146"/>
  <c r="C62" i="202"/>
  <c r="R50" i="146"/>
  <c r="D62" i="202"/>
  <c r="S50" i="146"/>
  <c r="C62" i="199"/>
  <c r="F50" i="146"/>
  <c r="D62" i="200"/>
  <c r="O50" i="146"/>
  <c r="D62" i="198"/>
  <c r="I50" i="146"/>
  <c r="B141" i="203"/>
  <c r="C140" i="203"/>
  <c r="B141" i="202"/>
  <c r="C140" i="202"/>
  <c r="B141" i="201"/>
  <c r="C140" i="201"/>
  <c r="B141" i="200"/>
  <c r="C140" i="200"/>
  <c r="B141" i="199"/>
  <c r="C140" i="199"/>
  <c r="B141" i="198"/>
  <c r="C140" i="198"/>
  <c r="B141" i="197"/>
  <c r="C140" i="197"/>
  <c r="B142" i="193"/>
  <c r="C141" i="193"/>
  <c r="B140" i="190"/>
  <c r="C139" i="190"/>
  <c r="B141" i="182"/>
  <c r="C140" i="182"/>
  <c r="B141" i="181"/>
  <c r="C140" i="181"/>
  <c r="B140" i="157"/>
  <c r="C139" i="157"/>
  <c r="B140" i="156"/>
  <c r="C139" i="156"/>
  <c r="B140" i="155"/>
  <c r="C139" i="155"/>
  <c r="M9" i="144"/>
  <c r="K10" i="144"/>
  <c r="M10" i="144"/>
  <c r="M7" i="144"/>
  <c r="K11" i="144"/>
  <c r="M11" i="144"/>
  <c r="B93" i="137"/>
  <c r="C92" i="137"/>
  <c r="B88" i="133"/>
  <c r="C87" i="133"/>
  <c r="B88" i="131"/>
  <c r="C87" i="131"/>
  <c r="K15" i="96"/>
  <c r="K8" i="96"/>
  <c r="M8" i="96"/>
  <c r="M9" i="96"/>
  <c r="K3" i="96"/>
  <c r="M3" i="96"/>
  <c r="K9" i="96"/>
  <c r="C16" i="88"/>
  <c r="C17" i="88" s="1"/>
  <c r="C18" i="88" s="1"/>
  <c r="C19" i="88" s="1"/>
  <c r="C20" i="88" s="1"/>
  <c r="C21" i="88" s="1"/>
  <c r="C22" i="88" s="1"/>
  <c r="C23" i="88" s="1"/>
  <c r="C24" i="88" s="1"/>
  <c r="C25" i="88" s="1"/>
  <c r="C26" i="88" s="1"/>
  <c r="C27" i="88" s="1"/>
  <c r="C28" i="88" s="1"/>
  <c r="C29" i="88" s="1"/>
  <c r="C30" i="88" s="1"/>
  <c r="C31" i="88" s="1"/>
  <c r="C32" i="88" s="1"/>
  <c r="C33" i="88" s="1"/>
  <c r="C34" i="88" s="1"/>
  <c r="C35" i="88" s="1"/>
  <c r="C36" i="88" s="1"/>
  <c r="C37" i="88" s="1"/>
  <c r="C38" i="88" s="1"/>
  <c r="C39" i="88" s="1"/>
  <c r="C40" i="88" s="1"/>
  <c r="C41" i="88" s="1"/>
  <c r="C42" i="88" s="1"/>
  <c r="C43" i="88" s="1"/>
  <c r="C44" i="88" s="1"/>
  <c r="C45" i="88" s="1"/>
  <c r="C46" i="88" s="1"/>
  <c r="C47" i="88" s="1"/>
  <c r="C48" i="88" s="1"/>
  <c r="C49" i="88" s="1"/>
  <c r="C50" i="88" s="1"/>
  <c r="C51" i="88" s="1"/>
  <c r="C52" i="88" s="1"/>
  <c r="C53" i="88" s="1"/>
  <c r="C54" i="88" s="1"/>
  <c r="C142" i="205" l="1"/>
  <c r="B143" i="205"/>
  <c r="B142" i="204"/>
  <c r="C141" i="204"/>
  <c r="C63" i="199"/>
  <c r="F51" i="146"/>
  <c r="D63" i="201"/>
  <c r="M51" i="146"/>
  <c r="D63" i="202"/>
  <c r="S51" i="146"/>
  <c r="D63" i="203"/>
  <c r="Q51" i="146"/>
  <c r="C63" i="197"/>
  <c r="J51" i="146"/>
  <c r="C64" i="201"/>
  <c r="L52" i="146"/>
  <c r="C63" i="203"/>
  <c r="P51" i="146"/>
  <c r="D63" i="197"/>
  <c r="K51" i="146"/>
  <c r="D63" i="198"/>
  <c r="I51" i="146"/>
  <c r="D63" i="200"/>
  <c r="O51" i="146"/>
  <c r="C63" i="202"/>
  <c r="R51" i="146"/>
  <c r="C63" i="198"/>
  <c r="H51" i="146"/>
  <c r="C63" i="200"/>
  <c r="N51" i="146"/>
  <c r="D63" i="199"/>
  <c r="G51" i="146"/>
  <c r="B142" i="203"/>
  <c r="C141" i="203"/>
  <c r="B142" i="202"/>
  <c r="C141" i="202"/>
  <c r="B142" i="201"/>
  <c r="C141" i="201"/>
  <c r="B142" i="200"/>
  <c r="C141" i="200"/>
  <c r="B142" i="199"/>
  <c r="C141" i="199"/>
  <c r="B142" i="198"/>
  <c r="C141" i="198"/>
  <c r="B142" i="197"/>
  <c r="C141" i="197"/>
  <c r="B143" i="193"/>
  <c r="C142" i="193"/>
  <c r="B141" i="190"/>
  <c r="C140" i="190"/>
  <c r="B142" i="182"/>
  <c r="C141" i="182"/>
  <c r="B142" i="181"/>
  <c r="C141" i="181"/>
  <c r="B141" i="157"/>
  <c r="C140" i="157"/>
  <c r="B141" i="156"/>
  <c r="C140" i="156"/>
  <c r="B141" i="155"/>
  <c r="C140" i="155"/>
  <c r="K11" i="96"/>
  <c r="K7" i="144"/>
  <c r="K14" i="144"/>
  <c r="B94" i="137"/>
  <c r="C93" i="137"/>
  <c r="B89" i="133"/>
  <c r="C88" i="133"/>
  <c r="M11" i="96"/>
  <c r="B89" i="131"/>
  <c r="C88" i="131"/>
  <c r="M15" i="96"/>
  <c r="C143" i="205" l="1"/>
  <c r="B144" i="205"/>
  <c r="B143" i="204"/>
  <c r="C142" i="204"/>
  <c r="C64" i="198"/>
  <c r="H52" i="146"/>
  <c r="C65" i="201"/>
  <c r="L53" i="146"/>
  <c r="D64" i="202"/>
  <c r="S52" i="146"/>
  <c r="D64" i="199"/>
  <c r="G52" i="146"/>
  <c r="D64" i="197"/>
  <c r="K52" i="146"/>
  <c r="D64" i="201"/>
  <c r="M52" i="146"/>
  <c r="D64" i="198"/>
  <c r="I52" i="146"/>
  <c r="C64" i="202"/>
  <c r="R52" i="146"/>
  <c r="C64" i="197"/>
  <c r="J52" i="146"/>
  <c r="C64" i="200"/>
  <c r="N52" i="146"/>
  <c r="D64" i="200"/>
  <c r="O52" i="146"/>
  <c r="C64" i="203"/>
  <c r="P52" i="146"/>
  <c r="D64" i="203"/>
  <c r="Q52" i="146"/>
  <c r="C64" i="199"/>
  <c r="F52" i="146"/>
  <c r="B143" i="203"/>
  <c r="C142" i="203"/>
  <c r="B143" i="202"/>
  <c r="C142" i="202"/>
  <c r="B143" i="201"/>
  <c r="C142" i="201"/>
  <c r="B143" i="200"/>
  <c r="C142" i="200"/>
  <c r="B143" i="199"/>
  <c r="C142" i="199"/>
  <c r="B143" i="198"/>
  <c r="C142" i="198"/>
  <c r="B143" i="197"/>
  <c r="C142" i="197"/>
  <c r="B144" i="193"/>
  <c r="C143" i="193"/>
  <c r="B142" i="190"/>
  <c r="C141" i="190"/>
  <c r="B143" i="182"/>
  <c r="C142" i="182"/>
  <c r="B143" i="181"/>
  <c r="C142" i="181"/>
  <c r="B142" i="157"/>
  <c r="C141" i="157"/>
  <c r="B142" i="156"/>
  <c r="C141" i="156"/>
  <c r="B142" i="155"/>
  <c r="C141" i="155"/>
  <c r="B95" i="137"/>
  <c r="C94" i="137"/>
  <c r="B90" i="133"/>
  <c r="C89" i="133"/>
  <c r="B90" i="131"/>
  <c r="C89" i="131"/>
  <c r="C144" i="205" l="1"/>
  <c r="B145" i="205"/>
  <c r="B144" i="204"/>
  <c r="C143" i="204"/>
  <c r="D65" i="202"/>
  <c r="S53" i="146"/>
  <c r="C65" i="197"/>
  <c r="J53" i="146"/>
  <c r="D65" i="200"/>
  <c r="O53" i="146"/>
  <c r="C65" i="203"/>
  <c r="P53" i="146"/>
  <c r="D65" i="201"/>
  <c r="M53" i="146"/>
  <c r="C65" i="199"/>
  <c r="F53" i="146"/>
  <c r="C65" i="202"/>
  <c r="R53" i="146"/>
  <c r="D65" i="197"/>
  <c r="K53" i="146"/>
  <c r="C66" i="201"/>
  <c r="L54" i="146"/>
  <c r="D65" i="203"/>
  <c r="Q53" i="146"/>
  <c r="C65" i="200"/>
  <c r="N53" i="146"/>
  <c r="D65" i="198"/>
  <c r="I53" i="146"/>
  <c r="D65" i="199"/>
  <c r="G53" i="146"/>
  <c r="C65" i="198"/>
  <c r="H53" i="146"/>
  <c r="B144" i="203"/>
  <c r="C143" i="203"/>
  <c r="B144" i="202"/>
  <c r="C143" i="202"/>
  <c r="B144" i="201"/>
  <c r="C143" i="201"/>
  <c r="B144" i="200"/>
  <c r="C143" i="200"/>
  <c r="B144" i="199"/>
  <c r="C143" i="199"/>
  <c r="B144" i="198"/>
  <c r="C143" i="198"/>
  <c r="B144" i="197"/>
  <c r="C143" i="197"/>
  <c r="B145" i="193"/>
  <c r="C144" i="193"/>
  <c r="B143" i="190"/>
  <c r="C142" i="190"/>
  <c r="B144" i="182"/>
  <c r="C143" i="182"/>
  <c r="B144" i="181"/>
  <c r="C143" i="181"/>
  <c r="B143" i="157"/>
  <c r="C142" i="157"/>
  <c r="B143" i="156"/>
  <c r="C142" i="156"/>
  <c r="B143" i="155"/>
  <c r="C142" i="155"/>
  <c r="B96" i="137"/>
  <c r="C95" i="137"/>
  <c r="B91" i="133"/>
  <c r="C90" i="133"/>
  <c r="B91" i="131"/>
  <c r="C90" i="131"/>
  <c r="C145" i="205" l="1"/>
  <c r="B146" i="205"/>
  <c r="B145" i="204"/>
  <c r="C144" i="204"/>
  <c r="C66" i="199"/>
  <c r="F54" i="146"/>
  <c r="C66" i="197"/>
  <c r="J54" i="146"/>
  <c r="C67" i="201"/>
  <c r="L55" i="146"/>
  <c r="D66" i="197"/>
  <c r="K54" i="146"/>
  <c r="D66" i="198"/>
  <c r="I54" i="146"/>
  <c r="D66" i="200"/>
  <c r="O54" i="146"/>
  <c r="C66" i="198"/>
  <c r="H54" i="146"/>
  <c r="C66" i="200"/>
  <c r="N54" i="146"/>
  <c r="D66" i="201"/>
  <c r="M54" i="146"/>
  <c r="D66" i="199"/>
  <c r="G54" i="146"/>
  <c r="D66" i="203"/>
  <c r="Q54" i="146"/>
  <c r="C66" i="202"/>
  <c r="R54" i="146"/>
  <c r="C66" i="203"/>
  <c r="P54" i="146"/>
  <c r="D66" i="202"/>
  <c r="S54" i="146"/>
  <c r="B145" i="203"/>
  <c r="C144" i="203"/>
  <c r="B145" i="202"/>
  <c r="C144" i="202"/>
  <c r="B145" i="201"/>
  <c r="C144" i="201"/>
  <c r="B145" i="200"/>
  <c r="C144" i="200"/>
  <c r="B145" i="199"/>
  <c r="C144" i="199"/>
  <c r="B145" i="198"/>
  <c r="C144" i="198"/>
  <c r="B145" i="197"/>
  <c r="C144" i="197"/>
  <c r="B146" i="193"/>
  <c r="C145" i="193"/>
  <c r="B144" i="190"/>
  <c r="C143" i="190"/>
  <c r="B145" i="182"/>
  <c r="C144" i="182"/>
  <c r="B145" i="181"/>
  <c r="C144" i="181"/>
  <c r="B144" i="157"/>
  <c r="C143" i="157"/>
  <c r="B144" i="156"/>
  <c r="C143" i="156"/>
  <c r="B144" i="155"/>
  <c r="C143" i="155"/>
  <c r="B97" i="137"/>
  <c r="C96" i="137"/>
  <c r="B92" i="133"/>
  <c r="C91" i="133"/>
  <c r="B92" i="131"/>
  <c r="C91" i="131"/>
  <c r="B14" i="88"/>
  <c r="B15" i="88" s="1"/>
  <c r="C146" i="205" l="1"/>
  <c r="B147" i="205"/>
  <c r="B146" i="204"/>
  <c r="C145" i="204"/>
  <c r="D67" i="201"/>
  <c r="M55" i="146"/>
  <c r="D67" i="203"/>
  <c r="Q55" i="146"/>
  <c r="C67" i="197"/>
  <c r="J55" i="146"/>
  <c r="C67" i="202"/>
  <c r="R55" i="146"/>
  <c r="C68" i="201"/>
  <c r="L57" i="146" s="1"/>
  <c r="L56" i="146"/>
  <c r="C67" i="200"/>
  <c r="N55" i="146"/>
  <c r="D67" i="200"/>
  <c r="O55" i="146"/>
  <c r="D67" i="202"/>
  <c r="S55" i="146"/>
  <c r="D67" i="198"/>
  <c r="I55" i="146"/>
  <c r="C67" i="203"/>
  <c r="P55" i="146"/>
  <c r="D67" i="199"/>
  <c r="G55" i="146"/>
  <c r="C67" i="198"/>
  <c r="H55" i="146"/>
  <c r="D67" i="197"/>
  <c r="K55" i="146"/>
  <c r="C67" i="199"/>
  <c r="F55" i="146"/>
  <c r="B146" i="203"/>
  <c r="C145" i="203"/>
  <c r="B146" i="202"/>
  <c r="C145" i="202"/>
  <c r="B146" i="201"/>
  <c r="C145" i="201"/>
  <c r="B146" i="200"/>
  <c r="C145" i="200"/>
  <c r="B146" i="199"/>
  <c r="C145" i="199"/>
  <c r="B146" i="198"/>
  <c r="C145" i="198"/>
  <c r="B146" i="197"/>
  <c r="C145" i="197"/>
  <c r="B147" i="193"/>
  <c r="C146" i="193"/>
  <c r="B145" i="190"/>
  <c r="C144" i="190"/>
  <c r="B146" i="182"/>
  <c r="C145" i="182"/>
  <c r="B146" i="181"/>
  <c r="C145" i="181"/>
  <c r="B145" i="157"/>
  <c r="C144" i="157"/>
  <c r="B145" i="156"/>
  <c r="C144" i="156"/>
  <c r="B145" i="155"/>
  <c r="C144" i="155"/>
  <c r="B98" i="137"/>
  <c r="C97" i="137"/>
  <c r="B93" i="133"/>
  <c r="C92" i="133"/>
  <c r="B93" i="131"/>
  <c r="C92" i="131"/>
  <c r="B16" i="88"/>
  <c r="B17" i="88" s="1"/>
  <c r="B18" i="88" s="1"/>
  <c r="B19" i="88" s="1"/>
  <c r="B20" i="88" s="1"/>
  <c r="B21" i="88" s="1"/>
  <c r="B22" i="88" s="1"/>
  <c r="B23" i="88" s="1"/>
  <c r="B24" i="88" s="1"/>
  <c r="B25" i="88" s="1"/>
  <c r="B26" i="88" s="1"/>
  <c r="B27" i="88" s="1"/>
  <c r="B28" i="88" s="1"/>
  <c r="B29" i="88" s="1"/>
  <c r="B30" i="88" s="1"/>
  <c r="B31" i="88" s="1"/>
  <c r="B32" i="88" s="1"/>
  <c r="B33" i="88" s="1"/>
  <c r="B34" i="88" s="1"/>
  <c r="B35" i="88" s="1"/>
  <c r="B36" i="88" s="1"/>
  <c r="B37" i="88" s="1"/>
  <c r="B38" i="88" s="1"/>
  <c r="B39" i="88" s="1"/>
  <c r="B40" i="88" s="1"/>
  <c r="B41" i="88" s="1"/>
  <c r="B42" i="88" s="1"/>
  <c r="B43" i="88" s="1"/>
  <c r="B44" i="88" s="1"/>
  <c r="B45" i="88" s="1"/>
  <c r="B46" i="88" s="1"/>
  <c r="B47" i="88" s="1"/>
  <c r="B48" i="88" s="1"/>
  <c r="B49" i="88" s="1"/>
  <c r="B50" i="88" s="1"/>
  <c r="B51" i="88" s="1"/>
  <c r="B52" i="88" s="1"/>
  <c r="B53" i="88" s="1"/>
  <c r="B54" i="88" s="1"/>
  <c r="C147" i="205" l="1"/>
  <c r="B148" i="205"/>
  <c r="B147" i="204"/>
  <c r="C146" i="204"/>
  <c r="D68" i="198"/>
  <c r="I57" i="146" s="1"/>
  <c r="I56" i="146"/>
  <c r="D68" i="203"/>
  <c r="Q57" i="146" s="1"/>
  <c r="Q56" i="146"/>
  <c r="C68" i="200"/>
  <c r="N57" i="146" s="1"/>
  <c r="N56" i="146"/>
  <c r="C68" i="199"/>
  <c r="F57" i="146" s="1"/>
  <c r="F56" i="146"/>
  <c r="C68" i="198"/>
  <c r="H57" i="146" s="1"/>
  <c r="H56" i="146"/>
  <c r="C68" i="197"/>
  <c r="J57" i="146" s="1"/>
  <c r="J56" i="146"/>
  <c r="D68" i="199"/>
  <c r="G57" i="146" s="1"/>
  <c r="G56" i="146"/>
  <c r="D68" i="202"/>
  <c r="S57" i="146" s="1"/>
  <c r="S56" i="146"/>
  <c r="D68" i="197"/>
  <c r="K57" i="146" s="1"/>
  <c r="K56" i="146"/>
  <c r="C68" i="203"/>
  <c r="P57" i="146" s="1"/>
  <c r="P56" i="146"/>
  <c r="D68" i="200"/>
  <c r="O57" i="146" s="1"/>
  <c r="O56" i="146"/>
  <c r="C68" i="202"/>
  <c r="R57" i="146" s="1"/>
  <c r="R56" i="146"/>
  <c r="D68" i="201"/>
  <c r="M57" i="146" s="1"/>
  <c r="M56" i="146"/>
  <c r="B147" i="203"/>
  <c r="C146" i="203"/>
  <c r="B147" i="202"/>
  <c r="C146" i="202"/>
  <c r="B147" i="201"/>
  <c r="C146" i="201"/>
  <c r="B147" i="200"/>
  <c r="C146" i="200"/>
  <c r="B147" i="199"/>
  <c r="C146" i="199"/>
  <c r="B147" i="198"/>
  <c r="C146" i="198"/>
  <c r="B147" i="197"/>
  <c r="C146" i="197"/>
  <c r="B148" i="193"/>
  <c r="C147" i="193"/>
  <c r="B146" i="190"/>
  <c r="C145" i="190"/>
  <c r="B147" i="182"/>
  <c r="C146" i="182"/>
  <c r="B147" i="181"/>
  <c r="C146" i="181"/>
  <c r="B146" i="157"/>
  <c r="C145" i="157"/>
  <c r="B146" i="156"/>
  <c r="C145" i="156"/>
  <c r="B146" i="155"/>
  <c r="C145" i="155"/>
  <c r="B99" i="137"/>
  <c r="C98" i="137"/>
  <c r="B94" i="133"/>
  <c r="C93" i="133"/>
  <c r="B94" i="131"/>
  <c r="C93" i="131"/>
  <c r="M10" i="96"/>
  <c r="M5" i="96"/>
  <c r="C148" i="205" l="1"/>
  <c r="B149" i="205"/>
  <c r="B148" i="204"/>
  <c r="C147" i="204"/>
  <c r="B148" i="203"/>
  <c r="C147" i="203"/>
  <c r="B148" i="202"/>
  <c r="C147" i="202"/>
  <c r="B148" i="201"/>
  <c r="C147" i="201"/>
  <c r="B148" i="200"/>
  <c r="C147" i="200"/>
  <c r="B148" i="199"/>
  <c r="C147" i="199"/>
  <c r="B148" i="198"/>
  <c r="C147" i="198"/>
  <c r="B148" i="197"/>
  <c r="C147" i="197"/>
  <c r="B149" i="193"/>
  <c r="C148" i="193"/>
  <c r="B147" i="190"/>
  <c r="C146" i="190"/>
  <c r="B148" i="182"/>
  <c r="C147" i="182"/>
  <c r="B148" i="181"/>
  <c r="C147" i="181"/>
  <c r="B147" i="157"/>
  <c r="C146" i="157"/>
  <c r="B147" i="156"/>
  <c r="C146" i="156"/>
  <c r="B147" i="155"/>
  <c r="C146" i="155"/>
  <c r="M14" i="144"/>
  <c r="B100" i="137"/>
  <c r="C99" i="137"/>
  <c r="B95" i="133"/>
  <c r="C94" i="133"/>
  <c r="B95" i="131"/>
  <c r="C94" i="131"/>
  <c r="C149" i="205" l="1"/>
  <c r="B150" i="205"/>
  <c r="B149" i="204"/>
  <c r="C148" i="204"/>
  <c r="B149" i="203"/>
  <c r="C148" i="203"/>
  <c r="B149" i="202"/>
  <c r="C148" i="202"/>
  <c r="B149" i="201"/>
  <c r="C148" i="201"/>
  <c r="B149" i="200"/>
  <c r="C148" i="200"/>
  <c r="B149" i="199"/>
  <c r="C148" i="199"/>
  <c r="B149" i="198"/>
  <c r="C148" i="198"/>
  <c r="B149" i="197"/>
  <c r="C148" i="197"/>
  <c r="B150" i="193"/>
  <c r="C149" i="193"/>
  <c r="B148" i="190"/>
  <c r="C147" i="190"/>
  <c r="B149" i="182"/>
  <c r="C148" i="182"/>
  <c r="B149" i="181"/>
  <c r="C148" i="181"/>
  <c r="K4" i="96"/>
  <c r="B148" i="157"/>
  <c r="C147" i="157"/>
  <c r="B148" i="156"/>
  <c r="C147" i="156"/>
  <c r="B148" i="155"/>
  <c r="C147" i="155"/>
  <c r="M14" i="96"/>
  <c r="K12" i="144"/>
  <c r="K12" i="96"/>
  <c r="B101" i="137"/>
  <c r="C100" i="137"/>
  <c r="B96" i="133"/>
  <c r="C95" i="133"/>
  <c r="B96" i="131"/>
  <c r="C95" i="131"/>
  <c r="C150" i="205" l="1"/>
  <c r="B151" i="205"/>
  <c r="B150" i="204"/>
  <c r="C149" i="204"/>
  <c r="B150" i="203"/>
  <c r="C149" i="203"/>
  <c r="B150" i="202"/>
  <c r="C149" i="202"/>
  <c r="B150" i="201"/>
  <c r="C149" i="201"/>
  <c r="B150" i="200"/>
  <c r="C149" i="200"/>
  <c r="B150" i="199"/>
  <c r="C149" i="199"/>
  <c r="B150" i="198"/>
  <c r="C149" i="198"/>
  <c r="B150" i="197"/>
  <c r="C149" i="197"/>
  <c r="B151" i="193"/>
  <c r="C150" i="193"/>
  <c r="B149" i="190"/>
  <c r="C148" i="190"/>
  <c r="B150" i="182"/>
  <c r="C149" i="182"/>
  <c r="B150" i="181"/>
  <c r="C149" i="181"/>
  <c r="K4" i="144"/>
  <c r="B149" i="157"/>
  <c r="C148" i="157"/>
  <c r="B149" i="156"/>
  <c r="C148" i="156"/>
  <c r="B149" i="155"/>
  <c r="C148" i="155"/>
  <c r="M16" i="144"/>
  <c r="B102" i="137"/>
  <c r="C101" i="137"/>
  <c r="B97" i="133"/>
  <c r="C96" i="133"/>
  <c r="B97" i="131"/>
  <c r="C96" i="131"/>
  <c r="C151" i="205" l="1"/>
  <c r="B152" i="205"/>
  <c r="B151" i="204"/>
  <c r="C150" i="204"/>
  <c r="B151" i="203"/>
  <c r="C150" i="203"/>
  <c r="B151" i="202"/>
  <c r="C150" i="202"/>
  <c r="B151" i="201"/>
  <c r="C150" i="201"/>
  <c r="B151" i="200"/>
  <c r="C150" i="200"/>
  <c r="B151" i="199"/>
  <c r="C150" i="199"/>
  <c r="B151" i="198"/>
  <c r="C150" i="198"/>
  <c r="B151" i="197"/>
  <c r="C150" i="197"/>
  <c r="B152" i="193"/>
  <c r="C151" i="193"/>
  <c r="B150" i="190"/>
  <c r="C149" i="190"/>
  <c r="B151" i="182"/>
  <c r="C150" i="182"/>
  <c r="B151" i="181"/>
  <c r="C150" i="181"/>
  <c r="B150" i="157"/>
  <c r="C149" i="157"/>
  <c r="B150" i="156"/>
  <c r="C149" i="156"/>
  <c r="B150" i="155"/>
  <c r="C149" i="155"/>
  <c r="K16" i="144"/>
  <c r="M12" i="144"/>
  <c r="M12" i="96"/>
  <c r="B103" i="137"/>
  <c r="C102" i="137"/>
  <c r="B98" i="133"/>
  <c r="C97" i="133"/>
  <c r="B98" i="131"/>
  <c r="C97" i="131"/>
  <c r="C152" i="205" l="1"/>
  <c r="B153" i="205"/>
  <c r="B152" i="204"/>
  <c r="C151" i="204"/>
  <c r="B152" i="203"/>
  <c r="C151" i="203"/>
  <c r="B152" i="202"/>
  <c r="C151" i="202"/>
  <c r="B152" i="201"/>
  <c r="C151" i="201"/>
  <c r="B152" i="200"/>
  <c r="C151" i="200"/>
  <c r="B152" i="199"/>
  <c r="C151" i="199"/>
  <c r="B152" i="198"/>
  <c r="C151" i="198"/>
  <c r="B152" i="197"/>
  <c r="C151" i="197"/>
  <c r="B153" i="193"/>
  <c r="C152" i="193"/>
  <c r="B151" i="190"/>
  <c r="C150" i="190"/>
  <c r="B152" i="182"/>
  <c r="C151" i="182"/>
  <c r="B152" i="181"/>
  <c r="C151" i="181"/>
  <c r="B151" i="157"/>
  <c r="C150" i="157"/>
  <c r="B151" i="156"/>
  <c r="C150" i="156"/>
  <c r="B151" i="155"/>
  <c r="C150" i="155"/>
  <c r="B104" i="137"/>
  <c r="C103" i="137"/>
  <c r="B99" i="133"/>
  <c r="C98" i="133"/>
  <c r="B99" i="131"/>
  <c r="C98" i="131"/>
  <c r="M7" i="96"/>
  <c r="C153" i="205" l="1"/>
  <c r="B154" i="205"/>
  <c r="B153" i="204"/>
  <c r="C152" i="204"/>
  <c r="B153" i="203"/>
  <c r="C152" i="203"/>
  <c r="B153" i="202"/>
  <c r="C152" i="202"/>
  <c r="B153" i="201"/>
  <c r="C152" i="201"/>
  <c r="B153" i="200"/>
  <c r="C152" i="200"/>
  <c r="B153" i="199"/>
  <c r="C152" i="199"/>
  <c r="B153" i="198"/>
  <c r="C152" i="198"/>
  <c r="B153" i="197"/>
  <c r="C152" i="197"/>
  <c r="B154" i="193"/>
  <c r="C153" i="193"/>
  <c r="B152" i="190"/>
  <c r="C151" i="190"/>
  <c r="B153" i="182"/>
  <c r="C152" i="182"/>
  <c r="B153" i="181"/>
  <c r="C152" i="181"/>
  <c r="B152" i="157"/>
  <c r="C151" i="157"/>
  <c r="B152" i="156"/>
  <c r="C151" i="156"/>
  <c r="B152" i="155"/>
  <c r="C151" i="155"/>
  <c r="B105" i="137"/>
  <c r="C104" i="137"/>
  <c r="B100" i="133"/>
  <c r="C99" i="133"/>
  <c r="B100" i="131"/>
  <c r="C99" i="131"/>
  <c r="K7" i="96"/>
  <c r="C154" i="205" l="1"/>
  <c r="B155" i="205"/>
  <c r="B154" i="204"/>
  <c r="C153" i="204"/>
  <c r="B154" i="203"/>
  <c r="C153" i="203"/>
  <c r="B154" i="202"/>
  <c r="C153" i="202"/>
  <c r="B154" i="201"/>
  <c r="C153" i="201"/>
  <c r="B154" i="200"/>
  <c r="C153" i="200"/>
  <c r="B154" i="199"/>
  <c r="C153" i="199"/>
  <c r="B154" i="198"/>
  <c r="C153" i="198"/>
  <c r="B154" i="197"/>
  <c r="C153" i="197"/>
  <c r="B155" i="193"/>
  <c r="C154" i="193"/>
  <c r="B153" i="190"/>
  <c r="C152" i="190"/>
  <c r="B154" i="182"/>
  <c r="C153" i="182"/>
  <c r="B154" i="181"/>
  <c r="C153" i="181"/>
  <c r="B153" i="157"/>
  <c r="C152" i="157"/>
  <c r="B153" i="156"/>
  <c r="C152" i="156"/>
  <c r="B153" i="155"/>
  <c r="C152" i="155"/>
  <c r="B106" i="137"/>
  <c r="C105" i="137"/>
  <c r="B101" i="133"/>
  <c r="C100" i="133"/>
  <c r="B101" i="131"/>
  <c r="C100" i="131"/>
  <c r="C155" i="205" l="1"/>
  <c r="B156" i="205"/>
  <c r="B155" i="204"/>
  <c r="C154" i="204"/>
  <c r="B155" i="203"/>
  <c r="C154" i="203"/>
  <c r="B155" i="202"/>
  <c r="C154" i="202"/>
  <c r="B155" i="201"/>
  <c r="C154" i="201"/>
  <c r="B155" i="200"/>
  <c r="C154" i="200"/>
  <c r="B155" i="199"/>
  <c r="C154" i="199"/>
  <c r="B155" i="198"/>
  <c r="C154" i="198"/>
  <c r="B155" i="197"/>
  <c r="C154" i="197"/>
  <c r="B156" i="193"/>
  <c r="C155" i="193"/>
  <c r="B154" i="190"/>
  <c r="C153" i="190"/>
  <c r="B155" i="182"/>
  <c r="C154" i="182"/>
  <c r="B155" i="181"/>
  <c r="C154" i="181"/>
  <c r="B154" i="157"/>
  <c r="C153" i="157"/>
  <c r="B154" i="156"/>
  <c r="C153" i="156"/>
  <c r="B154" i="155"/>
  <c r="C153" i="155"/>
  <c r="M4" i="96"/>
  <c r="B107" i="137"/>
  <c r="C106" i="137"/>
  <c r="B102" i="133"/>
  <c r="C101" i="133"/>
  <c r="B102" i="131"/>
  <c r="C101" i="131"/>
  <c r="K14" i="96"/>
  <c r="C156" i="205" l="1"/>
  <c r="B157" i="205"/>
  <c r="B156" i="204"/>
  <c r="C155" i="204"/>
  <c r="B156" i="203"/>
  <c r="C155" i="203"/>
  <c r="B156" i="202"/>
  <c r="C155" i="202"/>
  <c r="B156" i="201"/>
  <c r="C155" i="201"/>
  <c r="B156" i="200"/>
  <c r="C155" i="200"/>
  <c r="B156" i="199"/>
  <c r="C155" i="199"/>
  <c r="B156" i="198"/>
  <c r="C155" i="198"/>
  <c r="B156" i="197"/>
  <c r="C155" i="197"/>
  <c r="B157" i="193"/>
  <c r="C156" i="193"/>
  <c r="B155" i="190"/>
  <c r="C154" i="190"/>
  <c r="B156" i="182"/>
  <c r="C155" i="182"/>
  <c r="B156" i="181"/>
  <c r="C155" i="181"/>
  <c r="M4" i="144"/>
  <c r="B155" i="157"/>
  <c r="C154" i="157"/>
  <c r="B155" i="156"/>
  <c r="C154" i="156"/>
  <c r="B155" i="155"/>
  <c r="C154" i="155"/>
  <c r="B108" i="137"/>
  <c r="C107" i="137"/>
  <c r="B103" i="133"/>
  <c r="C102" i="133"/>
  <c r="B103" i="131"/>
  <c r="C102" i="131"/>
  <c r="C157" i="205" l="1"/>
  <c r="B158" i="205"/>
  <c r="B157" i="204"/>
  <c r="C156" i="204"/>
  <c r="B157" i="203"/>
  <c r="C156" i="203"/>
  <c r="B157" i="202"/>
  <c r="C156" i="202"/>
  <c r="B157" i="201"/>
  <c r="C156" i="201"/>
  <c r="B157" i="200"/>
  <c r="C156" i="200"/>
  <c r="B157" i="199"/>
  <c r="C156" i="199"/>
  <c r="B157" i="198"/>
  <c r="C156" i="198"/>
  <c r="B157" i="197"/>
  <c r="C156" i="197"/>
  <c r="B158" i="193"/>
  <c r="C157" i="193"/>
  <c r="B156" i="190"/>
  <c r="C155" i="190"/>
  <c r="B157" i="182"/>
  <c r="C156" i="182"/>
  <c r="B157" i="181"/>
  <c r="C156" i="181"/>
  <c r="B156" i="157"/>
  <c r="C155" i="157"/>
  <c r="B156" i="156"/>
  <c r="C155" i="156"/>
  <c r="B156" i="155"/>
  <c r="C155" i="155"/>
  <c r="K6" i="144"/>
  <c r="K6" i="96"/>
  <c r="B109" i="137"/>
  <c r="C108" i="137"/>
  <c r="B104" i="133"/>
  <c r="C103" i="133"/>
  <c r="B104" i="131"/>
  <c r="C103" i="131"/>
  <c r="B159" i="205" l="1"/>
  <c r="C158" i="205"/>
  <c r="B158" i="204"/>
  <c r="C157" i="204"/>
  <c r="B158" i="203"/>
  <c r="C157" i="203"/>
  <c r="B158" i="202"/>
  <c r="C157" i="202"/>
  <c r="B158" i="201"/>
  <c r="C157" i="201"/>
  <c r="B158" i="200"/>
  <c r="C157" i="200"/>
  <c r="B158" i="199"/>
  <c r="C157" i="199"/>
  <c r="B158" i="198"/>
  <c r="C157" i="198"/>
  <c r="B158" i="197"/>
  <c r="C157" i="197"/>
  <c r="B159" i="193"/>
  <c r="C158" i="193"/>
  <c r="B157" i="190"/>
  <c r="C156" i="190"/>
  <c r="B158" i="182"/>
  <c r="C157" i="182"/>
  <c r="B158" i="181"/>
  <c r="C157" i="181"/>
  <c r="B157" i="157"/>
  <c r="C156" i="157"/>
  <c r="B157" i="156"/>
  <c r="C156" i="156"/>
  <c r="B157" i="155"/>
  <c r="C156" i="155"/>
  <c r="B110" i="137"/>
  <c r="C109" i="137"/>
  <c r="B105" i="133"/>
  <c r="C104" i="133"/>
  <c r="B105" i="131"/>
  <c r="C104" i="131"/>
  <c r="C159" i="205" l="1"/>
  <c r="B160" i="205"/>
  <c r="B159" i="204"/>
  <c r="C158" i="204"/>
  <c r="B159" i="203"/>
  <c r="C158" i="203"/>
  <c r="B159" i="202"/>
  <c r="C158" i="202"/>
  <c r="B159" i="201"/>
  <c r="C158" i="201"/>
  <c r="B159" i="200"/>
  <c r="C158" i="200"/>
  <c r="B159" i="199"/>
  <c r="C158" i="199"/>
  <c r="B159" i="198"/>
  <c r="C158" i="198"/>
  <c r="B159" i="197"/>
  <c r="C158" i="197"/>
  <c r="B160" i="193"/>
  <c r="C159" i="193"/>
  <c r="B158" i="190"/>
  <c r="C157" i="190"/>
  <c r="B159" i="182"/>
  <c r="C158" i="182"/>
  <c r="B159" i="181"/>
  <c r="C158" i="181"/>
  <c r="B158" i="157"/>
  <c r="C157" i="157"/>
  <c r="B158" i="156"/>
  <c r="C157" i="156"/>
  <c r="B158" i="155"/>
  <c r="C157" i="155"/>
  <c r="B111" i="137"/>
  <c r="C110" i="137"/>
  <c r="B106" i="133"/>
  <c r="C105" i="133"/>
  <c r="B106" i="131"/>
  <c r="C105" i="131"/>
  <c r="C160" i="205" l="1"/>
  <c r="B161" i="205"/>
  <c r="B160" i="204"/>
  <c r="C159" i="204"/>
  <c r="B160" i="203"/>
  <c r="C159" i="203"/>
  <c r="B160" i="202"/>
  <c r="C159" i="202"/>
  <c r="B160" i="201"/>
  <c r="C159" i="201"/>
  <c r="B160" i="200"/>
  <c r="C159" i="200"/>
  <c r="B160" i="199"/>
  <c r="C159" i="199"/>
  <c r="B160" i="198"/>
  <c r="C159" i="198"/>
  <c r="B160" i="197"/>
  <c r="C159" i="197"/>
  <c r="B161" i="193"/>
  <c r="C160" i="193"/>
  <c r="B159" i="190"/>
  <c r="C158" i="190"/>
  <c r="B160" i="182"/>
  <c r="C159" i="182"/>
  <c r="B160" i="181"/>
  <c r="C159" i="181"/>
  <c r="B159" i="157"/>
  <c r="C158" i="157"/>
  <c r="B159" i="156"/>
  <c r="C158" i="156"/>
  <c r="B159" i="155"/>
  <c r="C158" i="155"/>
  <c r="B112" i="137"/>
  <c r="C111" i="137"/>
  <c r="B107" i="133"/>
  <c r="C106" i="133"/>
  <c r="B107" i="131"/>
  <c r="C106" i="131"/>
  <c r="K10" i="96"/>
  <c r="C161" i="205" l="1"/>
  <c r="B162" i="205"/>
  <c r="B161" i="204"/>
  <c r="C160" i="204"/>
  <c r="B161" i="203"/>
  <c r="C160" i="203"/>
  <c r="B161" i="202"/>
  <c r="C160" i="202"/>
  <c r="B161" i="201"/>
  <c r="C160" i="201"/>
  <c r="B161" i="200"/>
  <c r="C160" i="200"/>
  <c r="B161" i="199"/>
  <c r="C160" i="199"/>
  <c r="B161" i="198"/>
  <c r="C160" i="198"/>
  <c r="B161" i="197"/>
  <c r="C160" i="197"/>
  <c r="B162" i="193"/>
  <c r="C161" i="193"/>
  <c r="B160" i="190"/>
  <c r="C159" i="190"/>
  <c r="B161" i="182"/>
  <c r="C160" i="182"/>
  <c r="B161" i="181"/>
  <c r="C160" i="181"/>
  <c r="B160" i="157"/>
  <c r="C159" i="157"/>
  <c r="B160" i="156"/>
  <c r="C159" i="156"/>
  <c r="B160" i="155"/>
  <c r="C159" i="155"/>
  <c r="B113" i="137"/>
  <c r="C112" i="137"/>
  <c r="B108" i="133"/>
  <c r="C107" i="133"/>
  <c r="B108" i="131"/>
  <c r="C107" i="131"/>
  <c r="C162" i="205" l="1"/>
  <c r="B163" i="205"/>
  <c r="B162" i="204"/>
  <c r="C161" i="204"/>
  <c r="B162" i="203"/>
  <c r="C161" i="203"/>
  <c r="B162" i="202"/>
  <c r="C161" i="202"/>
  <c r="B162" i="201"/>
  <c r="C161" i="201"/>
  <c r="B162" i="200"/>
  <c r="C161" i="200"/>
  <c r="B162" i="199"/>
  <c r="C161" i="199"/>
  <c r="B162" i="198"/>
  <c r="C161" i="198"/>
  <c r="B162" i="197"/>
  <c r="C161" i="197"/>
  <c r="B163" i="193"/>
  <c r="C162" i="193"/>
  <c r="B161" i="190"/>
  <c r="C160" i="190"/>
  <c r="B162" i="182"/>
  <c r="C161" i="182"/>
  <c r="B162" i="181"/>
  <c r="C161" i="181"/>
  <c r="M6" i="96"/>
  <c r="M6" i="144"/>
  <c r="B161" i="157"/>
  <c r="C160" i="157"/>
  <c r="B161" i="156"/>
  <c r="C160" i="156"/>
  <c r="B161" i="155"/>
  <c r="C160" i="155"/>
  <c r="B114" i="137"/>
  <c r="C113" i="137"/>
  <c r="B109" i="133"/>
  <c r="C108" i="133"/>
  <c r="B109" i="131"/>
  <c r="C108" i="131"/>
  <c r="C163" i="205" l="1"/>
  <c r="B164" i="205"/>
  <c r="B163" i="204"/>
  <c r="C162" i="204"/>
  <c r="B163" i="203"/>
  <c r="C162" i="203"/>
  <c r="B163" i="202"/>
  <c r="C162" i="202"/>
  <c r="B163" i="201"/>
  <c r="C162" i="201"/>
  <c r="B163" i="200"/>
  <c r="C162" i="200"/>
  <c r="B163" i="199"/>
  <c r="C162" i="199"/>
  <c r="B163" i="198"/>
  <c r="C162" i="198"/>
  <c r="B163" i="197"/>
  <c r="C162" i="197"/>
  <c r="B164" i="193"/>
  <c r="C163" i="193"/>
  <c r="B162" i="190"/>
  <c r="C161" i="190"/>
  <c r="B163" i="182"/>
  <c r="C162" i="182"/>
  <c r="B163" i="181"/>
  <c r="C162" i="181"/>
  <c r="B162" i="157"/>
  <c r="C161" i="157"/>
  <c r="B162" i="156"/>
  <c r="C161" i="156"/>
  <c r="B162" i="155"/>
  <c r="C161" i="155"/>
  <c r="B115" i="137"/>
  <c r="C114" i="137"/>
  <c r="B110" i="133"/>
  <c r="C109" i="133"/>
  <c r="B110" i="131"/>
  <c r="C109" i="131"/>
  <c r="C164" i="205" l="1"/>
  <c r="B165" i="205"/>
  <c r="B164" i="204"/>
  <c r="C163" i="204"/>
  <c r="B164" i="203"/>
  <c r="C163" i="203"/>
  <c r="B164" i="202"/>
  <c r="C163" i="202"/>
  <c r="B164" i="201"/>
  <c r="C163" i="201"/>
  <c r="B164" i="200"/>
  <c r="C163" i="200"/>
  <c r="B164" i="199"/>
  <c r="C163" i="199"/>
  <c r="B164" i="198"/>
  <c r="C163" i="198"/>
  <c r="B164" i="197"/>
  <c r="C163" i="197"/>
  <c r="B165" i="193"/>
  <c r="C164" i="193"/>
  <c r="B163" i="190"/>
  <c r="C162" i="190"/>
  <c r="B164" i="182"/>
  <c r="C163" i="182"/>
  <c r="B164" i="181"/>
  <c r="C163" i="181"/>
  <c r="B163" i="157"/>
  <c r="C162" i="157"/>
  <c r="B163" i="156"/>
  <c r="C162" i="156"/>
  <c r="B163" i="155"/>
  <c r="C162" i="155"/>
  <c r="B116" i="137"/>
  <c r="C115" i="137"/>
  <c r="B111" i="133"/>
  <c r="C110" i="133"/>
  <c r="B111" i="131"/>
  <c r="C110" i="131"/>
  <c r="C165" i="205" l="1"/>
  <c r="B166" i="205"/>
  <c r="B165" i="204"/>
  <c r="C164" i="204"/>
  <c r="B165" i="203"/>
  <c r="C164" i="203"/>
  <c r="B165" i="202"/>
  <c r="C164" i="202"/>
  <c r="B165" i="201"/>
  <c r="C164" i="201"/>
  <c r="B165" i="200"/>
  <c r="C164" i="200"/>
  <c r="B165" i="199"/>
  <c r="C164" i="199"/>
  <c r="B165" i="198"/>
  <c r="C164" i="198"/>
  <c r="B165" i="197"/>
  <c r="C164" i="197"/>
  <c r="B166" i="193"/>
  <c r="C165" i="193"/>
  <c r="B164" i="190"/>
  <c r="C163" i="190"/>
  <c r="B165" i="182"/>
  <c r="C164" i="182"/>
  <c r="B165" i="181"/>
  <c r="C164" i="181"/>
  <c r="B164" i="157"/>
  <c r="C163" i="157"/>
  <c r="B164" i="156"/>
  <c r="C163" i="156"/>
  <c r="B164" i="155"/>
  <c r="C163" i="155"/>
  <c r="K9" i="144"/>
  <c r="B117" i="137"/>
  <c r="C116" i="137"/>
  <c r="B112" i="133"/>
  <c r="C111" i="133"/>
  <c r="B112" i="131"/>
  <c r="C111" i="131"/>
  <c r="C166" i="205" l="1"/>
  <c r="B167" i="205"/>
  <c r="B166" i="204"/>
  <c r="C165" i="204"/>
  <c r="B166" i="203"/>
  <c r="C165" i="203"/>
  <c r="B166" i="202"/>
  <c r="C165" i="202"/>
  <c r="B166" i="201"/>
  <c r="C165" i="201"/>
  <c r="B166" i="200"/>
  <c r="C165" i="200"/>
  <c r="B166" i="199"/>
  <c r="C165" i="199"/>
  <c r="B166" i="198"/>
  <c r="C165" i="198"/>
  <c r="B166" i="197"/>
  <c r="C165" i="197"/>
  <c r="B167" i="193"/>
  <c r="C166" i="193"/>
  <c r="B165" i="190"/>
  <c r="C164" i="190"/>
  <c r="B166" i="182"/>
  <c r="C165" i="182"/>
  <c r="B166" i="181"/>
  <c r="C165" i="181"/>
  <c r="B165" i="157"/>
  <c r="C164" i="157"/>
  <c r="B165" i="156"/>
  <c r="C164" i="156"/>
  <c r="B165" i="155"/>
  <c r="C164" i="155"/>
  <c r="B118" i="137"/>
  <c r="C117" i="137"/>
  <c r="B113" i="133"/>
  <c r="C112" i="133"/>
  <c r="B113" i="131"/>
  <c r="C112" i="131"/>
  <c r="C167" i="205" l="1"/>
  <c r="B168" i="205"/>
  <c r="B167" i="204"/>
  <c r="C166" i="204"/>
  <c r="B167" i="203"/>
  <c r="C166" i="203"/>
  <c r="B167" i="202"/>
  <c r="C166" i="202"/>
  <c r="B167" i="201"/>
  <c r="C166" i="201"/>
  <c r="B167" i="200"/>
  <c r="C166" i="200"/>
  <c r="B167" i="199"/>
  <c r="C166" i="199"/>
  <c r="B167" i="198"/>
  <c r="C166" i="198"/>
  <c r="B167" i="197"/>
  <c r="C166" i="197"/>
  <c r="B168" i="193"/>
  <c r="C167" i="193"/>
  <c r="B166" i="190"/>
  <c r="C165" i="190"/>
  <c r="B167" i="182"/>
  <c r="C166" i="182"/>
  <c r="B167" i="181"/>
  <c r="C166" i="181"/>
  <c r="B166" i="157"/>
  <c r="C165" i="157"/>
  <c r="B166" i="156"/>
  <c r="C165" i="156"/>
  <c r="B166" i="155"/>
  <c r="C165" i="155"/>
  <c r="B119" i="137"/>
  <c r="C118" i="137"/>
  <c r="B114" i="133"/>
  <c r="C113" i="133"/>
  <c r="B114" i="131"/>
  <c r="C113" i="131"/>
  <c r="C168" i="205" l="1"/>
  <c r="B169" i="205"/>
  <c r="B168" i="204"/>
  <c r="C167" i="204"/>
  <c r="B168" i="203"/>
  <c r="C167" i="203"/>
  <c r="B168" i="202"/>
  <c r="C167" i="202"/>
  <c r="B168" i="201"/>
  <c r="C167" i="201"/>
  <c r="B168" i="200"/>
  <c r="C167" i="200"/>
  <c r="B168" i="199"/>
  <c r="C167" i="199"/>
  <c r="B168" i="198"/>
  <c r="C167" i="198"/>
  <c r="B168" i="197"/>
  <c r="C167" i="197"/>
  <c r="B169" i="193"/>
  <c r="C168" i="193"/>
  <c r="B167" i="190"/>
  <c r="C166" i="190"/>
  <c r="B168" i="182"/>
  <c r="C167" i="182"/>
  <c r="B168" i="181"/>
  <c r="C167" i="181"/>
  <c r="B167" i="157"/>
  <c r="C166" i="157"/>
  <c r="B167" i="156"/>
  <c r="C166" i="156"/>
  <c r="B167" i="155"/>
  <c r="C166" i="155"/>
  <c r="B120" i="137"/>
  <c r="C119" i="137"/>
  <c r="B115" i="133"/>
  <c r="C114" i="133"/>
  <c r="B115" i="131"/>
  <c r="C114" i="131"/>
  <c r="C169" i="205" l="1"/>
  <c r="B170" i="205"/>
  <c r="B169" i="204"/>
  <c r="C168" i="204"/>
  <c r="B169" i="203"/>
  <c r="C168" i="203"/>
  <c r="B169" i="202"/>
  <c r="C168" i="202"/>
  <c r="B169" i="201"/>
  <c r="C168" i="201"/>
  <c r="B169" i="200"/>
  <c r="C168" i="200"/>
  <c r="B169" i="199"/>
  <c r="C168" i="199"/>
  <c r="B169" i="198"/>
  <c r="C168" i="198"/>
  <c r="B169" i="197"/>
  <c r="C168" i="197"/>
  <c r="B170" i="193"/>
  <c r="C169" i="193"/>
  <c r="B168" i="190"/>
  <c r="C167" i="190"/>
  <c r="B169" i="182"/>
  <c r="C168" i="182"/>
  <c r="B169" i="181"/>
  <c r="C168" i="181"/>
  <c r="B168" i="157"/>
  <c r="C167" i="157"/>
  <c r="B168" i="156"/>
  <c r="C167" i="156"/>
  <c r="B168" i="155"/>
  <c r="C167" i="155"/>
  <c r="B121" i="137"/>
  <c r="C120" i="137"/>
  <c r="B116" i="133"/>
  <c r="C115" i="133"/>
  <c r="B116" i="131"/>
  <c r="C115" i="131"/>
  <c r="B111" i="88"/>
  <c r="C170" i="205" l="1"/>
  <c r="B171" i="205"/>
  <c r="B170" i="204"/>
  <c r="C169" i="204"/>
  <c r="B170" i="203"/>
  <c r="C169" i="203"/>
  <c r="B170" i="202"/>
  <c r="C169" i="202"/>
  <c r="B170" i="201"/>
  <c r="C169" i="201"/>
  <c r="B170" i="200"/>
  <c r="C169" i="200"/>
  <c r="B170" i="199"/>
  <c r="C169" i="199"/>
  <c r="B170" i="198"/>
  <c r="C169" i="198"/>
  <c r="B170" i="197"/>
  <c r="C169" i="197"/>
  <c r="B171" i="193"/>
  <c r="C170" i="193"/>
  <c r="B169" i="190"/>
  <c r="C168" i="190"/>
  <c r="B170" i="182"/>
  <c r="C169" i="182"/>
  <c r="B170" i="181"/>
  <c r="C169" i="181"/>
  <c r="B169" i="157"/>
  <c r="C168" i="157"/>
  <c r="B169" i="156"/>
  <c r="C168" i="156"/>
  <c r="B169" i="155"/>
  <c r="C168" i="155"/>
  <c r="B122" i="137"/>
  <c r="C121" i="137"/>
  <c r="B117" i="133"/>
  <c r="C116" i="133"/>
  <c r="B117" i="131"/>
  <c r="C116" i="131"/>
  <c r="B112" i="88"/>
  <c r="C111" i="88"/>
  <c r="B172" i="205" l="1"/>
  <c r="C171" i="205"/>
  <c r="B171" i="204"/>
  <c r="C170" i="204"/>
  <c r="B171" i="203"/>
  <c r="C170" i="203"/>
  <c r="B171" i="202"/>
  <c r="C170" i="202"/>
  <c r="B171" i="201"/>
  <c r="C170" i="201"/>
  <c r="B171" i="200"/>
  <c r="C170" i="200"/>
  <c r="B171" i="199"/>
  <c r="C170" i="199"/>
  <c r="B171" i="198"/>
  <c r="C170" i="198"/>
  <c r="B171" i="197"/>
  <c r="C170" i="197"/>
  <c r="B172" i="193"/>
  <c r="C171" i="193"/>
  <c r="B170" i="190"/>
  <c r="C169" i="190"/>
  <c r="B171" i="182"/>
  <c r="C170" i="182"/>
  <c r="B171" i="181"/>
  <c r="C170" i="181"/>
  <c r="B170" i="157"/>
  <c r="C169" i="157"/>
  <c r="B170" i="156"/>
  <c r="C169" i="156"/>
  <c r="B170" i="155"/>
  <c r="C169" i="155"/>
  <c r="B123" i="137"/>
  <c r="C122" i="137"/>
  <c r="B118" i="133"/>
  <c r="C117" i="133"/>
  <c r="B118" i="131"/>
  <c r="C117" i="131"/>
  <c r="C112" i="88"/>
  <c r="B113" i="88"/>
  <c r="C172" i="205" l="1"/>
  <c r="B173" i="205"/>
  <c r="B172" i="204"/>
  <c r="C171" i="204"/>
  <c r="B172" i="203"/>
  <c r="C171" i="203"/>
  <c r="B172" i="202"/>
  <c r="C171" i="202"/>
  <c r="B172" i="201"/>
  <c r="C171" i="201"/>
  <c r="B172" i="200"/>
  <c r="C171" i="200"/>
  <c r="B172" i="199"/>
  <c r="C171" i="199"/>
  <c r="B172" i="198"/>
  <c r="C171" i="198"/>
  <c r="B172" i="197"/>
  <c r="C171" i="197"/>
  <c r="B173" i="193"/>
  <c r="C172" i="193"/>
  <c r="B171" i="190"/>
  <c r="C170" i="190"/>
  <c r="B172" i="182"/>
  <c r="C171" i="182"/>
  <c r="B172" i="181"/>
  <c r="C171" i="181"/>
  <c r="B171" i="157"/>
  <c r="C170" i="157"/>
  <c r="B171" i="156"/>
  <c r="C170" i="156"/>
  <c r="B171" i="155"/>
  <c r="C170" i="155"/>
  <c r="B124" i="137"/>
  <c r="C123" i="137"/>
  <c r="B119" i="133"/>
  <c r="C118" i="133"/>
  <c r="B119" i="131"/>
  <c r="C118" i="131"/>
  <c r="B114" i="88"/>
  <c r="C113" i="88"/>
  <c r="C173" i="205" l="1"/>
  <c r="B174" i="205"/>
  <c r="B173" i="204"/>
  <c r="C172" i="204"/>
  <c r="B173" i="203"/>
  <c r="C172" i="203"/>
  <c r="B173" i="202"/>
  <c r="C172" i="202"/>
  <c r="B173" i="201"/>
  <c r="C172" i="201"/>
  <c r="B173" i="200"/>
  <c r="C172" i="200"/>
  <c r="B173" i="199"/>
  <c r="C172" i="199"/>
  <c r="B173" i="198"/>
  <c r="C172" i="198"/>
  <c r="B173" i="197"/>
  <c r="C172" i="197"/>
  <c r="B174" i="193"/>
  <c r="C173" i="193"/>
  <c r="B172" i="190"/>
  <c r="C171" i="190"/>
  <c r="B173" i="182"/>
  <c r="C172" i="182"/>
  <c r="B173" i="181"/>
  <c r="C172" i="181"/>
  <c r="B172" i="157"/>
  <c r="C171" i="157"/>
  <c r="B172" i="156"/>
  <c r="C171" i="156"/>
  <c r="B172" i="155"/>
  <c r="C171" i="155"/>
  <c r="B125" i="137"/>
  <c r="C124" i="137"/>
  <c r="B120" i="133"/>
  <c r="C119" i="133"/>
  <c r="B120" i="131"/>
  <c r="C119" i="131"/>
  <c r="C114" i="88"/>
  <c r="B115" i="88"/>
  <c r="C174" i="205" l="1"/>
  <c r="B175" i="205"/>
  <c r="B174" i="204"/>
  <c r="C173" i="204"/>
  <c r="B174" i="203"/>
  <c r="C173" i="203"/>
  <c r="B174" i="202"/>
  <c r="C173" i="202"/>
  <c r="B174" i="201"/>
  <c r="C173" i="201"/>
  <c r="B174" i="200"/>
  <c r="C173" i="200"/>
  <c r="B174" i="199"/>
  <c r="C173" i="199"/>
  <c r="B174" i="198"/>
  <c r="C173" i="198"/>
  <c r="B174" i="197"/>
  <c r="C173" i="197"/>
  <c r="B175" i="193"/>
  <c r="C174" i="193"/>
  <c r="B173" i="190"/>
  <c r="C172" i="190"/>
  <c r="B174" i="182"/>
  <c r="C173" i="182"/>
  <c r="B174" i="181"/>
  <c r="C173" i="181"/>
  <c r="B173" i="157"/>
  <c r="C172" i="157"/>
  <c r="B173" i="156"/>
  <c r="C172" i="156"/>
  <c r="B173" i="155"/>
  <c r="C172" i="155"/>
  <c r="B126" i="137"/>
  <c r="C125" i="137"/>
  <c r="B121" i="133"/>
  <c r="C120" i="133"/>
  <c r="B121" i="131"/>
  <c r="C120" i="131"/>
  <c r="C115" i="88"/>
  <c r="B116" i="88"/>
  <c r="C175" i="205" l="1"/>
  <c r="B176" i="205"/>
  <c r="B175" i="204"/>
  <c r="C174" i="204"/>
  <c r="B175" i="203"/>
  <c r="C174" i="203"/>
  <c r="B175" i="202"/>
  <c r="C174" i="202"/>
  <c r="B175" i="201"/>
  <c r="C174" i="201"/>
  <c r="B175" i="200"/>
  <c r="C174" i="200"/>
  <c r="B175" i="199"/>
  <c r="C174" i="199"/>
  <c r="B175" i="198"/>
  <c r="C174" i="198"/>
  <c r="B175" i="197"/>
  <c r="C174" i="197"/>
  <c r="B176" i="193"/>
  <c r="C175" i="193"/>
  <c r="B174" i="190"/>
  <c r="C173" i="190"/>
  <c r="B175" i="182"/>
  <c r="C174" i="182"/>
  <c r="B175" i="181"/>
  <c r="C174" i="181"/>
  <c r="B174" i="157"/>
  <c r="C173" i="157"/>
  <c r="B174" i="156"/>
  <c r="C173" i="156"/>
  <c r="B174" i="155"/>
  <c r="C173" i="155"/>
  <c r="B127" i="137"/>
  <c r="C126" i="137"/>
  <c r="B122" i="133"/>
  <c r="C121" i="133"/>
  <c r="B122" i="131"/>
  <c r="C121" i="131"/>
  <c r="C116" i="88"/>
  <c r="B117" i="88"/>
  <c r="C176" i="205" l="1"/>
  <c r="B177" i="205"/>
  <c r="B176" i="204"/>
  <c r="C175" i="204"/>
  <c r="B176" i="203"/>
  <c r="C175" i="203"/>
  <c r="B176" i="202"/>
  <c r="C175" i="202"/>
  <c r="B176" i="201"/>
  <c r="C175" i="201"/>
  <c r="B176" i="200"/>
  <c r="C175" i="200"/>
  <c r="B176" i="199"/>
  <c r="C175" i="199"/>
  <c r="B176" i="198"/>
  <c r="C175" i="198"/>
  <c r="B176" i="197"/>
  <c r="C175" i="197"/>
  <c r="B177" i="193"/>
  <c r="C176" i="193"/>
  <c r="B175" i="190"/>
  <c r="C174" i="190"/>
  <c r="B176" i="182"/>
  <c r="C175" i="182"/>
  <c r="B176" i="181"/>
  <c r="C175" i="181"/>
  <c r="B175" i="157"/>
  <c r="C174" i="157"/>
  <c r="B175" i="156"/>
  <c r="C174" i="156"/>
  <c r="B175" i="155"/>
  <c r="C174" i="155"/>
  <c r="B128" i="137"/>
  <c r="C127" i="137"/>
  <c r="B123" i="133"/>
  <c r="C122" i="133"/>
  <c r="B123" i="131"/>
  <c r="C122" i="131"/>
  <c r="C117" i="88"/>
  <c r="B118" i="88"/>
  <c r="C177" i="205" l="1"/>
  <c r="B178" i="205"/>
  <c r="B177" i="204"/>
  <c r="C176" i="204"/>
  <c r="B177" i="203"/>
  <c r="C176" i="203"/>
  <c r="B177" i="202"/>
  <c r="C176" i="202"/>
  <c r="B177" i="201"/>
  <c r="C176" i="201"/>
  <c r="B177" i="200"/>
  <c r="C176" i="200"/>
  <c r="B177" i="199"/>
  <c r="C176" i="199"/>
  <c r="B177" i="198"/>
  <c r="C176" i="198"/>
  <c r="B177" i="197"/>
  <c r="C176" i="197"/>
  <c r="B178" i="193"/>
  <c r="C177" i="193"/>
  <c r="B176" i="190"/>
  <c r="C175" i="190"/>
  <c r="B177" i="182"/>
  <c r="C176" i="182"/>
  <c r="B177" i="181"/>
  <c r="C176" i="181"/>
  <c r="B176" i="157"/>
  <c r="C175" i="157"/>
  <c r="B176" i="156"/>
  <c r="C175" i="156"/>
  <c r="B176" i="155"/>
  <c r="C175" i="155"/>
  <c r="B129" i="137"/>
  <c r="C128" i="137"/>
  <c r="B124" i="133"/>
  <c r="C123" i="133"/>
  <c r="B124" i="131"/>
  <c r="C123" i="131"/>
  <c r="C118" i="88"/>
  <c r="B119" i="88"/>
  <c r="C178" i="205" l="1"/>
  <c r="B179" i="205"/>
  <c r="B178" i="204"/>
  <c r="C177" i="204"/>
  <c r="B178" i="203"/>
  <c r="C177" i="203"/>
  <c r="B178" i="202"/>
  <c r="C177" i="202"/>
  <c r="B178" i="201"/>
  <c r="C177" i="201"/>
  <c r="B178" i="200"/>
  <c r="C177" i="200"/>
  <c r="B178" i="199"/>
  <c r="C177" i="199"/>
  <c r="B178" i="198"/>
  <c r="C177" i="198"/>
  <c r="B178" i="197"/>
  <c r="C177" i="197"/>
  <c r="B179" i="193"/>
  <c r="C178" i="193"/>
  <c r="B177" i="190"/>
  <c r="C176" i="190"/>
  <c r="B178" i="182"/>
  <c r="C177" i="182"/>
  <c r="B178" i="181"/>
  <c r="C177" i="181"/>
  <c r="B177" i="157"/>
  <c r="C176" i="157"/>
  <c r="B177" i="156"/>
  <c r="C176" i="156"/>
  <c r="B177" i="155"/>
  <c r="C176" i="155"/>
  <c r="B130" i="137"/>
  <c r="C129" i="137"/>
  <c r="B125" i="133"/>
  <c r="C124" i="133"/>
  <c r="B125" i="131"/>
  <c r="C124" i="131"/>
  <c r="C119" i="88"/>
  <c r="B120" i="88"/>
  <c r="C179" i="205" l="1"/>
  <c r="B180" i="205"/>
  <c r="B179" i="204"/>
  <c r="C178" i="204"/>
  <c r="B179" i="203"/>
  <c r="C178" i="203"/>
  <c r="B179" i="202"/>
  <c r="C178" i="202"/>
  <c r="B179" i="201"/>
  <c r="C178" i="201"/>
  <c r="B179" i="200"/>
  <c r="C178" i="200"/>
  <c r="B179" i="199"/>
  <c r="C178" i="199"/>
  <c r="B179" i="198"/>
  <c r="C178" i="198"/>
  <c r="B179" i="197"/>
  <c r="C178" i="197"/>
  <c r="B180" i="193"/>
  <c r="C179" i="193"/>
  <c r="B178" i="190"/>
  <c r="C177" i="190"/>
  <c r="B179" i="182"/>
  <c r="C178" i="182"/>
  <c r="B179" i="181"/>
  <c r="C178" i="181"/>
  <c r="B178" i="157"/>
  <c r="C177" i="157"/>
  <c r="B178" i="156"/>
  <c r="C177" i="156"/>
  <c r="B178" i="155"/>
  <c r="C177" i="155"/>
  <c r="B131" i="137"/>
  <c r="C130" i="137"/>
  <c r="B126" i="133"/>
  <c r="C125" i="133"/>
  <c r="B126" i="131"/>
  <c r="C125" i="131"/>
  <c r="C120" i="88"/>
  <c r="B121" i="88"/>
  <c r="C180" i="205" l="1"/>
  <c r="B181" i="205"/>
  <c r="B180" i="204"/>
  <c r="C179" i="204"/>
  <c r="B180" i="203"/>
  <c r="C179" i="203"/>
  <c r="B180" i="202"/>
  <c r="C179" i="202"/>
  <c r="B180" i="201"/>
  <c r="C179" i="201"/>
  <c r="B180" i="200"/>
  <c r="C179" i="200"/>
  <c r="B180" i="199"/>
  <c r="C179" i="199"/>
  <c r="B180" i="198"/>
  <c r="C179" i="198"/>
  <c r="B180" i="197"/>
  <c r="C179" i="197"/>
  <c r="B181" i="193"/>
  <c r="C180" i="193"/>
  <c r="B179" i="190"/>
  <c r="C178" i="190"/>
  <c r="B180" i="182"/>
  <c r="C179" i="182"/>
  <c r="B180" i="181"/>
  <c r="C179" i="181"/>
  <c r="B179" i="157"/>
  <c r="C178" i="157"/>
  <c r="B179" i="156"/>
  <c r="C178" i="156"/>
  <c r="B179" i="155"/>
  <c r="C178" i="155"/>
  <c r="B132" i="137"/>
  <c r="C131" i="137"/>
  <c r="B127" i="133"/>
  <c r="C126" i="133"/>
  <c r="B127" i="131"/>
  <c r="C126" i="131"/>
  <c r="C121" i="88"/>
  <c r="B122" i="88"/>
  <c r="C181" i="205" l="1"/>
  <c r="B182" i="205"/>
  <c r="B181" i="204"/>
  <c r="C180" i="204"/>
  <c r="B181" i="203"/>
  <c r="C180" i="203"/>
  <c r="B181" i="202"/>
  <c r="C180" i="202"/>
  <c r="B181" i="201"/>
  <c r="C180" i="201"/>
  <c r="B181" i="200"/>
  <c r="C180" i="200"/>
  <c r="B181" i="199"/>
  <c r="C180" i="199"/>
  <c r="B181" i="198"/>
  <c r="C180" i="198"/>
  <c r="B181" i="197"/>
  <c r="C180" i="197"/>
  <c r="B182" i="193"/>
  <c r="C181" i="193"/>
  <c r="B180" i="190"/>
  <c r="C179" i="190"/>
  <c r="B181" i="182"/>
  <c r="C180" i="182"/>
  <c r="B181" i="181"/>
  <c r="C180" i="181"/>
  <c r="B180" i="157"/>
  <c r="C179" i="157"/>
  <c r="B180" i="156"/>
  <c r="C179" i="156"/>
  <c r="B180" i="155"/>
  <c r="C179" i="155"/>
  <c r="B133" i="137"/>
  <c r="C132" i="137"/>
  <c r="B128" i="133"/>
  <c r="C127" i="133"/>
  <c r="B128" i="131"/>
  <c r="C127" i="131"/>
  <c r="C122" i="88"/>
  <c r="B123" i="88"/>
  <c r="C182" i="205" l="1"/>
  <c r="B183" i="205"/>
  <c r="B182" i="204"/>
  <c r="C181" i="204"/>
  <c r="B182" i="203"/>
  <c r="C181" i="203"/>
  <c r="B182" i="202"/>
  <c r="C181" i="202"/>
  <c r="B182" i="201"/>
  <c r="C181" i="201"/>
  <c r="B182" i="200"/>
  <c r="C181" i="200"/>
  <c r="B182" i="199"/>
  <c r="C181" i="199"/>
  <c r="B182" i="198"/>
  <c r="C181" i="198"/>
  <c r="B182" i="197"/>
  <c r="C181" i="197"/>
  <c r="B183" i="193"/>
  <c r="C182" i="193"/>
  <c r="B181" i="190"/>
  <c r="C180" i="190"/>
  <c r="B182" i="182"/>
  <c r="C181" i="182"/>
  <c r="B182" i="181"/>
  <c r="C181" i="181"/>
  <c r="B181" i="157"/>
  <c r="C180" i="157"/>
  <c r="B181" i="156"/>
  <c r="C180" i="156"/>
  <c r="B181" i="155"/>
  <c r="C180" i="155"/>
  <c r="B134" i="137"/>
  <c r="C133" i="137"/>
  <c r="B129" i="133"/>
  <c r="C128" i="133"/>
  <c r="B129" i="131"/>
  <c r="C128" i="131"/>
  <c r="C123" i="88"/>
  <c r="B124" i="88"/>
  <c r="C183" i="205" l="1"/>
  <c r="B184" i="205"/>
  <c r="B183" i="204"/>
  <c r="C182" i="204"/>
  <c r="B183" i="203"/>
  <c r="C182" i="203"/>
  <c r="B183" i="202"/>
  <c r="C182" i="202"/>
  <c r="B183" i="201"/>
  <c r="C182" i="201"/>
  <c r="B183" i="200"/>
  <c r="C182" i="200"/>
  <c r="B183" i="199"/>
  <c r="C182" i="199"/>
  <c r="B183" i="198"/>
  <c r="C182" i="198"/>
  <c r="B183" i="197"/>
  <c r="C182" i="197"/>
  <c r="B184" i="193"/>
  <c r="C183" i="193"/>
  <c r="B182" i="190"/>
  <c r="C181" i="190"/>
  <c r="B183" i="182"/>
  <c r="C182" i="182"/>
  <c r="B183" i="181"/>
  <c r="C182" i="181"/>
  <c r="B182" i="157"/>
  <c r="C181" i="157"/>
  <c r="B182" i="156"/>
  <c r="C181" i="156"/>
  <c r="B182" i="155"/>
  <c r="C181" i="155"/>
  <c r="B135" i="137"/>
  <c r="C134" i="137"/>
  <c r="B130" i="133"/>
  <c r="C129" i="133"/>
  <c r="B130" i="131"/>
  <c r="C129" i="131"/>
  <c r="C124" i="88"/>
  <c r="B125" i="88"/>
  <c r="B185" i="205" l="1"/>
  <c r="C184" i="205"/>
  <c r="B184" i="204"/>
  <c r="C183" i="204"/>
  <c r="B184" i="203"/>
  <c r="C183" i="203"/>
  <c r="B184" i="202"/>
  <c r="C183" i="202"/>
  <c r="B184" i="201"/>
  <c r="C183" i="201"/>
  <c r="B184" i="200"/>
  <c r="C183" i="200"/>
  <c r="B184" i="199"/>
  <c r="C183" i="199"/>
  <c r="B184" i="198"/>
  <c r="C183" i="198"/>
  <c r="B184" i="197"/>
  <c r="C183" i="197"/>
  <c r="B185" i="193"/>
  <c r="C184" i="193"/>
  <c r="B183" i="190"/>
  <c r="C182" i="190"/>
  <c r="B184" i="182"/>
  <c r="C183" i="182"/>
  <c r="B184" i="181"/>
  <c r="C183" i="181"/>
  <c r="B183" i="157"/>
  <c r="C182" i="157"/>
  <c r="B183" i="156"/>
  <c r="C182" i="156"/>
  <c r="B183" i="155"/>
  <c r="C182" i="155"/>
  <c r="B136" i="137"/>
  <c r="C135" i="137"/>
  <c r="B131" i="133"/>
  <c r="C130" i="133"/>
  <c r="B131" i="131"/>
  <c r="C130" i="131"/>
  <c r="B126" i="88"/>
  <c r="C125" i="88"/>
  <c r="C185" i="205" l="1"/>
  <c r="B186" i="205"/>
  <c r="B185" i="204"/>
  <c r="C184" i="204"/>
  <c r="B185" i="203"/>
  <c r="C184" i="203"/>
  <c r="B185" i="202"/>
  <c r="C184" i="202"/>
  <c r="B185" i="201"/>
  <c r="C184" i="201"/>
  <c r="B185" i="200"/>
  <c r="C184" i="200"/>
  <c r="B185" i="199"/>
  <c r="C184" i="199"/>
  <c r="B185" i="198"/>
  <c r="C184" i="198"/>
  <c r="B185" i="197"/>
  <c r="C184" i="197"/>
  <c r="B186" i="193"/>
  <c r="C185" i="193"/>
  <c r="B184" i="190"/>
  <c r="C183" i="190"/>
  <c r="B185" i="182"/>
  <c r="C184" i="182"/>
  <c r="B185" i="181"/>
  <c r="C184" i="181"/>
  <c r="B184" i="157"/>
  <c r="C183" i="157"/>
  <c r="B184" i="156"/>
  <c r="C183" i="156"/>
  <c r="B184" i="155"/>
  <c r="C183" i="155"/>
  <c r="B137" i="137"/>
  <c r="C136" i="137"/>
  <c r="B132" i="133"/>
  <c r="C131" i="133"/>
  <c r="B132" i="131"/>
  <c r="C131" i="131"/>
  <c r="C126" i="88"/>
  <c r="B127" i="88"/>
  <c r="C186" i="205" l="1"/>
  <c r="B187" i="205"/>
  <c r="B186" i="204"/>
  <c r="C185" i="204"/>
  <c r="B186" i="203"/>
  <c r="C185" i="203"/>
  <c r="B186" i="202"/>
  <c r="C185" i="202"/>
  <c r="B186" i="201"/>
  <c r="C185" i="201"/>
  <c r="B186" i="200"/>
  <c r="C185" i="200"/>
  <c r="B186" i="199"/>
  <c r="C185" i="199"/>
  <c r="B186" i="198"/>
  <c r="C185" i="198"/>
  <c r="B186" i="197"/>
  <c r="C185" i="197"/>
  <c r="B187" i="193"/>
  <c r="C186" i="193"/>
  <c r="B185" i="190"/>
  <c r="C184" i="190"/>
  <c r="B186" i="182"/>
  <c r="C185" i="182"/>
  <c r="B186" i="181"/>
  <c r="C185" i="181"/>
  <c r="B185" i="157"/>
  <c r="C184" i="157"/>
  <c r="B185" i="156"/>
  <c r="C184" i="156"/>
  <c r="B185" i="155"/>
  <c r="C184" i="155"/>
  <c r="B138" i="137"/>
  <c r="C137" i="137"/>
  <c r="B133" i="133"/>
  <c r="C132" i="133"/>
  <c r="B133" i="131"/>
  <c r="C132" i="131"/>
  <c r="C127" i="88"/>
  <c r="B128" i="88"/>
  <c r="C187" i="205" l="1"/>
  <c r="B188" i="205"/>
  <c r="B187" i="204"/>
  <c r="C186" i="204"/>
  <c r="B187" i="203"/>
  <c r="C186" i="203"/>
  <c r="B187" i="202"/>
  <c r="C186" i="202"/>
  <c r="B187" i="201"/>
  <c r="C186" i="201"/>
  <c r="B187" i="200"/>
  <c r="C186" i="200"/>
  <c r="B187" i="199"/>
  <c r="C186" i="199"/>
  <c r="B187" i="198"/>
  <c r="C186" i="198"/>
  <c r="B187" i="197"/>
  <c r="C186" i="197"/>
  <c r="B188" i="193"/>
  <c r="C187" i="193"/>
  <c r="B186" i="190"/>
  <c r="C185" i="190"/>
  <c r="B187" i="182"/>
  <c r="C186" i="182"/>
  <c r="B187" i="181"/>
  <c r="C186" i="181"/>
  <c r="B186" i="157"/>
  <c r="C185" i="157"/>
  <c r="B186" i="156"/>
  <c r="C185" i="156"/>
  <c r="B186" i="155"/>
  <c r="C185" i="155"/>
  <c r="B139" i="137"/>
  <c r="C138" i="137"/>
  <c r="B134" i="133"/>
  <c r="C133" i="133"/>
  <c r="B134" i="131"/>
  <c r="C133" i="131"/>
  <c r="C128" i="88"/>
  <c r="B129" i="88"/>
  <c r="C188" i="205" l="1"/>
  <c r="B189" i="205"/>
  <c r="B188" i="204"/>
  <c r="C187" i="204"/>
  <c r="B188" i="203"/>
  <c r="C187" i="203"/>
  <c r="B188" i="202"/>
  <c r="C187" i="202"/>
  <c r="B188" i="201"/>
  <c r="C187" i="201"/>
  <c r="B188" i="200"/>
  <c r="C187" i="200"/>
  <c r="B188" i="199"/>
  <c r="C187" i="199"/>
  <c r="B188" i="198"/>
  <c r="C187" i="198"/>
  <c r="B188" i="197"/>
  <c r="C187" i="197"/>
  <c r="B189" i="193"/>
  <c r="C188" i="193"/>
  <c r="B187" i="190"/>
  <c r="C186" i="190"/>
  <c r="B188" i="182"/>
  <c r="C187" i="182"/>
  <c r="B188" i="181"/>
  <c r="C187" i="181"/>
  <c r="B187" i="157"/>
  <c r="C186" i="157"/>
  <c r="B187" i="156"/>
  <c r="C186" i="156"/>
  <c r="B187" i="155"/>
  <c r="C186" i="155"/>
  <c r="B140" i="137"/>
  <c r="C139" i="137"/>
  <c r="B135" i="133"/>
  <c r="C134" i="133"/>
  <c r="B135" i="131"/>
  <c r="C134" i="131"/>
  <c r="B130" i="88"/>
  <c r="C129" i="88"/>
  <c r="C189" i="205" l="1"/>
  <c r="B190" i="205"/>
  <c r="B189" i="204"/>
  <c r="C188" i="204"/>
  <c r="B189" i="203"/>
  <c r="C188" i="203"/>
  <c r="B189" i="202"/>
  <c r="C188" i="202"/>
  <c r="B189" i="201"/>
  <c r="C188" i="201"/>
  <c r="B189" i="200"/>
  <c r="C188" i="200"/>
  <c r="B189" i="199"/>
  <c r="C188" i="199"/>
  <c r="B189" i="198"/>
  <c r="C188" i="198"/>
  <c r="B189" i="197"/>
  <c r="C188" i="197"/>
  <c r="B190" i="193"/>
  <c r="C189" i="193"/>
  <c r="B188" i="190"/>
  <c r="C187" i="190"/>
  <c r="B189" i="182"/>
  <c r="C188" i="182"/>
  <c r="B189" i="181"/>
  <c r="C188" i="181"/>
  <c r="B188" i="157"/>
  <c r="C187" i="157"/>
  <c r="B188" i="156"/>
  <c r="C187" i="156"/>
  <c r="B188" i="155"/>
  <c r="C187" i="155"/>
  <c r="B141" i="137"/>
  <c r="C140" i="137"/>
  <c r="B136" i="133"/>
  <c r="C135" i="133"/>
  <c r="B136" i="131"/>
  <c r="C135" i="131"/>
  <c r="B131" i="88"/>
  <c r="C130" i="88"/>
  <c r="C190" i="205" l="1"/>
  <c r="B191" i="205"/>
  <c r="B190" i="204"/>
  <c r="C189" i="204"/>
  <c r="B190" i="203"/>
  <c r="C189" i="203"/>
  <c r="B190" i="202"/>
  <c r="C189" i="202"/>
  <c r="B190" i="201"/>
  <c r="C189" i="201"/>
  <c r="B190" i="200"/>
  <c r="C189" i="200"/>
  <c r="B190" i="199"/>
  <c r="C189" i="199"/>
  <c r="B190" i="198"/>
  <c r="C189" i="198"/>
  <c r="B190" i="197"/>
  <c r="C189" i="197"/>
  <c r="B191" i="193"/>
  <c r="C190" i="193"/>
  <c r="B189" i="190"/>
  <c r="C188" i="190"/>
  <c r="B190" i="182"/>
  <c r="C189" i="182"/>
  <c r="B190" i="181"/>
  <c r="C189" i="181"/>
  <c r="B189" i="157"/>
  <c r="C188" i="157"/>
  <c r="B189" i="156"/>
  <c r="C188" i="156"/>
  <c r="B189" i="155"/>
  <c r="C188" i="155"/>
  <c r="B142" i="137"/>
  <c r="C141" i="137"/>
  <c r="B137" i="133"/>
  <c r="C136" i="133"/>
  <c r="B137" i="131"/>
  <c r="C136" i="131"/>
  <c r="C131" i="88"/>
  <c r="B132" i="88"/>
  <c r="C191" i="205" l="1"/>
  <c r="B192" i="205"/>
  <c r="B191" i="204"/>
  <c r="C190" i="204"/>
  <c r="B191" i="203"/>
  <c r="C190" i="203"/>
  <c r="B191" i="202"/>
  <c r="C190" i="202"/>
  <c r="B191" i="201"/>
  <c r="C190" i="201"/>
  <c r="B191" i="200"/>
  <c r="C190" i="200"/>
  <c r="B191" i="199"/>
  <c r="C190" i="199"/>
  <c r="B191" i="198"/>
  <c r="C190" i="198"/>
  <c r="B191" i="197"/>
  <c r="C190" i="197"/>
  <c r="B192" i="193"/>
  <c r="C191" i="193"/>
  <c r="B190" i="190"/>
  <c r="C189" i="190"/>
  <c r="B191" i="182"/>
  <c r="C190" i="182"/>
  <c r="B191" i="181"/>
  <c r="C190" i="181"/>
  <c r="B190" i="157"/>
  <c r="C189" i="157"/>
  <c r="B190" i="156"/>
  <c r="C189" i="156"/>
  <c r="B190" i="155"/>
  <c r="C189" i="155"/>
  <c r="B143" i="137"/>
  <c r="C142" i="137"/>
  <c r="B138" i="133"/>
  <c r="C137" i="133"/>
  <c r="B138" i="131"/>
  <c r="C137" i="131"/>
  <c r="C132" i="88"/>
  <c r="B133" i="88"/>
  <c r="C192" i="205" l="1"/>
  <c r="B193" i="205"/>
  <c r="B192" i="204"/>
  <c r="C191" i="204"/>
  <c r="B192" i="203"/>
  <c r="C191" i="203"/>
  <c r="B192" i="202"/>
  <c r="C191" i="202"/>
  <c r="B192" i="201"/>
  <c r="C191" i="201"/>
  <c r="B192" i="200"/>
  <c r="C191" i="200"/>
  <c r="B192" i="199"/>
  <c r="C191" i="199"/>
  <c r="B192" i="198"/>
  <c r="C191" i="198"/>
  <c r="B192" i="197"/>
  <c r="C191" i="197"/>
  <c r="B193" i="193"/>
  <c r="C192" i="193"/>
  <c r="B191" i="190"/>
  <c r="C190" i="190"/>
  <c r="B192" i="182"/>
  <c r="C191" i="182"/>
  <c r="B192" i="181"/>
  <c r="C191" i="181"/>
  <c r="B191" i="157"/>
  <c r="C190" i="157"/>
  <c r="B191" i="156"/>
  <c r="C190" i="156"/>
  <c r="B191" i="155"/>
  <c r="C190" i="155"/>
  <c r="B144" i="137"/>
  <c r="C143" i="137"/>
  <c r="B139" i="133"/>
  <c r="C138" i="133"/>
  <c r="B139" i="131"/>
  <c r="C138" i="131"/>
  <c r="C133" i="88"/>
  <c r="B134" i="88"/>
  <c r="C193" i="205" l="1"/>
  <c r="B194" i="205"/>
  <c r="B193" i="204"/>
  <c r="C192" i="204"/>
  <c r="B193" i="203"/>
  <c r="C192" i="203"/>
  <c r="B193" i="202"/>
  <c r="C192" i="202"/>
  <c r="B193" i="201"/>
  <c r="C192" i="201"/>
  <c r="B193" i="200"/>
  <c r="C192" i="200"/>
  <c r="B193" i="199"/>
  <c r="C192" i="199"/>
  <c r="B193" i="198"/>
  <c r="C192" i="198"/>
  <c r="B193" i="197"/>
  <c r="C192" i="197"/>
  <c r="B194" i="193"/>
  <c r="C193" i="193"/>
  <c r="B192" i="190"/>
  <c r="C191" i="190"/>
  <c r="B193" i="182"/>
  <c r="C192" i="182"/>
  <c r="B193" i="181"/>
  <c r="C192" i="181"/>
  <c r="B192" i="157"/>
  <c r="C191" i="157"/>
  <c r="B192" i="156"/>
  <c r="C191" i="156"/>
  <c r="B192" i="155"/>
  <c r="C191" i="155"/>
  <c r="B145" i="137"/>
  <c r="C144" i="137"/>
  <c r="B140" i="133"/>
  <c r="C139" i="133"/>
  <c r="B140" i="131"/>
  <c r="C139" i="131"/>
  <c r="B135" i="88"/>
  <c r="C134" i="88"/>
  <c r="C194" i="205" l="1"/>
  <c r="B195" i="205"/>
  <c r="B194" i="204"/>
  <c r="C193" i="204"/>
  <c r="B194" i="203"/>
  <c r="C193" i="203"/>
  <c r="B194" i="202"/>
  <c r="C193" i="202"/>
  <c r="B194" i="201"/>
  <c r="C193" i="201"/>
  <c r="B194" i="200"/>
  <c r="C193" i="200"/>
  <c r="B194" i="199"/>
  <c r="C193" i="199"/>
  <c r="B194" i="198"/>
  <c r="C193" i="198"/>
  <c r="B194" i="197"/>
  <c r="C193" i="197"/>
  <c r="B195" i="193"/>
  <c r="C194" i="193"/>
  <c r="B193" i="190"/>
  <c r="C192" i="190"/>
  <c r="B194" i="182"/>
  <c r="C193" i="182"/>
  <c r="B194" i="181"/>
  <c r="C193" i="181"/>
  <c r="B193" i="157"/>
  <c r="C192" i="157"/>
  <c r="B193" i="156"/>
  <c r="C192" i="156"/>
  <c r="B193" i="155"/>
  <c r="C192" i="155"/>
  <c r="B146" i="137"/>
  <c r="C145" i="137"/>
  <c r="B141" i="133"/>
  <c r="C140" i="133"/>
  <c r="B141" i="131"/>
  <c r="C140" i="131"/>
  <c r="B136" i="88"/>
  <c r="C135" i="88"/>
  <c r="C195" i="205" l="1"/>
  <c r="B196" i="205"/>
  <c r="B195" i="204"/>
  <c r="C194" i="204"/>
  <c r="B195" i="203"/>
  <c r="C194" i="203"/>
  <c r="B195" i="202"/>
  <c r="C194" i="202"/>
  <c r="B195" i="201"/>
  <c r="C194" i="201"/>
  <c r="B195" i="200"/>
  <c r="C194" i="200"/>
  <c r="B195" i="199"/>
  <c r="C194" i="199"/>
  <c r="B195" i="198"/>
  <c r="C194" i="198"/>
  <c r="B195" i="197"/>
  <c r="C194" i="197"/>
  <c r="B196" i="193"/>
  <c r="C195" i="193"/>
  <c r="B194" i="190"/>
  <c r="C193" i="190"/>
  <c r="B195" i="182"/>
  <c r="C194" i="182"/>
  <c r="B195" i="181"/>
  <c r="C194" i="181"/>
  <c r="B194" i="157"/>
  <c r="C193" i="157"/>
  <c r="B194" i="156"/>
  <c r="C193" i="156"/>
  <c r="B194" i="155"/>
  <c r="C193" i="155"/>
  <c r="B147" i="137"/>
  <c r="C146" i="137"/>
  <c r="B142" i="133"/>
  <c r="C141" i="133"/>
  <c r="B142" i="131"/>
  <c r="C141" i="131"/>
  <c r="C136" i="88"/>
  <c r="B137" i="88"/>
  <c r="C196" i="205" l="1"/>
  <c r="B197" i="205"/>
  <c r="B196" i="204"/>
  <c r="C195" i="204"/>
  <c r="B196" i="203"/>
  <c r="C195" i="203"/>
  <c r="B196" i="202"/>
  <c r="C195" i="202"/>
  <c r="B196" i="201"/>
  <c r="C195" i="201"/>
  <c r="B196" i="200"/>
  <c r="C195" i="200"/>
  <c r="B196" i="199"/>
  <c r="C195" i="199"/>
  <c r="B196" i="198"/>
  <c r="C195" i="198"/>
  <c r="B196" i="197"/>
  <c r="C195" i="197"/>
  <c r="B197" i="193"/>
  <c r="C196" i="193"/>
  <c r="B195" i="190"/>
  <c r="C194" i="190"/>
  <c r="B196" i="182"/>
  <c r="C195" i="182"/>
  <c r="B196" i="181"/>
  <c r="C195" i="181"/>
  <c r="B195" i="157"/>
  <c r="C194" i="157"/>
  <c r="B195" i="156"/>
  <c r="C194" i="156"/>
  <c r="B195" i="155"/>
  <c r="C194" i="155"/>
  <c r="B148" i="137"/>
  <c r="C147" i="137"/>
  <c r="B143" i="133"/>
  <c r="C142" i="133"/>
  <c r="B143" i="131"/>
  <c r="C142" i="131"/>
  <c r="B138" i="88"/>
  <c r="C137" i="88"/>
  <c r="B198" i="205" l="1"/>
  <c r="C197" i="205"/>
  <c r="B197" i="204"/>
  <c r="C196" i="204"/>
  <c r="B197" i="203"/>
  <c r="C196" i="203"/>
  <c r="B197" i="202"/>
  <c r="C196" i="202"/>
  <c r="B197" i="201"/>
  <c r="C196" i="201"/>
  <c r="B197" i="200"/>
  <c r="C196" i="200"/>
  <c r="B197" i="199"/>
  <c r="C196" i="199"/>
  <c r="B197" i="198"/>
  <c r="C196" i="198"/>
  <c r="B197" i="197"/>
  <c r="C196" i="197"/>
  <c r="B198" i="193"/>
  <c r="C197" i="193"/>
  <c r="B196" i="190"/>
  <c r="C195" i="190"/>
  <c r="B197" i="182"/>
  <c r="C196" i="182"/>
  <c r="B197" i="181"/>
  <c r="C196" i="181"/>
  <c r="B196" i="157"/>
  <c r="C195" i="157"/>
  <c r="B196" i="156"/>
  <c r="C195" i="156"/>
  <c r="B196" i="155"/>
  <c r="C195" i="155"/>
  <c r="B149" i="137"/>
  <c r="C148" i="137"/>
  <c r="B144" i="133"/>
  <c r="C143" i="133"/>
  <c r="B144" i="131"/>
  <c r="C143" i="131"/>
  <c r="C138" i="88"/>
  <c r="B139" i="88"/>
  <c r="C198" i="205" l="1"/>
  <c r="B199" i="205"/>
  <c r="B198" i="204"/>
  <c r="C197" i="204"/>
  <c r="B198" i="203"/>
  <c r="C197" i="203"/>
  <c r="B198" i="202"/>
  <c r="C197" i="202"/>
  <c r="B198" i="201"/>
  <c r="C197" i="201"/>
  <c r="B198" i="200"/>
  <c r="C197" i="200"/>
  <c r="B198" i="199"/>
  <c r="C197" i="199"/>
  <c r="B198" i="198"/>
  <c r="C197" i="198"/>
  <c r="B198" i="197"/>
  <c r="C197" i="197"/>
  <c r="B199" i="193"/>
  <c r="C198" i="193"/>
  <c r="B197" i="190"/>
  <c r="C196" i="190"/>
  <c r="B198" i="182"/>
  <c r="C197" i="182"/>
  <c r="B198" i="181"/>
  <c r="C197" i="181"/>
  <c r="B197" i="157"/>
  <c r="C196" i="157"/>
  <c r="B197" i="156"/>
  <c r="C196" i="156"/>
  <c r="B197" i="155"/>
  <c r="C196" i="155"/>
  <c r="B150" i="137"/>
  <c r="C149" i="137"/>
  <c r="B145" i="133"/>
  <c r="C144" i="133"/>
  <c r="B145" i="131"/>
  <c r="C144" i="131"/>
  <c r="C139" i="88"/>
  <c r="B140" i="88"/>
  <c r="C199" i="205" l="1"/>
  <c r="B200" i="205"/>
  <c r="B199" i="204"/>
  <c r="C198" i="204"/>
  <c r="B199" i="203"/>
  <c r="C198" i="203"/>
  <c r="B199" i="202"/>
  <c r="C198" i="202"/>
  <c r="B199" i="201"/>
  <c r="C198" i="201"/>
  <c r="B199" i="200"/>
  <c r="C198" i="200"/>
  <c r="B199" i="199"/>
  <c r="C198" i="199"/>
  <c r="B199" i="198"/>
  <c r="C198" i="198"/>
  <c r="B199" i="197"/>
  <c r="C198" i="197"/>
  <c r="B200" i="193"/>
  <c r="C199" i="193"/>
  <c r="B198" i="190"/>
  <c r="C197" i="190"/>
  <c r="B199" i="182"/>
  <c r="C198" i="182"/>
  <c r="B199" i="181"/>
  <c r="C198" i="181"/>
  <c r="B198" i="157"/>
  <c r="C197" i="157"/>
  <c r="B198" i="156"/>
  <c r="C197" i="156"/>
  <c r="B198" i="155"/>
  <c r="C197" i="155"/>
  <c r="B151" i="137"/>
  <c r="C150" i="137"/>
  <c r="B146" i="133"/>
  <c r="C145" i="133"/>
  <c r="B146" i="131"/>
  <c r="C145" i="131"/>
  <c r="B141" i="88"/>
  <c r="C140" i="88"/>
  <c r="C200" i="205" l="1"/>
  <c r="B201" i="205"/>
  <c r="B200" i="204"/>
  <c r="C199" i="204"/>
  <c r="B200" i="203"/>
  <c r="C199" i="203"/>
  <c r="B200" i="202"/>
  <c r="C199" i="202"/>
  <c r="B200" i="201"/>
  <c r="C199" i="201"/>
  <c r="B200" i="200"/>
  <c r="C199" i="200"/>
  <c r="B200" i="199"/>
  <c r="C199" i="199"/>
  <c r="B200" i="198"/>
  <c r="C199" i="198"/>
  <c r="B200" i="197"/>
  <c r="C199" i="197"/>
  <c r="B201" i="193"/>
  <c r="C200" i="193"/>
  <c r="B199" i="190"/>
  <c r="C198" i="190"/>
  <c r="B200" i="182"/>
  <c r="C199" i="182"/>
  <c r="B200" i="181"/>
  <c r="C199" i="181"/>
  <c r="B199" i="157"/>
  <c r="C198" i="157"/>
  <c r="B199" i="156"/>
  <c r="C198" i="156"/>
  <c r="B199" i="155"/>
  <c r="C198" i="155"/>
  <c r="B152" i="137"/>
  <c r="C151" i="137"/>
  <c r="B147" i="133"/>
  <c r="C146" i="133"/>
  <c r="B147" i="131"/>
  <c r="C146" i="131"/>
  <c r="B142" i="88"/>
  <c r="C141" i="88"/>
  <c r="C201" i="205" l="1"/>
  <c r="B202" i="205"/>
  <c r="B201" i="204"/>
  <c r="C200" i="204"/>
  <c r="B201" i="203"/>
  <c r="C200" i="203"/>
  <c r="B201" i="202"/>
  <c r="C200" i="202"/>
  <c r="B201" i="201"/>
  <c r="C200" i="201"/>
  <c r="B201" i="200"/>
  <c r="C200" i="200"/>
  <c r="B201" i="199"/>
  <c r="C200" i="199"/>
  <c r="B201" i="198"/>
  <c r="C200" i="198"/>
  <c r="B201" i="197"/>
  <c r="C200" i="197"/>
  <c r="B202" i="193"/>
  <c r="C201" i="193"/>
  <c r="B200" i="190"/>
  <c r="C199" i="190"/>
  <c r="B201" i="182"/>
  <c r="C200" i="182"/>
  <c r="B201" i="181"/>
  <c r="C200" i="181"/>
  <c r="B200" i="157"/>
  <c r="C199" i="157"/>
  <c r="B200" i="156"/>
  <c r="C199" i="156"/>
  <c r="B200" i="155"/>
  <c r="C199" i="155"/>
  <c r="B153" i="137"/>
  <c r="C152" i="137"/>
  <c r="B148" i="133"/>
  <c r="C147" i="133"/>
  <c r="B148" i="131"/>
  <c r="C147" i="131"/>
  <c r="B143" i="88"/>
  <c r="C142" i="88"/>
  <c r="C202" i="205" l="1"/>
  <c r="B203" i="205"/>
  <c r="B202" i="204"/>
  <c r="C201" i="204"/>
  <c r="B202" i="203"/>
  <c r="C201" i="203"/>
  <c r="B202" i="202"/>
  <c r="C201" i="202"/>
  <c r="B202" i="201"/>
  <c r="C201" i="201"/>
  <c r="B202" i="200"/>
  <c r="C201" i="200"/>
  <c r="B202" i="199"/>
  <c r="C201" i="199"/>
  <c r="B202" i="198"/>
  <c r="C201" i="198"/>
  <c r="B202" i="197"/>
  <c r="C201" i="197"/>
  <c r="B203" i="193"/>
  <c r="C202" i="193"/>
  <c r="B201" i="190"/>
  <c r="C200" i="190"/>
  <c r="B202" i="182"/>
  <c r="C201" i="182"/>
  <c r="B202" i="181"/>
  <c r="C201" i="181"/>
  <c r="B201" i="157"/>
  <c r="C200" i="157"/>
  <c r="B201" i="156"/>
  <c r="C200" i="156"/>
  <c r="B201" i="155"/>
  <c r="C200" i="155"/>
  <c r="B154" i="137"/>
  <c r="C153" i="137"/>
  <c r="B149" i="133"/>
  <c r="C148" i="133"/>
  <c r="B149" i="131"/>
  <c r="C148" i="131"/>
  <c r="C143" i="88"/>
  <c r="B144" i="88"/>
  <c r="C203" i="205" l="1"/>
  <c r="B204" i="205"/>
  <c r="B203" i="204"/>
  <c r="C202" i="204"/>
  <c r="B203" i="203"/>
  <c r="C202" i="203"/>
  <c r="B203" i="202"/>
  <c r="C202" i="202"/>
  <c r="B203" i="201"/>
  <c r="C202" i="201"/>
  <c r="B203" i="200"/>
  <c r="C202" i="200"/>
  <c r="B203" i="199"/>
  <c r="C202" i="199"/>
  <c r="B203" i="198"/>
  <c r="C202" i="198"/>
  <c r="B203" i="197"/>
  <c r="C202" i="197"/>
  <c r="B204" i="193"/>
  <c r="C203" i="193"/>
  <c r="B202" i="190"/>
  <c r="C201" i="190"/>
  <c r="B203" i="182"/>
  <c r="C202" i="182"/>
  <c r="B203" i="181"/>
  <c r="C202" i="181"/>
  <c r="B202" i="157"/>
  <c r="C201" i="157"/>
  <c r="B202" i="156"/>
  <c r="C201" i="156"/>
  <c r="B202" i="155"/>
  <c r="C201" i="155"/>
  <c r="B155" i="137"/>
  <c r="C154" i="137"/>
  <c r="B150" i="133"/>
  <c r="C149" i="133"/>
  <c r="B150" i="131"/>
  <c r="C149" i="131"/>
  <c r="C144" i="88"/>
  <c r="B145" i="88"/>
  <c r="C204" i="205" l="1"/>
  <c r="B205" i="205"/>
  <c r="B204" i="204"/>
  <c r="C203" i="204"/>
  <c r="B204" i="203"/>
  <c r="C203" i="203"/>
  <c r="B204" i="202"/>
  <c r="C203" i="202"/>
  <c r="B204" i="201"/>
  <c r="C203" i="201"/>
  <c r="B204" i="200"/>
  <c r="C203" i="200"/>
  <c r="B204" i="199"/>
  <c r="C203" i="199"/>
  <c r="B204" i="198"/>
  <c r="C203" i="198"/>
  <c r="B204" i="197"/>
  <c r="C203" i="197"/>
  <c r="B205" i="193"/>
  <c r="C204" i="193"/>
  <c r="B203" i="190"/>
  <c r="C202" i="190"/>
  <c r="B204" i="182"/>
  <c r="C203" i="182"/>
  <c r="B204" i="181"/>
  <c r="C203" i="181"/>
  <c r="B203" i="157"/>
  <c r="C202" i="157"/>
  <c r="B203" i="156"/>
  <c r="C202" i="156"/>
  <c r="B203" i="155"/>
  <c r="C202" i="155"/>
  <c r="B156" i="137"/>
  <c r="C155" i="137"/>
  <c r="B151" i="133"/>
  <c r="C150" i="133"/>
  <c r="B151" i="131"/>
  <c r="C150" i="131"/>
  <c r="C145" i="88"/>
  <c r="B146" i="88"/>
  <c r="C205" i="205" l="1"/>
  <c r="B206" i="205"/>
  <c r="B205" i="204"/>
  <c r="C204" i="204"/>
  <c r="B205" i="203"/>
  <c r="C204" i="203"/>
  <c r="B205" i="202"/>
  <c r="C204" i="202"/>
  <c r="B205" i="201"/>
  <c r="C204" i="201"/>
  <c r="B205" i="200"/>
  <c r="C204" i="200"/>
  <c r="B205" i="199"/>
  <c r="C204" i="199"/>
  <c r="B205" i="198"/>
  <c r="C204" i="198"/>
  <c r="B205" i="197"/>
  <c r="C204" i="197"/>
  <c r="B206" i="193"/>
  <c r="C205" i="193"/>
  <c r="B204" i="190"/>
  <c r="C203" i="190"/>
  <c r="B205" i="182"/>
  <c r="C204" i="182"/>
  <c r="B205" i="181"/>
  <c r="C204" i="181"/>
  <c r="B204" i="157"/>
  <c r="C203" i="157"/>
  <c r="B204" i="156"/>
  <c r="C203" i="156"/>
  <c r="B204" i="155"/>
  <c r="C203" i="155"/>
  <c r="B157" i="137"/>
  <c r="C156" i="137"/>
  <c r="B152" i="133"/>
  <c r="C151" i="133"/>
  <c r="B152" i="131"/>
  <c r="C151" i="131"/>
  <c r="C146" i="88"/>
  <c r="B147" i="88"/>
  <c r="C206" i="205" l="1"/>
  <c r="B207" i="205"/>
  <c r="B206" i="204"/>
  <c r="C205" i="204"/>
  <c r="B206" i="203"/>
  <c r="C205" i="203"/>
  <c r="B206" i="202"/>
  <c r="C205" i="202"/>
  <c r="B206" i="201"/>
  <c r="C205" i="201"/>
  <c r="B206" i="200"/>
  <c r="C205" i="200"/>
  <c r="B206" i="199"/>
  <c r="C205" i="199"/>
  <c r="B206" i="198"/>
  <c r="C205" i="198"/>
  <c r="B206" i="197"/>
  <c r="C205" i="197"/>
  <c r="B207" i="193"/>
  <c r="C206" i="193"/>
  <c r="B205" i="190"/>
  <c r="C204" i="190"/>
  <c r="B206" i="182"/>
  <c r="C205" i="182"/>
  <c r="B206" i="181"/>
  <c r="C205" i="181"/>
  <c r="B205" i="157"/>
  <c r="C204" i="157"/>
  <c r="B205" i="156"/>
  <c r="C204" i="156"/>
  <c r="B205" i="155"/>
  <c r="C204" i="155"/>
  <c r="B158" i="137"/>
  <c r="C157" i="137"/>
  <c r="B153" i="133"/>
  <c r="C152" i="133"/>
  <c r="B153" i="131"/>
  <c r="C152" i="131"/>
  <c r="B148" i="88"/>
  <c r="C147" i="88"/>
  <c r="C207" i="205" l="1"/>
  <c r="B208" i="205"/>
  <c r="B207" i="204"/>
  <c r="C206" i="204"/>
  <c r="B207" i="203"/>
  <c r="C206" i="203"/>
  <c r="B207" i="202"/>
  <c r="C206" i="202"/>
  <c r="B207" i="201"/>
  <c r="C206" i="201"/>
  <c r="B207" i="200"/>
  <c r="C206" i="200"/>
  <c r="B207" i="199"/>
  <c r="C206" i="199"/>
  <c r="B207" i="198"/>
  <c r="C206" i="198"/>
  <c r="B207" i="197"/>
  <c r="C206" i="197"/>
  <c r="B208" i="193"/>
  <c r="C207" i="193"/>
  <c r="B206" i="190"/>
  <c r="C205" i="190"/>
  <c r="B207" i="182"/>
  <c r="C206" i="182"/>
  <c r="B207" i="181"/>
  <c r="C206" i="181"/>
  <c r="B206" i="157"/>
  <c r="C205" i="157"/>
  <c r="B206" i="156"/>
  <c r="C205" i="156"/>
  <c r="B206" i="155"/>
  <c r="C205" i="155"/>
  <c r="B159" i="137"/>
  <c r="C158" i="137"/>
  <c r="B154" i="133"/>
  <c r="C153" i="133"/>
  <c r="B154" i="131"/>
  <c r="C153" i="131"/>
  <c r="C148" i="88"/>
  <c r="B149" i="88"/>
  <c r="C208" i="205" l="1"/>
  <c r="B209" i="205"/>
  <c r="B208" i="204"/>
  <c r="C207" i="204"/>
  <c r="B208" i="203"/>
  <c r="C207" i="203"/>
  <c r="B208" i="202"/>
  <c r="C207" i="202"/>
  <c r="B208" i="201"/>
  <c r="C207" i="201"/>
  <c r="B208" i="200"/>
  <c r="C207" i="200"/>
  <c r="B208" i="199"/>
  <c r="C207" i="199"/>
  <c r="B208" i="198"/>
  <c r="C207" i="198"/>
  <c r="B208" i="197"/>
  <c r="C207" i="197"/>
  <c r="B209" i="193"/>
  <c r="C208" i="193"/>
  <c r="B207" i="190"/>
  <c r="C206" i="190"/>
  <c r="B208" i="182"/>
  <c r="C207" i="182"/>
  <c r="B208" i="181"/>
  <c r="C207" i="181"/>
  <c r="B207" i="157"/>
  <c r="C206" i="157"/>
  <c r="B207" i="156"/>
  <c r="C206" i="156"/>
  <c r="B207" i="155"/>
  <c r="C206" i="155"/>
  <c r="B160" i="137"/>
  <c r="C159" i="137"/>
  <c r="B155" i="133"/>
  <c r="C154" i="133"/>
  <c r="B155" i="131"/>
  <c r="C154" i="131"/>
  <c r="C149" i="88"/>
  <c r="B150" i="88"/>
  <c r="C209" i="205" l="1"/>
  <c r="B210" i="205"/>
  <c r="B209" i="204"/>
  <c r="C208" i="204"/>
  <c r="B209" i="203"/>
  <c r="C208" i="203"/>
  <c r="B209" i="202"/>
  <c r="C208" i="202"/>
  <c r="B209" i="201"/>
  <c r="C208" i="201"/>
  <c r="B209" i="200"/>
  <c r="C208" i="200"/>
  <c r="B209" i="199"/>
  <c r="C208" i="199"/>
  <c r="B209" i="198"/>
  <c r="C208" i="198"/>
  <c r="B209" i="197"/>
  <c r="C208" i="197"/>
  <c r="B210" i="193"/>
  <c r="C209" i="193"/>
  <c r="B208" i="190"/>
  <c r="C207" i="190"/>
  <c r="B209" i="182"/>
  <c r="C208" i="182"/>
  <c r="B209" i="181"/>
  <c r="C208" i="181"/>
  <c r="B208" i="157"/>
  <c r="C207" i="157"/>
  <c r="B208" i="156"/>
  <c r="C207" i="156"/>
  <c r="B208" i="155"/>
  <c r="C207" i="155"/>
  <c r="B161" i="137"/>
  <c r="C160" i="137"/>
  <c r="B156" i="133"/>
  <c r="C155" i="133"/>
  <c r="B156" i="131"/>
  <c r="C155" i="131"/>
  <c r="C150" i="88"/>
  <c r="B151" i="88"/>
  <c r="B211" i="205" l="1"/>
  <c r="C210" i="205"/>
  <c r="B210" i="204"/>
  <c r="C209" i="204"/>
  <c r="B210" i="203"/>
  <c r="C209" i="203"/>
  <c r="B210" i="202"/>
  <c r="C209" i="202"/>
  <c r="B210" i="201"/>
  <c r="C209" i="201"/>
  <c r="B210" i="200"/>
  <c r="C209" i="200"/>
  <c r="B210" i="199"/>
  <c r="C209" i="199"/>
  <c r="B210" i="198"/>
  <c r="C209" i="198"/>
  <c r="B210" i="197"/>
  <c r="C209" i="197"/>
  <c r="B211" i="193"/>
  <c r="C210" i="193"/>
  <c r="B209" i="190"/>
  <c r="C208" i="190"/>
  <c r="B210" i="182"/>
  <c r="C209" i="182"/>
  <c r="B210" i="181"/>
  <c r="C209" i="181"/>
  <c r="B209" i="157"/>
  <c r="C208" i="157"/>
  <c r="B209" i="156"/>
  <c r="C208" i="156"/>
  <c r="B209" i="155"/>
  <c r="C208" i="155"/>
  <c r="B162" i="137"/>
  <c r="C161" i="137"/>
  <c r="B157" i="133"/>
  <c r="C156" i="133"/>
  <c r="B157" i="131"/>
  <c r="C156" i="131"/>
  <c r="C151" i="88"/>
  <c r="B152" i="88"/>
  <c r="C211" i="205" l="1"/>
  <c r="B212" i="205"/>
  <c r="B211" i="204"/>
  <c r="C210" i="204"/>
  <c r="B211" i="203"/>
  <c r="C210" i="203"/>
  <c r="B211" i="202"/>
  <c r="C210" i="202"/>
  <c r="B211" i="201"/>
  <c r="C210" i="201"/>
  <c r="B211" i="200"/>
  <c r="C210" i="200"/>
  <c r="B211" i="199"/>
  <c r="C210" i="199"/>
  <c r="B211" i="198"/>
  <c r="C210" i="198"/>
  <c r="B211" i="197"/>
  <c r="C210" i="197"/>
  <c r="B212" i="193"/>
  <c r="C211" i="193"/>
  <c r="B210" i="190"/>
  <c r="C209" i="190"/>
  <c r="B211" i="182"/>
  <c r="C210" i="182"/>
  <c r="B211" i="181"/>
  <c r="C210" i="181"/>
  <c r="B210" i="157"/>
  <c r="C209" i="157"/>
  <c r="B210" i="156"/>
  <c r="C209" i="156"/>
  <c r="B210" i="155"/>
  <c r="C209" i="155"/>
  <c r="B163" i="137"/>
  <c r="C162" i="137"/>
  <c r="B158" i="133"/>
  <c r="C157" i="133"/>
  <c r="B158" i="131"/>
  <c r="C157" i="131"/>
  <c r="C152" i="88"/>
  <c r="B153" i="88"/>
  <c r="C212" i="205" l="1"/>
  <c r="B213" i="205"/>
  <c r="B212" i="204"/>
  <c r="C211" i="204"/>
  <c r="B212" i="203"/>
  <c r="C211" i="203"/>
  <c r="B212" i="202"/>
  <c r="C211" i="202"/>
  <c r="B212" i="201"/>
  <c r="C211" i="201"/>
  <c r="B212" i="200"/>
  <c r="C211" i="200"/>
  <c r="B212" i="199"/>
  <c r="C211" i="199"/>
  <c r="B212" i="198"/>
  <c r="C211" i="198"/>
  <c r="B212" i="197"/>
  <c r="C211" i="197"/>
  <c r="B213" i="193"/>
  <c r="C212" i="193"/>
  <c r="B211" i="190"/>
  <c r="C210" i="190"/>
  <c r="B212" i="182"/>
  <c r="C211" i="182"/>
  <c r="B212" i="181"/>
  <c r="C211" i="181"/>
  <c r="B211" i="157"/>
  <c r="C210" i="157"/>
  <c r="B211" i="156"/>
  <c r="C210" i="156"/>
  <c r="B211" i="155"/>
  <c r="C210" i="155"/>
  <c r="B164" i="137"/>
  <c r="C163" i="137"/>
  <c r="B159" i="133"/>
  <c r="C158" i="133"/>
  <c r="B159" i="131"/>
  <c r="C158" i="131"/>
  <c r="B154" i="88"/>
  <c r="C153" i="88"/>
  <c r="C213" i="205" l="1"/>
  <c r="B214" i="205"/>
  <c r="B213" i="204"/>
  <c r="C212" i="204"/>
  <c r="B213" i="203"/>
  <c r="C212" i="203"/>
  <c r="B213" i="202"/>
  <c r="C212" i="202"/>
  <c r="B213" i="201"/>
  <c r="C212" i="201"/>
  <c r="B213" i="200"/>
  <c r="C212" i="200"/>
  <c r="B213" i="199"/>
  <c r="C212" i="199"/>
  <c r="B213" i="198"/>
  <c r="C212" i="198"/>
  <c r="B213" i="197"/>
  <c r="C212" i="197"/>
  <c r="B214" i="193"/>
  <c r="C213" i="193"/>
  <c r="B212" i="190"/>
  <c r="C211" i="190"/>
  <c r="B213" i="182"/>
  <c r="C212" i="182"/>
  <c r="B213" i="181"/>
  <c r="C212" i="181"/>
  <c r="B212" i="157"/>
  <c r="C211" i="157"/>
  <c r="B212" i="156"/>
  <c r="C211" i="156"/>
  <c r="B212" i="155"/>
  <c r="C211" i="155"/>
  <c r="B165" i="137"/>
  <c r="C164" i="137"/>
  <c r="B160" i="133"/>
  <c r="C159" i="133"/>
  <c r="B160" i="131"/>
  <c r="C159" i="131"/>
  <c r="B155" i="88"/>
  <c r="C154" i="88"/>
  <c r="C214" i="205" l="1"/>
  <c r="B215" i="205"/>
  <c r="B214" i="204"/>
  <c r="C213" i="204"/>
  <c r="B214" i="203"/>
  <c r="C213" i="203"/>
  <c r="B214" i="202"/>
  <c r="C213" i="202"/>
  <c r="B214" i="201"/>
  <c r="C213" i="201"/>
  <c r="B214" i="200"/>
  <c r="C213" i="200"/>
  <c r="B214" i="199"/>
  <c r="C213" i="199"/>
  <c r="B214" i="198"/>
  <c r="C213" i="198"/>
  <c r="B214" i="197"/>
  <c r="C213" i="197"/>
  <c r="B215" i="193"/>
  <c r="C214" i="193"/>
  <c r="B213" i="190"/>
  <c r="C212" i="190"/>
  <c r="B214" i="182"/>
  <c r="C213" i="182"/>
  <c r="B214" i="181"/>
  <c r="C213" i="181"/>
  <c r="B213" i="157"/>
  <c r="C212" i="157"/>
  <c r="B213" i="156"/>
  <c r="C212" i="156"/>
  <c r="B213" i="155"/>
  <c r="C212" i="155"/>
  <c r="B166" i="137"/>
  <c r="C165" i="137"/>
  <c r="B161" i="133"/>
  <c r="C160" i="133"/>
  <c r="B161" i="131"/>
  <c r="C160" i="131"/>
  <c r="C155" i="88"/>
  <c r="B156" i="88"/>
  <c r="C215" i="205" l="1"/>
  <c r="B216" i="205"/>
  <c r="B215" i="204"/>
  <c r="C214" i="204"/>
  <c r="B215" i="203"/>
  <c r="C214" i="203"/>
  <c r="B215" i="202"/>
  <c r="C214" i="202"/>
  <c r="B215" i="201"/>
  <c r="C214" i="201"/>
  <c r="B215" i="200"/>
  <c r="C214" i="200"/>
  <c r="B215" i="199"/>
  <c r="C214" i="199"/>
  <c r="B215" i="198"/>
  <c r="C214" i="198"/>
  <c r="B215" i="197"/>
  <c r="C214" i="197"/>
  <c r="B216" i="193"/>
  <c r="C215" i="193"/>
  <c r="B214" i="190"/>
  <c r="C213" i="190"/>
  <c r="B215" i="182"/>
  <c r="C214" i="182"/>
  <c r="B215" i="181"/>
  <c r="C214" i="181"/>
  <c r="B214" i="157"/>
  <c r="C213" i="157"/>
  <c r="B214" i="156"/>
  <c r="C213" i="156"/>
  <c r="B214" i="155"/>
  <c r="C213" i="155"/>
  <c r="B167" i="137"/>
  <c r="C166" i="137"/>
  <c r="B162" i="133"/>
  <c r="C161" i="133"/>
  <c r="B162" i="131"/>
  <c r="C161" i="131"/>
  <c r="C156" i="88"/>
  <c r="B157" i="88"/>
  <c r="C216" i="205" l="1"/>
  <c r="B217" i="205"/>
  <c r="B216" i="204"/>
  <c r="C215" i="204"/>
  <c r="B216" i="203"/>
  <c r="C215" i="203"/>
  <c r="B216" i="202"/>
  <c r="C215" i="202"/>
  <c r="B216" i="201"/>
  <c r="C215" i="201"/>
  <c r="B216" i="200"/>
  <c r="C215" i="200"/>
  <c r="B216" i="199"/>
  <c r="C215" i="199"/>
  <c r="B216" i="198"/>
  <c r="C215" i="198"/>
  <c r="B216" i="197"/>
  <c r="C215" i="197"/>
  <c r="B217" i="193"/>
  <c r="C216" i="193"/>
  <c r="B215" i="190"/>
  <c r="C214" i="190"/>
  <c r="B216" i="182"/>
  <c r="C215" i="182"/>
  <c r="B216" i="181"/>
  <c r="C215" i="181"/>
  <c r="B215" i="157"/>
  <c r="C214" i="157"/>
  <c r="B215" i="156"/>
  <c r="C214" i="156"/>
  <c r="B215" i="155"/>
  <c r="C214" i="155"/>
  <c r="B168" i="137"/>
  <c r="C167" i="137"/>
  <c r="B163" i="133"/>
  <c r="C162" i="133"/>
  <c r="B163" i="131"/>
  <c r="C162" i="131"/>
  <c r="B158" i="88"/>
  <c r="C157" i="88"/>
  <c r="C217" i="205" l="1"/>
  <c r="B218" i="205"/>
  <c r="B217" i="204"/>
  <c r="C216" i="204"/>
  <c r="B217" i="203"/>
  <c r="C216" i="203"/>
  <c r="B217" i="202"/>
  <c r="C216" i="202"/>
  <c r="B217" i="201"/>
  <c r="C216" i="201"/>
  <c r="B217" i="200"/>
  <c r="C216" i="200"/>
  <c r="B217" i="199"/>
  <c r="C216" i="199"/>
  <c r="B217" i="198"/>
  <c r="C216" i="198"/>
  <c r="B217" i="197"/>
  <c r="C216" i="197"/>
  <c r="B218" i="193"/>
  <c r="C217" i="193"/>
  <c r="B216" i="190"/>
  <c r="C215" i="190"/>
  <c r="B217" i="182"/>
  <c r="C216" i="182"/>
  <c r="B217" i="181"/>
  <c r="C216" i="181"/>
  <c r="B216" i="157"/>
  <c r="C215" i="157"/>
  <c r="B216" i="156"/>
  <c r="C215" i="156"/>
  <c r="B216" i="155"/>
  <c r="C215" i="155"/>
  <c r="B169" i="137"/>
  <c r="C168" i="137"/>
  <c r="B164" i="133"/>
  <c r="C163" i="133"/>
  <c r="B164" i="131"/>
  <c r="C163" i="131"/>
  <c r="C158" i="88"/>
  <c r="B159" i="88"/>
  <c r="C218" i="205" l="1"/>
  <c r="B219" i="205"/>
  <c r="B218" i="204"/>
  <c r="C217" i="204"/>
  <c r="B218" i="203"/>
  <c r="C217" i="203"/>
  <c r="B218" i="202"/>
  <c r="C217" i="202"/>
  <c r="B218" i="201"/>
  <c r="C217" i="201"/>
  <c r="B218" i="200"/>
  <c r="C217" i="200"/>
  <c r="B218" i="199"/>
  <c r="C217" i="199"/>
  <c r="B218" i="198"/>
  <c r="C217" i="198"/>
  <c r="B218" i="197"/>
  <c r="C217" i="197"/>
  <c r="B219" i="193"/>
  <c r="C218" i="193"/>
  <c r="B217" i="190"/>
  <c r="C216" i="190"/>
  <c r="B218" i="182"/>
  <c r="C217" i="182"/>
  <c r="B218" i="181"/>
  <c r="C217" i="181"/>
  <c r="B217" i="157"/>
  <c r="C216" i="157"/>
  <c r="B217" i="156"/>
  <c r="C216" i="156"/>
  <c r="B217" i="155"/>
  <c r="C216" i="155"/>
  <c r="B170" i="137"/>
  <c r="C169" i="137"/>
  <c r="B165" i="133"/>
  <c r="C164" i="133"/>
  <c r="B165" i="131"/>
  <c r="C164" i="131"/>
  <c r="B160" i="88"/>
  <c r="C159" i="88"/>
  <c r="C219" i="205" l="1"/>
  <c r="B220" i="205"/>
  <c r="B219" i="204"/>
  <c r="C218" i="204"/>
  <c r="B219" i="203"/>
  <c r="C218" i="203"/>
  <c r="B219" i="202"/>
  <c r="C218" i="202"/>
  <c r="B219" i="201"/>
  <c r="C218" i="201"/>
  <c r="B219" i="200"/>
  <c r="C218" i="200"/>
  <c r="B219" i="199"/>
  <c r="C218" i="199"/>
  <c r="B219" i="198"/>
  <c r="C218" i="198"/>
  <c r="B219" i="197"/>
  <c r="C218" i="197"/>
  <c r="B220" i="193"/>
  <c r="C219" i="193"/>
  <c r="B218" i="190"/>
  <c r="C217" i="190"/>
  <c r="B219" i="182"/>
  <c r="C218" i="182"/>
  <c r="B219" i="181"/>
  <c r="C218" i="181"/>
  <c r="B218" i="157"/>
  <c r="C217" i="157"/>
  <c r="B218" i="156"/>
  <c r="C217" i="156"/>
  <c r="B218" i="155"/>
  <c r="C217" i="155"/>
  <c r="B171" i="137"/>
  <c r="C170" i="137"/>
  <c r="B166" i="133"/>
  <c r="C165" i="133"/>
  <c r="B166" i="131"/>
  <c r="C165" i="131"/>
  <c r="B161" i="88"/>
  <c r="C160" i="88"/>
  <c r="C220" i="205" l="1"/>
  <c r="B221" i="205"/>
  <c r="B220" i="204"/>
  <c r="C219" i="204"/>
  <c r="B220" i="203"/>
  <c r="C219" i="203"/>
  <c r="B220" i="202"/>
  <c r="C219" i="202"/>
  <c r="B220" i="201"/>
  <c r="C219" i="201"/>
  <c r="B220" i="200"/>
  <c r="C219" i="200"/>
  <c r="B220" i="199"/>
  <c r="C219" i="199"/>
  <c r="B220" i="198"/>
  <c r="C219" i="198"/>
  <c r="B220" i="197"/>
  <c r="C219" i="197"/>
  <c r="B221" i="193"/>
  <c r="C220" i="193"/>
  <c r="B219" i="190"/>
  <c r="C218" i="190"/>
  <c r="B220" i="182"/>
  <c r="C219" i="182"/>
  <c r="B220" i="181"/>
  <c r="C219" i="181"/>
  <c r="B219" i="157"/>
  <c r="C218" i="157"/>
  <c r="B219" i="156"/>
  <c r="C218" i="156"/>
  <c r="B219" i="155"/>
  <c r="C218" i="155"/>
  <c r="B172" i="137"/>
  <c r="C171" i="137"/>
  <c r="B167" i="133"/>
  <c r="C166" i="133"/>
  <c r="B167" i="131"/>
  <c r="C166" i="131"/>
  <c r="B162" i="88"/>
  <c r="C161" i="88"/>
  <c r="C221" i="205" l="1"/>
  <c r="B222" i="205"/>
  <c r="B221" i="204"/>
  <c r="C220" i="204"/>
  <c r="B221" i="203"/>
  <c r="C220" i="203"/>
  <c r="B221" i="202"/>
  <c r="C220" i="202"/>
  <c r="B221" i="201"/>
  <c r="C220" i="201"/>
  <c r="B221" i="200"/>
  <c r="C220" i="200"/>
  <c r="B221" i="199"/>
  <c r="C220" i="199"/>
  <c r="B221" i="198"/>
  <c r="C220" i="198"/>
  <c r="B221" i="197"/>
  <c r="C220" i="197"/>
  <c r="B222" i="193"/>
  <c r="C221" i="193"/>
  <c r="B220" i="190"/>
  <c r="C219" i="190"/>
  <c r="B221" i="182"/>
  <c r="C220" i="182"/>
  <c r="B221" i="181"/>
  <c r="C220" i="181"/>
  <c r="B220" i="157"/>
  <c r="C219" i="157"/>
  <c r="B220" i="156"/>
  <c r="C219" i="156"/>
  <c r="B220" i="155"/>
  <c r="C219" i="155"/>
  <c r="B173" i="137"/>
  <c r="C172" i="137"/>
  <c r="B168" i="133"/>
  <c r="C167" i="133"/>
  <c r="B168" i="131"/>
  <c r="C167" i="131"/>
  <c r="B163" i="88"/>
  <c r="C162" i="88"/>
  <c r="C222" i="205" l="1"/>
  <c r="B223" i="205"/>
  <c r="B222" i="204"/>
  <c r="C221" i="204"/>
  <c r="B222" i="203"/>
  <c r="C221" i="203"/>
  <c r="B222" i="202"/>
  <c r="C221" i="202"/>
  <c r="B222" i="201"/>
  <c r="C221" i="201"/>
  <c r="B222" i="200"/>
  <c r="C221" i="200"/>
  <c r="B222" i="199"/>
  <c r="C221" i="199"/>
  <c r="B222" i="198"/>
  <c r="C221" i="198"/>
  <c r="B222" i="197"/>
  <c r="C221" i="197"/>
  <c r="B223" i="193"/>
  <c r="C222" i="193"/>
  <c r="B221" i="190"/>
  <c r="C220" i="190"/>
  <c r="B222" i="182"/>
  <c r="C221" i="182"/>
  <c r="B222" i="181"/>
  <c r="C221" i="181"/>
  <c r="B221" i="157"/>
  <c r="C220" i="157"/>
  <c r="B221" i="156"/>
  <c r="C220" i="156"/>
  <c r="B221" i="155"/>
  <c r="C220" i="155"/>
  <c r="B174" i="137"/>
  <c r="C173" i="137"/>
  <c r="B169" i="133"/>
  <c r="C168" i="133"/>
  <c r="B169" i="131"/>
  <c r="C168" i="131"/>
  <c r="C163" i="88"/>
  <c r="B164" i="88"/>
  <c r="C223" i="205" l="1"/>
  <c r="B224" i="205"/>
  <c r="B223" i="204"/>
  <c r="C222" i="204"/>
  <c r="B223" i="203"/>
  <c r="C222" i="203"/>
  <c r="B223" i="202"/>
  <c r="C222" i="202"/>
  <c r="B223" i="201"/>
  <c r="C222" i="201"/>
  <c r="B223" i="200"/>
  <c r="C222" i="200"/>
  <c r="B223" i="199"/>
  <c r="C222" i="199"/>
  <c r="B223" i="198"/>
  <c r="C222" i="198"/>
  <c r="B223" i="197"/>
  <c r="C222" i="197"/>
  <c r="B224" i="193"/>
  <c r="C223" i="193"/>
  <c r="B222" i="190"/>
  <c r="C221" i="190"/>
  <c r="B223" i="182"/>
  <c r="C222" i="182"/>
  <c r="B223" i="181"/>
  <c r="C222" i="181"/>
  <c r="B222" i="157"/>
  <c r="C221" i="157"/>
  <c r="B222" i="156"/>
  <c r="C221" i="156"/>
  <c r="B222" i="155"/>
  <c r="C221" i="155"/>
  <c r="B175" i="137"/>
  <c r="C174" i="137"/>
  <c r="B170" i="133"/>
  <c r="C169" i="133"/>
  <c r="B170" i="131"/>
  <c r="C169" i="131"/>
  <c r="B165" i="88"/>
  <c r="C164" i="88"/>
  <c r="C224" i="205" l="1"/>
  <c r="B225" i="205"/>
  <c r="B224" i="204"/>
  <c r="C223" i="204"/>
  <c r="B224" i="203"/>
  <c r="C223" i="203"/>
  <c r="B224" i="202"/>
  <c r="C223" i="202"/>
  <c r="B224" i="201"/>
  <c r="C223" i="201"/>
  <c r="B224" i="200"/>
  <c r="C223" i="200"/>
  <c r="B224" i="199"/>
  <c r="C223" i="199"/>
  <c r="B224" i="198"/>
  <c r="C223" i="198"/>
  <c r="B224" i="197"/>
  <c r="C223" i="197"/>
  <c r="B225" i="193"/>
  <c r="C224" i="193"/>
  <c r="B223" i="190"/>
  <c r="C222" i="190"/>
  <c r="B224" i="182"/>
  <c r="C223" i="182"/>
  <c r="B224" i="181"/>
  <c r="C223" i="181"/>
  <c r="B223" i="157"/>
  <c r="C222" i="157"/>
  <c r="B223" i="156"/>
  <c r="C222" i="156"/>
  <c r="B223" i="155"/>
  <c r="C222" i="155"/>
  <c r="B176" i="137"/>
  <c r="C175" i="137"/>
  <c r="B171" i="133"/>
  <c r="C170" i="133"/>
  <c r="B171" i="131"/>
  <c r="C170" i="131"/>
  <c r="C165" i="88"/>
  <c r="B166" i="88"/>
  <c r="C225" i="205" l="1"/>
  <c r="B226" i="205"/>
  <c r="B225" i="204"/>
  <c r="C224" i="204"/>
  <c r="B225" i="203"/>
  <c r="C224" i="203"/>
  <c r="B225" i="202"/>
  <c r="C224" i="202"/>
  <c r="B225" i="201"/>
  <c r="C224" i="201"/>
  <c r="B225" i="200"/>
  <c r="C224" i="200"/>
  <c r="B225" i="199"/>
  <c r="C224" i="199"/>
  <c r="B225" i="198"/>
  <c r="C224" i="198"/>
  <c r="B225" i="197"/>
  <c r="C224" i="197"/>
  <c r="B226" i="193"/>
  <c r="C225" i="193"/>
  <c r="B224" i="190"/>
  <c r="C223" i="190"/>
  <c r="B225" i="182"/>
  <c r="C224" i="182"/>
  <c r="B225" i="181"/>
  <c r="C224" i="181"/>
  <c r="B224" i="157"/>
  <c r="C223" i="157"/>
  <c r="B224" i="156"/>
  <c r="C223" i="156"/>
  <c r="B224" i="155"/>
  <c r="C223" i="155"/>
  <c r="B177" i="137"/>
  <c r="C176" i="137"/>
  <c r="B172" i="133"/>
  <c r="C171" i="133"/>
  <c r="B172" i="131"/>
  <c r="C171" i="131"/>
  <c r="C166" i="88"/>
  <c r="B167" i="88"/>
  <c r="C226" i="205" l="1"/>
  <c r="B227" i="205"/>
  <c r="B226" i="204"/>
  <c r="C225" i="204"/>
  <c r="B226" i="203"/>
  <c r="C225" i="203"/>
  <c r="B226" i="202"/>
  <c r="C225" i="202"/>
  <c r="B226" i="201"/>
  <c r="C225" i="201"/>
  <c r="B226" i="200"/>
  <c r="C225" i="200"/>
  <c r="B226" i="199"/>
  <c r="C225" i="199"/>
  <c r="B226" i="198"/>
  <c r="C225" i="198"/>
  <c r="B226" i="197"/>
  <c r="C225" i="197"/>
  <c r="B227" i="193"/>
  <c r="C226" i="193"/>
  <c r="B225" i="190"/>
  <c r="C224" i="190"/>
  <c r="B226" i="182"/>
  <c r="C225" i="182"/>
  <c r="B226" i="181"/>
  <c r="C225" i="181"/>
  <c r="B225" i="157"/>
  <c r="C224" i="157"/>
  <c r="B225" i="156"/>
  <c r="C224" i="156"/>
  <c r="B225" i="155"/>
  <c r="C224" i="155"/>
  <c r="B178" i="137"/>
  <c r="C177" i="137"/>
  <c r="B173" i="133"/>
  <c r="C172" i="133"/>
  <c r="B173" i="131"/>
  <c r="C172" i="131"/>
  <c r="C167" i="88"/>
  <c r="B168" i="88"/>
  <c r="C227" i="205" l="1"/>
  <c r="B228" i="205"/>
  <c r="B227" i="204"/>
  <c r="C226" i="204"/>
  <c r="B227" i="203"/>
  <c r="C226" i="203"/>
  <c r="B227" i="202"/>
  <c r="C226" i="202"/>
  <c r="B227" i="201"/>
  <c r="C226" i="201"/>
  <c r="B227" i="200"/>
  <c r="C226" i="200"/>
  <c r="B227" i="199"/>
  <c r="C226" i="199"/>
  <c r="B227" i="198"/>
  <c r="C226" i="198"/>
  <c r="B227" i="197"/>
  <c r="C226" i="197"/>
  <c r="B228" i="193"/>
  <c r="C227" i="193"/>
  <c r="B226" i="190"/>
  <c r="C225" i="190"/>
  <c r="B227" i="182"/>
  <c r="C226" i="182"/>
  <c r="B227" i="181"/>
  <c r="C226" i="181"/>
  <c r="B226" i="157"/>
  <c r="C225" i="157"/>
  <c r="B226" i="156"/>
  <c r="C225" i="156"/>
  <c r="B226" i="155"/>
  <c r="C225" i="155"/>
  <c r="B179" i="137"/>
  <c r="C178" i="137"/>
  <c r="B174" i="133"/>
  <c r="C173" i="133"/>
  <c r="B174" i="131"/>
  <c r="C173" i="131"/>
  <c r="C168" i="88"/>
  <c r="B169" i="88"/>
  <c r="C228" i="205" l="1"/>
  <c r="B229" i="205"/>
  <c r="B228" i="204"/>
  <c r="C227" i="204"/>
  <c r="B228" i="203"/>
  <c r="C227" i="203"/>
  <c r="B228" i="202"/>
  <c r="C227" i="202"/>
  <c r="B228" i="201"/>
  <c r="C227" i="201"/>
  <c r="B228" i="200"/>
  <c r="C227" i="200"/>
  <c r="B228" i="199"/>
  <c r="C227" i="199"/>
  <c r="B228" i="198"/>
  <c r="C227" i="198"/>
  <c r="B228" i="197"/>
  <c r="C227" i="197"/>
  <c r="B229" i="193"/>
  <c r="C228" i="193"/>
  <c r="B227" i="190"/>
  <c r="C226" i="190"/>
  <c r="B228" i="182"/>
  <c r="C227" i="182"/>
  <c r="B228" i="181"/>
  <c r="C227" i="181"/>
  <c r="B227" i="157"/>
  <c r="C226" i="157"/>
  <c r="B227" i="156"/>
  <c r="C226" i="156"/>
  <c r="B227" i="155"/>
  <c r="C226" i="155"/>
  <c r="B180" i="137"/>
  <c r="C179" i="137"/>
  <c r="B175" i="133"/>
  <c r="C174" i="133"/>
  <c r="B175" i="131"/>
  <c r="C174" i="131"/>
  <c r="C169" i="88"/>
  <c r="B170" i="88"/>
  <c r="C229" i="205" l="1"/>
  <c r="B230" i="205"/>
  <c r="B229" i="204"/>
  <c r="C228" i="204"/>
  <c r="B229" i="203"/>
  <c r="C228" i="203"/>
  <c r="B229" i="202"/>
  <c r="C228" i="202"/>
  <c r="B229" i="201"/>
  <c r="C228" i="201"/>
  <c r="B229" i="200"/>
  <c r="C228" i="200"/>
  <c r="B229" i="199"/>
  <c r="C228" i="199"/>
  <c r="B229" i="198"/>
  <c r="C228" i="198"/>
  <c r="B229" i="197"/>
  <c r="C228" i="197"/>
  <c r="B230" i="193"/>
  <c r="C229" i="193"/>
  <c r="B228" i="190"/>
  <c r="C227" i="190"/>
  <c r="B229" i="182"/>
  <c r="C228" i="182"/>
  <c r="B229" i="181"/>
  <c r="C228" i="181"/>
  <c r="B228" i="157"/>
  <c r="C227" i="157"/>
  <c r="B228" i="156"/>
  <c r="C227" i="156"/>
  <c r="B228" i="155"/>
  <c r="C227" i="155"/>
  <c r="B181" i="137"/>
  <c r="C180" i="137"/>
  <c r="B176" i="133"/>
  <c r="C175" i="133"/>
  <c r="B176" i="131"/>
  <c r="C175" i="131"/>
  <c r="B171" i="88"/>
  <c r="C170" i="88"/>
  <c r="B231" i="205" l="1"/>
  <c r="C230" i="205"/>
  <c r="B230" i="204"/>
  <c r="C229" i="204"/>
  <c r="B230" i="203"/>
  <c r="C229" i="203"/>
  <c r="B230" i="202"/>
  <c r="C229" i="202"/>
  <c r="B230" i="201"/>
  <c r="C229" i="201"/>
  <c r="B230" i="200"/>
  <c r="C229" i="200"/>
  <c r="B230" i="199"/>
  <c r="C229" i="199"/>
  <c r="B230" i="198"/>
  <c r="C229" i="198"/>
  <c r="B230" i="197"/>
  <c r="C229" i="197"/>
  <c r="B231" i="193"/>
  <c r="C230" i="193"/>
  <c r="B229" i="190"/>
  <c r="C228" i="190"/>
  <c r="B230" i="182"/>
  <c r="C229" i="182"/>
  <c r="B230" i="181"/>
  <c r="C229" i="181"/>
  <c r="B229" i="157"/>
  <c r="C228" i="157"/>
  <c r="B229" i="156"/>
  <c r="C228" i="156"/>
  <c r="B229" i="155"/>
  <c r="C228" i="155"/>
  <c r="B182" i="137"/>
  <c r="C181" i="137"/>
  <c r="B177" i="133"/>
  <c r="C176" i="133"/>
  <c r="B177" i="131"/>
  <c r="C176" i="131"/>
  <c r="B172" i="88"/>
  <c r="C171" i="88"/>
  <c r="C231" i="205" l="1"/>
  <c r="B232" i="205"/>
  <c r="B231" i="204"/>
  <c r="C230" i="204"/>
  <c r="B231" i="203"/>
  <c r="C230" i="203"/>
  <c r="B231" i="202"/>
  <c r="C230" i="202"/>
  <c r="B231" i="201"/>
  <c r="C230" i="201"/>
  <c r="B231" i="200"/>
  <c r="C230" i="200"/>
  <c r="B231" i="199"/>
  <c r="C230" i="199"/>
  <c r="B231" i="198"/>
  <c r="C230" i="198"/>
  <c r="B231" i="197"/>
  <c r="C230" i="197"/>
  <c r="B232" i="193"/>
  <c r="C231" i="193"/>
  <c r="B230" i="190"/>
  <c r="C229" i="190"/>
  <c r="B231" i="182"/>
  <c r="C230" i="182"/>
  <c r="B231" i="181"/>
  <c r="C230" i="181"/>
  <c r="B230" i="157"/>
  <c r="C229" i="157"/>
  <c r="B230" i="156"/>
  <c r="C229" i="156"/>
  <c r="B230" i="155"/>
  <c r="C229" i="155"/>
  <c r="B183" i="137"/>
  <c r="C182" i="137"/>
  <c r="B178" i="133"/>
  <c r="C177" i="133"/>
  <c r="B178" i="131"/>
  <c r="C177" i="131"/>
  <c r="C172" i="88"/>
  <c r="B173" i="88"/>
  <c r="C232" i="205" l="1"/>
  <c r="B233" i="205"/>
  <c r="B232" i="204"/>
  <c r="C231" i="204"/>
  <c r="B232" i="203"/>
  <c r="C231" i="203"/>
  <c r="B232" i="202"/>
  <c r="C231" i="202"/>
  <c r="B232" i="201"/>
  <c r="C231" i="201"/>
  <c r="B232" i="200"/>
  <c r="C231" i="200"/>
  <c r="B232" i="199"/>
  <c r="C231" i="199"/>
  <c r="B232" i="198"/>
  <c r="C231" i="198"/>
  <c r="B232" i="197"/>
  <c r="C231" i="197"/>
  <c r="B233" i="193"/>
  <c r="C232" i="193"/>
  <c r="B231" i="190"/>
  <c r="C230" i="190"/>
  <c r="B232" i="182"/>
  <c r="C231" i="182"/>
  <c r="B232" i="181"/>
  <c r="C231" i="181"/>
  <c r="B231" i="157"/>
  <c r="C230" i="157"/>
  <c r="B231" i="156"/>
  <c r="C230" i="156"/>
  <c r="B231" i="155"/>
  <c r="C230" i="155"/>
  <c r="B184" i="137"/>
  <c r="C183" i="137"/>
  <c r="B179" i="133"/>
  <c r="C178" i="133"/>
  <c r="B179" i="131"/>
  <c r="C178" i="131"/>
  <c r="C173" i="88"/>
  <c r="B174" i="88"/>
  <c r="C233" i="205" l="1"/>
  <c r="B234" i="205"/>
  <c r="B233" i="204"/>
  <c r="C232" i="204"/>
  <c r="B233" i="203"/>
  <c r="C232" i="203"/>
  <c r="B233" i="202"/>
  <c r="C232" i="202"/>
  <c r="B233" i="201"/>
  <c r="C232" i="201"/>
  <c r="B233" i="200"/>
  <c r="C232" i="200"/>
  <c r="B233" i="199"/>
  <c r="C232" i="199"/>
  <c r="B233" i="198"/>
  <c r="C232" i="198"/>
  <c r="B233" i="197"/>
  <c r="C232" i="197"/>
  <c r="B234" i="193"/>
  <c r="C233" i="193"/>
  <c r="B232" i="190"/>
  <c r="C231" i="190"/>
  <c r="B233" i="182"/>
  <c r="C232" i="182"/>
  <c r="B233" i="181"/>
  <c r="C232" i="181"/>
  <c r="B232" i="157"/>
  <c r="C231" i="157"/>
  <c r="B232" i="156"/>
  <c r="C231" i="156"/>
  <c r="B232" i="155"/>
  <c r="C231" i="155"/>
  <c r="B185" i="137"/>
  <c r="C184" i="137"/>
  <c r="B180" i="133"/>
  <c r="C179" i="133"/>
  <c r="B180" i="131"/>
  <c r="C179" i="131"/>
  <c r="C174" i="88"/>
  <c r="B175" i="88"/>
  <c r="C234" i="205" l="1"/>
  <c r="B235" i="205"/>
  <c r="B234" i="204"/>
  <c r="C233" i="204"/>
  <c r="B234" i="203"/>
  <c r="C233" i="203"/>
  <c r="B234" i="202"/>
  <c r="C233" i="202"/>
  <c r="B234" i="201"/>
  <c r="C233" i="201"/>
  <c r="B234" i="200"/>
  <c r="C233" i="200"/>
  <c r="B234" i="199"/>
  <c r="C233" i="199"/>
  <c r="B234" i="198"/>
  <c r="C233" i="198"/>
  <c r="B234" i="197"/>
  <c r="C233" i="197"/>
  <c r="B235" i="193"/>
  <c r="C234" i="193"/>
  <c r="B233" i="190"/>
  <c r="C232" i="190"/>
  <c r="B234" i="182"/>
  <c r="C233" i="182"/>
  <c r="B234" i="181"/>
  <c r="C233" i="181"/>
  <c r="B233" i="157"/>
  <c r="C232" i="157"/>
  <c r="B233" i="156"/>
  <c r="C232" i="156"/>
  <c r="B233" i="155"/>
  <c r="C232" i="155"/>
  <c r="B186" i="137"/>
  <c r="C185" i="137"/>
  <c r="B181" i="133"/>
  <c r="C180" i="133"/>
  <c r="B181" i="131"/>
  <c r="C180" i="131"/>
  <c r="C175" i="88"/>
  <c r="B176" i="88"/>
  <c r="C235" i="205" l="1"/>
  <c r="B236" i="205"/>
  <c r="B235" i="204"/>
  <c r="C234" i="204"/>
  <c r="B235" i="203"/>
  <c r="C234" i="203"/>
  <c r="B235" i="202"/>
  <c r="C234" i="202"/>
  <c r="B235" i="201"/>
  <c r="C234" i="201"/>
  <c r="B235" i="200"/>
  <c r="C234" i="200"/>
  <c r="B235" i="199"/>
  <c r="C234" i="199"/>
  <c r="B235" i="198"/>
  <c r="C234" i="198"/>
  <c r="B235" i="197"/>
  <c r="C234" i="197"/>
  <c r="B236" i="193"/>
  <c r="C235" i="193"/>
  <c r="B234" i="190"/>
  <c r="C233" i="190"/>
  <c r="B235" i="182"/>
  <c r="C234" i="182"/>
  <c r="B235" i="181"/>
  <c r="C234" i="181"/>
  <c r="B234" i="157"/>
  <c r="C233" i="157"/>
  <c r="B234" i="156"/>
  <c r="C233" i="156"/>
  <c r="B234" i="155"/>
  <c r="C233" i="155"/>
  <c r="B187" i="137"/>
  <c r="C186" i="137"/>
  <c r="B182" i="133"/>
  <c r="C181" i="133"/>
  <c r="B182" i="131"/>
  <c r="C181" i="131"/>
  <c r="C176" i="88"/>
  <c r="B177" i="88"/>
  <c r="C236" i="205" l="1"/>
  <c r="B237" i="205"/>
  <c r="B236" i="204"/>
  <c r="C235" i="204"/>
  <c r="B236" i="203"/>
  <c r="C235" i="203"/>
  <c r="B236" i="202"/>
  <c r="C235" i="202"/>
  <c r="B236" i="201"/>
  <c r="C235" i="201"/>
  <c r="B236" i="200"/>
  <c r="C235" i="200"/>
  <c r="B236" i="199"/>
  <c r="C235" i="199"/>
  <c r="B236" i="198"/>
  <c r="C235" i="198"/>
  <c r="B236" i="197"/>
  <c r="C235" i="197"/>
  <c r="B237" i="193"/>
  <c r="C236" i="193"/>
  <c r="B235" i="190"/>
  <c r="C234" i="190"/>
  <c r="B236" i="182"/>
  <c r="C235" i="182"/>
  <c r="B236" i="181"/>
  <c r="C235" i="181"/>
  <c r="B235" i="157"/>
  <c r="C234" i="157"/>
  <c r="B235" i="156"/>
  <c r="C234" i="156"/>
  <c r="B235" i="155"/>
  <c r="C234" i="155"/>
  <c r="B188" i="137"/>
  <c r="C187" i="137"/>
  <c r="B183" i="133"/>
  <c r="C182" i="133"/>
  <c r="B183" i="131"/>
  <c r="C182" i="131"/>
  <c r="C177" i="88"/>
  <c r="B178" i="88"/>
  <c r="C237" i="205" l="1"/>
  <c r="B238" i="205"/>
  <c r="B237" i="204"/>
  <c r="C236" i="204"/>
  <c r="B237" i="203"/>
  <c r="C236" i="203"/>
  <c r="B237" i="202"/>
  <c r="C236" i="202"/>
  <c r="B237" i="201"/>
  <c r="C236" i="201"/>
  <c r="B237" i="200"/>
  <c r="C236" i="200"/>
  <c r="B237" i="199"/>
  <c r="C236" i="199"/>
  <c r="B237" i="198"/>
  <c r="C236" i="198"/>
  <c r="B237" i="197"/>
  <c r="C236" i="197"/>
  <c r="B238" i="193"/>
  <c r="C237" i="193"/>
  <c r="B236" i="190"/>
  <c r="C235" i="190"/>
  <c r="B237" i="182"/>
  <c r="C236" i="182"/>
  <c r="B237" i="181"/>
  <c r="C236" i="181"/>
  <c r="B236" i="157"/>
  <c r="C235" i="157"/>
  <c r="B236" i="156"/>
  <c r="C235" i="156"/>
  <c r="B236" i="155"/>
  <c r="C235" i="155"/>
  <c r="B189" i="137"/>
  <c r="C188" i="137"/>
  <c r="B184" i="133"/>
  <c r="C183" i="133"/>
  <c r="B184" i="131"/>
  <c r="C183" i="131"/>
  <c r="C178" i="88"/>
  <c r="B179" i="88"/>
  <c r="C238" i="205" l="1"/>
  <c r="B239" i="205"/>
  <c r="B238" i="204"/>
  <c r="C237" i="204"/>
  <c r="B238" i="203"/>
  <c r="C237" i="203"/>
  <c r="B238" i="202"/>
  <c r="C237" i="202"/>
  <c r="B238" i="201"/>
  <c r="C237" i="201"/>
  <c r="B238" i="200"/>
  <c r="C237" i="200"/>
  <c r="B238" i="199"/>
  <c r="C237" i="199"/>
  <c r="B238" i="198"/>
  <c r="C237" i="198"/>
  <c r="B238" i="197"/>
  <c r="C237" i="197"/>
  <c r="B239" i="193"/>
  <c r="C238" i="193"/>
  <c r="B237" i="190"/>
  <c r="C236" i="190"/>
  <c r="B238" i="182"/>
  <c r="C237" i="182"/>
  <c r="B238" i="181"/>
  <c r="C237" i="181"/>
  <c r="B237" i="157"/>
  <c r="C236" i="157"/>
  <c r="B237" i="156"/>
  <c r="C236" i="156"/>
  <c r="B237" i="155"/>
  <c r="C236" i="155"/>
  <c r="B190" i="137"/>
  <c r="C189" i="137"/>
  <c r="B185" i="133"/>
  <c r="C184" i="133"/>
  <c r="B185" i="131"/>
  <c r="C184" i="131"/>
  <c r="C179" i="88"/>
  <c r="B180" i="88"/>
  <c r="C239" i="205" l="1"/>
  <c r="B240" i="205"/>
  <c r="B239" i="204"/>
  <c r="C238" i="204"/>
  <c r="B239" i="203"/>
  <c r="C238" i="203"/>
  <c r="B239" i="202"/>
  <c r="C238" i="202"/>
  <c r="B239" i="201"/>
  <c r="C238" i="201"/>
  <c r="B239" i="200"/>
  <c r="C238" i="200"/>
  <c r="B239" i="199"/>
  <c r="C238" i="199"/>
  <c r="B239" i="198"/>
  <c r="C238" i="198"/>
  <c r="B239" i="197"/>
  <c r="C238" i="197"/>
  <c r="B240" i="193"/>
  <c r="C239" i="193"/>
  <c r="B238" i="190"/>
  <c r="C237" i="190"/>
  <c r="B239" i="182"/>
  <c r="C238" i="182"/>
  <c r="B239" i="181"/>
  <c r="C238" i="181"/>
  <c r="B238" i="157"/>
  <c r="C237" i="157"/>
  <c r="B238" i="156"/>
  <c r="C237" i="156"/>
  <c r="B238" i="155"/>
  <c r="C237" i="155"/>
  <c r="B191" i="137"/>
  <c r="C190" i="137"/>
  <c r="B186" i="133"/>
  <c r="C185" i="133"/>
  <c r="B186" i="131"/>
  <c r="C185" i="131"/>
  <c r="C180" i="88"/>
  <c r="B181" i="88"/>
  <c r="C240" i="205" l="1"/>
  <c r="B241" i="205"/>
  <c r="B240" i="204"/>
  <c r="C239" i="204"/>
  <c r="B240" i="203"/>
  <c r="C239" i="203"/>
  <c r="B240" i="202"/>
  <c r="C239" i="202"/>
  <c r="B240" i="201"/>
  <c r="C239" i="201"/>
  <c r="B240" i="200"/>
  <c r="C239" i="200"/>
  <c r="B240" i="199"/>
  <c r="C239" i="199"/>
  <c r="B240" i="198"/>
  <c r="C239" i="198"/>
  <c r="B240" i="197"/>
  <c r="C239" i="197"/>
  <c r="B241" i="193"/>
  <c r="C240" i="193"/>
  <c r="B239" i="190"/>
  <c r="C238" i="190"/>
  <c r="B240" i="182"/>
  <c r="C239" i="182"/>
  <c r="B240" i="181"/>
  <c r="C239" i="181"/>
  <c r="B239" i="157"/>
  <c r="C238" i="157"/>
  <c r="B239" i="156"/>
  <c r="C238" i="156"/>
  <c r="B239" i="155"/>
  <c r="C238" i="155"/>
  <c r="B192" i="137"/>
  <c r="C191" i="137"/>
  <c r="B187" i="133"/>
  <c r="C186" i="133"/>
  <c r="B187" i="131"/>
  <c r="C186" i="131"/>
  <c r="C181" i="88"/>
  <c r="B182" i="88"/>
  <c r="C241" i="205" l="1"/>
  <c r="B242" i="205"/>
  <c r="B241" i="204"/>
  <c r="C240" i="204"/>
  <c r="B241" i="203"/>
  <c r="C240" i="203"/>
  <c r="B241" i="202"/>
  <c r="C240" i="202"/>
  <c r="B241" i="201"/>
  <c r="C240" i="201"/>
  <c r="B241" i="200"/>
  <c r="C240" i="200"/>
  <c r="B241" i="199"/>
  <c r="C240" i="199"/>
  <c r="B241" i="198"/>
  <c r="C240" i="198"/>
  <c r="B241" i="197"/>
  <c r="C240" i="197"/>
  <c r="B242" i="193"/>
  <c r="C241" i="193"/>
  <c r="B240" i="190"/>
  <c r="C239" i="190"/>
  <c r="B241" i="182"/>
  <c r="C240" i="182"/>
  <c r="B241" i="181"/>
  <c r="C240" i="181"/>
  <c r="B240" i="157"/>
  <c r="C239" i="157"/>
  <c r="B240" i="156"/>
  <c r="C239" i="156"/>
  <c r="B240" i="155"/>
  <c r="C239" i="155"/>
  <c r="B193" i="137"/>
  <c r="C192" i="137"/>
  <c r="B188" i="133"/>
  <c r="C187" i="133"/>
  <c r="B188" i="131"/>
  <c r="C187" i="131"/>
  <c r="C182" i="88"/>
  <c r="B183" i="88"/>
  <c r="C242" i="205" l="1"/>
  <c r="B243" i="205"/>
  <c r="B242" i="204"/>
  <c r="C241" i="204"/>
  <c r="B242" i="203"/>
  <c r="C241" i="203"/>
  <c r="B242" i="202"/>
  <c r="C241" i="202"/>
  <c r="B242" i="201"/>
  <c r="C241" i="201"/>
  <c r="B242" i="200"/>
  <c r="C241" i="200"/>
  <c r="B242" i="199"/>
  <c r="C241" i="199"/>
  <c r="B242" i="198"/>
  <c r="C241" i="198"/>
  <c r="B242" i="197"/>
  <c r="C241" i="197"/>
  <c r="B243" i="193"/>
  <c r="C242" i="193"/>
  <c r="B241" i="190"/>
  <c r="C240" i="190"/>
  <c r="B242" i="182"/>
  <c r="C241" i="182"/>
  <c r="B242" i="181"/>
  <c r="C241" i="181"/>
  <c r="B241" i="157"/>
  <c r="C240" i="157"/>
  <c r="B241" i="156"/>
  <c r="C240" i="156"/>
  <c r="B241" i="155"/>
  <c r="C240" i="155"/>
  <c r="B194" i="137"/>
  <c r="C193" i="137"/>
  <c r="B189" i="133"/>
  <c r="C188" i="133"/>
  <c r="B189" i="131"/>
  <c r="C188" i="131"/>
  <c r="B184" i="88"/>
  <c r="C183" i="88"/>
  <c r="B244" i="205" l="1"/>
  <c r="C243" i="205"/>
  <c r="B243" i="204"/>
  <c r="C242" i="204"/>
  <c r="B243" i="203"/>
  <c r="C242" i="203"/>
  <c r="B243" i="202"/>
  <c r="C242" i="202"/>
  <c r="B243" i="201"/>
  <c r="C242" i="201"/>
  <c r="B243" i="200"/>
  <c r="C242" i="200"/>
  <c r="B243" i="199"/>
  <c r="C242" i="199"/>
  <c r="B243" i="198"/>
  <c r="C242" i="198"/>
  <c r="B243" i="197"/>
  <c r="C242" i="197"/>
  <c r="B244" i="193"/>
  <c r="C243" i="193"/>
  <c r="B242" i="190"/>
  <c r="C241" i="190"/>
  <c r="B243" i="182"/>
  <c r="C242" i="182"/>
  <c r="B243" i="181"/>
  <c r="C242" i="181"/>
  <c r="B242" i="157"/>
  <c r="C241" i="157"/>
  <c r="B242" i="156"/>
  <c r="C241" i="156"/>
  <c r="B242" i="155"/>
  <c r="C241" i="155"/>
  <c r="B195" i="137"/>
  <c r="C194" i="137"/>
  <c r="B190" i="133"/>
  <c r="C189" i="133"/>
  <c r="B190" i="131"/>
  <c r="C189" i="131"/>
  <c r="C184" i="88"/>
  <c r="B185" i="88"/>
  <c r="C244" i="205" l="1"/>
  <c r="B245" i="205"/>
  <c r="B244" i="204"/>
  <c r="C243" i="204"/>
  <c r="B244" i="203"/>
  <c r="C243" i="203"/>
  <c r="B244" i="202"/>
  <c r="C243" i="202"/>
  <c r="B244" i="201"/>
  <c r="C243" i="201"/>
  <c r="B244" i="200"/>
  <c r="C243" i="200"/>
  <c r="B244" i="199"/>
  <c r="C243" i="199"/>
  <c r="B244" i="198"/>
  <c r="C243" i="198"/>
  <c r="B244" i="197"/>
  <c r="C243" i="197"/>
  <c r="B245" i="193"/>
  <c r="C244" i="193"/>
  <c r="B243" i="190"/>
  <c r="C242" i="190"/>
  <c r="B244" i="182"/>
  <c r="C243" i="182"/>
  <c r="B244" i="181"/>
  <c r="C243" i="181"/>
  <c r="B243" i="157"/>
  <c r="C242" i="157"/>
  <c r="B243" i="156"/>
  <c r="C242" i="156"/>
  <c r="B243" i="155"/>
  <c r="C242" i="155"/>
  <c r="B196" i="137"/>
  <c r="C195" i="137"/>
  <c r="B191" i="133"/>
  <c r="C190" i="133"/>
  <c r="B191" i="131"/>
  <c r="C190" i="131"/>
  <c r="C185" i="88"/>
  <c r="B186" i="88"/>
  <c r="C245" i="205" l="1"/>
  <c r="B246" i="205"/>
  <c r="B245" i="204"/>
  <c r="C244" i="204"/>
  <c r="B245" i="203"/>
  <c r="C244" i="203"/>
  <c r="B245" i="202"/>
  <c r="C244" i="202"/>
  <c r="B245" i="201"/>
  <c r="C244" i="201"/>
  <c r="B245" i="200"/>
  <c r="C244" i="200"/>
  <c r="B245" i="199"/>
  <c r="C244" i="199"/>
  <c r="B245" i="198"/>
  <c r="C244" i="198"/>
  <c r="B245" i="197"/>
  <c r="C244" i="197"/>
  <c r="B246" i="193"/>
  <c r="C245" i="193"/>
  <c r="B244" i="190"/>
  <c r="C243" i="190"/>
  <c r="B245" i="182"/>
  <c r="C244" i="182"/>
  <c r="B245" i="181"/>
  <c r="C244" i="181"/>
  <c r="B244" i="157"/>
  <c r="C243" i="157"/>
  <c r="B244" i="156"/>
  <c r="C243" i="156"/>
  <c r="B244" i="155"/>
  <c r="C243" i="155"/>
  <c r="B197" i="137"/>
  <c r="C196" i="137"/>
  <c r="B192" i="133"/>
  <c r="C191" i="133"/>
  <c r="B192" i="131"/>
  <c r="C191" i="131"/>
  <c r="B187" i="88"/>
  <c r="C186" i="88"/>
  <c r="C246" i="205" l="1"/>
  <c r="B247" i="205"/>
  <c r="B246" i="204"/>
  <c r="C245" i="204"/>
  <c r="B246" i="203"/>
  <c r="C245" i="203"/>
  <c r="B246" i="202"/>
  <c r="C245" i="202"/>
  <c r="B246" i="201"/>
  <c r="C245" i="201"/>
  <c r="B246" i="200"/>
  <c r="C245" i="200"/>
  <c r="B246" i="199"/>
  <c r="C245" i="199"/>
  <c r="B246" i="198"/>
  <c r="C245" i="198"/>
  <c r="B246" i="197"/>
  <c r="C245" i="197"/>
  <c r="B247" i="193"/>
  <c r="C246" i="193"/>
  <c r="B245" i="190"/>
  <c r="C244" i="190"/>
  <c r="B246" i="182"/>
  <c r="C245" i="182"/>
  <c r="B246" i="181"/>
  <c r="C245" i="181"/>
  <c r="B245" i="157"/>
  <c r="C244" i="157"/>
  <c r="B245" i="156"/>
  <c r="C244" i="156"/>
  <c r="B245" i="155"/>
  <c r="C244" i="155"/>
  <c r="B198" i="137"/>
  <c r="C197" i="137"/>
  <c r="B193" i="133"/>
  <c r="C192" i="133"/>
  <c r="B193" i="131"/>
  <c r="C192" i="131"/>
  <c r="B188" i="88"/>
  <c r="C187" i="88"/>
  <c r="C247" i="205" l="1"/>
  <c r="B248" i="205"/>
  <c r="B247" i="204"/>
  <c r="C246" i="204"/>
  <c r="B247" i="203"/>
  <c r="C246" i="203"/>
  <c r="B247" i="202"/>
  <c r="C246" i="202"/>
  <c r="B247" i="201"/>
  <c r="C246" i="201"/>
  <c r="B247" i="200"/>
  <c r="C246" i="200"/>
  <c r="B247" i="199"/>
  <c r="C246" i="199"/>
  <c r="B247" i="198"/>
  <c r="C246" i="198"/>
  <c r="B247" i="197"/>
  <c r="C246" i="197"/>
  <c r="B248" i="193"/>
  <c r="C247" i="193"/>
  <c r="B246" i="190"/>
  <c r="C245" i="190"/>
  <c r="B247" i="182"/>
  <c r="C246" i="182"/>
  <c r="B247" i="181"/>
  <c r="C246" i="181"/>
  <c r="B246" i="157"/>
  <c r="C245" i="157"/>
  <c r="B246" i="156"/>
  <c r="C245" i="156"/>
  <c r="B246" i="155"/>
  <c r="C245" i="155"/>
  <c r="B199" i="137"/>
  <c r="C198" i="137"/>
  <c r="B194" i="133"/>
  <c r="C193" i="133"/>
  <c r="B194" i="131"/>
  <c r="C193" i="131"/>
  <c r="B189" i="88"/>
  <c r="C188" i="88"/>
  <c r="C248" i="205" l="1"/>
  <c r="B249" i="205"/>
  <c r="B248" i="204"/>
  <c r="C247" i="204"/>
  <c r="B248" i="203"/>
  <c r="C247" i="203"/>
  <c r="B248" i="202"/>
  <c r="C247" i="202"/>
  <c r="B248" i="201"/>
  <c r="C247" i="201"/>
  <c r="B248" i="200"/>
  <c r="C247" i="200"/>
  <c r="B248" i="199"/>
  <c r="C247" i="199"/>
  <c r="B248" i="198"/>
  <c r="C247" i="198"/>
  <c r="B248" i="197"/>
  <c r="C247" i="197"/>
  <c r="B249" i="193"/>
  <c r="C248" i="193"/>
  <c r="B247" i="190"/>
  <c r="C246" i="190"/>
  <c r="B248" i="182"/>
  <c r="C247" i="182"/>
  <c r="B248" i="181"/>
  <c r="C247" i="181"/>
  <c r="B247" i="157"/>
  <c r="C246" i="157"/>
  <c r="B247" i="156"/>
  <c r="C246" i="156"/>
  <c r="B247" i="155"/>
  <c r="C246" i="155"/>
  <c r="B200" i="137"/>
  <c r="C199" i="137"/>
  <c r="B195" i="133"/>
  <c r="C194" i="133"/>
  <c r="B195" i="131"/>
  <c r="C194" i="131"/>
  <c r="C189" i="88"/>
  <c r="B190" i="88"/>
  <c r="C249" i="205" l="1"/>
  <c r="B250" i="205"/>
  <c r="B249" i="204"/>
  <c r="C248" i="204"/>
  <c r="B249" i="203"/>
  <c r="C248" i="203"/>
  <c r="B249" i="202"/>
  <c r="C248" i="202"/>
  <c r="B249" i="201"/>
  <c r="C248" i="201"/>
  <c r="B249" i="200"/>
  <c r="C248" i="200"/>
  <c r="B249" i="199"/>
  <c r="C248" i="199"/>
  <c r="B249" i="198"/>
  <c r="C248" i="198"/>
  <c r="B249" i="197"/>
  <c r="C248" i="197"/>
  <c r="B250" i="193"/>
  <c r="C249" i="193"/>
  <c r="B248" i="190"/>
  <c r="C247" i="190"/>
  <c r="B249" i="182"/>
  <c r="C248" i="182"/>
  <c r="B249" i="181"/>
  <c r="C248" i="181"/>
  <c r="B248" i="157"/>
  <c r="C247" i="157"/>
  <c r="B248" i="156"/>
  <c r="C247" i="156"/>
  <c r="B248" i="155"/>
  <c r="C247" i="155"/>
  <c r="B201" i="137"/>
  <c r="C200" i="137"/>
  <c r="B196" i="133"/>
  <c r="C195" i="133"/>
  <c r="B196" i="131"/>
  <c r="C195" i="131"/>
  <c r="C190" i="88"/>
  <c r="B191" i="88"/>
  <c r="C250" i="205" l="1"/>
  <c r="B251" i="205"/>
  <c r="B250" i="204"/>
  <c r="C249" i="204"/>
  <c r="B250" i="203"/>
  <c r="C249" i="203"/>
  <c r="B250" i="202"/>
  <c r="C249" i="202"/>
  <c r="B250" i="201"/>
  <c r="C249" i="201"/>
  <c r="B250" i="200"/>
  <c r="C249" i="200"/>
  <c r="B250" i="199"/>
  <c r="C249" i="199"/>
  <c r="B250" i="198"/>
  <c r="C249" i="198"/>
  <c r="B250" i="197"/>
  <c r="C249" i="197"/>
  <c r="B251" i="193"/>
  <c r="C250" i="193"/>
  <c r="B249" i="190"/>
  <c r="C248" i="190"/>
  <c r="B250" i="182"/>
  <c r="C249" i="182"/>
  <c r="B250" i="181"/>
  <c r="C249" i="181"/>
  <c r="B249" i="157"/>
  <c r="C248" i="157"/>
  <c r="B249" i="156"/>
  <c r="C248" i="156"/>
  <c r="B249" i="155"/>
  <c r="C248" i="155"/>
  <c r="B202" i="137"/>
  <c r="C201" i="137"/>
  <c r="B197" i="133"/>
  <c r="C196" i="133"/>
  <c r="B197" i="131"/>
  <c r="C196" i="131"/>
  <c r="C191" i="88"/>
  <c r="B192" i="88"/>
  <c r="C251" i="205" l="1"/>
  <c r="B252" i="205"/>
  <c r="B251" i="204"/>
  <c r="C250" i="204"/>
  <c r="B251" i="203"/>
  <c r="C250" i="203"/>
  <c r="B251" i="202"/>
  <c r="C250" i="202"/>
  <c r="B251" i="201"/>
  <c r="C250" i="201"/>
  <c r="B251" i="200"/>
  <c r="C250" i="200"/>
  <c r="B251" i="199"/>
  <c r="C250" i="199"/>
  <c r="B251" i="198"/>
  <c r="C250" i="198"/>
  <c r="B251" i="197"/>
  <c r="C250" i="197"/>
  <c r="B252" i="193"/>
  <c r="C251" i="193"/>
  <c r="B250" i="190"/>
  <c r="C249" i="190"/>
  <c r="B251" i="182"/>
  <c r="C250" i="182"/>
  <c r="B251" i="181"/>
  <c r="C250" i="181"/>
  <c r="B250" i="157"/>
  <c r="C249" i="157"/>
  <c r="B250" i="156"/>
  <c r="C249" i="156"/>
  <c r="B250" i="155"/>
  <c r="C249" i="155"/>
  <c r="B203" i="137"/>
  <c r="C202" i="137"/>
  <c r="B198" i="133"/>
  <c r="C197" i="133"/>
  <c r="B198" i="131"/>
  <c r="C197" i="131"/>
  <c r="C192" i="88"/>
  <c r="B193" i="88"/>
  <c r="C252" i="205" l="1"/>
  <c r="B253" i="205"/>
  <c r="B252" i="204"/>
  <c r="C251" i="204"/>
  <c r="B252" i="203"/>
  <c r="C251" i="203"/>
  <c r="B252" i="202"/>
  <c r="C251" i="202"/>
  <c r="B252" i="201"/>
  <c r="C251" i="201"/>
  <c r="B252" i="200"/>
  <c r="C251" i="200"/>
  <c r="B252" i="199"/>
  <c r="C251" i="199"/>
  <c r="B252" i="198"/>
  <c r="C251" i="198"/>
  <c r="B252" i="197"/>
  <c r="C251" i="197"/>
  <c r="B253" i="193"/>
  <c r="C252" i="193"/>
  <c r="B251" i="190"/>
  <c r="C250" i="190"/>
  <c r="B252" i="182"/>
  <c r="C251" i="182"/>
  <c r="B252" i="181"/>
  <c r="C251" i="181"/>
  <c r="B251" i="157"/>
  <c r="C250" i="157"/>
  <c r="B251" i="156"/>
  <c r="C250" i="156"/>
  <c r="B251" i="155"/>
  <c r="C250" i="155"/>
  <c r="B204" i="137"/>
  <c r="C203" i="137"/>
  <c r="B199" i="133"/>
  <c r="C198" i="133"/>
  <c r="B199" i="131"/>
  <c r="C198" i="131"/>
  <c r="C193" i="88"/>
  <c r="B194" i="88"/>
  <c r="C253" i="205" l="1"/>
  <c r="B254" i="205"/>
  <c r="B253" i="204"/>
  <c r="C252" i="204"/>
  <c r="B253" i="203"/>
  <c r="C252" i="203"/>
  <c r="B253" i="202"/>
  <c r="C252" i="202"/>
  <c r="B253" i="201"/>
  <c r="C252" i="201"/>
  <c r="B253" i="200"/>
  <c r="C252" i="200"/>
  <c r="B253" i="199"/>
  <c r="C252" i="199"/>
  <c r="B253" i="198"/>
  <c r="C252" i="198"/>
  <c r="B253" i="197"/>
  <c r="C252" i="197"/>
  <c r="B254" i="193"/>
  <c r="C253" i="193"/>
  <c r="B252" i="190"/>
  <c r="C251" i="190"/>
  <c r="B253" i="182"/>
  <c r="C252" i="182"/>
  <c r="B253" i="181"/>
  <c r="C252" i="181"/>
  <c r="B252" i="157"/>
  <c r="C251" i="157"/>
  <c r="B252" i="156"/>
  <c r="C251" i="156"/>
  <c r="B252" i="155"/>
  <c r="C251" i="155"/>
  <c r="B205" i="137"/>
  <c r="C204" i="137"/>
  <c r="B200" i="133"/>
  <c r="C199" i="133"/>
  <c r="B200" i="131"/>
  <c r="C199" i="131"/>
  <c r="B195" i="88"/>
  <c r="C194" i="88"/>
  <c r="C254" i="205" l="1"/>
  <c r="B255" i="205"/>
  <c r="B254" i="204"/>
  <c r="C253" i="204"/>
  <c r="B254" i="203"/>
  <c r="C253" i="203"/>
  <c r="B254" i="202"/>
  <c r="C253" i="202"/>
  <c r="B254" i="201"/>
  <c r="C253" i="201"/>
  <c r="B254" i="200"/>
  <c r="C253" i="200"/>
  <c r="B254" i="199"/>
  <c r="C253" i="199"/>
  <c r="B254" i="198"/>
  <c r="C253" i="198"/>
  <c r="B254" i="197"/>
  <c r="C253" i="197"/>
  <c r="B255" i="193"/>
  <c r="C254" i="193"/>
  <c r="B253" i="190"/>
  <c r="C252" i="190"/>
  <c r="B254" i="182"/>
  <c r="C253" i="182"/>
  <c r="B254" i="181"/>
  <c r="C253" i="181"/>
  <c r="B253" i="157"/>
  <c r="C252" i="157"/>
  <c r="B253" i="156"/>
  <c r="C252" i="156"/>
  <c r="B253" i="155"/>
  <c r="C252" i="155"/>
  <c r="B206" i="137"/>
  <c r="C205" i="137"/>
  <c r="B201" i="133"/>
  <c r="C200" i="133"/>
  <c r="B201" i="131"/>
  <c r="C200" i="131"/>
  <c r="C195" i="88"/>
  <c r="B196" i="88"/>
  <c r="C255" i="205" l="1"/>
  <c r="B256" i="205"/>
  <c r="B255" i="204"/>
  <c r="C254" i="204"/>
  <c r="B255" i="203"/>
  <c r="C254" i="203"/>
  <c r="B255" i="202"/>
  <c r="C254" i="202"/>
  <c r="B255" i="201"/>
  <c r="C254" i="201"/>
  <c r="B255" i="200"/>
  <c r="C254" i="200"/>
  <c r="B255" i="199"/>
  <c r="C254" i="199"/>
  <c r="B255" i="198"/>
  <c r="C254" i="198"/>
  <c r="B255" i="197"/>
  <c r="C254" i="197"/>
  <c r="B256" i="193"/>
  <c r="C255" i="193"/>
  <c r="B254" i="190"/>
  <c r="C253" i="190"/>
  <c r="B255" i="182"/>
  <c r="C254" i="182"/>
  <c r="B255" i="181"/>
  <c r="C254" i="181"/>
  <c r="B254" i="157"/>
  <c r="C253" i="157"/>
  <c r="B254" i="156"/>
  <c r="C253" i="156"/>
  <c r="B254" i="155"/>
  <c r="C253" i="155"/>
  <c r="B207" i="137"/>
  <c r="C206" i="137"/>
  <c r="B202" i="133"/>
  <c r="C201" i="133"/>
  <c r="B202" i="131"/>
  <c r="C201" i="131"/>
  <c r="B197" i="88"/>
  <c r="C196" i="88"/>
  <c r="B257" i="205" l="1"/>
  <c r="C256" i="205"/>
  <c r="B256" i="204"/>
  <c r="C255" i="204"/>
  <c r="B256" i="203"/>
  <c r="C255" i="203"/>
  <c r="B256" i="202"/>
  <c r="C255" i="202"/>
  <c r="B256" i="201"/>
  <c r="C255" i="201"/>
  <c r="B256" i="200"/>
  <c r="C255" i="200"/>
  <c r="B256" i="199"/>
  <c r="C255" i="199"/>
  <c r="B256" i="198"/>
  <c r="C255" i="198"/>
  <c r="B256" i="197"/>
  <c r="C255" i="197"/>
  <c r="B257" i="193"/>
  <c r="C256" i="193"/>
  <c r="B255" i="190"/>
  <c r="C254" i="190"/>
  <c r="B256" i="182"/>
  <c r="C255" i="182"/>
  <c r="B256" i="181"/>
  <c r="C255" i="181"/>
  <c r="B255" i="157"/>
  <c r="C254" i="157"/>
  <c r="B255" i="156"/>
  <c r="C254" i="156"/>
  <c r="B255" i="155"/>
  <c r="C254" i="155"/>
  <c r="B208" i="137"/>
  <c r="C207" i="137"/>
  <c r="B203" i="133"/>
  <c r="C202" i="133"/>
  <c r="B203" i="131"/>
  <c r="C202" i="131"/>
  <c r="C197" i="88"/>
  <c r="B198" i="88"/>
  <c r="C257" i="205" l="1"/>
  <c r="B258" i="205"/>
  <c r="B257" i="204"/>
  <c r="C256" i="204"/>
  <c r="B257" i="203"/>
  <c r="C256" i="203"/>
  <c r="B257" i="202"/>
  <c r="C256" i="202"/>
  <c r="B257" i="201"/>
  <c r="C256" i="201"/>
  <c r="B257" i="200"/>
  <c r="C256" i="200"/>
  <c r="B257" i="199"/>
  <c r="C256" i="199"/>
  <c r="B257" i="198"/>
  <c r="C256" i="198"/>
  <c r="B257" i="197"/>
  <c r="C256" i="197"/>
  <c r="B258" i="193"/>
  <c r="C257" i="193"/>
  <c r="B256" i="190"/>
  <c r="C255" i="190"/>
  <c r="B257" i="182"/>
  <c r="C256" i="182"/>
  <c r="B257" i="181"/>
  <c r="C256" i="181"/>
  <c r="B256" i="157"/>
  <c r="C255" i="157"/>
  <c r="B256" i="156"/>
  <c r="C255" i="156"/>
  <c r="B256" i="155"/>
  <c r="C255" i="155"/>
  <c r="B209" i="137"/>
  <c r="C208" i="137"/>
  <c r="B204" i="133"/>
  <c r="C203" i="133"/>
  <c r="B204" i="131"/>
  <c r="C203" i="131"/>
  <c r="C198" i="88"/>
  <c r="B199" i="88"/>
  <c r="C258" i="205" l="1"/>
  <c r="B259" i="205"/>
  <c r="B258" i="204"/>
  <c r="C257" i="204"/>
  <c r="B258" i="203"/>
  <c r="C257" i="203"/>
  <c r="B258" i="202"/>
  <c r="C257" i="202"/>
  <c r="B258" i="201"/>
  <c r="C257" i="201"/>
  <c r="B258" i="200"/>
  <c r="C257" i="200"/>
  <c r="B258" i="199"/>
  <c r="C257" i="199"/>
  <c r="B258" i="198"/>
  <c r="C257" i="198"/>
  <c r="B258" i="197"/>
  <c r="C257" i="197"/>
  <c r="B259" i="193"/>
  <c r="C258" i="193"/>
  <c r="B257" i="190"/>
  <c r="C256" i="190"/>
  <c r="B258" i="182"/>
  <c r="C257" i="182"/>
  <c r="B258" i="181"/>
  <c r="C257" i="181"/>
  <c r="B257" i="157"/>
  <c r="C256" i="157"/>
  <c r="B257" i="156"/>
  <c r="C256" i="156"/>
  <c r="B257" i="155"/>
  <c r="C256" i="155"/>
  <c r="B210" i="137"/>
  <c r="C209" i="137"/>
  <c r="B205" i="133"/>
  <c r="C204" i="133"/>
  <c r="B205" i="131"/>
  <c r="C204" i="131"/>
  <c r="C199" i="88"/>
  <c r="B200" i="88"/>
  <c r="C259" i="205" l="1"/>
  <c r="B260" i="205"/>
  <c r="B259" i="204"/>
  <c r="C258" i="204"/>
  <c r="B259" i="203"/>
  <c r="C258" i="203"/>
  <c r="B259" i="202"/>
  <c r="C258" i="202"/>
  <c r="B259" i="201"/>
  <c r="C258" i="201"/>
  <c r="B259" i="200"/>
  <c r="C258" i="200"/>
  <c r="B259" i="199"/>
  <c r="C258" i="199"/>
  <c r="B259" i="198"/>
  <c r="C258" i="198"/>
  <c r="B259" i="197"/>
  <c r="C258" i="197"/>
  <c r="B260" i="193"/>
  <c r="C259" i="193"/>
  <c r="B258" i="190"/>
  <c r="C257" i="190"/>
  <c r="B259" i="182"/>
  <c r="C258" i="182"/>
  <c r="B259" i="181"/>
  <c r="C258" i="181"/>
  <c r="B258" i="157"/>
  <c r="C257" i="157"/>
  <c r="B258" i="156"/>
  <c r="C257" i="156"/>
  <c r="B258" i="155"/>
  <c r="C257" i="155"/>
  <c r="B211" i="137"/>
  <c r="C210" i="137"/>
  <c r="B206" i="133"/>
  <c r="C205" i="133"/>
  <c r="B206" i="131"/>
  <c r="C205" i="131"/>
  <c r="C200" i="88"/>
  <c r="B201" i="88"/>
  <c r="C260" i="205" l="1"/>
  <c r="B261" i="205"/>
  <c r="B260" i="204"/>
  <c r="C259" i="204"/>
  <c r="B260" i="203"/>
  <c r="C259" i="203"/>
  <c r="B260" i="202"/>
  <c r="C259" i="202"/>
  <c r="B260" i="201"/>
  <c r="C259" i="201"/>
  <c r="B260" i="200"/>
  <c r="C259" i="200"/>
  <c r="B260" i="199"/>
  <c r="C259" i="199"/>
  <c r="B260" i="198"/>
  <c r="C259" i="198"/>
  <c r="B260" i="197"/>
  <c r="C259" i="197"/>
  <c r="B261" i="193"/>
  <c r="C260" i="193"/>
  <c r="B259" i="190"/>
  <c r="C258" i="190"/>
  <c r="B260" i="182"/>
  <c r="C259" i="182"/>
  <c r="B260" i="181"/>
  <c r="C259" i="181"/>
  <c r="B259" i="157"/>
  <c r="C258" i="157"/>
  <c r="B259" i="156"/>
  <c r="C258" i="156"/>
  <c r="B259" i="155"/>
  <c r="C258" i="155"/>
  <c r="B212" i="137"/>
  <c r="C211" i="137"/>
  <c r="B207" i="133"/>
  <c r="C206" i="133"/>
  <c r="B207" i="131"/>
  <c r="C206" i="131"/>
  <c r="C201" i="88"/>
  <c r="B202" i="88"/>
  <c r="C261" i="205" l="1"/>
  <c r="B262" i="205"/>
  <c r="B261" i="204"/>
  <c r="C260" i="204"/>
  <c r="B261" i="203"/>
  <c r="C260" i="203"/>
  <c r="B261" i="202"/>
  <c r="C260" i="202"/>
  <c r="B261" i="201"/>
  <c r="C260" i="201"/>
  <c r="B261" i="200"/>
  <c r="C260" i="200"/>
  <c r="B261" i="199"/>
  <c r="C260" i="199"/>
  <c r="B261" i="198"/>
  <c r="C260" i="198"/>
  <c r="B261" i="197"/>
  <c r="C260" i="197"/>
  <c r="B262" i="193"/>
  <c r="C261" i="193"/>
  <c r="B260" i="190"/>
  <c r="C259" i="190"/>
  <c r="B261" i="182"/>
  <c r="C260" i="182"/>
  <c r="B261" i="181"/>
  <c r="C260" i="181"/>
  <c r="B260" i="157"/>
  <c r="C259" i="157"/>
  <c r="B260" i="156"/>
  <c r="C259" i="156"/>
  <c r="B260" i="155"/>
  <c r="C259" i="155"/>
  <c r="B213" i="137"/>
  <c r="C212" i="137"/>
  <c r="B208" i="133"/>
  <c r="C207" i="133"/>
  <c r="B208" i="131"/>
  <c r="C207" i="131"/>
  <c r="C202" i="88"/>
  <c r="B203" i="88"/>
  <c r="C262" i="205" l="1"/>
  <c r="B263" i="205"/>
  <c r="B262" i="204"/>
  <c r="C261" i="204"/>
  <c r="B262" i="203"/>
  <c r="C261" i="203"/>
  <c r="B262" i="202"/>
  <c r="C261" i="202"/>
  <c r="B262" i="201"/>
  <c r="C261" i="201"/>
  <c r="B262" i="200"/>
  <c r="C261" i="200"/>
  <c r="B262" i="199"/>
  <c r="C261" i="199"/>
  <c r="B262" i="198"/>
  <c r="C261" i="198"/>
  <c r="B262" i="197"/>
  <c r="C261" i="197"/>
  <c r="B263" i="193"/>
  <c r="C262" i="193"/>
  <c r="B261" i="190"/>
  <c r="C260" i="190"/>
  <c r="B262" i="182"/>
  <c r="C261" i="182"/>
  <c r="B262" i="181"/>
  <c r="C261" i="181"/>
  <c r="B261" i="157"/>
  <c r="C260" i="157"/>
  <c r="B261" i="156"/>
  <c r="C260" i="156"/>
  <c r="B261" i="155"/>
  <c r="C260" i="155"/>
  <c r="B214" i="137"/>
  <c r="C213" i="137"/>
  <c r="B209" i="133"/>
  <c r="C208" i="133"/>
  <c r="B209" i="131"/>
  <c r="C208" i="131"/>
  <c r="C203" i="88"/>
  <c r="B204" i="88"/>
  <c r="C263" i="205" l="1"/>
  <c r="B264" i="205"/>
  <c r="B263" i="204"/>
  <c r="C262" i="204"/>
  <c r="B263" i="203"/>
  <c r="C262" i="203"/>
  <c r="B263" i="202"/>
  <c r="C262" i="202"/>
  <c r="B263" i="201"/>
  <c r="C262" i="201"/>
  <c r="B263" i="200"/>
  <c r="C262" i="200"/>
  <c r="B263" i="199"/>
  <c r="C262" i="199"/>
  <c r="B263" i="198"/>
  <c r="C262" i="198"/>
  <c r="B263" i="197"/>
  <c r="C262" i="197"/>
  <c r="B264" i="193"/>
  <c r="C263" i="193"/>
  <c r="B262" i="190"/>
  <c r="C261" i="190"/>
  <c r="B263" i="182"/>
  <c r="C262" i="182"/>
  <c r="B263" i="181"/>
  <c r="C262" i="181"/>
  <c r="B262" i="157"/>
  <c r="C261" i="157"/>
  <c r="B262" i="156"/>
  <c r="C261" i="156"/>
  <c r="B262" i="155"/>
  <c r="C261" i="155"/>
  <c r="B215" i="137"/>
  <c r="C214" i="137"/>
  <c r="B210" i="133"/>
  <c r="C209" i="133"/>
  <c r="B210" i="131"/>
  <c r="C209" i="131"/>
  <c r="C204" i="88"/>
  <c r="B205" i="88"/>
  <c r="C264" i="205" l="1"/>
  <c r="B265" i="205"/>
  <c r="B264" i="204"/>
  <c r="C263" i="204"/>
  <c r="B264" i="203"/>
  <c r="C263" i="203"/>
  <c r="B264" i="202"/>
  <c r="C263" i="202"/>
  <c r="B264" i="201"/>
  <c r="C263" i="201"/>
  <c r="B264" i="200"/>
  <c r="C263" i="200"/>
  <c r="B264" i="199"/>
  <c r="C263" i="199"/>
  <c r="B264" i="198"/>
  <c r="C263" i="198"/>
  <c r="B264" i="197"/>
  <c r="C263" i="197"/>
  <c r="B265" i="193"/>
  <c r="C264" i="193"/>
  <c r="B263" i="190"/>
  <c r="C262" i="190"/>
  <c r="B264" i="182"/>
  <c r="C263" i="182"/>
  <c r="B264" i="181"/>
  <c r="C263" i="181"/>
  <c r="B263" i="157"/>
  <c r="C262" i="157"/>
  <c r="B263" i="156"/>
  <c r="C262" i="156"/>
  <c r="B263" i="155"/>
  <c r="C262" i="155"/>
  <c r="B216" i="137"/>
  <c r="C215" i="137"/>
  <c r="B211" i="133"/>
  <c r="C210" i="133"/>
  <c r="B211" i="131"/>
  <c r="C210" i="131"/>
  <c r="C205" i="88"/>
  <c r="B206" i="88"/>
  <c r="C265" i="205" l="1"/>
  <c r="B266" i="205"/>
  <c r="B265" i="204"/>
  <c r="C264" i="204"/>
  <c r="B265" i="203"/>
  <c r="C264" i="203"/>
  <c r="B265" i="202"/>
  <c r="C264" i="202"/>
  <c r="B265" i="201"/>
  <c r="C264" i="201"/>
  <c r="B265" i="200"/>
  <c r="C264" i="200"/>
  <c r="B265" i="199"/>
  <c r="C264" i="199"/>
  <c r="B265" i="198"/>
  <c r="C264" i="198"/>
  <c r="B265" i="197"/>
  <c r="C264" i="197"/>
  <c r="B266" i="193"/>
  <c r="C265" i="193"/>
  <c r="B264" i="190"/>
  <c r="C263" i="190"/>
  <c r="B265" i="182"/>
  <c r="C264" i="182"/>
  <c r="B265" i="181"/>
  <c r="C264" i="181"/>
  <c r="B264" i="157"/>
  <c r="C263" i="157"/>
  <c r="B264" i="156"/>
  <c r="C263" i="156"/>
  <c r="B264" i="155"/>
  <c r="C263" i="155"/>
  <c r="B217" i="137"/>
  <c r="C216" i="137"/>
  <c r="B212" i="133"/>
  <c r="C211" i="133"/>
  <c r="B212" i="131"/>
  <c r="C211" i="131"/>
  <c r="B207" i="88"/>
  <c r="C206" i="88"/>
  <c r="C266" i="205" l="1"/>
  <c r="B267" i="205"/>
  <c r="B266" i="204"/>
  <c r="C265" i="204"/>
  <c r="B266" i="203"/>
  <c r="C265" i="203"/>
  <c r="B266" i="202"/>
  <c r="C265" i="202"/>
  <c r="B266" i="201"/>
  <c r="C265" i="201"/>
  <c r="B266" i="200"/>
  <c r="C265" i="200"/>
  <c r="B266" i="199"/>
  <c r="C265" i="199"/>
  <c r="B266" i="198"/>
  <c r="C265" i="198"/>
  <c r="B266" i="197"/>
  <c r="C265" i="197"/>
  <c r="B267" i="193"/>
  <c r="C266" i="193"/>
  <c r="B265" i="190"/>
  <c r="C264" i="190"/>
  <c r="B266" i="182"/>
  <c r="C265" i="182"/>
  <c r="B266" i="181"/>
  <c r="C265" i="181"/>
  <c r="B265" i="157"/>
  <c r="C264" i="157"/>
  <c r="B265" i="156"/>
  <c r="C264" i="156"/>
  <c r="B265" i="155"/>
  <c r="C264" i="155"/>
  <c r="B218" i="137"/>
  <c r="C217" i="137"/>
  <c r="B213" i="133"/>
  <c r="C212" i="133"/>
  <c r="B213" i="131"/>
  <c r="C212" i="131"/>
  <c r="C207" i="88"/>
  <c r="B208" i="88"/>
  <c r="C267" i="205" l="1"/>
  <c r="B268" i="205"/>
  <c r="B267" i="204"/>
  <c r="C266" i="204"/>
  <c r="B267" i="203"/>
  <c r="C266" i="203"/>
  <c r="B267" i="202"/>
  <c r="C266" i="202"/>
  <c r="B267" i="201"/>
  <c r="C266" i="201"/>
  <c r="B267" i="200"/>
  <c r="C266" i="200"/>
  <c r="B267" i="199"/>
  <c r="C266" i="199"/>
  <c r="B267" i="198"/>
  <c r="C266" i="198"/>
  <c r="B267" i="197"/>
  <c r="C266" i="197"/>
  <c r="B268" i="193"/>
  <c r="C267" i="193"/>
  <c r="B266" i="190"/>
  <c r="C265" i="190"/>
  <c r="B267" i="182"/>
  <c r="C266" i="182"/>
  <c r="B267" i="181"/>
  <c r="C266" i="181"/>
  <c r="B266" i="157"/>
  <c r="C265" i="157"/>
  <c r="B266" i="156"/>
  <c r="C265" i="156"/>
  <c r="B266" i="155"/>
  <c r="C265" i="155"/>
  <c r="B219" i="137"/>
  <c r="C218" i="137"/>
  <c r="B214" i="133"/>
  <c r="C213" i="133"/>
  <c r="B214" i="131"/>
  <c r="C213" i="131"/>
  <c r="C208" i="88"/>
  <c r="B209" i="88"/>
  <c r="C268" i="205" l="1"/>
  <c r="B269" i="205"/>
  <c r="B268" i="204"/>
  <c r="C267" i="204"/>
  <c r="B268" i="203"/>
  <c r="C267" i="203"/>
  <c r="B268" i="202"/>
  <c r="C267" i="202"/>
  <c r="B268" i="201"/>
  <c r="C267" i="201"/>
  <c r="B268" i="200"/>
  <c r="C267" i="200"/>
  <c r="B268" i="199"/>
  <c r="C267" i="199"/>
  <c r="B268" i="198"/>
  <c r="C267" i="198"/>
  <c r="B268" i="197"/>
  <c r="C267" i="197"/>
  <c r="B269" i="193"/>
  <c r="C268" i="193"/>
  <c r="B267" i="190"/>
  <c r="C266" i="190"/>
  <c r="B268" i="182"/>
  <c r="C267" i="182"/>
  <c r="B268" i="181"/>
  <c r="C267" i="181"/>
  <c r="B267" i="157"/>
  <c r="C266" i="157"/>
  <c r="B267" i="156"/>
  <c r="C266" i="156"/>
  <c r="B267" i="155"/>
  <c r="C266" i="155"/>
  <c r="B220" i="137"/>
  <c r="C219" i="137"/>
  <c r="B215" i="133"/>
  <c r="C214" i="133"/>
  <c r="B215" i="131"/>
  <c r="C214" i="131"/>
  <c r="B210" i="88"/>
  <c r="C209" i="88"/>
  <c r="B270" i="205" l="1"/>
  <c r="C269" i="205"/>
  <c r="B269" i="204"/>
  <c r="C268" i="204"/>
  <c r="B269" i="203"/>
  <c r="C268" i="203"/>
  <c r="B269" i="202"/>
  <c r="C268" i="202"/>
  <c r="B269" i="201"/>
  <c r="C268" i="201"/>
  <c r="B269" i="200"/>
  <c r="C268" i="200"/>
  <c r="B269" i="199"/>
  <c r="C268" i="199"/>
  <c r="B269" i="198"/>
  <c r="C268" i="198"/>
  <c r="B269" i="197"/>
  <c r="C268" i="197"/>
  <c r="B270" i="193"/>
  <c r="C269" i="193"/>
  <c r="B268" i="190"/>
  <c r="C267" i="190"/>
  <c r="B269" i="182"/>
  <c r="C268" i="182"/>
  <c r="B269" i="181"/>
  <c r="C268" i="181"/>
  <c r="B268" i="157"/>
  <c r="C267" i="157"/>
  <c r="B268" i="156"/>
  <c r="C267" i="156"/>
  <c r="B268" i="155"/>
  <c r="C267" i="155"/>
  <c r="B221" i="137"/>
  <c r="C220" i="137"/>
  <c r="B216" i="133"/>
  <c r="C215" i="133"/>
  <c r="B216" i="131"/>
  <c r="C215" i="131"/>
  <c r="C210" i="88"/>
  <c r="B211" i="88"/>
  <c r="C270" i="205" l="1"/>
  <c r="B271" i="205"/>
  <c r="B270" i="204"/>
  <c r="C269" i="204"/>
  <c r="B270" i="203"/>
  <c r="C269" i="203"/>
  <c r="B270" i="202"/>
  <c r="C269" i="202"/>
  <c r="B270" i="201"/>
  <c r="C269" i="201"/>
  <c r="B270" i="200"/>
  <c r="C269" i="200"/>
  <c r="B270" i="199"/>
  <c r="C269" i="199"/>
  <c r="B270" i="198"/>
  <c r="C269" i="198"/>
  <c r="B270" i="197"/>
  <c r="C269" i="197"/>
  <c r="B271" i="193"/>
  <c r="C270" i="193"/>
  <c r="B269" i="190"/>
  <c r="C268" i="190"/>
  <c r="B270" i="182"/>
  <c r="C269" i="182"/>
  <c r="B270" i="181"/>
  <c r="C269" i="181"/>
  <c r="B269" i="157"/>
  <c r="C268" i="157"/>
  <c r="B269" i="156"/>
  <c r="C268" i="156"/>
  <c r="B269" i="155"/>
  <c r="C268" i="155"/>
  <c r="B222" i="137"/>
  <c r="C221" i="137"/>
  <c r="B217" i="133"/>
  <c r="C216" i="133"/>
  <c r="B217" i="131"/>
  <c r="C216" i="131"/>
  <c r="C211" i="88"/>
  <c r="B212" i="88"/>
  <c r="C271" i="205" l="1"/>
  <c r="B272" i="205"/>
  <c r="B271" i="204"/>
  <c r="C270" i="204"/>
  <c r="B271" i="203"/>
  <c r="C270" i="203"/>
  <c r="B271" i="202"/>
  <c r="C270" i="202"/>
  <c r="B271" i="201"/>
  <c r="C270" i="201"/>
  <c r="B271" i="200"/>
  <c r="C270" i="200"/>
  <c r="B271" i="199"/>
  <c r="C270" i="199"/>
  <c r="B271" i="198"/>
  <c r="C270" i="198"/>
  <c r="B271" i="197"/>
  <c r="C270" i="197"/>
  <c r="B272" i="193"/>
  <c r="C271" i="193"/>
  <c r="B270" i="190"/>
  <c r="C269" i="190"/>
  <c r="B271" i="182"/>
  <c r="C270" i="182"/>
  <c r="B271" i="181"/>
  <c r="C270" i="181"/>
  <c r="B270" i="157"/>
  <c r="C269" i="157"/>
  <c r="B270" i="156"/>
  <c r="C269" i="156"/>
  <c r="B270" i="155"/>
  <c r="C269" i="155"/>
  <c r="B223" i="137"/>
  <c r="C222" i="137"/>
  <c r="B218" i="133"/>
  <c r="C217" i="133"/>
  <c r="B218" i="131"/>
  <c r="C217" i="131"/>
  <c r="B213" i="88"/>
  <c r="C212" i="88"/>
  <c r="C272" i="205" l="1"/>
  <c r="B273" i="205"/>
  <c r="B272" i="204"/>
  <c r="C271" i="204"/>
  <c r="B272" i="203"/>
  <c r="C271" i="203"/>
  <c r="B272" i="202"/>
  <c r="C271" i="202"/>
  <c r="B272" i="201"/>
  <c r="C271" i="201"/>
  <c r="B272" i="200"/>
  <c r="C271" i="200"/>
  <c r="B272" i="199"/>
  <c r="C271" i="199"/>
  <c r="B272" i="198"/>
  <c r="C271" i="198"/>
  <c r="B272" i="197"/>
  <c r="C271" i="197"/>
  <c r="B273" i="193"/>
  <c r="C272" i="193"/>
  <c r="B271" i="190"/>
  <c r="C270" i="190"/>
  <c r="B272" i="182"/>
  <c r="C271" i="182"/>
  <c r="B272" i="181"/>
  <c r="C271" i="181"/>
  <c r="B271" i="157"/>
  <c r="C270" i="157"/>
  <c r="B271" i="156"/>
  <c r="C270" i="156"/>
  <c r="B271" i="155"/>
  <c r="C270" i="155"/>
  <c r="B224" i="137"/>
  <c r="C223" i="137"/>
  <c r="B219" i="133"/>
  <c r="C218" i="133"/>
  <c r="B219" i="131"/>
  <c r="C218" i="131"/>
  <c r="C213" i="88"/>
  <c r="B214" i="88"/>
  <c r="C273" i="205" l="1"/>
  <c r="B274" i="205"/>
  <c r="B273" i="204"/>
  <c r="C272" i="204"/>
  <c r="B273" i="203"/>
  <c r="C272" i="203"/>
  <c r="B273" i="202"/>
  <c r="C272" i="202"/>
  <c r="B273" i="201"/>
  <c r="C272" i="201"/>
  <c r="B273" i="200"/>
  <c r="C272" i="200"/>
  <c r="B273" i="199"/>
  <c r="C272" i="199"/>
  <c r="B273" i="198"/>
  <c r="C272" i="198"/>
  <c r="B273" i="197"/>
  <c r="C272" i="197"/>
  <c r="B274" i="193"/>
  <c r="C273" i="193"/>
  <c r="B272" i="190"/>
  <c r="C271" i="190"/>
  <c r="B273" i="182"/>
  <c r="C272" i="182"/>
  <c r="B273" i="181"/>
  <c r="C272" i="181"/>
  <c r="B272" i="157"/>
  <c r="C271" i="157"/>
  <c r="B272" i="156"/>
  <c r="C271" i="156"/>
  <c r="B272" i="155"/>
  <c r="C271" i="155"/>
  <c r="B225" i="137"/>
  <c r="C224" i="137"/>
  <c r="B220" i="133"/>
  <c r="C219" i="133"/>
  <c r="B220" i="131"/>
  <c r="C219" i="131"/>
  <c r="C214" i="88"/>
  <c r="B215" i="88"/>
  <c r="C274" i="205" l="1"/>
  <c r="B275" i="205"/>
  <c r="B274" i="204"/>
  <c r="C273" i="204"/>
  <c r="B274" i="203"/>
  <c r="C273" i="203"/>
  <c r="B274" i="202"/>
  <c r="C273" i="202"/>
  <c r="B274" i="201"/>
  <c r="C273" i="201"/>
  <c r="B274" i="200"/>
  <c r="C273" i="200"/>
  <c r="B274" i="199"/>
  <c r="C273" i="199"/>
  <c r="B274" i="198"/>
  <c r="C273" i="198"/>
  <c r="B274" i="197"/>
  <c r="C273" i="197"/>
  <c r="B275" i="193"/>
  <c r="C274" i="193"/>
  <c r="B273" i="190"/>
  <c r="C272" i="190"/>
  <c r="B274" i="182"/>
  <c r="C273" i="182"/>
  <c r="B274" i="181"/>
  <c r="C273" i="181"/>
  <c r="B273" i="157"/>
  <c r="C272" i="157"/>
  <c r="B273" i="156"/>
  <c r="C272" i="156"/>
  <c r="B273" i="155"/>
  <c r="C272" i="155"/>
  <c r="B226" i="137"/>
  <c r="C225" i="137"/>
  <c r="B221" i="133"/>
  <c r="C220" i="133"/>
  <c r="B221" i="131"/>
  <c r="C220" i="131"/>
  <c r="C215" i="88"/>
  <c r="B216" i="88"/>
  <c r="C275" i="205" l="1"/>
  <c r="B276" i="205"/>
  <c r="B275" i="204"/>
  <c r="C274" i="204"/>
  <c r="B275" i="203"/>
  <c r="C274" i="203"/>
  <c r="B275" i="202"/>
  <c r="C274" i="202"/>
  <c r="B275" i="201"/>
  <c r="C274" i="201"/>
  <c r="B275" i="200"/>
  <c r="C274" i="200"/>
  <c r="B275" i="199"/>
  <c r="C274" i="199"/>
  <c r="B275" i="198"/>
  <c r="C274" i="198"/>
  <c r="B275" i="197"/>
  <c r="C274" i="197"/>
  <c r="B276" i="193"/>
  <c r="C275" i="193"/>
  <c r="B274" i="190"/>
  <c r="C273" i="190"/>
  <c r="B275" i="182"/>
  <c r="C274" i="182"/>
  <c r="B275" i="181"/>
  <c r="C274" i="181"/>
  <c r="B274" i="157"/>
  <c r="C273" i="157"/>
  <c r="B274" i="156"/>
  <c r="C273" i="156"/>
  <c r="B274" i="155"/>
  <c r="C273" i="155"/>
  <c r="B227" i="137"/>
  <c r="C226" i="137"/>
  <c r="B222" i="133"/>
  <c r="C221" i="133"/>
  <c r="B222" i="131"/>
  <c r="C221" i="131"/>
  <c r="C216" i="88"/>
  <c r="B217" i="88"/>
  <c r="C276" i="205" l="1"/>
  <c r="B277" i="205"/>
  <c r="B276" i="204"/>
  <c r="C275" i="204"/>
  <c r="B276" i="203"/>
  <c r="C275" i="203"/>
  <c r="B276" i="202"/>
  <c r="C275" i="202"/>
  <c r="B276" i="201"/>
  <c r="C275" i="201"/>
  <c r="B276" i="200"/>
  <c r="C275" i="200"/>
  <c r="B276" i="199"/>
  <c r="C275" i="199"/>
  <c r="B276" i="198"/>
  <c r="C275" i="198"/>
  <c r="B276" i="197"/>
  <c r="C275" i="197"/>
  <c r="B277" i="193"/>
  <c r="C276" i="193"/>
  <c r="B275" i="190"/>
  <c r="C274" i="190"/>
  <c r="B276" i="182"/>
  <c r="C275" i="182"/>
  <c r="B276" i="181"/>
  <c r="C275" i="181"/>
  <c r="B275" i="157"/>
  <c r="C274" i="157"/>
  <c r="B275" i="156"/>
  <c r="C274" i="156"/>
  <c r="B275" i="155"/>
  <c r="C274" i="155"/>
  <c r="B228" i="137"/>
  <c r="C227" i="137"/>
  <c r="B223" i="133"/>
  <c r="C222" i="133"/>
  <c r="B223" i="131"/>
  <c r="C222" i="131"/>
  <c r="B218" i="88"/>
  <c r="C217" i="88"/>
  <c r="C277" i="205" l="1"/>
  <c r="B278" i="205"/>
  <c r="B277" i="204"/>
  <c r="C276" i="204"/>
  <c r="B277" i="203"/>
  <c r="C276" i="203"/>
  <c r="B277" i="202"/>
  <c r="C276" i="202"/>
  <c r="B277" i="201"/>
  <c r="C276" i="201"/>
  <c r="B277" i="200"/>
  <c r="C276" i="200"/>
  <c r="B277" i="199"/>
  <c r="C276" i="199"/>
  <c r="B277" i="198"/>
  <c r="C276" i="198"/>
  <c r="B277" i="197"/>
  <c r="C276" i="197"/>
  <c r="B278" i="193"/>
  <c r="C277" i="193"/>
  <c r="B276" i="190"/>
  <c r="C275" i="190"/>
  <c r="B277" i="182"/>
  <c r="C276" i="182"/>
  <c r="B277" i="181"/>
  <c r="C276" i="181"/>
  <c r="B276" i="157"/>
  <c r="C275" i="157"/>
  <c r="B276" i="156"/>
  <c r="C275" i="156"/>
  <c r="B276" i="155"/>
  <c r="C275" i="155"/>
  <c r="B229" i="137"/>
  <c r="C228" i="137"/>
  <c r="B224" i="133"/>
  <c r="C223" i="133"/>
  <c r="B224" i="131"/>
  <c r="C223" i="131"/>
  <c r="B219" i="88"/>
  <c r="C218" i="88"/>
  <c r="C278" i="205" l="1"/>
  <c r="B279" i="205"/>
  <c r="B278" i="204"/>
  <c r="C277" i="204"/>
  <c r="B278" i="203"/>
  <c r="C277" i="203"/>
  <c r="B278" i="202"/>
  <c r="C277" i="202"/>
  <c r="B278" i="201"/>
  <c r="C277" i="201"/>
  <c r="B278" i="200"/>
  <c r="C277" i="200"/>
  <c r="B278" i="199"/>
  <c r="C277" i="199"/>
  <c r="B278" i="198"/>
  <c r="C277" i="198"/>
  <c r="B278" i="197"/>
  <c r="C277" i="197"/>
  <c r="B279" i="193"/>
  <c r="C278" i="193"/>
  <c r="B277" i="190"/>
  <c r="C276" i="190"/>
  <c r="B278" i="182"/>
  <c r="C277" i="182"/>
  <c r="B278" i="181"/>
  <c r="C277" i="181"/>
  <c r="B277" i="157"/>
  <c r="C276" i="157"/>
  <c r="B277" i="156"/>
  <c r="C276" i="156"/>
  <c r="B277" i="155"/>
  <c r="C276" i="155"/>
  <c r="B230" i="137"/>
  <c r="C229" i="137"/>
  <c r="B225" i="133"/>
  <c r="C224" i="133"/>
  <c r="B225" i="131"/>
  <c r="C224" i="131"/>
  <c r="B220" i="88"/>
  <c r="C219" i="88"/>
  <c r="C279" i="205" l="1"/>
  <c r="B280" i="205"/>
  <c r="B279" i="204"/>
  <c r="C278" i="204"/>
  <c r="B279" i="203"/>
  <c r="C278" i="203"/>
  <c r="B279" i="202"/>
  <c r="C278" i="202"/>
  <c r="B279" i="201"/>
  <c r="C278" i="201"/>
  <c r="B279" i="200"/>
  <c r="C278" i="200"/>
  <c r="B279" i="199"/>
  <c r="C278" i="199"/>
  <c r="B279" i="198"/>
  <c r="C278" i="198"/>
  <c r="B279" i="197"/>
  <c r="C278" i="197"/>
  <c r="B280" i="193"/>
  <c r="C279" i="193"/>
  <c r="B278" i="190"/>
  <c r="C277" i="190"/>
  <c r="B279" i="182"/>
  <c r="C278" i="182"/>
  <c r="B279" i="181"/>
  <c r="C278" i="181"/>
  <c r="B278" i="157"/>
  <c r="C277" i="157"/>
  <c r="B278" i="156"/>
  <c r="C277" i="156"/>
  <c r="B278" i="155"/>
  <c r="C277" i="155"/>
  <c r="B231" i="137"/>
  <c r="C230" i="137"/>
  <c r="B226" i="133"/>
  <c r="C225" i="133"/>
  <c r="B226" i="131"/>
  <c r="C225" i="131"/>
  <c r="C220" i="88"/>
  <c r="B221" i="88"/>
  <c r="C280" i="205" l="1"/>
  <c r="B281" i="205"/>
  <c r="B280" i="204"/>
  <c r="C279" i="204"/>
  <c r="B280" i="203"/>
  <c r="C279" i="203"/>
  <c r="B280" i="202"/>
  <c r="C279" i="202"/>
  <c r="B280" i="201"/>
  <c r="C279" i="201"/>
  <c r="B280" i="200"/>
  <c r="C279" i="200"/>
  <c r="B280" i="199"/>
  <c r="C279" i="199"/>
  <c r="B280" i="198"/>
  <c r="C279" i="198"/>
  <c r="B280" i="197"/>
  <c r="C279" i="197"/>
  <c r="B281" i="193"/>
  <c r="C280" i="193"/>
  <c r="B279" i="190"/>
  <c r="C278" i="190"/>
  <c r="B280" i="182"/>
  <c r="C279" i="182"/>
  <c r="B280" i="181"/>
  <c r="C279" i="181"/>
  <c r="B279" i="157"/>
  <c r="C278" i="157"/>
  <c r="B279" i="156"/>
  <c r="C278" i="156"/>
  <c r="B279" i="155"/>
  <c r="C278" i="155"/>
  <c r="B232" i="137"/>
  <c r="C231" i="137"/>
  <c r="B227" i="133"/>
  <c r="C226" i="133"/>
  <c r="B227" i="131"/>
  <c r="C226" i="131"/>
  <c r="B222" i="88"/>
  <c r="C221" i="88"/>
  <c r="C281" i="205" l="1"/>
  <c r="B282" i="205"/>
  <c r="B281" i="204"/>
  <c r="C280" i="204"/>
  <c r="B281" i="203"/>
  <c r="C280" i="203"/>
  <c r="B281" i="202"/>
  <c r="C280" i="202"/>
  <c r="B281" i="201"/>
  <c r="C280" i="201"/>
  <c r="B281" i="200"/>
  <c r="C280" i="200"/>
  <c r="B281" i="199"/>
  <c r="C280" i="199"/>
  <c r="B281" i="198"/>
  <c r="C280" i="198"/>
  <c r="B281" i="197"/>
  <c r="C280" i="197"/>
  <c r="B282" i="193"/>
  <c r="C281" i="193"/>
  <c r="B280" i="190"/>
  <c r="C279" i="190"/>
  <c r="B281" i="182"/>
  <c r="C280" i="182"/>
  <c r="B281" i="181"/>
  <c r="C280" i="181"/>
  <c r="B280" i="157"/>
  <c r="C279" i="157"/>
  <c r="B280" i="156"/>
  <c r="C279" i="156"/>
  <c r="B280" i="155"/>
  <c r="C279" i="155"/>
  <c r="B233" i="137"/>
  <c r="C232" i="137"/>
  <c r="B228" i="133"/>
  <c r="C227" i="133"/>
  <c r="B228" i="131"/>
  <c r="C227" i="131"/>
  <c r="B223" i="88"/>
  <c r="C222" i="88"/>
  <c r="B283" i="205" l="1"/>
  <c r="C282" i="205"/>
  <c r="B282" i="204"/>
  <c r="C281" i="204"/>
  <c r="B282" i="203"/>
  <c r="C281" i="203"/>
  <c r="B282" i="202"/>
  <c r="C281" i="202"/>
  <c r="B282" i="201"/>
  <c r="C281" i="201"/>
  <c r="B282" i="200"/>
  <c r="C281" i="200"/>
  <c r="B282" i="199"/>
  <c r="C281" i="199"/>
  <c r="B282" i="198"/>
  <c r="C281" i="198"/>
  <c r="B282" i="197"/>
  <c r="C281" i="197"/>
  <c r="B283" i="193"/>
  <c r="C282" i="193"/>
  <c r="B281" i="190"/>
  <c r="C280" i="190"/>
  <c r="B282" i="182"/>
  <c r="C281" i="182"/>
  <c r="B282" i="181"/>
  <c r="C281" i="181"/>
  <c r="B281" i="157"/>
  <c r="C280" i="157"/>
  <c r="B281" i="156"/>
  <c r="C280" i="156"/>
  <c r="B281" i="155"/>
  <c r="C280" i="155"/>
  <c r="B234" i="137"/>
  <c r="C233" i="137"/>
  <c r="B229" i="133"/>
  <c r="C228" i="133"/>
  <c r="B229" i="131"/>
  <c r="C228" i="131"/>
  <c r="C223" i="88"/>
  <c r="B224" i="88"/>
  <c r="C283" i="205" l="1"/>
  <c r="B284" i="205"/>
  <c r="B283" i="204"/>
  <c r="C282" i="204"/>
  <c r="B283" i="203"/>
  <c r="C282" i="203"/>
  <c r="B283" i="202"/>
  <c r="C282" i="202"/>
  <c r="B283" i="201"/>
  <c r="C282" i="201"/>
  <c r="B283" i="200"/>
  <c r="C282" i="200"/>
  <c r="B283" i="199"/>
  <c r="C282" i="199"/>
  <c r="B283" i="198"/>
  <c r="C282" i="198"/>
  <c r="B283" i="197"/>
  <c r="C282" i="197"/>
  <c r="B284" i="193"/>
  <c r="C283" i="193"/>
  <c r="B282" i="190"/>
  <c r="C281" i="190"/>
  <c r="B283" i="182"/>
  <c r="C282" i="182"/>
  <c r="B283" i="181"/>
  <c r="C282" i="181"/>
  <c r="B282" i="157"/>
  <c r="C281" i="157"/>
  <c r="B282" i="156"/>
  <c r="C281" i="156"/>
  <c r="B282" i="155"/>
  <c r="C281" i="155"/>
  <c r="B235" i="137"/>
  <c r="C234" i="137"/>
  <c r="B230" i="133"/>
  <c r="C229" i="133"/>
  <c r="B230" i="131"/>
  <c r="C229" i="131"/>
  <c r="C224" i="88"/>
  <c r="B225" i="88"/>
  <c r="C284" i="205" l="1"/>
  <c r="B285" i="205"/>
  <c r="B284" i="204"/>
  <c r="C283" i="204"/>
  <c r="B284" i="203"/>
  <c r="C283" i="203"/>
  <c r="B284" i="202"/>
  <c r="C283" i="202"/>
  <c r="B284" i="201"/>
  <c r="C283" i="201"/>
  <c r="B284" i="200"/>
  <c r="C283" i="200"/>
  <c r="B284" i="199"/>
  <c r="C283" i="199"/>
  <c r="B284" i="198"/>
  <c r="C283" i="198"/>
  <c r="B284" i="197"/>
  <c r="C283" i="197"/>
  <c r="B285" i="193"/>
  <c r="C284" i="193"/>
  <c r="B283" i="190"/>
  <c r="C282" i="190"/>
  <c r="B284" i="182"/>
  <c r="C283" i="182"/>
  <c r="B284" i="181"/>
  <c r="C283" i="181"/>
  <c r="B283" i="157"/>
  <c r="C282" i="157"/>
  <c r="B283" i="156"/>
  <c r="C282" i="156"/>
  <c r="B283" i="155"/>
  <c r="C282" i="155"/>
  <c r="B236" i="137"/>
  <c r="C235" i="137"/>
  <c r="B231" i="133"/>
  <c r="C230" i="133"/>
  <c r="B231" i="131"/>
  <c r="C230" i="131"/>
  <c r="B226" i="88"/>
  <c r="C225" i="88"/>
  <c r="C285" i="205" l="1"/>
  <c r="B286" i="205"/>
  <c r="B285" i="204"/>
  <c r="C284" i="204"/>
  <c r="B285" i="203"/>
  <c r="C284" i="203"/>
  <c r="B285" i="202"/>
  <c r="C284" i="202"/>
  <c r="B285" i="201"/>
  <c r="C284" i="201"/>
  <c r="B285" i="200"/>
  <c r="C284" i="200"/>
  <c r="B285" i="199"/>
  <c r="C284" i="199"/>
  <c r="B285" i="198"/>
  <c r="C284" i="198"/>
  <c r="B285" i="197"/>
  <c r="C284" i="197"/>
  <c r="B286" i="193"/>
  <c r="C285" i="193"/>
  <c r="B284" i="190"/>
  <c r="C283" i="190"/>
  <c r="B285" i="182"/>
  <c r="C284" i="182"/>
  <c r="B285" i="181"/>
  <c r="C284" i="181"/>
  <c r="B284" i="157"/>
  <c r="C283" i="157"/>
  <c r="B284" i="156"/>
  <c r="C283" i="156"/>
  <c r="B284" i="155"/>
  <c r="C283" i="155"/>
  <c r="B237" i="137"/>
  <c r="C236" i="137"/>
  <c r="B232" i="133"/>
  <c r="C231" i="133"/>
  <c r="B232" i="131"/>
  <c r="C231" i="131"/>
  <c r="B227" i="88"/>
  <c r="C226" i="88"/>
  <c r="C286" i="205" l="1"/>
  <c r="B287" i="205"/>
  <c r="B286" i="204"/>
  <c r="C285" i="204"/>
  <c r="B286" i="203"/>
  <c r="C285" i="203"/>
  <c r="B286" i="202"/>
  <c r="C285" i="202"/>
  <c r="B286" i="201"/>
  <c r="C285" i="201"/>
  <c r="B286" i="200"/>
  <c r="C285" i="200"/>
  <c r="B286" i="199"/>
  <c r="C285" i="199"/>
  <c r="B286" i="198"/>
  <c r="C285" i="198"/>
  <c r="B286" i="197"/>
  <c r="C285" i="197"/>
  <c r="B287" i="193"/>
  <c r="C286" i="193"/>
  <c r="B285" i="190"/>
  <c r="C284" i="190"/>
  <c r="B286" i="182"/>
  <c r="C285" i="182"/>
  <c r="B286" i="181"/>
  <c r="C285" i="181"/>
  <c r="B285" i="157"/>
  <c r="C284" i="157"/>
  <c r="B285" i="156"/>
  <c r="C284" i="156"/>
  <c r="B285" i="155"/>
  <c r="C284" i="155"/>
  <c r="B238" i="137"/>
  <c r="C237" i="137"/>
  <c r="B233" i="133"/>
  <c r="C232" i="133"/>
  <c r="B233" i="131"/>
  <c r="C232" i="131"/>
  <c r="C227" i="88"/>
  <c r="B228" i="88"/>
  <c r="C287" i="205" l="1"/>
  <c r="B288" i="205"/>
  <c r="B287" i="204"/>
  <c r="C286" i="204"/>
  <c r="B287" i="203"/>
  <c r="C286" i="203"/>
  <c r="B287" i="202"/>
  <c r="C286" i="202"/>
  <c r="B287" i="201"/>
  <c r="C286" i="201"/>
  <c r="B287" i="200"/>
  <c r="C286" i="200"/>
  <c r="B287" i="199"/>
  <c r="C286" i="199"/>
  <c r="B287" i="198"/>
  <c r="C286" i="198"/>
  <c r="B287" i="197"/>
  <c r="C286" i="197"/>
  <c r="B288" i="193"/>
  <c r="C287" i="193"/>
  <c r="B286" i="190"/>
  <c r="C285" i="190"/>
  <c r="B287" i="182"/>
  <c r="C286" i="182"/>
  <c r="B287" i="181"/>
  <c r="C286" i="181"/>
  <c r="B286" i="157"/>
  <c r="C285" i="157"/>
  <c r="B286" i="156"/>
  <c r="C285" i="156"/>
  <c r="B286" i="155"/>
  <c r="C285" i="155"/>
  <c r="B239" i="137"/>
  <c r="C238" i="137"/>
  <c r="B234" i="133"/>
  <c r="C233" i="133"/>
  <c r="B234" i="131"/>
  <c r="C233" i="131"/>
  <c r="C228" i="88"/>
  <c r="B229" i="88"/>
  <c r="C288" i="205" l="1"/>
  <c r="B289" i="205"/>
  <c r="B288" i="204"/>
  <c r="C287" i="204"/>
  <c r="B288" i="203"/>
  <c r="C287" i="203"/>
  <c r="B288" i="202"/>
  <c r="C287" i="202"/>
  <c r="B288" i="201"/>
  <c r="C287" i="201"/>
  <c r="B288" i="200"/>
  <c r="C287" i="200"/>
  <c r="B288" i="199"/>
  <c r="C287" i="199"/>
  <c r="B288" i="198"/>
  <c r="C287" i="198"/>
  <c r="B288" i="197"/>
  <c r="C287" i="197"/>
  <c r="B289" i="193"/>
  <c r="C288" i="193"/>
  <c r="B287" i="190"/>
  <c r="C286" i="190"/>
  <c r="B288" i="182"/>
  <c r="C287" i="182"/>
  <c r="B288" i="181"/>
  <c r="C287" i="181"/>
  <c r="B287" i="157"/>
  <c r="C286" i="157"/>
  <c r="B287" i="156"/>
  <c r="C286" i="156"/>
  <c r="B287" i="155"/>
  <c r="C286" i="155"/>
  <c r="B240" i="137"/>
  <c r="C239" i="137"/>
  <c r="B235" i="133"/>
  <c r="C234" i="133"/>
  <c r="B235" i="131"/>
  <c r="C234" i="131"/>
  <c r="C229" i="88"/>
  <c r="B230" i="88"/>
  <c r="C289" i="205" l="1"/>
  <c r="B290" i="205"/>
  <c r="B289" i="204"/>
  <c r="C288" i="204"/>
  <c r="B289" i="203"/>
  <c r="C288" i="203"/>
  <c r="B289" i="202"/>
  <c r="C288" i="202"/>
  <c r="B289" i="201"/>
  <c r="C288" i="201"/>
  <c r="B289" i="200"/>
  <c r="C288" i="200"/>
  <c r="B289" i="199"/>
  <c r="C288" i="199"/>
  <c r="B289" i="198"/>
  <c r="C288" i="198"/>
  <c r="B289" i="197"/>
  <c r="C288" i="197"/>
  <c r="B290" i="193"/>
  <c r="C289" i="193"/>
  <c r="B288" i="190"/>
  <c r="C287" i="190"/>
  <c r="B289" i="182"/>
  <c r="C288" i="182"/>
  <c r="B289" i="181"/>
  <c r="C288" i="181"/>
  <c r="B288" i="157"/>
  <c r="C287" i="157"/>
  <c r="B288" i="156"/>
  <c r="C287" i="156"/>
  <c r="B288" i="155"/>
  <c r="C287" i="155"/>
  <c r="B241" i="137"/>
  <c r="C240" i="137"/>
  <c r="B236" i="133"/>
  <c r="C235" i="133"/>
  <c r="B236" i="131"/>
  <c r="C235" i="131"/>
  <c r="B231" i="88"/>
  <c r="C230" i="88"/>
  <c r="C290" i="205" l="1"/>
  <c r="B291" i="205"/>
  <c r="B290" i="204"/>
  <c r="C289" i="204"/>
  <c r="B290" i="203"/>
  <c r="C289" i="203"/>
  <c r="B290" i="202"/>
  <c r="C289" i="202"/>
  <c r="B290" i="201"/>
  <c r="C289" i="201"/>
  <c r="B290" i="200"/>
  <c r="C289" i="200"/>
  <c r="B290" i="199"/>
  <c r="C289" i="199"/>
  <c r="B290" i="198"/>
  <c r="C289" i="198"/>
  <c r="B290" i="197"/>
  <c r="C289" i="197"/>
  <c r="B291" i="193"/>
  <c r="C290" i="193"/>
  <c r="B289" i="190"/>
  <c r="C288" i="190"/>
  <c r="B290" i="182"/>
  <c r="C289" i="182"/>
  <c r="B290" i="181"/>
  <c r="C289" i="181"/>
  <c r="B289" i="157"/>
  <c r="C288" i="157"/>
  <c r="B289" i="156"/>
  <c r="C288" i="156"/>
  <c r="B289" i="155"/>
  <c r="C288" i="155"/>
  <c r="B242" i="137"/>
  <c r="C241" i="137"/>
  <c r="B237" i="133"/>
  <c r="C236" i="133"/>
  <c r="B237" i="131"/>
  <c r="C236" i="131"/>
  <c r="C231" i="88"/>
  <c r="B232" i="88"/>
  <c r="C291" i="205" l="1"/>
  <c r="B292" i="205"/>
  <c r="B291" i="204"/>
  <c r="C290" i="204"/>
  <c r="B291" i="203"/>
  <c r="C290" i="203"/>
  <c r="B291" i="202"/>
  <c r="C290" i="202"/>
  <c r="B291" i="201"/>
  <c r="C290" i="201"/>
  <c r="B291" i="200"/>
  <c r="C290" i="200"/>
  <c r="B291" i="199"/>
  <c r="C290" i="199"/>
  <c r="B291" i="198"/>
  <c r="C290" i="198"/>
  <c r="B291" i="197"/>
  <c r="C290" i="197"/>
  <c r="B292" i="193"/>
  <c r="C291" i="193"/>
  <c r="B290" i="190"/>
  <c r="C289" i="190"/>
  <c r="B291" i="182"/>
  <c r="C290" i="182"/>
  <c r="B291" i="181"/>
  <c r="C290" i="181"/>
  <c r="B290" i="157"/>
  <c r="C289" i="157"/>
  <c r="B290" i="156"/>
  <c r="C289" i="156"/>
  <c r="B290" i="155"/>
  <c r="C289" i="155"/>
  <c r="B243" i="137"/>
  <c r="C242" i="137"/>
  <c r="B238" i="133"/>
  <c r="C237" i="133"/>
  <c r="B238" i="131"/>
  <c r="C237" i="131"/>
  <c r="B233" i="88"/>
  <c r="C232" i="88"/>
  <c r="C292" i="205" l="1"/>
  <c r="B293" i="205"/>
  <c r="B292" i="204"/>
  <c r="C291" i="204"/>
  <c r="B292" i="203"/>
  <c r="C291" i="203"/>
  <c r="B292" i="202"/>
  <c r="C291" i="202"/>
  <c r="B292" i="201"/>
  <c r="C291" i="201"/>
  <c r="B292" i="200"/>
  <c r="C291" i="200"/>
  <c r="B292" i="199"/>
  <c r="C291" i="199"/>
  <c r="B292" i="198"/>
  <c r="C291" i="198"/>
  <c r="B292" i="197"/>
  <c r="C291" i="197"/>
  <c r="B293" i="193"/>
  <c r="C292" i="193"/>
  <c r="B291" i="190"/>
  <c r="C290" i="190"/>
  <c r="B292" i="182"/>
  <c r="C291" i="182"/>
  <c r="B292" i="181"/>
  <c r="C291" i="181"/>
  <c r="B291" i="157"/>
  <c r="C290" i="157"/>
  <c r="B291" i="156"/>
  <c r="C290" i="156"/>
  <c r="B291" i="155"/>
  <c r="C290" i="155"/>
  <c r="B244" i="137"/>
  <c r="C243" i="137"/>
  <c r="B239" i="133"/>
  <c r="C238" i="133"/>
  <c r="B239" i="131"/>
  <c r="C238" i="131"/>
  <c r="B234" i="88"/>
  <c r="C233" i="88"/>
  <c r="C293" i="205" l="1"/>
  <c r="B294" i="205"/>
  <c r="B293" i="204"/>
  <c r="C292" i="204"/>
  <c r="B293" i="203"/>
  <c r="C292" i="203"/>
  <c r="B293" i="202"/>
  <c r="C292" i="202"/>
  <c r="B293" i="201"/>
  <c r="C292" i="201"/>
  <c r="B293" i="200"/>
  <c r="C292" i="200"/>
  <c r="B293" i="199"/>
  <c r="C292" i="199"/>
  <c r="B293" i="198"/>
  <c r="C292" i="198"/>
  <c r="B293" i="197"/>
  <c r="C292" i="197"/>
  <c r="B294" i="193"/>
  <c r="C293" i="193"/>
  <c r="B292" i="190"/>
  <c r="C291" i="190"/>
  <c r="B293" i="182"/>
  <c r="C292" i="182"/>
  <c r="B293" i="181"/>
  <c r="C292" i="181"/>
  <c r="B292" i="157"/>
  <c r="C291" i="157"/>
  <c r="B292" i="156"/>
  <c r="C291" i="156"/>
  <c r="B292" i="155"/>
  <c r="C291" i="155"/>
  <c r="B245" i="137"/>
  <c r="C244" i="137"/>
  <c r="B240" i="133"/>
  <c r="C239" i="133"/>
  <c r="B240" i="131"/>
  <c r="C239" i="131"/>
  <c r="C234" i="88"/>
  <c r="B235" i="88"/>
  <c r="C294" i="205" l="1"/>
  <c r="B295" i="205"/>
  <c r="B294" i="204"/>
  <c r="C293" i="204"/>
  <c r="B294" i="203"/>
  <c r="C293" i="203"/>
  <c r="B294" i="202"/>
  <c r="C293" i="202"/>
  <c r="B294" i="201"/>
  <c r="C293" i="201"/>
  <c r="B294" i="200"/>
  <c r="C293" i="200"/>
  <c r="B294" i="199"/>
  <c r="C293" i="199"/>
  <c r="B294" i="198"/>
  <c r="C293" i="198"/>
  <c r="B294" i="197"/>
  <c r="C293" i="197"/>
  <c r="B295" i="193"/>
  <c r="C294" i="193"/>
  <c r="B293" i="190"/>
  <c r="C292" i="190"/>
  <c r="B294" i="182"/>
  <c r="C293" i="182"/>
  <c r="B294" i="181"/>
  <c r="C293" i="181"/>
  <c r="B293" i="157"/>
  <c r="C292" i="157"/>
  <c r="B293" i="156"/>
  <c r="C292" i="156"/>
  <c r="B293" i="155"/>
  <c r="C292" i="155"/>
  <c r="B246" i="137"/>
  <c r="C245" i="137"/>
  <c r="B241" i="133"/>
  <c r="C240" i="133"/>
  <c r="B241" i="131"/>
  <c r="C240" i="131"/>
  <c r="C235" i="88"/>
  <c r="B236" i="88"/>
  <c r="C295" i="205" l="1"/>
  <c r="B296" i="205"/>
  <c r="B295" i="204"/>
  <c r="C294" i="204"/>
  <c r="B295" i="203"/>
  <c r="C294" i="203"/>
  <c r="B295" i="202"/>
  <c r="C294" i="202"/>
  <c r="B295" i="201"/>
  <c r="C294" i="201"/>
  <c r="B295" i="200"/>
  <c r="C294" i="200"/>
  <c r="B295" i="199"/>
  <c r="C294" i="199"/>
  <c r="B295" i="198"/>
  <c r="C294" i="198"/>
  <c r="B295" i="197"/>
  <c r="C294" i="197"/>
  <c r="B296" i="193"/>
  <c r="C295" i="193"/>
  <c r="B294" i="190"/>
  <c r="C293" i="190"/>
  <c r="B295" i="182"/>
  <c r="C294" i="182"/>
  <c r="B295" i="181"/>
  <c r="C294" i="181"/>
  <c r="B294" i="157"/>
  <c r="C293" i="157"/>
  <c r="B294" i="156"/>
  <c r="C293" i="156"/>
  <c r="B294" i="155"/>
  <c r="C293" i="155"/>
  <c r="B247" i="137"/>
  <c r="C246" i="137"/>
  <c r="B242" i="133"/>
  <c r="C241" i="133"/>
  <c r="B242" i="131"/>
  <c r="C241" i="131"/>
  <c r="B237" i="88"/>
  <c r="C236" i="88"/>
  <c r="C296" i="205" l="1"/>
  <c r="B297" i="205"/>
  <c r="B296" i="204"/>
  <c r="C295" i="204"/>
  <c r="B296" i="203"/>
  <c r="C295" i="203"/>
  <c r="B296" i="202"/>
  <c r="C295" i="202"/>
  <c r="B296" i="201"/>
  <c r="C295" i="201"/>
  <c r="B296" i="200"/>
  <c r="C295" i="200"/>
  <c r="B296" i="199"/>
  <c r="C295" i="199"/>
  <c r="B296" i="198"/>
  <c r="C295" i="198"/>
  <c r="B296" i="197"/>
  <c r="C295" i="197"/>
  <c r="B297" i="193"/>
  <c r="C296" i="193"/>
  <c r="B295" i="190"/>
  <c r="C294" i="190"/>
  <c r="B296" i="182"/>
  <c r="C295" i="182"/>
  <c r="B296" i="181"/>
  <c r="C295" i="181"/>
  <c r="B295" i="157"/>
  <c r="C294" i="157"/>
  <c r="B295" i="156"/>
  <c r="C294" i="156"/>
  <c r="B295" i="155"/>
  <c r="C294" i="155"/>
  <c r="B248" i="137"/>
  <c r="C247" i="137"/>
  <c r="B243" i="133"/>
  <c r="C242" i="133"/>
  <c r="B243" i="131"/>
  <c r="C242" i="131"/>
  <c r="C237" i="88"/>
  <c r="B238" i="88"/>
  <c r="C297" i="205" l="1"/>
  <c r="B298" i="205"/>
  <c r="B297" i="204"/>
  <c r="C296" i="204"/>
  <c r="B297" i="203"/>
  <c r="C296" i="203"/>
  <c r="B297" i="202"/>
  <c r="C296" i="202"/>
  <c r="B297" i="201"/>
  <c r="C296" i="201"/>
  <c r="B297" i="200"/>
  <c r="C296" i="200"/>
  <c r="B297" i="199"/>
  <c r="C296" i="199"/>
  <c r="B297" i="198"/>
  <c r="C296" i="198"/>
  <c r="B297" i="197"/>
  <c r="C296" i="197"/>
  <c r="B298" i="193"/>
  <c r="C297" i="193"/>
  <c r="B296" i="190"/>
  <c r="C295" i="190"/>
  <c r="B297" i="182"/>
  <c r="C296" i="182"/>
  <c r="B297" i="181"/>
  <c r="C296" i="181"/>
  <c r="B296" i="157"/>
  <c r="C295" i="157"/>
  <c r="B296" i="156"/>
  <c r="C295" i="156"/>
  <c r="B296" i="155"/>
  <c r="C295" i="155"/>
  <c r="B249" i="137"/>
  <c r="C248" i="137"/>
  <c r="B244" i="133"/>
  <c r="C243" i="133"/>
  <c r="B244" i="131"/>
  <c r="C243" i="131"/>
  <c r="C238" i="88"/>
  <c r="B239" i="88"/>
  <c r="C298" i="205" l="1"/>
  <c r="B299" i="205"/>
  <c r="B298" i="204"/>
  <c r="C297" i="204"/>
  <c r="B298" i="203"/>
  <c r="C297" i="203"/>
  <c r="B298" i="202"/>
  <c r="C297" i="202"/>
  <c r="B298" i="201"/>
  <c r="C297" i="201"/>
  <c r="B298" i="200"/>
  <c r="C297" i="200"/>
  <c r="B298" i="199"/>
  <c r="C297" i="199"/>
  <c r="B298" i="198"/>
  <c r="C297" i="198"/>
  <c r="B298" i="197"/>
  <c r="C297" i="197"/>
  <c r="B299" i="193"/>
  <c r="C298" i="193"/>
  <c r="B297" i="190"/>
  <c r="C296" i="190"/>
  <c r="B298" i="182"/>
  <c r="C297" i="182"/>
  <c r="B298" i="181"/>
  <c r="C297" i="181"/>
  <c r="B297" i="157"/>
  <c r="C296" i="157"/>
  <c r="B297" i="156"/>
  <c r="C296" i="156"/>
  <c r="B297" i="155"/>
  <c r="C296" i="155"/>
  <c r="B250" i="137"/>
  <c r="C249" i="137"/>
  <c r="B245" i="133"/>
  <c r="C244" i="133"/>
  <c r="B245" i="131"/>
  <c r="C244" i="131"/>
  <c r="C239" i="88"/>
  <c r="B240" i="88"/>
  <c r="C299" i="205" l="1"/>
  <c r="B300" i="205"/>
  <c r="B299" i="204"/>
  <c r="C298" i="204"/>
  <c r="B299" i="203"/>
  <c r="C298" i="203"/>
  <c r="B299" i="202"/>
  <c r="C298" i="202"/>
  <c r="B299" i="201"/>
  <c r="C298" i="201"/>
  <c r="B299" i="200"/>
  <c r="C298" i="200"/>
  <c r="B299" i="199"/>
  <c r="C298" i="199"/>
  <c r="B299" i="198"/>
  <c r="C298" i="198"/>
  <c r="B299" i="197"/>
  <c r="C298" i="197"/>
  <c r="B300" i="193"/>
  <c r="C299" i="193"/>
  <c r="B298" i="190"/>
  <c r="C297" i="190"/>
  <c r="B299" i="182"/>
  <c r="C298" i="182"/>
  <c r="B299" i="181"/>
  <c r="C298" i="181"/>
  <c r="B298" i="157"/>
  <c r="C297" i="157"/>
  <c r="B298" i="156"/>
  <c r="C297" i="156"/>
  <c r="B298" i="155"/>
  <c r="C297" i="155"/>
  <c r="B251" i="137"/>
  <c r="C250" i="137"/>
  <c r="B246" i="133"/>
  <c r="C245" i="133"/>
  <c r="B246" i="131"/>
  <c r="C245" i="131"/>
  <c r="C240" i="88"/>
  <c r="B241" i="88"/>
  <c r="C300" i="205" l="1"/>
  <c r="B301" i="205"/>
  <c r="B300" i="204"/>
  <c r="C299" i="204"/>
  <c r="B300" i="203"/>
  <c r="C299" i="203"/>
  <c r="B300" i="202"/>
  <c r="C299" i="202"/>
  <c r="B300" i="201"/>
  <c r="C299" i="201"/>
  <c r="B300" i="200"/>
  <c r="C299" i="200"/>
  <c r="B300" i="199"/>
  <c r="C299" i="199"/>
  <c r="B300" i="198"/>
  <c r="C299" i="198"/>
  <c r="B300" i="197"/>
  <c r="C299" i="197"/>
  <c r="B301" i="193"/>
  <c r="C300" i="193"/>
  <c r="B299" i="190"/>
  <c r="C298" i="190"/>
  <c r="B300" i="182"/>
  <c r="C299" i="182"/>
  <c r="B300" i="181"/>
  <c r="C299" i="181"/>
  <c r="B299" i="157"/>
  <c r="C298" i="157"/>
  <c r="B299" i="156"/>
  <c r="C298" i="156"/>
  <c r="B299" i="155"/>
  <c r="C298" i="155"/>
  <c r="B252" i="137"/>
  <c r="C251" i="137"/>
  <c r="B247" i="133"/>
  <c r="C246" i="133"/>
  <c r="B247" i="131"/>
  <c r="C246" i="131"/>
  <c r="B242" i="88"/>
  <c r="C241" i="88"/>
  <c r="C301" i="205" l="1"/>
  <c r="B302" i="205"/>
  <c r="B301" i="204"/>
  <c r="C300" i="204"/>
  <c r="B301" i="203"/>
  <c r="C300" i="203"/>
  <c r="B301" i="202"/>
  <c r="C300" i="202"/>
  <c r="B301" i="201"/>
  <c r="C300" i="201"/>
  <c r="B301" i="200"/>
  <c r="C300" i="200"/>
  <c r="B301" i="199"/>
  <c r="C300" i="199"/>
  <c r="B301" i="198"/>
  <c r="C300" i="198"/>
  <c r="B301" i="197"/>
  <c r="C300" i="197"/>
  <c r="B302" i="193"/>
  <c r="C301" i="193"/>
  <c r="B300" i="190"/>
  <c r="C299" i="190"/>
  <c r="B301" i="182"/>
  <c r="C300" i="182"/>
  <c r="B301" i="181"/>
  <c r="C300" i="181"/>
  <c r="B300" i="157"/>
  <c r="C299" i="157"/>
  <c r="B300" i="156"/>
  <c r="C299" i="156"/>
  <c r="B300" i="155"/>
  <c r="C299" i="155"/>
  <c r="B253" i="137"/>
  <c r="C252" i="137"/>
  <c r="B248" i="133"/>
  <c r="C247" i="133"/>
  <c r="B248" i="131"/>
  <c r="C247" i="131"/>
  <c r="B243" i="88"/>
  <c r="C242" i="88"/>
  <c r="B303" i="205" l="1"/>
  <c r="C302" i="205"/>
  <c r="B302" i="204"/>
  <c r="C301" i="204"/>
  <c r="B302" i="203"/>
  <c r="C301" i="203"/>
  <c r="B302" i="202"/>
  <c r="C301" i="202"/>
  <c r="B302" i="201"/>
  <c r="C301" i="201"/>
  <c r="B302" i="200"/>
  <c r="C301" i="200"/>
  <c r="B302" i="199"/>
  <c r="C301" i="199"/>
  <c r="B302" i="198"/>
  <c r="C301" i="198"/>
  <c r="B302" i="197"/>
  <c r="C301" i="197"/>
  <c r="B303" i="193"/>
  <c r="C302" i="193"/>
  <c r="B301" i="190"/>
  <c r="C300" i="190"/>
  <c r="B302" i="182"/>
  <c r="C301" i="182"/>
  <c r="B302" i="181"/>
  <c r="C301" i="181"/>
  <c r="B301" i="157"/>
  <c r="C300" i="157"/>
  <c r="B301" i="156"/>
  <c r="C300" i="156"/>
  <c r="B301" i="155"/>
  <c r="C300" i="155"/>
  <c r="B254" i="137"/>
  <c r="C253" i="137"/>
  <c r="B249" i="133"/>
  <c r="C248" i="133"/>
  <c r="B249" i="131"/>
  <c r="C248" i="131"/>
  <c r="C243" i="88"/>
  <c r="B244" i="88"/>
  <c r="C303" i="205" l="1"/>
  <c r="B304" i="205"/>
  <c r="B303" i="204"/>
  <c r="C302" i="204"/>
  <c r="B303" i="203"/>
  <c r="C302" i="203"/>
  <c r="B303" i="202"/>
  <c r="C302" i="202"/>
  <c r="B303" i="201"/>
  <c r="C302" i="201"/>
  <c r="B303" i="200"/>
  <c r="C302" i="200"/>
  <c r="B303" i="199"/>
  <c r="C302" i="199"/>
  <c r="B303" i="198"/>
  <c r="C302" i="198"/>
  <c r="B303" i="197"/>
  <c r="C302" i="197"/>
  <c r="B304" i="193"/>
  <c r="C303" i="193"/>
  <c r="B302" i="190"/>
  <c r="C301" i="190"/>
  <c r="B303" i="182"/>
  <c r="C302" i="182"/>
  <c r="B303" i="181"/>
  <c r="C302" i="181"/>
  <c r="B302" i="157"/>
  <c r="C301" i="157"/>
  <c r="B302" i="156"/>
  <c r="C301" i="156"/>
  <c r="B302" i="155"/>
  <c r="C301" i="155"/>
  <c r="B255" i="137"/>
  <c r="C254" i="137"/>
  <c r="B250" i="133"/>
  <c r="C249" i="133"/>
  <c r="B250" i="131"/>
  <c r="C249" i="131"/>
  <c r="C244" i="88"/>
  <c r="B245" i="88"/>
  <c r="C304" i="205" l="1"/>
  <c r="B305" i="205"/>
  <c r="B304" i="204"/>
  <c r="C303" i="204"/>
  <c r="B304" i="203"/>
  <c r="C303" i="203"/>
  <c r="B304" i="202"/>
  <c r="C303" i="202"/>
  <c r="B304" i="201"/>
  <c r="C303" i="201"/>
  <c r="B304" i="200"/>
  <c r="C303" i="200"/>
  <c r="B304" i="199"/>
  <c r="C303" i="199"/>
  <c r="B304" i="198"/>
  <c r="C303" i="198"/>
  <c r="B304" i="197"/>
  <c r="C303" i="197"/>
  <c r="B305" i="193"/>
  <c r="C304" i="193"/>
  <c r="B303" i="190"/>
  <c r="C302" i="190"/>
  <c r="B304" i="182"/>
  <c r="C303" i="182"/>
  <c r="B304" i="181"/>
  <c r="C303" i="181"/>
  <c r="B303" i="157"/>
  <c r="C302" i="157"/>
  <c r="B303" i="156"/>
  <c r="C302" i="156"/>
  <c r="B303" i="155"/>
  <c r="C302" i="155"/>
  <c r="B256" i="137"/>
  <c r="C255" i="137"/>
  <c r="B251" i="133"/>
  <c r="C250" i="133"/>
  <c r="B251" i="131"/>
  <c r="C250" i="131"/>
  <c r="C245" i="88"/>
  <c r="B246" i="88"/>
  <c r="C305" i="205" l="1"/>
  <c r="B306" i="205"/>
  <c r="B305" i="204"/>
  <c r="C304" i="204"/>
  <c r="B305" i="203"/>
  <c r="C304" i="203"/>
  <c r="B305" i="202"/>
  <c r="C304" i="202"/>
  <c r="B305" i="201"/>
  <c r="C304" i="201"/>
  <c r="B305" i="200"/>
  <c r="C304" i="200"/>
  <c r="B305" i="199"/>
  <c r="C304" i="199"/>
  <c r="B305" i="198"/>
  <c r="C304" i="198"/>
  <c r="B305" i="197"/>
  <c r="C304" i="197"/>
  <c r="B306" i="193"/>
  <c r="C305" i="193"/>
  <c r="B304" i="190"/>
  <c r="C303" i="190"/>
  <c r="B305" i="182"/>
  <c r="C304" i="182"/>
  <c r="B305" i="181"/>
  <c r="C304" i="181"/>
  <c r="B304" i="157"/>
  <c r="C303" i="157"/>
  <c r="B304" i="156"/>
  <c r="C303" i="156"/>
  <c r="B304" i="155"/>
  <c r="C303" i="155"/>
  <c r="B257" i="137"/>
  <c r="C256" i="137"/>
  <c r="B252" i="133"/>
  <c r="C251" i="133"/>
  <c r="B252" i="131"/>
  <c r="C251" i="131"/>
  <c r="C246" i="88"/>
  <c r="B247" i="88"/>
  <c r="C306" i="205" l="1"/>
  <c r="B307" i="205"/>
  <c r="B306" i="204"/>
  <c r="C305" i="204"/>
  <c r="B306" i="203"/>
  <c r="C305" i="203"/>
  <c r="B306" i="202"/>
  <c r="C305" i="202"/>
  <c r="B306" i="201"/>
  <c r="C305" i="201"/>
  <c r="B306" i="200"/>
  <c r="C305" i="200"/>
  <c r="B306" i="199"/>
  <c r="C305" i="199"/>
  <c r="B306" i="198"/>
  <c r="C305" i="198"/>
  <c r="B306" i="197"/>
  <c r="C305" i="197"/>
  <c r="B307" i="193"/>
  <c r="C306" i="193"/>
  <c r="B305" i="190"/>
  <c r="C304" i="190"/>
  <c r="B306" i="182"/>
  <c r="C305" i="182"/>
  <c r="B306" i="181"/>
  <c r="C305" i="181"/>
  <c r="B305" i="157"/>
  <c r="C304" i="157"/>
  <c r="B305" i="156"/>
  <c r="C304" i="156"/>
  <c r="B305" i="155"/>
  <c r="C304" i="155"/>
  <c r="B258" i="137"/>
  <c r="C257" i="137"/>
  <c r="B253" i="133"/>
  <c r="C252" i="133"/>
  <c r="B253" i="131"/>
  <c r="C252" i="131"/>
  <c r="C247" i="88"/>
  <c r="B248" i="88"/>
  <c r="C307" i="205" l="1"/>
  <c r="B308" i="205"/>
  <c r="B307" i="204"/>
  <c r="C306" i="204"/>
  <c r="B307" i="203"/>
  <c r="C306" i="203"/>
  <c r="B307" i="202"/>
  <c r="C306" i="202"/>
  <c r="B307" i="201"/>
  <c r="C306" i="201"/>
  <c r="B307" i="200"/>
  <c r="C306" i="200"/>
  <c r="B307" i="199"/>
  <c r="C306" i="199"/>
  <c r="B307" i="198"/>
  <c r="C306" i="198"/>
  <c r="B307" i="197"/>
  <c r="C306" i="197"/>
  <c r="B308" i="193"/>
  <c r="C307" i="193"/>
  <c r="B306" i="190"/>
  <c r="C305" i="190"/>
  <c r="B307" i="182"/>
  <c r="C306" i="182"/>
  <c r="B307" i="181"/>
  <c r="C306" i="181"/>
  <c r="B306" i="157"/>
  <c r="C305" i="157"/>
  <c r="B306" i="156"/>
  <c r="C305" i="156"/>
  <c r="B306" i="155"/>
  <c r="C305" i="155"/>
  <c r="B259" i="137"/>
  <c r="C258" i="137"/>
  <c r="B254" i="133"/>
  <c r="C253" i="133"/>
  <c r="B254" i="131"/>
  <c r="C253" i="131"/>
  <c r="B249" i="88"/>
  <c r="C248" i="88"/>
  <c r="C308" i="205" l="1"/>
  <c r="B309" i="205"/>
  <c r="B308" i="204"/>
  <c r="C307" i="204"/>
  <c r="B308" i="203"/>
  <c r="C307" i="203"/>
  <c r="B308" i="202"/>
  <c r="C307" i="202"/>
  <c r="B308" i="201"/>
  <c r="C307" i="201"/>
  <c r="B308" i="200"/>
  <c r="C307" i="200"/>
  <c r="B308" i="199"/>
  <c r="C307" i="199"/>
  <c r="B308" i="198"/>
  <c r="C307" i="198"/>
  <c r="B308" i="197"/>
  <c r="C307" i="197"/>
  <c r="B309" i="193"/>
  <c r="C308" i="193"/>
  <c r="B307" i="190"/>
  <c r="C306" i="190"/>
  <c r="B308" i="182"/>
  <c r="C307" i="182"/>
  <c r="B308" i="181"/>
  <c r="C307" i="181"/>
  <c r="B307" i="157"/>
  <c r="C306" i="157"/>
  <c r="B307" i="156"/>
  <c r="C306" i="156"/>
  <c r="B307" i="155"/>
  <c r="C306" i="155"/>
  <c r="B260" i="137"/>
  <c r="C259" i="137"/>
  <c r="B255" i="133"/>
  <c r="C254" i="133"/>
  <c r="B255" i="131"/>
  <c r="C254" i="131"/>
  <c r="C249" i="88"/>
  <c r="B250" i="88"/>
  <c r="C309" i="205" l="1"/>
  <c r="B310" i="205"/>
  <c r="B309" i="204"/>
  <c r="C308" i="204"/>
  <c r="B309" i="203"/>
  <c r="C308" i="203"/>
  <c r="B309" i="202"/>
  <c r="C308" i="202"/>
  <c r="B309" i="201"/>
  <c r="C308" i="201"/>
  <c r="B309" i="200"/>
  <c r="C308" i="200"/>
  <c r="B309" i="199"/>
  <c r="C308" i="199"/>
  <c r="B309" i="198"/>
  <c r="C308" i="198"/>
  <c r="B309" i="197"/>
  <c r="C308" i="197"/>
  <c r="B310" i="193"/>
  <c r="C309" i="193"/>
  <c r="B308" i="190"/>
  <c r="C307" i="190"/>
  <c r="B309" i="182"/>
  <c r="C308" i="182"/>
  <c r="B309" i="181"/>
  <c r="C308" i="181"/>
  <c r="B308" i="157"/>
  <c r="C307" i="157"/>
  <c r="B308" i="156"/>
  <c r="C307" i="156"/>
  <c r="B308" i="155"/>
  <c r="C307" i="155"/>
  <c r="B261" i="137"/>
  <c r="C260" i="137"/>
  <c r="B256" i="133"/>
  <c r="C255" i="133"/>
  <c r="B256" i="131"/>
  <c r="C255" i="131"/>
  <c r="C250" i="88"/>
  <c r="B251" i="88"/>
  <c r="C310" i="205" l="1"/>
  <c r="B311" i="205"/>
  <c r="B310" i="204"/>
  <c r="C309" i="204"/>
  <c r="B310" i="203"/>
  <c r="C309" i="203"/>
  <c r="B310" i="202"/>
  <c r="C309" i="202"/>
  <c r="B310" i="201"/>
  <c r="C309" i="201"/>
  <c r="B310" i="200"/>
  <c r="C309" i="200"/>
  <c r="B310" i="199"/>
  <c r="C309" i="199"/>
  <c r="B310" i="198"/>
  <c r="C309" i="198"/>
  <c r="B310" i="197"/>
  <c r="C309" i="197"/>
  <c r="B311" i="193"/>
  <c r="C310" i="193"/>
  <c r="B309" i="190"/>
  <c r="C308" i="190"/>
  <c r="B310" i="182"/>
  <c r="C309" i="182"/>
  <c r="B310" i="181"/>
  <c r="C309" i="181"/>
  <c r="B309" i="157"/>
  <c r="C308" i="157"/>
  <c r="B309" i="156"/>
  <c r="C308" i="156"/>
  <c r="B309" i="155"/>
  <c r="C308" i="155"/>
  <c r="B262" i="137"/>
  <c r="C261" i="137"/>
  <c r="B257" i="133"/>
  <c r="C256" i="133"/>
  <c r="B257" i="131"/>
  <c r="C256" i="131"/>
  <c r="B252" i="88"/>
  <c r="C251" i="88"/>
  <c r="C311" i="205" l="1"/>
  <c r="B312" i="205"/>
  <c r="B311" i="204"/>
  <c r="C310" i="204"/>
  <c r="B311" i="203"/>
  <c r="C310" i="203"/>
  <c r="B311" i="202"/>
  <c r="C310" i="202"/>
  <c r="B311" i="201"/>
  <c r="C310" i="201"/>
  <c r="B311" i="200"/>
  <c r="C310" i="200"/>
  <c r="B311" i="199"/>
  <c r="C310" i="199"/>
  <c r="B311" i="198"/>
  <c r="C310" i="198"/>
  <c r="B311" i="197"/>
  <c r="C310" i="197"/>
  <c r="B312" i="193"/>
  <c r="C311" i="193"/>
  <c r="B310" i="190"/>
  <c r="C309" i="190"/>
  <c r="B311" i="182"/>
  <c r="C310" i="182"/>
  <c r="B311" i="181"/>
  <c r="C310" i="181"/>
  <c r="B310" i="157"/>
  <c r="C309" i="157"/>
  <c r="B310" i="156"/>
  <c r="C309" i="156"/>
  <c r="B310" i="155"/>
  <c r="C309" i="155"/>
  <c r="B263" i="137"/>
  <c r="C262" i="137"/>
  <c r="B258" i="133"/>
  <c r="C257" i="133"/>
  <c r="B258" i="131"/>
  <c r="C257" i="131"/>
  <c r="C252" i="88"/>
  <c r="B253" i="88"/>
  <c r="C312" i="205" l="1"/>
  <c r="B313" i="205"/>
  <c r="B312" i="204"/>
  <c r="C311" i="204"/>
  <c r="B312" i="203"/>
  <c r="C311" i="203"/>
  <c r="B312" i="202"/>
  <c r="C311" i="202"/>
  <c r="B312" i="201"/>
  <c r="C311" i="201"/>
  <c r="B312" i="200"/>
  <c r="C311" i="200"/>
  <c r="B312" i="199"/>
  <c r="C311" i="199"/>
  <c r="B312" i="198"/>
  <c r="C311" i="198"/>
  <c r="B312" i="197"/>
  <c r="C311" i="197"/>
  <c r="B313" i="193"/>
  <c r="C312" i="193"/>
  <c r="B311" i="190"/>
  <c r="C310" i="190"/>
  <c r="B312" i="182"/>
  <c r="C311" i="182"/>
  <c r="B312" i="181"/>
  <c r="C311" i="181"/>
  <c r="B311" i="157"/>
  <c r="C310" i="157"/>
  <c r="B311" i="156"/>
  <c r="C310" i="156"/>
  <c r="B311" i="155"/>
  <c r="C310" i="155"/>
  <c r="B264" i="137"/>
  <c r="C263" i="137"/>
  <c r="B259" i="133"/>
  <c r="C258" i="133"/>
  <c r="B259" i="131"/>
  <c r="C258" i="131"/>
  <c r="B254" i="88"/>
  <c r="C253" i="88"/>
  <c r="C313" i="205" l="1"/>
  <c r="B314" i="205"/>
  <c r="B313" i="204"/>
  <c r="C312" i="204"/>
  <c r="B313" i="203"/>
  <c r="C312" i="203"/>
  <c r="B313" i="202"/>
  <c r="C312" i="202"/>
  <c r="B313" i="201"/>
  <c r="C312" i="201"/>
  <c r="B313" i="200"/>
  <c r="C312" i="200"/>
  <c r="B313" i="199"/>
  <c r="C312" i="199"/>
  <c r="B313" i="198"/>
  <c r="C312" i="198"/>
  <c r="B313" i="197"/>
  <c r="C312" i="197"/>
  <c r="B314" i="193"/>
  <c r="C313" i="193"/>
  <c r="B312" i="190"/>
  <c r="C311" i="190"/>
  <c r="B313" i="182"/>
  <c r="C312" i="182"/>
  <c r="B313" i="181"/>
  <c r="C312" i="181"/>
  <c r="B312" i="157"/>
  <c r="C311" i="157"/>
  <c r="B312" i="156"/>
  <c r="C311" i="156"/>
  <c r="B312" i="155"/>
  <c r="C311" i="155"/>
  <c r="B265" i="137"/>
  <c r="C264" i="137"/>
  <c r="B260" i="133"/>
  <c r="C259" i="133"/>
  <c r="B260" i="131"/>
  <c r="C259" i="131"/>
  <c r="B255" i="88"/>
  <c r="C254" i="88"/>
  <c r="C314" i="205" l="1"/>
  <c r="B315" i="205"/>
  <c r="B314" i="204"/>
  <c r="C313" i="204"/>
  <c r="B314" i="203"/>
  <c r="C313" i="203"/>
  <c r="B314" i="202"/>
  <c r="C313" i="202"/>
  <c r="B314" i="201"/>
  <c r="C313" i="201"/>
  <c r="B314" i="200"/>
  <c r="C313" i="200"/>
  <c r="B314" i="199"/>
  <c r="C313" i="199"/>
  <c r="B314" i="198"/>
  <c r="C313" i="198"/>
  <c r="B314" i="197"/>
  <c r="C313" i="197"/>
  <c r="B315" i="193"/>
  <c r="C314" i="193"/>
  <c r="B313" i="190"/>
  <c r="C312" i="190"/>
  <c r="B314" i="182"/>
  <c r="C313" i="182"/>
  <c r="B314" i="181"/>
  <c r="C313" i="181"/>
  <c r="B313" i="157"/>
  <c r="C312" i="157"/>
  <c r="B313" i="156"/>
  <c r="C312" i="156"/>
  <c r="B313" i="155"/>
  <c r="C312" i="155"/>
  <c r="B266" i="137"/>
  <c r="C265" i="137"/>
  <c r="B261" i="133"/>
  <c r="C260" i="133"/>
  <c r="B261" i="131"/>
  <c r="C260" i="131"/>
  <c r="C255" i="88"/>
  <c r="B256" i="88"/>
  <c r="B316" i="205" l="1"/>
  <c r="C315" i="205"/>
  <c r="B315" i="204"/>
  <c r="C314" i="204"/>
  <c r="B315" i="203"/>
  <c r="C314" i="203"/>
  <c r="B315" i="202"/>
  <c r="C314" i="202"/>
  <c r="B315" i="201"/>
  <c r="C314" i="201"/>
  <c r="B315" i="200"/>
  <c r="C314" i="200"/>
  <c r="B315" i="199"/>
  <c r="C314" i="199"/>
  <c r="B315" i="198"/>
  <c r="C314" i="198"/>
  <c r="B315" i="197"/>
  <c r="C314" i="197"/>
  <c r="B316" i="193"/>
  <c r="C315" i="193"/>
  <c r="B314" i="190"/>
  <c r="C313" i="190"/>
  <c r="B315" i="182"/>
  <c r="C314" i="182"/>
  <c r="B315" i="181"/>
  <c r="C314" i="181"/>
  <c r="B314" i="157"/>
  <c r="C313" i="157"/>
  <c r="B314" i="156"/>
  <c r="C313" i="156"/>
  <c r="B314" i="155"/>
  <c r="C313" i="155"/>
  <c r="B267" i="137"/>
  <c r="C266" i="137"/>
  <c r="B262" i="133"/>
  <c r="C261" i="133"/>
  <c r="B262" i="131"/>
  <c r="C261" i="131"/>
  <c r="C256" i="88"/>
  <c r="B257" i="88"/>
  <c r="C316" i="205" l="1"/>
  <c r="B317" i="205"/>
  <c r="B316" i="204"/>
  <c r="C315" i="204"/>
  <c r="B316" i="203"/>
  <c r="C315" i="203"/>
  <c r="B316" i="202"/>
  <c r="C315" i="202"/>
  <c r="B316" i="201"/>
  <c r="C315" i="201"/>
  <c r="B316" i="200"/>
  <c r="C315" i="200"/>
  <c r="B316" i="199"/>
  <c r="C315" i="199"/>
  <c r="B316" i="198"/>
  <c r="C315" i="198"/>
  <c r="B316" i="197"/>
  <c r="C315" i="197"/>
  <c r="B317" i="193"/>
  <c r="C316" i="193"/>
  <c r="B315" i="190"/>
  <c r="C314" i="190"/>
  <c r="B316" i="182"/>
  <c r="C315" i="182"/>
  <c r="B316" i="181"/>
  <c r="C315" i="181"/>
  <c r="B315" i="157"/>
  <c r="C314" i="157"/>
  <c r="B315" i="156"/>
  <c r="C314" i="156"/>
  <c r="B315" i="155"/>
  <c r="C314" i="155"/>
  <c r="B268" i="137"/>
  <c r="C267" i="137"/>
  <c r="B263" i="133"/>
  <c r="C262" i="133"/>
  <c r="B263" i="131"/>
  <c r="C262" i="131"/>
  <c r="B258" i="88"/>
  <c r="C257" i="88"/>
  <c r="C317" i="205" l="1"/>
  <c r="B318" i="205"/>
  <c r="B317" i="204"/>
  <c r="C316" i="204"/>
  <c r="B317" i="203"/>
  <c r="C316" i="203"/>
  <c r="B317" i="202"/>
  <c r="C316" i="202"/>
  <c r="B317" i="201"/>
  <c r="C316" i="201"/>
  <c r="B317" i="200"/>
  <c r="C316" i="200"/>
  <c r="B317" i="199"/>
  <c r="C316" i="199"/>
  <c r="B317" i="198"/>
  <c r="C316" i="198"/>
  <c r="B317" i="197"/>
  <c r="C316" i="197"/>
  <c r="B318" i="193"/>
  <c r="C317" i="193"/>
  <c r="B316" i="190"/>
  <c r="C315" i="190"/>
  <c r="B317" i="182"/>
  <c r="C316" i="182"/>
  <c r="B317" i="181"/>
  <c r="C316" i="181"/>
  <c r="B316" i="157"/>
  <c r="C315" i="157"/>
  <c r="B316" i="156"/>
  <c r="C315" i="156"/>
  <c r="B316" i="155"/>
  <c r="C315" i="155"/>
  <c r="B269" i="137"/>
  <c r="C268" i="137"/>
  <c r="B264" i="133"/>
  <c r="C263" i="133"/>
  <c r="B264" i="131"/>
  <c r="C263" i="131"/>
  <c r="C258" i="88"/>
  <c r="B259" i="88"/>
  <c r="C318" i="205" l="1"/>
  <c r="B319" i="205"/>
  <c r="B318" i="204"/>
  <c r="C317" i="204"/>
  <c r="B318" i="203"/>
  <c r="C317" i="203"/>
  <c r="B318" i="202"/>
  <c r="C317" i="202"/>
  <c r="B318" i="201"/>
  <c r="C317" i="201"/>
  <c r="B318" i="200"/>
  <c r="C317" i="200"/>
  <c r="B318" i="199"/>
  <c r="C317" i="199"/>
  <c r="B318" i="198"/>
  <c r="C317" i="198"/>
  <c r="B318" i="197"/>
  <c r="C317" i="197"/>
  <c r="B319" i="193"/>
  <c r="C318" i="193"/>
  <c r="B317" i="190"/>
  <c r="C316" i="190"/>
  <c r="B318" i="182"/>
  <c r="C317" i="182"/>
  <c r="B318" i="181"/>
  <c r="C317" i="181"/>
  <c r="B317" i="157"/>
  <c r="C316" i="157"/>
  <c r="B317" i="156"/>
  <c r="C316" i="156"/>
  <c r="B317" i="155"/>
  <c r="C316" i="155"/>
  <c r="B270" i="137"/>
  <c r="C269" i="137"/>
  <c r="B265" i="133"/>
  <c r="C264" i="133"/>
  <c r="B265" i="131"/>
  <c r="C264" i="131"/>
  <c r="C259" i="88"/>
  <c r="B260" i="88"/>
  <c r="C319" i="205" l="1"/>
  <c r="B320" i="205"/>
  <c r="B319" i="204"/>
  <c r="C318" i="204"/>
  <c r="B319" i="203"/>
  <c r="C318" i="203"/>
  <c r="B319" i="202"/>
  <c r="C318" i="202"/>
  <c r="B319" i="201"/>
  <c r="C318" i="201"/>
  <c r="B319" i="200"/>
  <c r="C318" i="200"/>
  <c r="B319" i="199"/>
  <c r="C318" i="199"/>
  <c r="B319" i="198"/>
  <c r="C318" i="198"/>
  <c r="B319" i="197"/>
  <c r="C318" i="197"/>
  <c r="B320" i="193"/>
  <c r="C319" i="193"/>
  <c r="B318" i="190"/>
  <c r="C317" i="190"/>
  <c r="B319" i="182"/>
  <c r="C318" i="182"/>
  <c r="B319" i="181"/>
  <c r="C318" i="181"/>
  <c r="B318" i="157"/>
  <c r="C317" i="157"/>
  <c r="B318" i="156"/>
  <c r="C317" i="156"/>
  <c r="B318" i="155"/>
  <c r="C317" i="155"/>
  <c r="B271" i="137"/>
  <c r="C270" i="137"/>
  <c r="B266" i="133"/>
  <c r="C265" i="133"/>
  <c r="B266" i="131"/>
  <c r="C265" i="131"/>
  <c r="B261" i="88"/>
  <c r="C260" i="88"/>
  <c r="C320" i="205" l="1"/>
  <c r="B321" i="205"/>
  <c r="B320" i="204"/>
  <c r="C319" i="204"/>
  <c r="B320" i="203"/>
  <c r="C319" i="203"/>
  <c r="B320" i="202"/>
  <c r="C319" i="202"/>
  <c r="B320" i="201"/>
  <c r="C319" i="201"/>
  <c r="B320" i="200"/>
  <c r="C319" i="200"/>
  <c r="B320" i="199"/>
  <c r="C319" i="199"/>
  <c r="B320" i="198"/>
  <c r="C319" i="198"/>
  <c r="B320" i="197"/>
  <c r="C319" i="197"/>
  <c r="B321" i="193"/>
  <c r="C320" i="193"/>
  <c r="B319" i="190"/>
  <c r="C318" i="190"/>
  <c r="B320" i="182"/>
  <c r="C319" i="182"/>
  <c r="B320" i="181"/>
  <c r="C319" i="181"/>
  <c r="B319" i="157"/>
  <c r="C318" i="157"/>
  <c r="B319" i="156"/>
  <c r="C318" i="156"/>
  <c r="B319" i="155"/>
  <c r="C318" i="155"/>
  <c r="B272" i="137"/>
  <c r="C271" i="137"/>
  <c r="B267" i="133"/>
  <c r="C266" i="133"/>
  <c r="B267" i="131"/>
  <c r="C266" i="131"/>
  <c r="C261" i="88"/>
  <c r="B262" i="88"/>
  <c r="C321" i="205" l="1"/>
  <c r="B322" i="205"/>
  <c r="B321" i="204"/>
  <c r="C320" i="204"/>
  <c r="B321" i="203"/>
  <c r="C320" i="203"/>
  <c r="B321" i="202"/>
  <c r="C320" i="202"/>
  <c r="B321" i="201"/>
  <c r="C320" i="201"/>
  <c r="B321" i="200"/>
  <c r="C320" i="200"/>
  <c r="B321" i="199"/>
  <c r="C320" i="199"/>
  <c r="B321" i="198"/>
  <c r="C320" i="198"/>
  <c r="B321" i="197"/>
  <c r="C320" i="197"/>
  <c r="B322" i="193"/>
  <c r="C321" i="193"/>
  <c r="B320" i="190"/>
  <c r="C319" i="190"/>
  <c r="B321" i="182"/>
  <c r="C320" i="182"/>
  <c r="B321" i="181"/>
  <c r="C320" i="181"/>
  <c r="B320" i="157"/>
  <c r="C319" i="157"/>
  <c r="B320" i="156"/>
  <c r="C319" i="156"/>
  <c r="B320" i="155"/>
  <c r="C319" i="155"/>
  <c r="B273" i="137"/>
  <c r="C272" i="137"/>
  <c r="B268" i="133"/>
  <c r="C267" i="133"/>
  <c r="B268" i="131"/>
  <c r="C267" i="131"/>
  <c r="C262" i="88"/>
  <c r="B263" i="88"/>
  <c r="C322" i="205" l="1"/>
  <c r="B323" i="205"/>
  <c r="B322" i="204"/>
  <c r="C321" i="204"/>
  <c r="B322" i="203"/>
  <c r="C321" i="203"/>
  <c r="B322" i="202"/>
  <c r="C321" i="202"/>
  <c r="B322" i="201"/>
  <c r="C321" i="201"/>
  <c r="B322" i="200"/>
  <c r="C321" i="200"/>
  <c r="B322" i="199"/>
  <c r="C321" i="199"/>
  <c r="B322" i="198"/>
  <c r="C321" i="198"/>
  <c r="B322" i="197"/>
  <c r="C321" i="197"/>
  <c r="B323" i="193"/>
  <c r="C322" i="193"/>
  <c r="B321" i="190"/>
  <c r="C320" i="190"/>
  <c r="B322" i="182"/>
  <c r="C321" i="182"/>
  <c r="B322" i="181"/>
  <c r="C321" i="181"/>
  <c r="B321" i="157"/>
  <c r="C320" i="157"/>
  <c r="B321" i="156"/>
  <c r="C320" i="156"/>
  <c r="B321" i="155"/>
  <c r="C320" i="155"/>
  <c r="B274" i="137"/>
  <c r="C273" i="137"/>
  <c r="B269" i="133"/>
  <c r="C268" i="133"/>
  <c r="B269" i="131"/>
  <c r="C268" i="131"/>
  <c r="C263" i="88"/>
  <c r="B264" i="88"/>
  <c r="C323" i="205" l="1"/>
  <c r="B324" i="205"/>
  <c r="B323" i="204"/>
  <c r="C322" i="204"/>
  <c r="B323" i="203"/>
  <c r="C322" i="203"/>
  <c r="B323" i="202"/>
  <c r="C322" i="202"/>
  <c r="B323" i="201"/>
  <c r="C322" i="201"/>
  <c r="B323" i="200"/>
  <c r="C322" i="200"/>
  <c r="B323" i="199"/>
  <c r="C322" i="199"/>
  <c r="B323" i="198"/>
  <c r="C322" i="198"/>
  <c r="B323" i="197"/>
  <c r="C322" i="197"/>
  <c r="B324" i="193"/>
  <c r="C323" i="193"/>
  <c r="B322" i="190"/>
  <c r="C321" i="190"/>
  <c r="B323" i="182"/>
  <c r="C322" i="182"/>
  <c r="B323" i="181"/>
  <c r="C322" i="181"/>
  <c r="B322" i="157"/>
  <c r="C321" i="157"/>
  <c r="B322" i="156"/>
  <c r="C321" i="156"/>
  <c r="B322" i="155"/>
  <c r="C321" i="155"/>
  <c r="B275" i="137"/>
  <c r="C274" i="137"/>
  <c r="B270" i="133"/>
  <c r="C269" i="133"/>
  <c r="B270" i="131"/>
  <c r="C269" i="131"/>
  <c r="C264" i="88"/>
  <c r="B265" i="88"/>
  <c r="C324" i="205" l="1"/>
  <c r="B325" i="205"/>
  <c r="B324" i="204"/>
  <c r="C323" i="204"/>
  <c r="B324" i="203"/>
  <c r="C323" i="203"/>
  <c r="B324" i="202"/>
  <c r="C323" i="202"/>
  <c r="B324" i="201"/>
  <c r="C323" i="201"/>
  <c r="B324" i="200"/>
  <c r="C323" i="200"/>
  <c r="B324" i="199"/>
  <c r="C323" i="199"/>
  <c r="B324" i="198"/>
  <c r="C323" i="198"/>
  <c r="B324" i="197"/>
  <c r="C323" i="197"/>
  <c r="B325" i="193"/>
  <c r="C324" i="193"/>
  <c r="B323" i="190"/>
  <c r="C322" i="190"/>
  <c r="B324" i="182"/>
  <c r="C323" i="182"/>
  <c r="B324" i="181"/>
  <c r="C323" i="181"/>
  <c r="B323" i="157"/>
  <c r="C322" i="157"/>
  <c r="B323" i="156"/>
  <c r="C322" i="156"/>
  <c r="B323" i="155"/>
  <c r="C322" i="155"/>
  <c r="B276" i="137"/>
  <c r="C275" i="137"/>
  <c r="B271" i="133"/>
  <c r="C270" i="133"/>
  <c r="B271" i="131"/>
  <c r="C270" i="131"/>
  <c r="C265" i="88"/>
  <c r="B266" i="88"/>
  <c r="C325" i="205" l="1"/>
  <c r="B326" i="205"/>
  <c r="B325" i="204"/>
  <c r="C324" i="204"/>
  <c r="B325" i="203"/>
  <c r="C324" i="203"/>
  <c r="B325" i="202"/>
  <c r="C324" i="202"/>
  <c r="B325" i="201"/>
  <c r="C324" i="201"/>
  <c r="B325" i="200"/>
  <c r="C324" i="200"/>
  <c r="B325" i="199"/>
  <c r="C324" i="199"/>
  <c r="B325" i="198"/>
  <c r="C324" i="198"/>
  <c r="B325" i="197"/>
  <c r="C324" i="197"/>
  <c r="B326" i="193"/>
  <c r="C325" i="193"/>
  <c r="B324" i="190"/>
  <c r="C323" i="190"/>
  <c r="B325" i="182"/>
  <c r="C324" i="182"/>
  <c r="B325" i="181"/>
  <c r="C324" i="181"/>
  <c r="B324" i="157"/>
  <c r="C323" i="157"/>
  <c r="B324" i="156"/>
  <c r="C323" i="156"/>
  <c r="B324" i="155"/>
  <c r="C323" i="155"/>
  <c r="B277" i="137"/>
  <c r="C276" i="137"/>
  <c r="B272" i="133"/>
  <c r="C271" i="133"/>
  <c r="B272" i="131"/>
  <c r="C271" i="131"/>
  <c r="B267" i="88"/>
  <c r="C266" i="88"/>
  <c r="C326" i="205" l="1"/>
  <c r="B327" i="205"/>
  <c r="B326" i="204"/>
  <c r="C325" i="204"/>
  <c r="B326" i="203"/>
  <c r="C325" i="203"/>
  <c r="B326" i="202"/>
  <c r="C325" i="202"/>
  <c r="B326" i="201"/>
  <c r="C325" i="201"/>
  <c r="B326" i="200"/>
  <c r="C325" i="200"/>
  <c r="B326" i="199"/>
  <c r="C325" i="199"/>
  <c r="B326" i="198"/>
  <c r="C325" i="198"/>
  <c r="B326" i="197"/>
  <c r="C325" i="197"/>
  <c r="B327" i="193"/>
  <c r="C326" i="193"/>
  <c r="B325" i="190"/>
  <c r="C324" i="190"/>
  <c r="B326" i="182"/>
  <c r="C325" i="182"/>
  <c r="B326" i="181"/>
  <c r="C325" i="181"/>
  <c r="B325" i="157"/>
  <c r="C324" i="157"/>
  <c r="B325" i="156"/>
  <c r="C324" i="156"/>
  <c r="B325" i="155"/>
  <c r="C324" i="155"/>
  <c r="B278" i="137"/>
  <c r="C277" i="137"/>
  <c r="B273" i="133"/>
  <c r="C272" i="133"/>
  <c r="B273" i="131"/>
  <c r="C272" i="131"/>
  <c r="C267" i="88"/>
  <c r="B268" i="88"/>
  <c r="C327" i="205" l="1"/>
  <c r="B328" i="205"/>
  <c r="B327" i="204"/>
  <c r="C326" i="204"/>
  <c r="B327" i="203"/>
  <c r="C326" i="203"/>
  <c r="B327" i="202"/>
  <c r="C326" i="202"/>
  <c r="B327" i="201"/>
  <c r="C326" i="201"/>
  <c r="B327" i="200"/>
  <c r="C326" i="200"/>
  <c r="B327" i="199"/>
  <c r="C326" i="199"/>
  <c r="B327" i="198"/>
  <c r="C326" i="198"/>
  <c r="B327" i="197"/>
  <c r="C326" i="197"/>
  <c r="B328" i="193"/>
  <c r="C327" i="193"/>
  <c r="B326" i="190"/>
  <c r="C325" i="190"/>
  <c r="B327" i="182"/>
  <c r="C326" i="182"/>
  <c r="B327" i="181"/>
  <c r="C326" i="181"/>
  <c r="B326" i="157"/>
  <c r="C325" i="157"/>
  <c r="B326" i="156"/>
  <c r="C325" i="156"/>
  <c r="B326" i="155"/>
  <c r="C325" i="155"/>
  <c r="B279" i="137"/>
  <c r="C278" i="137"/>
  <c r="B274" i="133"/>
  <c r="C273" i="133"/>
  <c r="B274" i="131"/>
  <c r="C273" i="131"/>
  <c r="B269" i="88"/>
  <c r="C268" i="88"/>
  <c r="B329" i="205" l="1"/>
  <c r="C328" i="205"/>
  <c r="B328" i="204"/>
  <c r="C327" i="204"/>
  <c r="B328" i="203"/>
  <c r="C327" i="203"/>
  <c r="B328" i="202"/>
  <c r="C327" i="202"/>
  <c r="B328" i="201"/>
  <c r="C327" i="201"/>
  <c r="B328" i="200"/>
  <c r="C327" i="200"/>
  <c r="B328" i="199"/>
  <c r="C327" i="199"/>
  <c r="B328" i="198"/>
  <c r="C327" i="198"/>
  <c r="B328" i="197"/>
  <c r="C327" i="197"/>
  <c r="B329" i="193"/>
  <c r="C328" i="193"/>
  <c r="B327" i="190"/>
  <c r="C326" i="190"/>
  <c r="B328" i="182"/>
  <c r="C327" i="182"/>
  <c r="B328" i="181"/>
  <c r="C327" i="181"/>
  <c r="B327" i="157"/>
  <c r="C326" i="157"/>
  <c r="B327" i="156"/>
  <c r="C326" i="156"/>
  <c r="B327" i="155"/>
  <c r="C326" i="155"/>
  <c r="B280" i="137"/>
  <c r="C279" i="137"/>
  <c r="B275" i="133"/>
  <c r="C274" i="133"/>
  <c r="B275" i="131"/>
  <c r="C274" i="131"/>
  <c r="B270" i="88"/>
  <c r="C269" i="88"/>
  <c r="C329" i="205" l="1"/>
  <c r="B330" i="205"/>
  <c r="B329" i="204"/>
  <c r="C328" i="204"/>
  <c r="B329" i="203"/>
  <c r="C328" i="203"/>
  <c r="B329" i="202"/>
  <c r="C328" i="202"/>
  <c r="B329" i="201"/>
  <c r="C328" i="201"/>
  <c r="B329" i="200"/>
  <c r="C328" i="200"/>
  <c r="B329" i="199"/>
  <c r="C328" i="199"/>
  <c r="B329" i="198"/>
  <c r="C328" i="198"/>
  <c r="B329" i="197"/>
  <c r="C328" i="197"/>
  <c r="B330" i="193"/>
  <c r="C329" i="193"/>
  <c r="B328" i="190"/>
  <c r="C327" i="190"/>
  <c r="B329" i="182"/>
  <c r="C328" i="182"/>
  <c r="B329" i="181"/>
  <c r="C328" i="181"/>
  <c r="B328" i="157"/>
  <c r="C327" i="157"/>
  <c r="B328" i="156"/>
  <c r="C327" i="156"/>
  <c r="B328" i="155"/>
  <c r="C327" i="155"/>
  <c r="B281" i="137"/>
  <c r="C280" i="137"/>
  <c r="B276" i="133"/>
  <c r="C275" i="133"/>
  <c r="B276" i="131"/>
  <c r="C275" i="131"/>
  <c r="C270" i="88"/>
  <c r="B271" i="88"/>
  <c r="C330" i="205" l="1"/>
  <c r="B331" i="205"/>
  <c r="B330" i="204"/>
  <c r="C329" i="204"/>
  <c r="B330" i="203"/>
  <c r="C329" i="203"/>
  <c r="B330" i="202"/>
  <c r="C329" i="202"/>
  <c r="B330" i="201"/>
  <c r="C329" i="201"/>
  <c r="B330" i="200"/>
  <c r="C329" i="200"/>
  <c r="B330" i="199"/>
  <c r="C329" i="199"/>
  <c r="B330" i="198"/>
  <c r="C329" i="198"/>
  <c r="B330" i="197"/>
  <c r="C329" i="197"/>
  <c r="B331" i="193"/>
  <c r="C330" i="193"/>
  <c r="B329" i="190"/>
  <c r="C328" i="190"/>
  <c r="B330" i="182"/>
  <c r="C329" i="182"/>
  <c r="B330" i="181"/>
  <c r="C329" i="181"/>
  <c r="B329" i="157"/>
  <c r="C328" i="157"/>
  <c r="B329" i="156"/>
  <c r="C328" i="156"/>
  <c r="B329" i="155"/>
  <c r="C328" i="155"/>
  <c r="B282" i="137"/>
  <c r="C281" i="137"/>
  <c r="B277" i="133"/>
  <c r="C276" i="133"/>
  <c r="B277" i="131"/>
  <c r="C276" i="131"/>
  <c r="C271" i="88"/>
  <c r="B272" i="88"/>
  <c r="C331" i="205" l="1"/>
  <c r="B332" i="205"/>
  <c r="B331" i="204"/>
  <c r="C330" i="204"/>
  <c r="B331" i="203"/>
  <c r="C330" i="203"/>
  <c r="B331" i="202"/>
  <c r="C330" i="202"/>
  <c r="B331" i="201"/>
  <c r="C330" i="201"/>
  <c r="B331" i="200"/>
  <c r="C330" i="200"/>
  <c r="B331" i="199"/>
  <c r="C330" i="199"/>
  <c r="B331" i="198"/>
  <c r="C330" i="198"/>
  <c r="B331" i="197"/>
  <c r="C330" i="197"/>
  <c r="B332" i="193"/>
  <c r="C331" i="193"/>
  <c r="B330" i="190"/>
  <c r="C329" i="190"/>
  <c r="B331" i="182"/>
  <c r="C330" i="182"/>
  <c r="B331" i="181"/>
  <c r="C330" i="181"/>
  <c r="B330" i="157"/>
  <c r="C329" i="157"/>
  <c r="B330" i="156"/>
  <c r="C329" i="156"/>
  <c r="B330" i="155"/>
  <c r="C329" i="155"/>
  <c r="B283" i="137"/>
  <c r="C282" i="137"/>
  <c r="B278" i="133"/>
  <c r="C277" i="133"/>
  <c r="B278" i="131"/>
  <c r="C277" i="131"/>
  <c r="B273" i="88"/>
  <c r="C272" i="88"/>
  <c r="C332" i="205" l="1"/>
  <c r="B333" i="205"/>
  <c r="B332" i="204"/>
  <c r="C331" i="204"/>
  <c r="B332" i="203"/>
  <c r="C331" i="203"/>
  <c r="B332" i="202"/>
  <c r="C331" i="202"/>
  <c r="B332" i="201"/>
  <c r="C331" i="201"/>
  <c r="B332" i="200"/>
  <c r="C331" i="200"/>
  <c r="B332" i="199"/>
  <c r="C331" i="199"/>
  <c r="B332" i="198"/>
  <c r="C331" i="198"/>
  <c r="B332" i="197"/>
  <c r="C331" i="197"/>
  <c r="B333" i="193"/>
  <c r="C332" i="193"/>
  <c r="B331" i="190"/>
  <c r="C330" i="190"/>
  <c r="B332" i="182"/>
  <c r="C331" i="182"/>
  <c r="B332" i="181"/>
  <c r="C331" i="181"/>
  <c r="B331" i="157"/>
  <c r="C330" i="157"/>
  <c r="B331" i="156"/>
  <c r="C330" i="156"/>
  <c r="B331" i="155"/>
  <c r="C330" i="155"/>
  <c r="B284" i="137"/>
  <c r="C283" i="137"/>
  <c r="B279" i="133"/>
  <c r="C278" i="133"/>
  <c r="B279" i="131"/>
  <c r="C278" i="131"/>
  <c r="C273" i="88"/>
  <c r="B274" i="88"/>
  <c r="C333" i="205" l="1"/>
  <c r="B334" i="205"/>
  <c r="B333" i="204"/>
  <c r="C332" i="204"/>
  <c r="B333" i="203"/>
  <c r="C332" i="203"/>
  <c r="B333" i="202"/>
  <c r="C332" i="202"/>
  <c r="B333" i="201"/>
  <c r="C332" i="201"/>
  <c r="B333" i="200"/>
  <c r="C332" i="200"/>
  <c r="B333" i="199"/>
  <c r="C332" i="199"/>
  <c r="B333" i="198"/>
  <c r="C332" i="198"/>
  <c r="B333" i="197"/>
  <c r="C332" i="197"/>
  <c r="B334" i="193"/>
  <c r="C333" i="193"/>
  <c r="B332" i="190"/>
  <c r="C331" i="190"/>
  <c r="B333" i="182"/>
  <c r="C332" i="182"/>
  <c r="B333" i="181"/>
  <c r="C332" i="181"/>
  <c r="B332" i="157"/>
  <c r="C331" i="157"/>
  <c r="B332" i="156"/>
  <c r="C331" i="156"/>
  <c r="B332" i="155"/>
  <c r="C331" i="155"/>
  <c r="B285" i="137"/>
  <c r="C284" i="137"/>
  <c r="B280" i="133"/>
  <c r="C279" i="133"/>
  <c r="B280" i="131"/>
  <c r="C279" i="131"/>
  <c r="C274" i="88"/>
  <c r="B275" i="88"/>
  <c r="C334" i="205" l="1"/>
  <c r="B335" i="205"/>
  <c r="B334" i="204"/>
  <c r="C333" i="204"/>
  <c r="B334" i="203"/>
  <c r="C333" i="203"/>
  <c r="B334" i="202"/>
  <c r="C333" i="202"/>
  <c r="B334" i="201"/>
  <c r="C333" i="201"/>
  <c r="B334" i="200"/>
  <c r="C333" i="200"/>
  <c r="B334" i="199"/>
  <c r="C333" i="199"/>
  <c r="B334" i="198"/>
  <c r="C333" i="198"/>
  <c r="B334" i="197"/>
  <c r="C333" i="197"/>
  <c r="B335" i="193"/>
  <c r="C334" i="193"/>
  <c r="B333" i="190"/>
  <c r="C332" i="190"/>
  <c r="B334" i="182"/>
  <c r="C333" i="182"/>
  <c r="B334" i="181"/>
  <c r="C333" i="181"/>
  <c r="B333" i="157"/>
  <c r="C332" i="157"/>
  <c r="B333" i="156"/>
  <c r="C332" i="156"/>
  <c r="B333" i="155"/>
  <c r="C332" i="155"/>
  <c r="B286" i="137"/>
  <c r="C285" i="137"/>
  <c r="B281" i="133"/>
  <c r="C280" i="133"/>
  <c r="B281" i="131"/>
  <c r="C280" i="131"/>
  <c r="B276" i="88"/>
  <c r="C275" i="88"/>
  <c r="C335" i="205" l="1"/>
  <c r="B336" i="205"/>
  <c r="B335" i="204"/>
  <c r="C334" i="204"/>
  <c r="B335" i="203"/>
  <c r="C334" i="203"/>
  <c r="B335" i="202"/>
  <c r="C334" i="202"/>
  <c r="B335" i="201"/>
  <c r="C334" i="201"/>
  <c r="B335" i="200"/>
  <c r="C334" i="200"/>
  <c r="B335" i="199"/>
  <c r="C334" i="199"/>
  <c r="B335" i="198"/>
  <c r="C334" i="198"/>
  <c r="B335" i="197"/>
  <c r="C334" i="197"/>
  <c r="B336" i="193"/>
  <c r="C335" i="193"/>
  <c r="B334" i="190"/>
  <c r="C333" i="190"/>
  <c r="B335" i="182"/>
  <c r="C334" i="182"/>
  <c r="B335" i="181"/>
  <c r="C334" i="181"/>
  <c r="B334" i="157"/>
  <c r="C333" i="157"/>
  <c r="B334" i="156"/>
  <c r="C333" i="156"/>
  <c r="B334" i="155"/>
  <c r="C333" i="155"/>
  <c r="B287" i="137"/>
  <c r="C286" i="137"/>
  <c r="B282" i="133"/>
  <c r="C281" i="133"/>
  <c r="B282" i="131"/>
  <c r="C281" i="131"/>
  <c r="B277" i="88"/>
  <c r="C276" i="88"/>
  <c r="C336" i="205" l="1"/>
  <c r="B337" i="205"/>
  <c r="B336" i="204"/>
  <c r="C335" i="204"/>
  <c r="B336" i="203"/>
  <c r="C335" i="203"/>
  <c r="B336" i="202"/>
  <c r="C335" i="202"/>
  <c r="B336" i="201"/>
  <c r="C335" i="201"/>
  <c r="B336" i="200"/>
  <c r="C335" i="200"/>
  <c r="B336" i="199"/>
  <c r="C335" i="199"/>
  <c r="B336" i="198"/>
  <c r="C335" i="198"/>
  <c r="B336" i="197"/>
  <c r="C335" i="197"/>
  <c r="B337" i="193"/>
  <c r="C336" i="193"/>
  <c r="B335" i="190"/>
  <c r="C334" i="190"/>
  <c r="B336" i="182"/>
  <c r="C335" i="182"/>
  <c r="B336" i="181"/>
  <c r="C335" i="181"/>
  <c r="B335" i="157"/>
  <c r="C334" i="157"/>
  <c r="B335" i="156"/>
  <c r="C334" i="156"/>
  <c r="B335" i="155"/>
  <c r="C334" i="155"/>
  <c r="B288" i="137"/>
  <c r="C287" i="137"/>
  <c r="B283" i="133"/>
  <c r="C282" i="133"/>
  <c r="B283" i="131"/>
  <c r="C282" i="131"/>
  <c r="B278" i="88"/>
  <c r="C277" i="88"/>
  <c r="C337" i="205" l="1"/>
  <c r="B338" i="205"/>
  <c r="B337" i="204"/>
  <c r="C336" i="204"/>
  <c r="B337" i="203"/>
  <c r="C336" i="203"/>
  <c r="B337" i="202"/>
  <c r="C336" i="202"/>
  <c r="B337" i="201"/>
  <c r="C336" i="201"/>
  <c r="B337" i="200"/>
  <c r="C336" i="200"/>
  <c r="B337" i="199"/>
  <c r="C336" i="199"/>
  <c r="B337" i="198"/>
  <c r="C336" i="198"/>
  <c r="B337" i="197"/>
  <c r="C336" i="197"/>
  <c r="B338" i="193"/>
  <c r="C337" i="193"/>
  <c r="B336" i="190"/>
  <c r="C335" i="190"/>
  <c r="B337" i="182"/>
  <c r="C336" i="182"/>
  <c r="B337" i="181"/>
  <c r="C336" i="181"/>
  <c r="B336" i="157"/>
  <c r="C335" i="157"/>
  <c r="B336" i="156"/>
  <c r="C335" i="156"/>
  <c r="B336" i="155"/>
  <c r="C335" i="155"/>
  <c r="B289" i="137"/>
  <c r="C288" i="137"/>
  <c r="B284" i="133"/>
  <c r="C283" i="133"/>
  <c r="B284" i="131"/>
  <c r="C283" i="131"/>
  <c r="C278" i="88"/>
  <c r="B279" i="88"/>
  <c r="C338" i="205" l="1"/>
  <c r="B339" i="205"/>
  <c r="B338" i="204"/>
  <c r="C337" i="204"/>
  <c r="B338" i="203"/>
  <c r="C337" i="203"/>
  <c r="B338" i="202"/>
  <c r="C337" i="202"/>
  <c r="B338" i="201"/>
  <c r="C337" i="201"/>
  <c r="B338" i="200"/>
  <c r="C337" i="200"/>
  <c r="B338" i="199"/>
  <c r="C337" i="199"/>
  <c r="B338" i="198"/>
  <c r="C337" i="198"/>
  <c r="B338" i="197"/>
  <c r="C337" i="197"/>
  <c r="B339" i="193"/>
  <c r="C338" i="193"/>
  <c r="B337" i="190"/>
  <c r="C336" i="190"/>
  <c r="B338" i="182"/>
  <c r="C337" i="182"/>
  <c r="B338" i="181"/>
  <c r="C337" i="181"/>
  <c r="B337" i="157"/>
  <c r="C336" i="157"/>
  <c r="B337" i="156"/>
  <c r="C336" i="156"/>
  <c r="B337" i="155"/>
  <c r="C336" i="155"/>
  <c r="B290" i="137"/>
  <c r="C289" i="137"/>
  <c r="B285" i="133"/>
  <c r="C284" i="133"/>
  <c r="B285" i="131"/>
  <c r="C284" i="131"/>
  <c r="C279" i="88"/>
  <c r="B280" i="88"/>
  <c r="C339" i="205" l="1"/>
  <c r="B340" i="205"/>
  <c r="B339" i="204"/>
  <c r="C338" i="204"/>
  <c r="B339" i="203"/>
  <c r="C338" i="203"/>
  <c r="B339" i="202"/>
  <c r="C338" i="202"/>
  <c r="B339" i="201"/>
  <c r="C338" i="201"/>
  <c r="B339" i="200"/>
  <c r="C338" i="200"/>
  <c r="B339" i="199"/>
  <c r="C338" i="199"/>
  <c r="B339" i="198"/>
  <c r="C338" i="198"/>
  <c r="B339" i="197"/>
  <c r="C338" i="197"/>
  <c r="B340" i="193"/>
  <c r="C339" i="193"/>
  <c r="B338" i="190"/>
  <c r="C337" i="190"/>
  <c r="B339" i="182"/>
  <c r="C338" i="182"/>
  <c r="B339" i="181"/>
  <c r="C338" i="181"/>
  <c r="B338" i="157"/>
  <c r="C337" i="157"/>
  <c r="B338" i="156"/>
  <c r="C337" i="156"/>
  <c r="B338" i="155"/>
  <c r="C337" i="155"/>
  <c r="B291" i="137"/>
  <c r="C290" i="137"/>
  <c r="B286" i="133"/>
  <c r="C285" i="133"/>
  <c r="B286" i="131"/>
  <c r="C285" i="131"/>
  <c r="C280" i="88"/>
  <c r="B281" i="88"/>
  <c r="C340" i="205" l="1"/>
  <c r="B341" i="205"/>
  <c r="B340" i="204"/>
  <c r="C339" i="204"/>
  <c r="B340" i="203"/>
  <c r="C339" i="203"/>
  <c r="B340" i="202"/>
  <c r="C339" i="202"/>
  <c r="B340" i="201"/>
  <c r="C339" i="201"/>
  <c r="B340" i="200"/>
  <c r="C339" i="200"/>
  <c r="B340" i="199"/>
  <c r="C339" i="199"/>
  <c r="B340" i="198"/>
  <c r="C339" i="198"/>
  <c r="B340" i="197"/>
  <c r="C339" i="197"/>
  <c r="B341" i="193"/>
  <c r="C340" i="193"/>
  <c r="B339" i="190"/>
  <c r="C338" i="190"/>
  <c r="B340" i="182"/>
  <c r="C339" i="182"/>
  <c r="B340" i="181"/>
  <c r="C339" i="181"/>
  <c r="B339" i="157"/>
  <c r="C338" i="157"/>
  <c r="B339" i="156"/>
  <c r="C338" i="156"/>
  <c r="B339" i="155"/>
  <c r="C338" i="155"/>
  <c r="B292" i="137"/>
  <c r="C291" i="137"/>
  <c r="B287" i="133"/>
  <c r="C286" i="133"/>
  <c r="B287" i="131"/>
  <c r="C286" i="131"/>
  <c r="C281" i="88"/>
  <c r="B282" i="88"/>
  <c r="B342" i="205" l="1"/>
  <c r="C341" i="205"/>
  <c r="B341" i="204"/>
  <c r="C340" i="204"/>
  <c r="B341" i="203"/>
  <c r="C340" i="203"/>
  <c r="B341" i="202"/>
  <c r="C340" i="202"/>
  <c r="B341" i="201"/>
  <c r="C340" i="201"/>
  <c r="B341" i="200"/>
  <c r="C340" i="200"/>
  <c r="B341" i="199"/>
  <c r="C340" i="199"/>
  <c r="B341" i="198"/>
  <c r="C340" i="198"/>
  <c r="B341" i="197"/>
  <c r="C340" i="197"/>
  <c r="B342" i="193"/>
  <c r="C341" i="193"/>
  <c r="B340" i="190"/>
  <c r="C339" i="190"/>
  <c r="B341" i="182"/>
  <c r="C340" i="182"/>
  <c r="B341" i="181"/>
  <c r="C340" i="181"/>
  <c r="B340" i="157"/>
  <c r="C339" i="157"/>
  <c r="B340" i="156"/>
  <c r="C339" i="156"/>
  <c r="B340" i="155"/>
  <c r="C339" i="155"/>
  <c r="B293" i="137"/>
  <c r="C292" i="137"/>
  <c r="B288" i="133"/>
  <c r="C287" i="133"/>
  <c r="B288" i="131"/>
  <c r="C287" i="131"/>
  <c r="C282" i="88"/>
  <c r="B283" i="88"/>
  <c r="C342" i="205" l="1"/>
  <c r="B343" i="205"/>
  <c r="B342" i="204"/>
  <c r="C341" i="204"/>
  <c r="B342" i="203"/>
  <c r="C341" i="203"/>
  <c r="B342" i="202"/>
  <c r="C341" i="202"/>
  <c r="B342" i="201"/>
  <c r="C341" i="201"/>
  <c r="B342" i="200"/>
  <c r="C341" i="200"/>
  <c r="B342" i="199"/>
  <c r="C341" i="199"/>
  <c r="B342" i="198"/>
  <c r="C341" i="198"/>
  <c r="B342" i="197"/>
  <c r="C341" i="197"/>
  <c r="B343" i="193"/>
  <c r="C342" i="193"/>
  <c r="B341" i="190"/>
  <c r="C340" i="190"/>
  <c r="B342" i="182"/>
  <c r="C341" i="182"/>
  <c r="B342" i="181"/>
  <c r="C341" i="181"/>
  <c r="B341" i="157"/>
  <c r="C340" i="157"/>
  <c r="B341" i="156"/>
  <c r="C340" i="156"/>
  <c r="B341" i="155"/>
  <c r="C340" i="155"/>
  <c r="B294" i="137"/>
  <c r="C293" i="137"/>
  <c r="B289" i="133"/>
  <c r="C288" i="133"/>
  <c r="B289" i="131"/>
  <c r="C288" i="131"/>
  <c r="C283" i="88"/>
  <c r="B284" i="88"/>
  <c r="C343" i="205" l="1"/>
  <c r="B344" i="205"/>
  <c r="B343" i="204"/>
  <c r="C342" i="204"/>
  <c r="B343" i="203"/>
  <c r="C342" i="203"/>
  <c r="B343" i="202"/>
  <c r="C342" i="202"/>
  <c r="B343" i="201"/>
  <c r="C342" i="201"/>
  <c r="B343" i="200"/>
  <c r="C342" i="200"/>
  <c r="B343" i="199"/>
  <c r="C342" i="199"/>
  <c r="B343" i="198"/>
  <c r="C342" i="198"/>
  <c r="B343" i="197"/>
  <c r="C342" i="197"/>
  <c r="B344" i="193"/>
  <c r="C343" i="193"/>
  <c r="B342" i="190"/>
  <c r="C341" i="190"/>
  <c r="B343" i="182"/>
  <c r="C342" i="182"/>
  <c r="B343" i="181"/>
  <c r="C342" i="181"/>
  <c r="B342" i="157"/>
  <c r="C341" i="157"/>
  <c r="B342" i="156"/>
  <c r="C341" i="156"/>
  <c r="B342" i="155"/>
  <c r="C341" i="155"/>
  <c r="B295" i="137"/>
  <c r="C294" i="137"/>
  <c r="B290" i="133"/>
  <c r="C289" i="133"/>
  <c r="B290" i="131"/>
  <c r="C289" i="131"/>
  <c r="B285" i="88"/>
  <c r="C284" i="88"/>
  <c r="C344" i="205" l="1"/>
  <c r="B345" i="205"/>
  <c r="B344" i="204"/>
  <c r="C343" i="204"/>
  <c r="B344" i="203"/>
  <c r="C343" i="203"/>
  <c r="B344" i="202"/>
  <c r="C343" i="202"/>
  <c r="B344" i="201"/>
  <c r="C343" i="201"/>
  <c r="B344" i="200"/>
  <c r="C343" i="200"/>
  <c r="B344" i="199"/>
  <c r="C343" i="199"/>
  <c r="B344" i="198"/>
  <c r="C343" i="198"/>
  <c r="B344" i="197"/>
  <c r="C343" i="197"/>
  <c r="B345" i="193"/>
  <c r="C344" i="193"/>
  <c r="B343" i="190"/>
  <c r="C342" i="190"/>
  <c r="B344" i="182"/>
  <c r="C343" i="182"/>
  <c r="B344" i="181"/>
  <c r="C343" i="181"/>
  <c r="B343" i="157"/>
  <c r="C342" i="157"/>
  <c r="B343" i="156"/>
  <c r="C342" i="156"/>
  <c r="B343" i="155"/>
  <c r="C342" i="155"/>
  <c r="B296" i="137"/>
  <c r="C295" i="137"/>
  <c r="B291" i="133"/>
  <c r="C290" i="133"/>
  <c r="B291" i="131"/>
  <c r="C290" i="131"/>
  <c r="B286" i="88"/>
  <c r="C285" i="88"/>
  <c r="C345" i="205" l="1"/>
  <c r="B346" i="205"/>
  <c r="B345" i="204"/>
  <c r="C344" i="204"/>
  <c r="B345" i="203"/>
  <c r="C344" i="203"/>
  <c r="B345" i="202"/>
  <c r="C344" i="202"/>
  <c r="B345" i="201"/>
  <c r="C344" i="201"/>
  <c r="B345" i="200"/>
  <c r="C344" i="200"/>
  <c r="B345" i="199"/>
  <c r="C344" i="199"/>
  <c r="B345" i="198"/>
  <c r="C344" i="198"/>
  <c r="B345" i="197"/>
  <c r="C344" i="197"/>
  <c r="B346" i="193"/>
  <c r="C345" i="193"/>
  <c r="B344" i="190"/>
  <c r="C343" i="190"/>
  <c r="B345" i="182"/>
  <c r="C344" i="182"/>
  <c r="B345" i="181"/>
  <c r="C344" i="181"/>
  <c r="B344" i="157"/>
  <c r="C343" i="157"/>
  <c r="B344" i="156"/>
  <c r="C343" i="156"/>
  <c r="B344" i="155"/>
  <c r="C343" i="155"/>
  <c r="B297" i="137"/>
  <c r="C296" i="137"/>
  <c r="B292" i="133"/>
  <c r="C291" i="133"/>
  <c r="B292" i="131"/>
  <c r="C291" i="131"/>
  <c r="C286" i="88"/>
  <c r="B287" i="88"/>
  <c r="C346" i="205" l="1"/>
  <c r="B347" i="205"/>
  <c r="B346" i="204"/>
  <c r="C345" i="204"/>
  <c r="B346" i="203"/>
  <c r="C345" i="203"/>
  <c r="B346" i="202"/>
  <c r="C345" i="202"/>
  <c r="B346" i="201"/>
  <c r="C345" i="201"/>
  <c r="B346" i="200"/>
  <c r="C345" i="200"/>
  <c r="B346" i="199"/>
  <c r="C345" i="199"/>
  <c r="B346" i="198"/>
  <c r="C345" i="198"/>
  <c r="B346" i="197"/>
  <c r="C345" i="197"/>
  <c r="B347" i="193"/>
  <c r="C346" i="193"/>
  <c r="B345" i="190"/>
  <c r="C344" i="190"/>
  <c r="B346" i="182"/>
  <c r="C345" i="182"/>
  <c r="B346" i="181"/>
  <c r="C345" i="181"/>
  <c r="B345" i="157"/>
  <c r="C344" i="157"/>
  <c r="B345" i="156"/>
  <c r="C344" i="156"/>
  <c r="B345" i="155"/>
  <c r="C344" i="155"/>
  <c r="B298" i="137"/>
  <c r="C297" i="137"/>
  <c r="B293" i="133"/>
  <c r="C292" i="133"/>
  <c r="B293" i="131"/>
  <c r="C292" i="131"/>
  <c r="C287" i="88"/>
  <c r="B288" i="88"/>
  <c r="C347" i="205" l="1"/>
  <c r="B348" i="205"/>
  <c r="B347" i="204"/>
  <c r="C346" i="204"/>
  <c r="B347" i="203"/>
  <c r="C346" i="203"/>
  <c r="B347" i="202"/>
  <c r="C346" i="202"/>
  <c r="B347" i="201"/>
  <c r="C346" i="201"/>
  <c r="B347" i="200"/>
  <c r="C346" i="200"/>
  <c r="B347" i="199"/>
  <c r="C346" i="199"/>
  <c r="B347" i="198"/>
  <c r="C346" i="198"/>
  <c r="B347" i="197"/>
  <c r="C346" i="197"/>
  <c r="B348" i="193"/>
  <c r="C347" i="193"/>
  <c r="B346" i="190"/>
  <c r="C345" i="190"/>
  <c r="B347" i="182"/>
  <c r="C346" i="182"/>
  <c r="B347" i="181"/>
  <c r="C346" i="181"/>
  <c r="B346" i="157"/>
  <c r="C345" i="157"/>
  <c r="B346" i="156"/>
  <c r="C345" i="156"/>
  <c r="B346" i="155"/>
  <c r="C345" i="155"/>
  <c r="B299" i="137"/>
  <c r="C298" i="137"/>
  <c r="B294" i="133"/>
  <c r="C293" i="133"/>
  <c r="B294" i="131"/>
  <c r="C293" i="131"/>
  <c r="C288" i="88"/>
  <c r="B289" i="88"/>
  <c r="C348" i="205" l="1"/>
  <c r="B349" i="205"/>
  <c r="B348" i="204"/>
  <c r="C347" i="204"/>
  <c r="B348" i="203"/>
  <c r="C347" i="203"/>
  <c r="B348" i="202"/>
  <c r="C347" i="202"/>
  <c r="B348" i="201"/>
  <c r="C347" i="201"/>
  <c r="B348" i="200"/>
  <c r="C347" i="200"/>
  <c r="B348" i="199"/>
  <c r="C347" i="199"/>
  <c r="B348" i="198"/>
  <c r="C347" i="198"/>
  <c r="B348" i="197"/>
  <c r="C347" i="197"/>
  <c r="B349" i="193"/>
  <c r="C348" i="193"/>
  <c r="B347" i="190"/>
  <c r="C346" i="190"/>
  <c r="B348" i="182"/>
  <c r="C347" i="182"/>
  <c r="B348" i="181"/>
  <c r="C347" i="181"/>
  <c r="B347" i="157"/>
  <c r="C346" i="157"/>
  <c r="B347" i="156"/>
  <c r="C346" i="156"/>
  <c r="B347" i="155"/>
  <c r="C346" i="155"/>
  <c r="B300" i="137"/>
  <c r="C299" i="137"/>
  <c r="B295" i="133"/>
  <c r="C294" i="133"/>
  <c r="B295" i="131"/>
  <c r="C294" i="131"/>
  <c r="C289" i="88"/>
  <c r="B290" i="88"/>
  <c r="C349" i="205" l="1"/>
  <c r="B350" i="205"/>
  <c r="B349" i="204"/>
  <c r="C348" i="204"/>
  <c r="B349" i="203"/>
  <c r="C348" i="203"/>
  <c r="B349" i="202"/>
  <c r="C348" i="202"/>
  <c r="B349" i="201"/>
  <c r="C348" i="201"/>
  <c r="B349" i="200"/>
  <c r="C348" i="200"/>
  <c r="B349" i="199"/>
  <c r="C348" i="199"/>
  <c r="B349" i="198"/>
  <c r="C348" i="198"/>
  <c r="B349" i="197"/>
  <c r="C348" i="197"/>
  <c r="B350" i="193"/>
  <c r="C349" i="193"/>
  <c r="B348" i="190"/>
  <c r="C347" i="190"/>
  <c r="B349" i="182"/>
  <c r="C348" i="182"/>
  <c r="B349" i="181"/>
  <c r="C348" i="181"/>
  <c r="B348" i="157"/>
  <c r="C347" i="157"/>
  <c r="B348" i="156"/>
  <c r="C347" i="156"/>
  <c r="B348" i="155"/>
  <c r="C347" i="155"/>
  <c r="B301" i="137"/>
  <c r="C300" i="137"/>
  <c r="B296" i="133"/>
  <c r="C295" i="133"/>
  <c r="B296" i="131"/>
  <c r="C295" i="131"/>
  <c r="C290" i="88"/>
  <c r="B291" i="88"/>
  <c r="C350" i="205" l="1"/>
  <c r="B351" i="205"/>
  <c r="B350" i="204"/>
  <c r="C349" i="204"/>
  <c r="B350" i="203"/>
  <c r="C349" i="203"/>
  <c r="B350" i="202"/>
  <c r="C349" i="202"/>
  <c r="B350" i="201"/>
  <c r="C349" i="201"/>
  <c r="B350" i="200"/>
  <c r="C349" i="200"/>
  <c r="B350" i="199"/>
  <c r="C349" i="199"/>
  <c r="B350" i="198"/>
  <c r="C349" i="198"/>
  <c r="B350" i="197"/>
  <c r="C349" i="197"/>
  <c r="B351" i="193"/>
  <c r="C350" i="193"/>
  <c r="B349" i="190"/>
  <c r="C348" i="190"/>
  <c r="B350" i="182"/>
  <c r="C349" i="182"/>
  <c r="B350" i="181"/>
  <c r="C349" i="181"/>
  <c r="B349" i="157"/>
  <c r="C348" i="157"/>
  <c r="B349" i="156"/>
  <c r="C348" i="156"/>
  <c r="B349" i="155"/>
  <c r="C348" i="155"/>
  <c r="B302" i="137"/>
  <c r="C301" i="137"/>
  <c r="B297" i="133"/>
  <c r="C296" i="133"/>
  <c r="B297" i="131"/>
  <c r="C296" i="131"/>
  <c r="C291" i="88"/>
  <c r="B292" i="88"/>
  <c r="C351" i="205" l="1"/>
  <c r="B352" i="205"/>
  <c r="B351" i="204"/>
  <c r="C350" i="204"/>
  <c r="B351" i="203"/>
  <c r="C350" i="203"/>
  <c r="B351" i="202"/>
  <c r="C350" i="202"/>
  <c r="B351" i="201"/>
  <c r="C350" i="201"/>
  <c r="B351" i="200"/>
  <c r="C350" i="200"/>
  <c r="B351" i="199"/>
  <c r="C350" i="199"/>
  <c r="B351" i="198"/>
  <c r="C350" i="198"/>
  <c r="B351" i="197"/>
  <c r="C350" i="197"/>
  <c r="B352" i="193"/>
  <c r="C351" i="193"/>
  <c r="B350" i="190"/>
  <c r="C349" i="190"/>
  <c r="B351" i="182"/>
  <c r="C350" i="182"/>
  <c r="B351" i="181"/>
  <c r="C350" i="181"/>
  <c r="B350" i="157"/>
  <c r="C349" i="157"/>
  <c r="B350" i="156"/>
  <c r="C349" i="156"/>
  <c r="B350" i="155"/>
  <c r="C349" i="155"/>
  <c r="B303" i="137"/>
  <c r="C302" i="137"/>
  <c r="B298" i="133"/>
  <c r="C297" i="133"/>
  <c r="B298" i="131"/>
  <c r="C297" i="131"/>
  <c r="C292" i="88"/>
  <c r="B293" i="88"/>
  <c r="C352" i="205" l="1"/>
  <c r="B353" i="205"/>
  <c r="B352" i="204"/>
  <c r="C351" i="204"/>
  <c r="B352" i="203"/>
  <c r="C351" i="203"/>
  <c r="B352" i="202"/>
  <c r="C351" i="202"/>
  <c r="B352" i="201"/>
  <c r="C351" i="201"/>
  <c r="B352" i="200"/>
  <c r="C351" i="200"/>
  <c r="B352" i="199"/>
  <c r="C351" i="199"/>
  <c r="B352" i="198"/>
  <c r="C351" i="198"/>
  <c r="B352" i="197"/>
  <c r="C351" i="197"/>
  <c r="B353" i="193"/>
  <c r="C352" i="193"/>
  <c r="B351" i="190"/>
  <c r="C350" i="190"/>
  <c r="B352" i="182"/>
  <c r="C351" i="182"/>
  <c r="B352" i="181"/>
  <c r="C351" i="181"/>
  <c r="B351" i="157"/>
  <c r="C350" i="157"/>
  <c r="B351" i="156"/>
  <c r="C350" i="156"/>
  <c r="B351" i="155"/>
  <c r="C350" i="155"/>
  <c r="B304" i="137"/>
  <c r="C303" i="137"/>
  <c r="B299" i="133"/>
  <c r="C298" i="133"/>
  <c r="B299" i="131"/>
  <c r="C298" i="131"/>
  <c r="B294" i="88"/>
  <c r="C293" i="88"/>
  <c r="C353" i="205" l="1"/>
  <c r="B354" i="205"/>
  <c r="B353" i="204"/>
  <c r="C352" i="204"/>
  <c r="B353" i="203"/>
  <c r="C352" i="203"/>
  <c r="B353" i="202"/>
  <c r="C352" i="202"/>
  <c r="B353" i="201"/>
  <c r="C352" i="201"/>
  <c r="B353" i="200"/>
  <c r="C352" i="200"/>
  <c r="B353" i="199"/>
  <c r="C352" i="199"/>
  <c r="B353" i="198"/>
  <c r="C352" i="198"/>
  <c r="B353" i="197"/>
  <c r="C352" i="197"/>
  <c r="B354" i="193"/>
  <c r="C353" i="193"/>
  <c r="B352" i="190"/>
  <c r="C351" i="190"/>
  <c r="B353" i="182"/>
  <c r="C352" i="182"/>
  <c r="B353" i="181"/>
  <c r="C352" i="181"/>
  <c r="B352" i="157"/>
  <c r="C351" i="157"/>
  <c r="B352" i="156"/>
  <c r="C351" i="156"/>
  <c r="B352" i="155"/>
  <c r="C351" i="155"/>
  <c r="B305" i="137"/>
  <c r="C304" i="137"/>
  <c r="B300" i="133"/>
  <c r="C299" i="133"/>
  <c r="B300" i="131"/>
  <c r="C299" i="131"/>
  <c r="B295" i="88"/>
  <c r="C294" i="88"/>
  <c r="B355" i="205" l="1"/>
  <c r="C354" i="205"/>
  <c r="B354" i="204"/>
  <c r="C353" i="204"/>
  <c r="B354" i="203"/>
  <c r="C353" i="203"/>
  <c r="B354" i="202"/>
  <c r="C353" i="202"/>
  <c r="B354" i="201"/>
  <c r="C353" i="201"/>
  <c r="B354" i="200"/>
  <c r="C353" i="200"/>
  <c r="B354" i="199"/>
  <c r="C353" i="199"/>
  <c r="B354" i="198"/>
  <c r="C353" i="198"/>
  <c r="B354" i="197"/>
  <c r="C353" i="197"/>
  <c r="B355" i="193"/>
  <c r="C354" i="193"/>
  <c r="B353" i="190"/>
  <c r="C352" i="190"/>
  <c r="B354" i="182"/>
  <c r="C353" i="182"/>
  <c r="B354" i="181"/>
  <c r="C353" i="181"/>
  <c r="B353" i="157"/>
  <c r="C352" i="157"/>
  <c r="B353" i="156"/>
  <c r="C352" i="156"/>
  <c r="B353" i="155"/>
  <c r="C352" i="155"/>
  <c r="B306" i="137"/>
  <c r="C305" i="137"/>
  <c r="B301" i="133"/>
  <c r="C300" i="133"/>
  <c r="B301" i="131"/>
  <c r="C300" i="131"/>
  <c r="C295" i="88"/>
  <c r="B296" i="88"/>
  <c r="C355" i="205" l="1"/>
  <c r="B356" i="205"/>
  <c r="B355" i="204"/>
  <c r="C354" i="204"/>
  <c r="B355" i="203"/>
  <c r="C354" i="203"/>
  <c r="B355" i="202"/>
  <c r="C354" i="202"/>
  <c r="B355" i="201"/>
  <c r="C354" i="201"/>
  <c r="B355" i="200"/>
  <c r="C354" i="200"/>
  <c r="B355" i="199"/>
  <c r="C354" i="199"/>
  <c r="B355" i="198"/>
  <c r="C354" i="198"/>
  <c r="B355" i="197"/>
  <c r="C354" i="197"/>
  <c r="B356" i="193"/>
  <c r="C355" i="193"/>
  <c r="B354" i="190"/>
  <c r="C353" i="190"/>
  <c r="B355" i="182"/>
  <c r="C354" i="182"/>
  <c r="B355" i="181"/>
  <c r="C354" i="181"/>
  <c r="B354" i="157"/>
  <c r="C353" i="157"/>
  <c r="B354" i="156"/>
  <c r="C353" i="156"/>
  <c r="B354" i="155"/>
  <c r="C353" i="155"/>
  <c r="B307" i="137"/>
  <c r="C306" i="137"/>
  <c r="B302" i="133"/>
  <c r="C301" i="133"/>
  <c r="B302" i="131"/>
  <c r="C301" i="131"/>
  <c r="B297" i="88"/>
  <c r="C296" i="88"/>
  <c r="C356" i="205" l="1"/>
  <c r="B357" i="205"/>
  <c r="B356" i="204"/>
  <c r="C355" i="204"/>
  <c r="B356" i="203"/>
  <c r="C355" i="203"/>
  <c r="B356" i="202"/>
  <c r="C355" i="202"/>
  <c r="B356" i="201"/>
  <c r="C355" i="201"/>
  <c r="B356" i="200"/>
  <c r="C355" i="200"/>
  <c r="B356" i="199"/>
  <c r="C355" i="199"/>
  <c r="B356" i="198"/>
  <c r="C355" i="198"/>
  <c r="B356" i="197"/>
  <c r="C355" i="197"/>
  <c r="B357" i="193"/>
  <c r="C356" i="193"/>
  <c r="B355" i="190"/>
  <c r="C354" i="190"/>
  <c r="B356" i="182"/>
  <c r="C355" i="182"/>
  <c r="B356" i="181"/>
  <c r="C355" i="181"/>
  <c r="B355" i="157"/>
  <c r="C354" i="157"/>
  <c r="B355" i="156"/>
  <c r="C354" i="156"/>
  <c r="B355" i="155"/>
  <c r="C354" i="155"/>
  <c r="B308" i="137"/>
  <c r="C307" i="137"/>
  <c r="B303" i="133"/>
  <c r="C302" i="133"/>
  <c r="B303" i="131"/>
  <c r="C302" i="131"/>
  <c r="C297" i="88"/>
  <c r="B298" i="88"/>
  <c r="C357" i="205" l="1"/>
  <c r="B358" i="205"/>
  <c r="B357" i="204"/>
  <c r="C356" i="204"/>
  <c r="B357" i="203"/>
  <c r="C356" i="203"/>
  <c r="B357" i="202"/>
  <c r="C356" i="202"/>
  <c r="B357" i="201"/>
  <c r="C356" i="201"/>
  <c r="B357" i="200"/>
  <c r="C356" i="200"/>
  <c r="B357" i="199"/>
  <c r="C356" i="199"/>
  <c r="B357" i="198"/>
  <c r="C356" i="198"/>
  <c r="B357" i="197"/>
  <c r="C356" i="197"/>
  <c r="B358" i="193"/>
  <c r="C357" i="193"/>
  <c r="B356" i="190"/>
  <c r="C355" i="190"/>
  <c r="B357" i="182"/>
  <c r="C356" i="182"/>
  <c r="B357" i="181"/>
  <c r="C356" i="181"/>
  <c r="B356" i="157"/>
  <c r="C355" i="157"/>
  <c r="B356" i="156"/>
  <c r="C355" i="156"/>
  <c r="B356" i="155"/>
  <c r="C355" i="155"/>
  <c r="B309" i="137"/>
  <c r="C308" i="137"/>
  <c r="B304" i="133"/>
  <c r="C303" i="133"/>
  <c r="B304" i="131"/>
  <c r="C303" i="131"/>
  <c r="B299" i="88"/>
  <c r="C298" i="88"/>
  <c r="C358" i="205" l="1"/>
  <c r="B359" i="205"/>
  <c r="B358" i="204"/>
  <c r="C357" i="204"/>
  <c r="B358" i="203"/>
  <c r="C357" i="203"/>
  <c r="B358" i="202"/>
  <c r="C357" i="202"/>
  <c r="B358" i="201"/>
  <c r="C357" i="201"/>
  <c r="B358" i="200"/>
  <c r="C357" i="200"/>
  <c r="B358" i="199"/>
  <c r="C357" i="199"/>
  <c r="B358" i="198"/>
  <c r="C357" i="198"/>
  <c r="B358" i="197"/>
  <c r="C357" i="197"/>
  <c r="B359" i="193"/>
  <c r="C358" i="193"/>
  <c r="B357" i="190"/>
  <c r="C356" i="190"/>
  <c r="B358" i="182"/>
  <c r="C357" i="182"/>
  <c r="B358" i="181"/>
  <c r="C357" i="181"/>
  <c r="B357" i="157"/>
  <c r="C356" i="157"/>
  <c r="B357" i="156"/>
  <c r="C356" i="156"/>
  <c r="B357" i="155"/>
  <c r="C356" i="155"/>
  <c r="B310" i="137"/>
  <c r="C309" i="137"/>
  <c r="B305" i="133"/>
  <c r="C304" i="133"/>
  <c r="B305" i="131"/>
  <c r="C304" i="131"/>
  <c r="C299" i="88"/>
  <c r="B300" i="88"/>
  <c r="C359" i="205" l="1"/>
  <c r="B360" i="205"/>
  <c r="B359" i="204"/>
  <c r="C358" i="204"/>
  <c r="B359" i="203"/>
  <c r="C358" i="203"/>
  <c r="B359" i="202"/>
  <c r="C358" i="202"/>
  <c r="B359" i="201"/>
  <c r="C358" i="201"/>
  <c r="B359" i="200"/>
  <c r="C358" i="200"/>
  <c r="B359" i="199"/>
  <c r="C358" i="199"/>
  <c r="B359" i="198"/>
  <c r="C358" i="198"/>
  <c r="B359" i="197"/>
  <c r="C358" i="197"/>
  <c r="B360" i="193"/>
  <c r="C359" i="193"/>
  <c r="B358" i="190"/>
  <c r="C357" i="190"/>
  <c r="B359" i="182"/>
  <c r="C358" i="182"/>
  <c r="B359" i="181"/>
  <c r="C358" i="181"/>
  <c r="B358" i="157"/>
  <c r="C357" i="157"/>
  <c r="B358" i="156"/>
  <c r="C357" i="156"/>
  <c r="B358" i="155"/>
  <c r="C357" i="155"/>
  <c r="B311" i="137"/>
  <c r="C310" i="137"/>
  <c r="B306" i="133"/>
  <c r="C305" i="133"/>
  <c r="B306" i="131"/>
  <c r="C305" i="131"/>
  <c r="C300" i="88"/>
  <c r="B301" i="88"/>
  <c r="C360" i="205" l="1"/>
  <c r="B361" i="205"/>
  <c r="B360" i="204"/>
  <c r="C359" i="204"/>
  <c r="B360" i="203"/>
  <c r="C359" i="203"/>
  <c r="B360" i="202"/>
  <c r="C359" i="202"/>
  <c r="B360" i="201"/>
  <c r="C359" i="201"/>
  <c r="B360" i="200"/>
  <c r="C359" i="200"/>
  <c r="B360" i="199"/>
  <c r="C359" i="199"/>
  <c r="B360" i="198"/>
  <c r="C359" i="198"/>
  <c r="B360" i="197"/>
  <c r="C359" i="197"/>
  <c r="B361" i="193"/>
  <c r="C360" i="193"/>
  <c r="B359" i="190"/>
  <c r="C358" i="190"/>
  <c r="B360" i="182"/>
  <c r="C359" i="182"/>
  <c r="B360" i="181"/>
  <c r="C359" i="181"/>
  <c r="B359" i="157"/>
  <c r="C358" i="157"/>
  <c r="B359" i="156"/>
  <c r="C358" i="156"/>
  <c r="B359" i="155"/>
  <c r="C358" i="155"/>
  <c r="B312" i="137"/>
  <c r="C311" i="137"/>
  <c r="B307" i="133"/>
  <c r="C306" i="133"/>
  <c r="B307" i="131"/>
  <c r="C306" i="131"/>
  <c r="C301" i="88"/>
  <c r="B302" i="88"/>
  <c r="C361" i="205" l="1"/>
  <c r="B362" i="205"/>
  <c r="B361" i="204"/>
  <c r="C360" i="204"/>
  <c r="B361" i="203"/>
  <c r="C360" i="203"/>
  <c r="B361" i="202"/>
  <c r="C360" i="202"/>
  <c r="B361" i="201"/>
  <c r="C360" i="201"/>
  <c r="B361" i="200"/>
  <c r="C360" i="200"/>
  <c r="B361" i="199"/>
  <c r="C360" i="199"/>
  <c r="B361" i="198"/>
  <c r="C360" i="198"/>
  <c r="B361" i="197"/>
  <c r="C360" i="197"/>
  <c r="B362" i="193"/>
  <c r="C361" i="193"/>
  <c r="B360" i="190"/>
  <c r="C359" i="190"/>
  <c r="B361" i="182"/>
  <c r="C360" i="182"/>
  <c r="B361" i="181"/>
  <c r="C360" i="181"/>
  <c r="B360" i="157"/>
  <c r="C359" i="157"/>
  <c r="B360" i="156"/>
  <c r="C359" i="156"/>
  <c r="B360" i="155"/>
  <c r="C359" i="155"/>
  <c r="B313" i="137"/>
  <c r="C312" i="137"/>
  <c r="B308" i="133"/>
  <c r="C307" i="133"/>
  <c r="B308" i="131"/>
  <c r="C307" i="131"/>
  <c r="B303" i="88"/>
  <c r="C302" i="88"/>
  <c r="C362" i="205" l="1"/>
  <c r="B363" i="205"/>
  <c r="B362" i="204"/>
  <c r="C361" i="204"/>
  <c r="B362" i="203"/>
  <c r="C361" i="203"/>
  <c r="B362" i="202"/>
  <c r="C361" i="202"/>
  <c r="B362" i="201"/>
  <c r="C361" i="201"/>
  <c r="B362" i="200"/>
  <c r="C361" i="200"/>
  <c r="B362" i="199"/>
  <c r="C361" i="199"/>
  <c r="B362" i="198"/>
  <c r="C361" i="198"/>
  <c r="B362" i="197"/>
  <c r="C361" i="197"/>
  <c r="B363" i="193"/>
  <c r="C362" i="193"/>
  <c r="B361" i="190"/>
  <c r="C360" i="190"/>
  <c r="B362" i="182"/>
  <c r="C361" i="182"/>
  <c r="B362" i="181"/>
  <c r="C361" i="181"/>
  <c r="B361" i="157"/>
  <c r="C360" i="157"/>
  <c r="B361" i="156"/>
  <c r="C360" i="156"/>
  <c r="B361" i="155"/>
  <c r="C360" i="155"/>
  <c r="B314" i="137"/>
  <c r="C313" i="137"/>
  <c r="B309" i="133"/>
  <c r="C308" i="133"/>
  <c r="B309" i="131"/>
  <c r="C308" i="131"/>
  <c r="C303" i="88"/>
  <c r="B304" i="88"/>
  <c r="C363" i="205" l="1"/>
  <c r="B364" i="205"/>
  <c r="B363" i="204"/>
  <c r="C362" i="204"/>
  <c r="B363" i="203"/>
  <c r="C362" i="203"/>
  <c r="B363" i="202"/>
  <c r="C362" i="202"/>
  <c r="B363" i="201"/>
  <c r="C362" i="201"/>
  <c r="B363" i="200"/>
  <c r="C362" i="200"/>
  <c r="B363" i="199"/>
  <c r="C362" i="199"/>
  <c r="B363" i="198"/>
  <c r="C362" i="198"/>
  <c r="B363" i="197"/>
  <c r="C362" i="197"/>
  <c r="B364" i="193"/>
  <c r="C363" i="193"/>
  <c r="B362" i="190"/>
  <c r="C361" i="190"/>
  <c r="B363" i="182"/>
  <c r="C362" i="182"/>
  <c r="B363" i="181"/>
  <c r="C362" i="181"/>
  <c r="B362" i="157"/>
  <c r="C361" i="157"/>
  <c r="B362" i="156"/>
  <c r="C361" i="156"/>
  <c r="B362" i="155"/>
  <c r="C361" i="155"/>
  <c r="B315" i="137"/>
  <c r="C314" i="137"/>
  <c r="B310" i="133"/>
  <c r="C309" i="133"/>
  <c r="B310" i="131"/>
  <c r="C309" i="131"/>
  <c r="C304" i="88"/>
  <c r="B305" i="88"/>
  <c r="C364" i="205" l="1"/>
  <c r="B365" i="205"/>
  <c r="B364" i="204"/>
  <c r="C363" i="204"/>
  <c r="B364" i="203"/>
  <c r="C363" i="203"/>
  <c r="B364" i="202"/>
  <c r="C363" i="202"/>
  <c r="B364" i="201"/>
  <c r="C363" i="201"/>
  <c r="B364" i="200"/>
  <c r="C363" i="200"/>
  <c r="B364" i="199"/>
  <c r="C363" i="199"/>
  <c r="B364" i="198"/>
  <c r="C363" i="198"/>
  <c r="B364" i="197"/>
  <c r="C363" i="197"/>
  <c r="B365" i="193"/>
  <c r="C364" i="193"/>
  <c r="B363" i="190"/>
  <c r="C362" i="190"/>
  <c r="B364" i="182"/>
  <c r="C363" i="182"/>
  <c r="B364" i="181"/>
  <c r="C363" i="181"/>
  <c r="B363" i="157"/>
  <c r="C362" i="157"/>
  <c r="B363" i="156"/>
  <c r="C362" i="156"/>
  <c r="B363" i="155"/>
  <c r="C362" i="155"/>
  <c r="B316" i="137"/>
  <c r="C315" i="137"/>
  <c r="B311" i="133"/>
  <c r="C310" i="133"/>
  <c r="B311" i="131"/>
  <c r="C310" i="131"/>
  <c r="C305" i="88"/>
  <c r="B306" i="88"/>
  <c r="C365" i="205" l="1"/>
  <c r="B366" i="205"/>
  <c r="B365" i="204"/>
  <c r="C364" i="204"/>
  <c r="B365" i="203"/>
  <c r="C364" i="203"/>
  <c r="B365" i="202"/>
  <c r="C364" i="202"/>
  <c r="B365" i="201"/>
  <c r="C364" i="201"/>
  <c r="B365" i="200"/>
  <c r="C364" i="200"/>
  <c r="B365" i="199"/>
  <c r="C364" i="199"/>
  <c r="B365" i="198"/>
  <c r="C364" i="198"/>
  <c r="B365" i="197"/>
  <c r="C364" i="197"/>
  <c r="B366" i="193"/>
  <c r="C365" i="193"/>
  <c r="B364" i="190"/>
  <c r="C363" i="190"/>
  <c r="B365" i="182"/>
  <c r="C364" i="182"/>
  <c r="B365" i="181"/>
  <c r="C364" i="181"/>
  <c r="B364" i="157"/>
  <c r="C363" i="157"/>
  <c r="B364" i="156"/>
  <c r="C363" i="156"/>
  <c r="B364" i="155"/>
  <c r="C363" i="155"/>
  <c r="B317" i="137"/>
  <c r="C316" i="137"/>
  <c r="B312" i="133"/>
  <c r="C311" i="133"/>
  <c r="B312" i="131"/>
  <c r="C311" i="131"/>
  <c r="B307" i="88"/>
  <c r="C306" i="88"/>
  <c r="C366" i="205" l="1"/>
  <c r="B367" i="205"/>
  <c r="B366" i="204"/>
  <c r="C365" i="204"/>
  <c r="B366" i="203"/>
  <c r="C365" i="203"/>
  <c r="B366" i="202"/>
  <c r="C365" i="202"/>
  <c r="B366" i="201"/>
  <c r="C365" i="201"/>
  <c r="B366" i="200"/>
  <c r="C365" i="200"/>
  <c r="B366" i="199"/>
  <c r="C365" i="199"/>
  <c r="B366" i="198"/>
  <c r="C365" i="198"/>
  <c r="B366" i="197"/>
  <c r="C365" i="197"/>
  <c r="B367" i="193"/>
  <c r="C366" i="193"/>
  <c r="B365" i="190"/>
  <c r="C364" i="190"/>
  <c r="B366" i="182"/>
  <c r="C365" i="182"/>
  <c r="B366" i="181"/>
  <c r="C365" i="181"/>
  <c r="B365" i="157"/>
  <c r="C364" i="157"/>
  <c r="B365" i="156"/>
  <c r="C364" i="156"/>
  <c r="B365" i="155"/>
  <c r="C364" i="155"/>
  <c r="B318" i="137"/>
  <c r="C317" i="137"/>
  <c r="B313" i="133"/>
  <c r="C312" i="133"/>
  <c r="B313" i="131"/>
  <c r="C312" i="131"/>
  <c r="C307" i="88"/>
  <c r="B308" i="88"/>
  <c r="C367" i="205" l="1"/>
  <c r="B368" i="205"/>
  <c r="B367" i="204"/>
  <c r="C366" i="204"/>
  <c r="B367" i="203"/>
  <c r="C366" i="203"/>
  <c r="B367" i="202"/>
  <c r="C366" i="202"/>
  <c r="B367" i="201"/>
  <c r="C366" i="201"/>
  <c r="B367" i="200"/>
  <c r="C366" i="200"/>
  <c r="B367" i="199"/>
  <c r="C366" i="199"/>
  <c r="B367" i="198"/>
  <c r="C366" i="198"/>
  <c r="B367" i="197"/>
  <c r="C366" i="197"/>
  <c r="B368" i="193"/>
  <c r="C367" i="193"/>
  <c r="B366" i="190"/>
  <c r="C365" i="190"/>
  <c r="B367" i="182"/>
  <c r="C366" i="182"/>
  <c r="B367" i="181"/>
  <c r="C366" i="181"/>
  <c r="B366" i="157"/>
  <c r="C365" i="157"/>
  <c r="B366" i="156"/>
  <c r="C365" i="156"/>
  <c r="B366" i="155"/>
  <c r="C365" i="155"/>
  <c r="B319" i="137"/>
  <c r="C318" i="137"/>
  <c r="B314" i="133"/>
  <c r="C313" i="133"/>
  <c r="B314" i="131"/>
  <c r="C313" i="131"/>
  <c r="B309" i="88"/>
  <c r="C308" i="88"/>
  <c r="C368" i="205" l="1"/>
  <c r="B369" i="205"/>
  <c r="B368" i="204"/>
  <c r="C367" i="204"/>
  <c r="B368" i="203"/>
  <c r="C367" i="203"/>
  <c r="B368" i="202"/>
  <c r="C367" i="202"/>
  <c r="B368" i="201"/>
  <c r="C367" i="201"/>
  <c r="B368" i="200"/>
  <c r="C367" i="200"/>
  <c r="B368" i="199"/>
  <c r="C367" i="199"/>
  <c r="B368" i="198"/>
  <c r="C367" i="198"/>
  <c r="B368" i="197"/>
  <c r="C367" i="197"/>
  <c r="B369" i="193"/>
  <c r="C368" i="193"/>
  <c r="B367" i="190"/>
  <c r="C366" i="190"/>
  <c r="B368" i="182"/>
  <c r="C367" i="182"/>
  <c r="B368" i="181"/>
  <c r="C367" i="181"/>
  <c r="B367" i="157"/>
  <c r="C366" i="157"/>
  <c r="B367" i="156"/>
  <c r="C366" i="156"/>
  <c r="B367" i="155"/>
  <c r="C366" i="155"/>
  <c r="B320" i="137"/>
  <c r="C319" i="137"/>
  <c r="B315" i="133"/>
  <c r="C314" i="133"/>
  <c r="B315" i="131"/>
  <c r="C314" i="131"/>
  <c r="C309" i="88"/>
  <c r="B310" i="88"/>
  <c r="C369" i="205" l="1"/>
  <c r="B370" i="205"/>
  <c r="B369" i="204"/>
  <c r="C368" i="204"/>
  <c r="B369" i="203"/>
  <c r="C368" i="203"/>
  <c r="B369" i="202"/>
  <c r="C368" i="202"/>
  <c r="B369" i="201"/>
  <c r="C368" i="201"/>
  <c r="B369" i="200"/>
  <c r="C368" i="200"/>
  <c r="B369" i="199"/>
  <c r="C368" i="199"/>
  <c r="B369" i="198"/>
  <c r="C368" i="198"/>
  <c r="B369" i="197"/>
  <c r="C368" i="197"/>
  <c r="B370" i="193"/>
  <c r="C369" i="193"/>
  <c r="B368" i="190"/>
  <c r="C367" i="190"/>
  <c r="B369" i="182"/>
  <c r="C368" i="182"/>
  <c r="B369" i="181"/>
  <c r="C368" i="181"/>
  <c r="B368" i="157"/>
  <c r="C367" i="157"/>
  <c r="B368" i="156"/>
  <c r="C367" i="156"/>
  <c r="B368" i="155"/>
  <c r="C367" i="155"/>
  <c r="B321" i="137"/>
  <c r="C320" i="137"/>
  <c r="B316" i="133"/>
  <c r="C315" i="133"/>
  <c r="B316" i="131"/>
  <c r="C315" i="131"/>
  <c r="B311" i="88"/>
  <c r="C310" i="88"/>
  <c r="C370" i="205" l="1"/>
  <c r="B371" i="205"/>
  <c r="B370" i="204"/>
  <c r="C369" i="204"/>
  <c r="B370" i="203"/>
  <c r="C369" i="203"/>
  <c r="B370" i="202"/>
  <c r="C369" i="202"/>
  <c r="B370" i="201"/>
  <c r="C369" i="201"/>
  <c r="B370" i="200"/>
  <c r="C369" i="200"/>
  <c r="B370" i="199"/>
  <c r="C369" i="199"/>
  <c r="B370" i="198"/>
  <c r="C369" i="198"/>
  <c r="B370" i="197"/>
  <c r="C369" i="197"/>
  <c r="B371" i="193"/>
  <c r="C370" i="193"/>
  <c r="B369" i="190"/>
  <c r="C368" i="190"/>
  <c r="B370" i="182"/>
  <c r="C369" i="182"/>
  <c r="B370" i="181"/>
  <c r="C369" i="181"/>
  <c r="B369" i="157"/>
  <c r="C368" i="157"/>
  <c r="B369" i="156"/>
  <c r="C368" i="156"/>
  <c r="B369" i="155"/>
  <c r="C368" i="155"/>
  <c r="B322" i="137"/>
  <c r="C321" i="137"/>
  <c r="B317" i="133"/>
  <c r="C316" i="133"/>
  <c r="B317" i="131"/>
  <c r="C316" i="131"/>
  <c r="C311" i="88"/>
  <c r="B312" i="88"/>
  <c r="C371" i="205" l="1"/>
  <c r="B372" i="205"/>
  <c r="B371" i="204"/>
  <c r="C370" i="204"/>
  <c r="B371" i="203"/>
  <c r="C370" i="203"/>
  <c r="B371" i="202"/>
  <c r="C370" i="202"/>
  <c r="B371" i="201"/>
  <c r="C370" i="201"/>
  <c r="B371" i="200"/>
  <c r="C370" i="200"/>
  <c r="B371" i="199"/>
  <c r="C370" i="199"/>
  <c r="B371" i="198"/>
  <c r="C370" i="198"/>
  <c r="B371" i="197"/>
  <c r="C370" i="197"/>
  <c r="B372" i="193"/>
  <c r="C371" i="193"/>
  <c r="B370" i="190"/>
  <c r="C369" i="190"/>
  <c r="B371" i="182"/>
  <c r="C370" i="182"/>
  <c r="B371" i="181"/>
  <c r="C370" i="181"/>
  <c r="B370" i="157"/>
  <c r="C369" i="157"/>
  <c r="B370" i="156"/>
  <c r="C369" i="156"/>
  <c r="B370" i="155"/>
  <c r="C369" i="155"/>
  <c r="B323" i="137"/>
  <c r="C322" i="137"/>
  <c r="B318" i="133"/>
  <c r="C317" i="133"/>
  <c r="B318" i="131"/>
  <c r="C317" i="131"/>
  <c r="B313" i="88"/>
  <c r="C312" i="88"/>
  <c r="C372" i="205" l="1"/>
  <c r="B373" i="205"/>
  <c r="B372" i="204"/>
  <c r="C371" i="204"/>
  <c r="B372" i="203"/>
  <c r="C371" i="203"/>
  <c r="B372" i="202"/>
  <c r="C371" i="202"/>
  <c r="B372" i="201"/>
  <c r="C371" i="201"/>
  <c r="B372" i="200"/>
  <c r="C371" i="200"/>
  <c r="B372" i="199"/>
  <c r="C371" i="199"/>
  <c r="B372" i="198"/>
  <c r="C371" i="198"/>
  <c r="B372" i="197"/>
  <c r="C371" i="197"/>
  <c r="B373" i="193"/>
  <c r="C372" i="193"/>
  <c r="B371" i="190"/>
  <c r="C370" i="190"/>
  <c r="B372" i="182"/>
  <c r="C371" i="182"/>
  <c r="B372" i="181"/>
  <c r="C371" i="181"/>
  <c r="B371" i="157"/>
  <c r="C370" i="157"/>
  <c r="B371" i="156"/>
  <c r="C370" i="156"/>
  <c r="B371" i="155"/>
  <c r="C370" i="155"/>
  <c r="B324" i="137"/>
  <c r="C323" i="137"/>
  <c r="B319" i="133"/>
  <c r="C318" i="133"/>
  <c r="B319" i="131"/>
  <c r="C318" i="131"/>
  <c r="B314" i="88"/>
  <c r="C313" i="88"/>
  <c r="C373" i="205" l="1"/>
  <c r="B374" i="205"/>
  <c r="B373" i="204"/>
  <c r="C372" i="204"/>
  <c r="B373" i="203"/>
  <c r="C372" i="203"/>
  <c r="B373" i="202"/>
  <c r="C372" i="202"/>
  <c r="B373" i="201"/>
  <c r="C372" i="201"/>
  <c r="B373" i="200"/>
  <c r="C372" i="200"/>
  <c r="B373" i="199"/>
  <c r="C372" i="199"/>
  <c r="B373" i="198"/>
  <c r="C372" i="198"/>
  <c r="B373" i="197"/>
  <c r="C372" i="197"/>
  <c r="B374" i="193"/>
  <c r="C373" i="193"/>
  <c r="B372" i="190"/>
  <c r="C371" i="190"/>
  <c r="B373" i="182"/>
  <c r="C372" i="182"/>
  <c r="B373" i="181"/>
  <c r="C372" i="181"/>
  <c r="B372" i="157"/>
  <c r="C371" i="157"/>
  <c r="B372" i="156"/>
  <c r="C371" i="156"/>
  <c r="B372" i="155"/>
  <c r="C371" i="155"/>
  <c r="B325" i="137"/>
  <c r="C324" i="137"/>
  <c r="B320" i="133"/>
  <c r="C319" i="133"/>
  <c r="B320" i="131"/>
  <c r="C319" i="131"/>
  <c r="B315" i="88"/>
  <c r="C314" i="88"/>
  <c r="B375" i="205" l="1"/>
  <c r="C374" i="205"/>
  <c r="B374" i="204"/>
  <c r="C373" i="204"/>
  <c r="B374" i="203"/>
  <c r="C373" i="203"/>
  <c r="B374" i="202"/>
  <c r="C373" i="202"/>
  <c r="B374" i="201"/>
  <c r="C373" i="201"/>
  <c r="B374" i="200"/>
  <c r="C373" i="200"/>
  <c r="B374" i="199"/>
  <c r="C373" i="199"/>
  <c r="B374" i="198"/>
  <c r="C373" i="198"/>
  <c r="B374" i="197"/>
  <c r="C373" i="197"/>
  <c r="B375" i="193"/>
  <c r="C374" i="193"/>
  <c r="B373" i="190"/>
  <c r="C372" i="190"/>
  <c r="B374" i="182"/>
  <c r="C373" i="182"/>
  <c r="B374" i="181"/>
  <c r="C373" i="181"/>
  <c r="B373" i="157"/>
  <c r="C372" i="157"/>
  <c r="B373" i="156"/>
  <c r="C372" i="156"/>
  <c r="B373" i="155"/>
  <c r="C372" i="155"/>
  <c r="B326" i="137"/>
  <c r="C325" i="137"/>
  <c r="B321" i="133"/>
  <c r="C320" i="133"/>
  <c r="B321" i="131"/>
  <c r="C320" i="131"/>
  <c r="C315" i="88"/>
  <c r="B316" i="88"/>
  <c r="C375" i="205" l="1"/>
  <c r="B376" i="205"/>
  <c r="B375" i="204"/>
  <c r="C374" i="204"/>
  <c r="B375" i="203"/>
  <c r="C374" i="203"/>
  <c r="B375" i="202"/>
  <c r="C374" i="202"/>
  <c r="B375" i="201"/>
  <c r="C374" i="201"/>
  <c r="B375" i="200"/>
  <c r="C374" i="200"/>
  <c r="B375" i="199"/>
  <c r="C374" i="199"/>
  <c r="B375" i="198"/>
  <c r="C374" i="198"/>
  <c r="B375" i="197"/>
  <c r="C374" i="197"/>
  <c r="B376" i="193"/>
  <c r="C375" i="193"/>
  <c r="B374" i="190"/>
  <c r="C373" i="190"/>
  <c r="B375" i="182"/>
  <c r="C374" i="182"/>
  <c r="B375" i="181"/>
  <c r="C374" i="181"/>
  <c r="B374" i="157"/>
  <c r="C373" i="157"/>
  <c r="B374" i="156"/>
  <c r="C373" i="156"/>
  <c r="B374" i="155"/>
  <c r="C373" i="155"/>
  <c r="B327" i="137"/>
  <c r="C326" i="137"/>
  <c r="B322" i="133"/>
  <c r="C321" i="133"/>
  <c r="B322" i="131"/>
  <c r="C321" i="131"/>
  <c r="C316" i="88"/>
  <c r="B317" i="88"/>
  <c r="C376" i="205" l="1"/>
  <c r="B377" i="205"/>
  <c r="B376" i="204"/>
  <c r="C375" i="204"/>
  <c r="B376" i="203"/>
  <c r="C375" i="203"/>
  <c r="B376" i="202"/>
  <c r="C375" i="202"/>
  <c r="B376" i="201"/>
  <c r="C375" i="201"/>
  <c r="B376" i="200"/>
  <c r="C375" i="200"/>
  <c r="B376" i="199"/>
  <c r="C375" i="199"/>
  <c r="B376" i="198"/>
  <c r="C375" i="198"/>
  <c r="B376" i="197"/>
  <c r="C375" i="197"/>
  <c r="B377" i="193"/>
  <c r="C376" i="193"/>
  <c r="B375" i="190"/>
  <c r="C374" i="190"/>
  <c r="B376" i="182"/>
  <c r="C375" i="182"/>
  <c r="B376" i="181"/>
  <c r="C375" i="181"/>
  <c r="B375" i="157"/>
  <c r="C374" i="157"/>
  <c r="B375" i="156"/>
  <c r="C374" i="156"/>
  <c r="B375" i="155"/>
  <c r="C374" i="155"/>
  <c r="B328" i="137"/>
  <c r="C327" i="137"/>
  <c r="B323" i="133"/>
  <c r="C322" i="133"/>
  <c r="B323" i="131"/>
  <c r="C322" i="131"/>
  <c r="C317" i="88"/>
  <c r="B318" i="88"/>
  <c r="C377" i="205" l="1"/>
  <c r="B378" i="205"/>
  <c r="B377" i="204"/>
  <c r="C376" i="204"/>
  <c r="B377" i="203"/>
  <c r="C376" i="203"/>
  <c r="B377" i="202"/>
  <c r="C376" i="202"/>
  <c r="B377" i="201"/>
  <c r="C376" i="201"/>
  <c r="B377" i="200"/>
  <c r="C376" i="200"/>
  <c r="B377" i="199"/>
  <c r="C376" i="199"/>
  <c r="B377" i="198"/>
  <c r="C376" i="198"/>
  <c r="B377" i="197"/>
  <c r="C376" i="197"/>
  <c r="B378" i="193"/>
  <c r="C377" i="193"/>
  <c r="B376" i="190"/>
  <c r="C375" i="190"/>
  <c r="B377" i="182"/>
  <c r="C376" i="182"/>
  <c r="B377" i="181"/>
  <c r="C376" i="181"/>
  <c r="B376" i="157"/>
  <c r="C375" i="157"/>
  <c r="B376" i="156"/>
  <c r="C375" i="156"/>
  <c r="B376" i="155"/>
  <c r="C375" i="155"/>
  <c r="B329" i="137"/>
  <c r="C328" i="137"/>
  <c r="B324" i="133"/>
  <c r="C323" i="133"/>
  <c r="B324" i="131"/>
  <c r="C323" i="131"/>
  <c r="B319" i="88"/>
  <c r="C318" i="88"/>
  <c r="C378" i="205" l="1"/>
  <c r="B379" i="205"/>
  <c r="B378" i="204"/>
  <c r="C377" i="204"/>
  <c r="B378" i="203"/>
  <c r="C377" i="203"/>
  <c r="B378" i="202"/>
  <c r="C377" i="202"/>
  <c r="B378" i="201"/>
  <c r="C377" i="201"/>
  <c r="B378" i="200"/>
  <c r="C377" i="200"/>
  <c r="B378" i="199"/>
  <c r="C377" i="199"/>
  <c r="B378" i="198"/>
  <c r="C377" i="198"/>
  <c r="B378" i="197"/>
  <c r="C377" i="197"/>
  <c r="B379" i="193"/>
  <c r="C378" i="193"/>
  <c r="B377" i="190"/>
  <c r="C376" i="190"/>
  <c r="B378" i="182"/>
  <c r="C377" i="182"/>
  <c r="B378" i="181"/>
  <c r="C377" i="181"/>
  <c r="B377" i="157"/>
  <c r="C376" i="157"/>
  <c r="B377" i="156"/>
  <c r="C376" i="156"/>
  <c r="B377" i="155"/>
  <c r="C376" i="155"/>
  <c r="B330" i="137"/>
  <c r="C329" i="137"/>
  <c r="B325" i="133"/>
  <c r="C324" i="133"/>
  <c r="B325" i="131"/>
  <c r="C324" i="131"/>
  <c r="B320" i="88"/>
  <c r="C319" i="88"/>
  <c r="C379" i="205" l="1"/>
  <c r="B380" i="205"/>
  <c r="B379" i="204"/>
  <c r="C378" i="204"/>
  <c r="B379" i="203"/>
  <c r="C378" i="203"/>
  <c r="B379" i="202"/>
  <c r="C378" i="202"/>
  <c r="B379" i="201"/>
  <c r="C378" i="201"/>
  <c r="B379" i="200"/>
  <c r="C378" i="200"/>
  <c r="B379" i="199"/>
  <c r="C378" i="199"/>
  <c r="B379" i="198"/>
  <c r="C378" i="198"/>
  <c r="B379" i="197"/>
  <c r="C378" i="197"/>
  <c r="B380" i="193"/>
  <c r="C379" i="193"/>
  <c r="B378" i="190"/>
  <c r="C377" i="190"/>
  <c r="B379" i="182"/>
  <c r="C378" i="182"/>
  <c r="B379" i="181"/>
  <c r="C378" i="181"/>
  <c r="B378" i="157"/>
  <c r="C377" i="157"/>
  <c r="B378" i="156"/>
  <c r="C377" i="156"/>
  <c r="B378" i="155"/>
  <c r="C377" i="155"/>
  <c r="B331" i="137"/>
  <c r="C330" i="137"/>
  <c r="B326" i="133"/>
  <c r="C325" i="133"/>
  <c r="B326" i="131"/>
  <c r="C325" i="131"/>
  <c r="B321" i="88"/>
  <c r="C320" i="88"/>
  <c r="C380" i="205" l="1"/>
  <c r="B381" i="205"/>
  <c r="B380" i="204"/>
  <c r="C379" i="204"/>
  <c r="B380" i="203"/>
  <c r="C379" i="203"/>
  <c r="B380" i="202"/>
  <c r="C379" i="202"/>
  <c r="B380" i="201"/>
  <c r="C379" i="201"/>
  <c r="B380" i="200"/>
  <c r="C379" i="200"/>
  <c r="B380" i="199"/>
  <c r="C379" i="199"/>
  <c r="B380" i="198"/>
  <c r="C379" i="198"/>
  <c r="B380" i="197"/>
  <c r="C379" i="197"/>
  <c r="B381" i="193"/>
  <c r="C380" i="193"/>
  <c r="B379" i="190"/>
  <c r="C378" i="190"/>
  <c r="B380" i="182"/>
  <c r="C379" i="182"/>
  <c r="B380" i="181"/>
  <c r="C379" i="181"/>
  <c r="B379" i="157"/>
  <c r="C378" i="157"/>
  <c r="B379" i="156"/>
  <c r="C378" i="156"/>
  <c r="B379" i="155"/>
  <c r="C378" i="155"/>
  <c r="B332" i="137"/>
  <c r="C331" i="137"/>
  <c r="B327" i="133"/>
  <c r="C326" i="133"/>
  <c r="B327" i="131"/>
  <c r="C326" i="131"/>
  <c r="C321" i="88"/>
  <c r="B322" i="88"/>
  <c r="C381" i="205" l="1"/>
  <c r="B382" i="205"/>
  <c r="B381" i="204"/>
  <c r="C380" i="204"/>
  <c r="B381" i="203"/>
  <c r="C380" i="203"/>
  <c r="B381" i="202"/>
  <c r="C380" i="202"/>
  <c r="B381" i="201"/>
  <c r="C380" i="201"/>
  <c r="B381" i="200"/>
  <c r="C380" i="200"/>
  <c r="B381" i="199"/>
  <c r="C380" i="199"/>
  <c r="B381" i="198"/>
  <c r="C380" i="198"/>
  <c r="B381" i="197"/>
  <c r="C380" i="197"/>
  <c r="B382" i="193"/>
  <c r="C381" i="193"/>
  <c r="B380" i="190"/>
  <c r="C379" i="190"/>
  <c r="B381" i="182"/>
  <c r="C380" i="182"/>
  <c r="B381" i="181"/>
  <c r="C380" i="181"/>
  <c r="B380" i="157"/>
  <c r="C379" i="157"/>
  <c r="B380" i="156"/>
  <c r="C379" i="156"/>
  <c r="B380" i="155"/>
  <c r="C379" i="155"/>
  <c r="B333" i="137"/>
  <c r="C332" i="137"/>
  <c r="B328" i="133"/>
  <c r="C327" i="133"/>
  <c r="B328" i="131"/>
  <c r="C327" i="131"/>
  <c r="C322" i="88"/>
  <c r="B323" i="88"/>
  <c r="C382" i="205" l="1"/>
  <c r="B383" i="205"/>
  <c r="B382" i="204"/>
  <c r="C381" i="204"/>
  <c r="B382" i="203"/>
  <c r="C381" i="203"/>
  <c r="B382" i="202"/>
  <c r="C381" i="202"/>
  <c r="B382" i="201"/>
  <c r="C381" i="201"/>
  <c r="B382" i="200"/>
  <c r="C381" i="200"/>
  <c r="B382" i="199"/>
  <c r="C381" i="199"/>
  <c r="B382" i="198"/>
  <c r="C381" i="198"/>
  <c r="B382" i="197"/>
  <c r="C381" i="197"/>
  <c r="B383" i="193"/>
  <c r="C382" i="193"/>
  <c r="B381" i="190"/>
  <c r="C380" i="190"/>
  <c r="B382" i="182"/>
  <c r="C381" i="182"/>
  <c r="B382" i="181"/>
  <c r="C381" i="181"/>
  <c r="B381" i="157"/>
  <c r="C380" i="157"/>
  <c r="B381" i="156"/>
  <c r="C380" i="156"/>
  <c r="B381" i="155"/>
  <c r="C380" i="155"/>
  <c r="B334" i="137"/>
  <c r="C333" i="137"/>
  <c r="B329" i="133"/>
  <c r="C328" i="133"/>
  <c r="B329" i="131"/>
  <c r="C328" i="131"/>
  <c r="B324" i="88"/>
  <c r="C323" i="88"/>
  <c r="C383" i="205" l="1"/>
  <c r="B384" i="205"/>
  <c r="B383" i="204"/>
  <c r="C382" i="204"/>
  <c r="B383" i="203"/>
  <c r="C382" i="203"/>
  <c r="B383" i="202"/>
  <c r="C382" i="202"/>
  <c r="B383" i="201"/>
  <c r="C382" i="201"/>
  <c r="B383" i="200"/>
  <c r="C382" i="200"/>
  <c r="B383" i="199"/>
  <c r="C382" i="199"/>
  <c r="B383" i="198"/>
  <c r="C382" i="198"/>
  <c r="B383" i="197"/>
  <c r="C382" i="197"/>
  <c r="B384" i="193"/>
  <c r="C383" i="193"/>
  <c r="B382" i="190"/>
  <c r="C381" i="190"/>
  <c r="B383" i="182"/>
  <c r="C382" i="182"/>
  <c r="B383" i="181"/>
  <c r="C382" i="181"/>
  <c r="B382" i="157"/>
  <c r="C381" i="157"/>
  <c r="B382" i="156"/>
  <c r="C381" i="156"/>
  <c r="B382" i="155"/>
  <c r="C381" i="155"/>
  <c r="B335" i="137"/>
  <c r="C334" i="137"/>
  <c r="B330" i="133"/>
  <c r="C329" i="133"/>
  <c r="B330" i="131"/>
  <c r="C329" i="131"/>
  <c r="B325" i="88"/>
  <c r="C324" i="88"/>
  <c r="C384" i="205" l="1"/>
  <c r="B385" i="205"/>
  <c r="B384" i="204"/>
  <c r="C383" i="204"/>
  <c r="B384" i="203"/>
  <c r="C383" i="203"/>
  <c r="B384" i="202"/>
  <c r="C383" i="202"/>
  <c r="B384" i="201"/>
  <c r="C383" i="201"/>
  <c r="B384" i="200"/>
  <c r="C383" i="200"/>
  <c r="B384" i="199"/>
  <c r="C383" i="199"/>
  <c r="B384" i="198"/>
  <c r="C383" i="198"/>
  <c r="B384" i="197"/>
  <c r="C383" i="197"/>
  <c r="B385" i="193"/>
  <c r="C384" i="193"/>
  <c r="B383" i="190"/>
  <c r="C382" i="190"/>
  <c r="B384" i="182"/>
  <c r="C383" i="182"/>
  <c r="B384" i="181"/>
  <c r="C383" i="181"/>
  <c r="B383" i="157"/>
  <c r="C382" i="157"/>
  <c r="B383" i="156"/>
  <c r="C382" i="156"/>
  <c r="B383" i="155"/>
  <c r="C382" i="155"/>
  <c r="B336" i="137"/>
  <c r="C335" i="137"/>
  <c r="B331" i="133"/>
  <c r="C330" i="133"/>
  <c r="B331" i="131"/>
  <c r="C330" i="131"/>
  <c r="C325" i="88"/>
  <c r="B326" i="88"/>
  <c r="C385" i="205" l="1"/>
  <c r="B386" i="205"/>
  <c r="B385" i="204"/>
  <c r="C384" i="204"/>
  <c r="B385" i="203"/>
  <c r="C384" i="203"/>
  <c r="B385" i="202"/>
  <c r="C384" i="202"/>
  <c r="B385" i="201"/>
  <c r="C384" i="201"/>
  <c r="B385" i="200"/>
  <c r="C384" i="200"/>
  <c r="B385" i="199"/>
  <c r="C384" i="199"/>
  <c r="B385" i="198"/>
  <c r="C384" i="198"/>
  <c r="B385" i="197"/>
  <c r="C384" i="197"/>
  <c r="B386" i="193"/>
  <c r="C385" i="193"/>
  <c r="B384" i="190"/>
  <c r="C383" i="190"/>
  <c r="B385" i="182"/>
  <c r="C384" i="182"/>
  <c r="B385" i="181"/>
  <c r="C384" i="181"/>
  <c r="B384" i="157"/>
  <c r="C383" i="157"/>
  <c r="B384" i="156"/>
  <c r="C383" i="156"/>
  <c r="B384" i="155"/>
  <c r="C383" i="155"/>
  <c r="B337" i="137"/>
  <c r="C336" i="137"/>
  <c r="B332" i="133"/>
  <c r="C331" i="133"/>
  <c r="B332" i="131"/>
  <c r="C331" i="131"/>
  <c r="B327" i="88"/>
  <c r="C326" i="88"/>
  <c r="C386" i="205" l="1"/>
  <c r="B387" i="205"/>
  <c r="B386" i="204"/>
  <c r="C385" i="204"/>
  <c r="B386" i="203"/>
  <c r="C385" i="203"/>
  <c r="B386" i="202"/>
  <c r="C385" i="202"/>
  <c r="B386" i="201"/>
  <c r="C385" i="201"/>
  <c r="B386" i="200"/>
  <c r="C385" i="200"/>
  <c r="B386" i="199"/>
  <c r="C385" i="199"/>
  <c r="B386" i="198"/>
  <c r="C385" i="198"/>
  <c r="B386" i="197"/>
  <c r="C385" i="197"/>
  <c r="B387" i="193"/>
  <c r="C386" i="193"/>
  <c r="B385" i="190"/>
  <c r="C384" i="190"/>
  <c r="B386" i="182"/>
  <c r="C385" i="182"/>
  <c r="B386" i="181"/>
  <c r="C385" i="181"/>
  <c r="B385" i="157"/>
  <c r="C384" i="157"/>
  <c r="B385" i="156"/>
  <c r="C384" i="156"/>
  <c r="B385" i="155"/>
  <c r="C384" i="155"/>
  <c r="B338" i="137"/>
  <c r="C337" i="137"/>
  <c r="B333" i="133"/>
  <c r="C332" i="133"/>
  <c r="B333" i="131"/>
  <c r="C332" i="131"/>
  <c r="C327" i="88"/>
  <c r="B328" i="88"/>
  <c r="B388" i="205" l="1"/>
  <c r="C387" i="205"/>
  <c r="B387" i="204"/>
  <c r="C386" i="204"/>
  <c r="B387" i="203"/>
  <c r="C386" i="203"/>
  <c r="B387" i="202"/>
  <c r="C386" i="202"/>
  <c r="B387" i="201"/>
  <c r="C386" i="201"/>
  <c r="B387" i="200"/>
  <c r="C386" i="200"/>
  <c r="B387" i="199"/>
  <c r="C386" i="199"/>
  <c r="B387" i="198"/>
  <c r="C386" i="198"/>
  <c r="B387" i="197"/>
  <c r="C386" i="197"/>
  <c r="B388" i="193"/>
  <c r="C387" i="193"/>
  <c r="B386" i="190"/>
  <c r="C385" i="190"/>
  <c r="B387" i="182"/>
  <c r="C386" i="182"/>
  <c r="B387" i="181"/>
  <c r="C386" i="181"/>
  <c r="B386" i="157"/>
  <c r="C385" i="157"/>
  <c r="B386" i="156"/>
  <c r="C385" i="156"/>
  <c r="B386" i="155"/>
  <c r="C385" i="155"/>
  <c r="B339" i="137"/>
  <c r="C338" i="137"/>
  <c r="B334" i="133"/>
  <c r="C333" i="133"/>
  <c r="B334" i="131"/>
  <c r="C333" i="131"/>
  <c r="C328" i="88"/>
  <c r="B329" i="88"/>
  <c r="C388" i="205" l="1"/>
  <c r="B389" i="205"/>
  <c r="B388" i="204"/>
  <c r="C387" i="204"/>
  <c r="B388" i="203"/>
  <c r="C387" i="203"/>
  <c r="B388" i="202"/>
  <c r="C387" i="202"/>
  <c r="B388" i="201"/>
  <c r="C387" i="201"/>
  <c r="B388" i="200"/>
  <c r="C387" i="200"/>
  <c r="B388" i="199"/>
  <c r="C387" i="199"/>
  <c r="B388" i="198"/>
  <c r="C387" i="198"/>
  <c r="B388" i="197"/>
  <c r="C387" i="197"/>
  <c r="B389" i="193"/>
  <c r="C388" i="193"/>
  <c r="B387" i="190"/>
  <c r="C386" i="190"/>
  <c r="B388" i="182"/>
  <c r="C387" i="182"/>
  <c r="B388" i="181"/>
  <c r="C387" i="181"/>
  <c r="B387" i="157"/>
  <c r="C386" i="157"/>
  <c r="B387" i="156"/>
  <c r="C386" i="156"/>
  <c r="B387" i="155"/>
  <c r="C386" i="155"/>
  <c r="B340" i="137"/>
  <c r="C339" i="137"/>
  <c r="B335" i="133"/>
  <c r="C334" i="133"/>
  <c r="B335" i="131"/>
  <c r="C334" i="131"/>
  <c r="C329" i="88"/>
  <c r="B330" i="88"/>
  <c r="C389" i="205" l="1"/>
  <c r="B390" i="205"/>
  <c r="B389" i="204"/>
  <c r="C388" i="204"/>
  <c r="B389" i="203"/>
  <c r="C388" i="203"/>
  <c r="B389" i="202"/>
  <c r="C388" i="202"/>
  <c r="B389" i="201"/>
  <c r="C388" i="201"/>
  <c r="B389" i="200"/>
  <c r="C388" i="200"/>
  <c r="B389" i="199"/>
  <c r="C388" i="199"/>
  <c r="B389" i="198"/>
  <c r="C388" i="198"/>
  <c r="B389" i="197"/>
  <c r="C388" i="197"/>
  <c r="B390" i="193"/>
  <c r="C389" i="193"/>
  <c r="B388" i="190"/>
  <c r="C387" i="190"/>
  <c r="B389" i="182"/>
  <c r="C388" i="182"/>
  <c r="B389" i="181"/>
  <c r="C388" i="181"/>
  <c r="B388" i="157"/>
  <c r="C387" i="157"/>
  <c r="B388" i="156"/>
  <c r="C387" i="156"/>
  <c r="B388" i="155"/>
  <c r="C387" i="155"/>
  <c r="B341" i="137"/>
  <c r="C340" i="137"/>
  <c r="B336" i="133"/>
  <c r="C335" i="133"/>
  <c r="B336" i="131"/>
  <c r="C335" i="131"/>
  <c r="B331" i="88"/>
  <c r="C330" i="88"/>
  <c r="C390" i="205" l="1"/>
  <c r="B391" i="205"/>
  <c r="B390" i="204"/>
  <c r="C389" i="204"/>
  <c r="B390" i="203"/>
  <c r="C389" i="203"/>
  <c r="B390" i="202"/>
  <c r="C389" i="202"/>
  <c r="B390" i="201"/>
  <c r="C389" i="201"/>
  <c r="B390" i="200"/>
  <c r="C389" i="200"/>
  <c r="B390" i="199"/>
  <c r="C389" i="199"/>
  <c r="B390" i="198"/>
  <c r="C389" i="198"/>
  <c r="B390" i="197"/>
  <c r="C389" i="197"/>
  <c r="B391" i="193"/>
  <c r="C390" i="193"/>
  <c r="B389" i="190"/>
  <c r="C388" i="190"/>
  <c r="B390" i="182"/>
  <c r="C389" i="182"/>
  <c r="B390" i="181"/>
  <c r="C389" i="181"/>
  <c r="B389" i="157"/>
  <c r="C388" i="157"/>
  <c r="B389" i="156"/>
  <c r="C388" i="156"/>
  <c r="B389" i="155"/>
  <c r="C388" i="155"/>
  <c r="B342" i="137"/>
  <c r="C341" i="137"/>
  <c r="B337" i="133"/>
  <c r="C336" i="133"/>
  <c r="B337" i="131"/>
  <c r="C336" i="131"/>
  <c r="B332" i="88"/>
  <c r="C331" i="88"/>
  <c r="C391" i="205" l="1"/>
  <c r="B392" i="205"/>
  <c r="B391" i="204"/>
  <c r="C390" i="204"/>
  <c r="B391" i="203"/>
  <c r="C390" i="203"/>
  <c r="B391" i="202"/>
  <c r="C390" i="202"/>
  <c r="B391" i="201"/>
  <c r="C390" i="201"/>
  <c r="B391" i="200"/>
  <c r="C390" i="200"/>
  <c r="B391" i="199"/>
  <c r="C390" i="199"/>
  <c r="B391" i="198"/>
  <c r="C390" i="198"/>
  <c r="B391" i="197"/>
  <c r="C390" i="197"/>
  <c r="B392" i="193"/>
  <c r="C391" i="193"/>
  <c r="B390" i="190"/>
  <c r="C389" i="190"/>
  <c r="B391" i="182"/>
  <c r="C390" i="182"/>
  <c r="B391" i="181"/>
  <c r="C390" i="181"/>
  <c r="B390" i="157"/>
  <c r="C389" i="157"/>
  <c r="B390" i="156"/>
  <c r="C389" i="156"/>
  <c r="B390" i="155"/>
  <c r="C389" i="155"/>
  <c r="B343" i="137"/>
  <c r="C342" i="137"/>
  <c r="B338" i="133"/>
  <c r="C337" i="133"/>
  <c r="B338" i="131"/>
  <c r="C337" i="131"/>
  <c r="B333" i="88"/>
  <c r="C332" i="88"/>
  <c r="C392" i="205" l="1"/>
  <c r="B393" i="205"/>
  <c r="B392" i="204"/>
  <c r="C391" i="204"/>
  <c r="B392" i="203"/>
  <c r="C391" i="203"/>
  <c r="B392" i="202"/>
  <c r="C391" i="202"/>
  <c r="B392" i="201"/>
  <c r="C391" i="201"/>
  <c r="B392" i="200"/>
  <c r="C391" i="200"/>
  <c r="B392" i="199"/>
  <c r="C391" i="199"/>
  <c r="B392" i="198"/>
  <c r="C391" i="198"/>
  <c r="B392" i="197"/>
  <c r="C391" i="197"/>
  <c r="B393" i="193"/>
  <c r="C392" i="193"/>
  <c r="B391" i="190"/>
  <c r="C390" i="190"/>
  <c r="B392" i="182"/>
  <c r="C391" i="182"/>
  <c r="B392" i="181"/>
  <c r="C391" i="181"/>
  <c r="B391" i="157"/>
  <c r="C390" i="157"/>
  <c r="B391" i="156"/>
  <c r="C390" i="156"/>
  <c r="B391" i="155"/>
  <c r="C390" i="155"/>
  <c r="B344" i="137"/>
  <c r="C343" i="137"/>
  <c r="B339" i="133"/>
  <c r="C338" i="133"/>
  <c r="B339" i="131"/>
  <c r="C338" i="131"/>
  <c r="C333" i="88"/>
  <c r="B334" i="88"/>
  <c r="C393" i="205" l="1"/>
  <c r="B394" i="205"/>
  <c r="B393" i="204"/>
  <c r="C392" i="204"/>
  <c r="B393" i="203"/>
  <c r="C392" i="203"/>
  <c r="B393" i="202"/>
  <c r="C392" i="202"/>
  <c r="B393" i="201"/>
  <c r="C392" i="201"/>
  <c r="B393" i="200"/>
  <c r="C392" i="200"/>
  <c r="B393" i="199"/>
  <c r="C392" i="199"/>
  <c r="B393" i="198"/>
  <c r="C392" i="198"/>
  <c r="B393" i="197"/>
  <c r="C392" i="197"/>
  <c r="B394" i="193"/>
  <c r="C393" i="193"/>
  <c r="B392" i="190"/>
  <c r="C391" i="190"/>
  <c r="B393" i="182"/>
  <c r="C392" i="182"/>
  <c r="B393" i="181"/>
  <c r="C392" i="181"/>
  <c r="B392" i="157"/>
  <c r="C391" i="157"/>
  <c r="B392" i="156"/>
  <c r="C391" i="156"/>
  <c r="B392" i="155"/>
  <c r="C391" i="155"/>
  <c r="B345" i="137"/>
  <c r="C344" i="137"/>
  <c r="B340" i="133"/>
  <c r="C339" i="133"/>
  <c r="B340" i="131"/>
  <c r="C339" i="131"/>
  <c r="C334" i="88"/>
  <c r="B335" i="88"/>
  <c r="C394" i="205" l="1"/>
  <c r="B395" i="205"/>
  <c r="B394" i="204"/>
  <c r="C393" i="204"/>
  <c r="B394" i="203"/>
  <c r="C393" i="203"/>
  <c r="B394" i="202"/>
  <c r="C393" i="202"/>
  <c r="B394" i="201"/>
  <c r="C393" i="201"/>
  <c r="B394" i="200"/>
  <c r="C393" i="200"/>
  <c r="B394" i="199"/>
  <c r="C393" i="199"/>
  <c r="B394" i="198"/>
  <c r="C393" i="198"/>
  <c r="B394" i="197"/>
  <c r="C393" i="197"/>
  <c r="B395" i="193"/>
  <c r="C394" i="193"/>
  <c r="B393" i="190"/>
  <c r="C392" i="190"/>
  <c r="B394" i="182"/>
  <c r="C393" i="182"/>
  <c r="B394" i="181"/>
  <c r="C393" i="181"/>
  <c r="B393" i="157"/>
  <c r="C392" i="157"/>
  <c r="B393" i="156"/>
  <c r="C392" i="156"/>
  <c r="B393" i="155"/>
  <c r="C392" i="155"/>
  <c r="B346" i="137"/>
  <c r="C345" i="137"/>
  <c r="B341" i="133"/>
  <c r="C340" i="133"/>
  <c r="B341" i="131"/>
  <c r="C340" i="131"/>
  <c r="C335" i="88"/>
  <c r="B336" i="88"/>
  <c r="C395" i="205" l="1"/>
  <c r="B396" i="205"/>
  <c r="B395" i="204"/>
  <c r="C394" i="204"/>
  <c r="B395" i="203"/>
  <c r="C394" i="203"/>
  <c r="B395" i="202"/>
  <c r="C394" i="202"/>
  <c r="B395" i="201"/>
  <c r="C394" i="201"/>
  <c r="B395" i="200"/>
  <c r="C394" i="200"/>
  <c r="B395" i="199"/>
  <c r="C394" i="199"/>
  <c r="B395" i="198"/>
  <c r="C394" i="198"/>
  <c r="B395" i="197"/>
  <c r="C394" i="197"/>
  <c r="B396" i="193"/>
  <c r="C395" i="193"/>
  <c r="B394" i="190"/>
  <c r="C393" i="190"/>
  <c r="B395" i="182"/>
  <c r="C394" i="182"/>
  <c r="B395" i="181"/>
  <c r="C394" i="181"/>
  <c r="B394" i="157"/>
  <c r="C393" i="157"/>
  <c r="B394" i="156"/>
  <c r="C393" i="156"/>
  <c r="B394" i="155"/>
  <c r="C393" i="155"/>
  <c r="B347" i="137"/>
  <c r="C346" i="137"/>
  <c r="B342" i="133"/>
  <c r="C341" i="133"/>
  <c r="B342" i="131"/>
  <c r="C341" i="131"/>
  <c r="C336" i="88"/>
  <c r="B337" i="88"/>
  <c r="C396" i="205" l="1"/>
  <c r="B397" i="205"/>
  <c r="B396" i="204"/>
  <c r="C395" i="204"/>
  <c r="B396" i="203"/>
  <c r="C395" i="203"/>
  <c r="B396" i="202"/>
  <c r="C395" i="202"/>
  <c r="B396" i="201"/>
  <c r="C395" i="201"/>
  <c r="B396" i="200"/>
  <c r="C395" i="200"/>
  <c r="B396" i="199"/>
  <c r="C395" i="199"/>
  <c r="B396" i="198"/>
  <c r="C395" i="198"/>
  <c r="B396" i="197"/>
  <c r="C395" i="197"/>
  <c r="B397" i="193"/>
  <c r="C396" i="193"/>
  <c r="B395" i="190"/>
  <c r="C394" i="190"/>
  <c r="B396" i="182"/>
  <c r="C395" i="182"/>
  <c r="B396" i="181"/>
  <c r="C395" i="181"/>
  <c r="B395" i="157"/>
  <c r="C394" i="157"/>
  <c r="B395" i="156"/>
  <c r="C394" i="156"/>
  <c r="B395" i="155"/>
  <c r="C394" i="155"/>
  <c r="B348" i="137"/>
  <c r="C347" i="137"/>
  <c r="B343" i="133"/>
  <c r="C342" i="133"/>
  <c r="B343" i="131"/>
  <c r="C342" i="131"/>
  <c r="C337" i="88"/>
  <c r="B338" i="88"/>
  <c r="C397" i="205" l="1"/>
  <c r="B398" i="205"/>
  <c r="B397" i="204"/>
  <c r="C396" i="204"/>
  <c r="B397" i="203"/>
  <c r="C396" i="203"/>
  <c r="B397" i="202"/>
  <c r="C396" i="202"/>
  <c r="B397" i="201"/>
  <c r="C396" i="201"/>
  <c r="B397" i="200"/>
  <c r="C396" i="200"/>
  <c r="B397" i="199"/>
  <c r="C396" i="199"/>
  <c r="B397" i="198"/>
  <c r="C396" i="198"/>
  <c r="B397" i="197"/>
  <c r="C396" i="197"/>
  <c r="B398" i="193"/>
  <c r="C397" i="193"/>
  <c r="B396" i="190"/>
  <c r="C395" i="190"/>
  <c r="B397" i="182"/>
  <c r="C396" i="182"/>
  <c r="B397" i="181"/>
  <c r="C396" i="181"/>
  <c r="B396" i="157"/>
  <c r="C395" i="157"/>
  <c r="B396" i="156"/>
  <c r="C395" i="156"/>
  <c r="B396" i="155"/>
  <c r="C395" i="155"/>
  <c r="B349" i="137"/>
  <c r="C348" i="137"/>
  <c r="B344" i="133"/>
  <c r="C343" i="133"/>
  <c r="B344" i="131"/>
  <c r="C343" i="131"/>
  <c r="B339" i="88"/>
  <c r="C338" i="88"/>
  <c r="C398" i="205" l="1"/>
  <c r="B399" i="205"/>
  <c r="B398" i="204"/>
  <c r="C397" i="204"/>
  <c r="B398" i="203"/>
  <c r="C397" i="203"/>
  <c r="B398" i="202"/>
  <c r="C397" i="202"/>
  <c r="B398" i="201"/>
  <c r="C397" i="201"/>
  <c r="B398" i="200"/>
  <c r="C397" i="200"/>
  <c r="B398" i="199"/>
  <c r="C397" i="199"/>
  <c r="B398" i="198"/>
  <c r="C397" i="198"/>
  <c r="B398" i="197"/>
  <c r="C397" i="197"/>
  <c r="B399" i="193"/>
  <c r="C398" i="193"/>
  <c r="B397" i="190"/>
  <c r="C396" i="190"/>
  <c r="B398" i="182"/>
  <c r="C397" i="182"/>
  <c r="B398" i="181"/>
  <c r="C397" i="181"/>
  <c r="B397" i="157"/>
  <c r="C396" i="157"/>
  <c r="B397" i="156"/>
  <c r="C396" i="156"/>
  <c r="B397" i="155"/>
  <c r="C396" i="155"/>
  <c r="B350" i="137"/>
  <c r="C349" i="137"/>
  <c r="B345" i="133"/>
  <c r="C344" i="133"/>
  <c r="B345" i="131"/>
  <c r="C344" i="131"/>
  <c r="C339" i="88"/>
  <c r="B340" i="88"/>
  <c r="C399" i="205" l="1"/>
  <c r="B400" i="205"/>
  <c r="B399" i="204"/>
  <c r="C398" i="204"/>
  <c r="B399" i="203"/>
  <c r="C398" i="203"/>
  <c r="B399" i="202"/>
  <c r="C398" i="202"/>
  <c r="B399" i="201"/>
  <c r="C398" i="201"/>
  <c r="B399" i="200"/>
  <c r="C398" i="200"/>
  <c r="B399" i="199"/>
  <c r="C398" i="199"/>
  <c r="B399" i="198"/>
  <c r="C398" i="198"/>
  <c r="B399" i="197"/>
  <c r="C398" i="197"/>
  <c r="B400" i="193"/>
  <c r="C399" i="193"/>
  <c r="B398" i="190"/>
  <c r="C397" i="190"/>
  <c r="B399" i="182"/>
  <c r="C398" i="182"/>
  <c r="B399" i="181"/>
  <c r="C398" i="181"/>
  <c r="B398" i="157"/>
  <c r="C397" i="157"/>
  <c r="B398" i="156"/>
  <c r="C397" i="156"/>
  <c r="B398" i="155"/>
  <c r="C397" i="155"/>
  <c r="B351" i="137"/>
  <c r="C350" i="137"/>
  <c r="B346" i="133"/>
  <c r="C345" i="133"/>
  <c r="B346" i="131"/>
  <c r="C345" i="131"/>
  <c r="B341" i="88"/>
  <c r="C340" i="88"/>
  <c r="B401" i="205" l="1"/>
  <c r="C400" i="205"/>
  <c r="B400" i="204"/>
  <c r="C399" i="204"/>
  <c r="B400" i="203"/>
  <c r="C399" i="203"/>
  <c r="B400" i="202"/>
  <c r="C399" i="202"/>
  <c r="B400" i="201"/>
  <c r="C399" i="201"/>
  <c r="B400" i="200"/>
  <c r="C399" i="200"/>
  <c r="B400" i="199"/>
  <c r="C399" i="199"/>
  <c r="B400" i="198"/>
  <c r="C399" i="198"/>
  <c r="B400" i="197"/>
  <c r="C399" i="197"/>
  <c r="B401" i="193"/>
  <c r="C400" i="193"/>
  <c r="B399" i="190"/>
  <c r="C398" i="190"/>
  <c r="B400" i="182"/>
  <c r="C399" i="182"/>
  <c r="B400" i="181"/>
  <c r="C399" i="181"/>
  <c r="B399" i="157"/>
  <c r="C398" i="157"/>
  <c r="B399" i="156"/>
  <c r="C398" i="156"/>
  <c r="B399" i="155"/>
  <c r="C398" i="155"/>
  <c r="B352" i="137"/>
  <c r="C351" i="137"/>
  <c r="B347" i="133"/>
  <c r="C346" i="133"/>
  <c r="B347" i="131"/>
  <c r="C346" i="131"/>
  <c r="B342" i="88"/>
  <c r="C341" i="88"/>
  <c r="C401" i="205" l="1"/>
  <c r="B402" i="205"/>
  <c r="B401" i="204"/>
  <c r="C400" i="204"/>
  <c r="B401" i="203"/>
  <c r="C400" i="203"/>
  <c r="B401" i="202"/>
  <c r="C400" i="202"/>
  <c r="B401" i="201"/>
  <c r="C400" i="201"/>
  <c r="B401" i="200"/>
  <c r="C400" i="200"/>
  <c r="B401" i="199"/>
  <c r="C400" i="199"/>
  <c r="B401" i="198"/>
  <c r="C400" i="198"/>
  <c r="B401" i="197"/>
  <c r="C400" i="197"/>
  <c r="B402" i="193"/>
  <c r="C401" i="193"/>
  <c r="B400" i="190"/>
  <c r="C399" i="190"/>
  <c r="B401" i="182"/>
  <c r="C400" i="182"/>
  <c r="B401" i="181"/>
  <c r="C400" i="181"/>
  <c r="B400" i="157"/>
  <c r="C399" i="157"/>
  <c r="B400" i="156"/>
  <c r="C399" i="156"/>
  <c r="B400" i="155"/>
  <c r="C399" i="155"/>
  <c r="B353" i="137"/>
  <c r="C352" i="137"/>
  <c r="B348" i="133"/>
  <c r="C347" i="133"/>
  <c r="B348" i="131"/>
  <c r="C347" i="131"/>
  <c r="B343" i="88"/>
  <c r="C342" i="88"/>
  <c r="C402" i="205" l="1"/>
  <c r="B403" i="205"/>
  <c r="B402" i="204"/>
  <c r="C401" i="204"/>
  <c r="B402" i="203"/>
  <c r="C401" i="203"/>
  <c r="B402" i="202"/>
  <c r="C401" i="202"/>
  <c r="B402" i="201"/>
  <c r="C401" i="201"/>
  <c r="B402" i="200"/>
  <c r="C401" i="200"/>
  <c r="B402" i="199"/>
  <c r="C401" i="199"/>
  <c r="B402" i="198"/>
  <c r="C401" i="198"/>
  <c r="B402" i="197"/>
  <c r="C401" i="197"/>
  <c r="B403" i="193"/>
  <c r="C402" i="193"/>
  <c r="B401" i="190"/>
  <c r="C400" i="190"/>
  <c r="B402" i="182"/>
  <c r="C401" i="182"/>
  <c r="B402" i="181"/>
  <c r="C401" i="181"/>
  <c r="B401" i="157"/>
  <c r="C400" i="157"/>
  <c r="B401" i="156"/>
  <c r="C400" i="156"/>
  <c r="B401" i="155"/>
  <c r="C400" i="155"/>
  <c r="B354" i="137"/>
  <c r="C353" i="137"/>
  <c r="B349" i="133"/>
  <c r="C348" i="133"/>
  <c r="B349" i="131"/>
  <c r="C348" i="131"/>
  <c r="C343" i="88"/>
  <c r="B344" i="88"/>
  <c r="C403" i="205" l="1"/>
  <c r="B404" i="205"/>
  <c r="B403" i="204"/>
  <c r="C402" i="204"/>
  <c r="B403" i="203"/>
  <c r="C402" i="203"/>
  <c r="B403" i="202"/>
  <c r="C402" i="202"/>
  <c r="B403" i="201"/>
  <c r="C402" i="201"/>
  <c r="B403" i="200"/>
  <c r="C402" i="200"/>
  <c r="B403" i="199"/>
  <c r="C402" i="199"/>
  <c r="B403" i="198"/>
  <c r="C402" i="198"/>
  <c r="B403" i="197"/>
  <c r="C402" i="197"/>
  <c r="B404" i="193"/>
  <c r="C403" i="193"/>
  <c r="B402" i="190"/>
  <c r="C401" i="190"/>
  <c r="B403" i="182"/>
  <c r="C402" i="182"/>
  <c r="B403" i="181"/>
  <c r="C402" i="181"/>
  <c r="B402" i="157"/>
  <c r="C401" i="157"/>
  <c r="B402" i="156"/>
  <c r="C401" i="156"/>
  <c r="B402" i="155"/>
  <c r="C401" i="155"/>
  <c r="B355" i="137"/>
  <c r="C354" i="137"/>
  <c r="B350" i="133"/>
  <c r="C349" i="133"/>
  <c r="B350" i="131"/>
  <c r="C349" i="131"/>
  <c r="B345" i="88"/>
  <c r="C344" i="88"/>
  <c r="C404" i="205" l="1"/>
  <c r="B405" i="205"/>
  <c r="B404" i="204"/>
  <c r="C403" i="204"/>
  <c r="B404" i="203"/>
  <c r="C403" i="203"/>
  <c r="B404" i="202"/>
  <c r="C403" i="202"/>
  <c r="B404" i="201"/>
  <c r="C403" i="201"/>
  <c r="B404" i="200"/>
  <c r="C403" i="200"/>
  <c r="B404" i="199"/>
  <c r="C403" i="199"/>
  <c r="B404" i="198"/>
  <c r="C403" i="198"/>
  <c r="B404" i="197"/>
  <c r="C403" i="197"/>
  <c r="B405" i="193"/>
  <c r="C404" i="193"/>
  <c r="B403" i="190"/>
  <c r="C402" i="190"/>
  <c r="B404" i="182"/>
  <c r="C403" i="182"/>
  <c r="B404" i="181"/>
  <c r="C403" i="181"/>
  <c r="B403" i="157"/>
  <c r="C402" i="157"/>
  <c r="B403" i="156"/>
  <c r="C402" i="156"/>
  <c r="B403" i="155"/>
  <c r="C402" i="155"/>
  <c r="B356" i="137"/>
  <c r="C355" i="137"/>
  <c r="B351" i="133"/>
  <c r="C350" i="133"/>
  <c r="B351" i="131"/>
  <c r="C350" i="131"/>
  <c r="C345" i="88"/>
  <c r="B346" i="88"/>
  <c r="C405" i="205" l="1"/>
  <c r="B406" i="205"/>
  <c r="B405" i="204"/>
  <c r="C404" i="204"/>
  <c r="B405" i="203"/>
  <c r="C404" i="203"/>
  <c r="B405" i="202"/>
  <c r="C404" i="202"/>
  <c r="B405" i="201"/>
  <c r="C404" i="201"/>
  <c r="B405" i="200"/>
  <c r="C404" i="200"/>
  <c r="B405" i="199"/>
  <c r="C404" i="199"/>
  <c r="B405" i="198"/>
  <c r="C404" i="198"/>
  <c r="B405" i="197"/>
  <c r="C404" i="197"/>
  <c r="B406" i="193"/>
  <c r="C405" i="193"/>
  <c r="B404" i="190"/>
  <c r="C403" i="190"/>
  <c r="B405" i="182"/>
  <c r="C404" i="182"/>
  <c r="B405" i="181"/>
  <c r="C404" i="181"/>
  <c r="B404" i="157"/>
  <c r="C403" i="157"/>
  <c r="B404" i="156"/>
  <c r="C403" i="156"/>
  <c r="B404" i="155"/>
  <c r="C403" i="155"/>
  <c r="B357" i="137"/>
  <c r="C356" i="137"/>
  <c r="B352" i="133"/>
  <c r="C351" i="133"/>
  <c r="B352" i="131"/>
  <c r="C351" i="131"/>
  <c r="C346" i="88"/>
  <c r="B347" i="88"/>
  <c r="C406" i="205" l="1"/>
  <c r="B407" i="205"/>
  <c r="B406" i="204"/>
  <c r="C405" i="204"/>
  <c r="B406" i="203"/>
  <c r="C405" i="203"/>
  <c r="B406" i="202"/>
  <c r="C405" i="202"/>
  <c r="B406" i="201"/>
  <c r="C405" i="201"/>
  <c r="B406" i="200"/>
  <c r="C405" i="200"/>
  <c r="B406" i="199"/>
  <c r="C405" i="199"/>
  <c r="B406" i="198"/>
  <c r="C405" i="198"/>
  <c r="B406" i="197"/>
  <c r="C405" i="197"/>
  <c r="B407" i="193"/>
  <c r="C406" i="193"/>
  <c r="B405" i="190"/>
  <c r="C404" i="190"/>
  <c r="B406" i="182"/>
  <c r="C405" i="182"/>
  <c r="B406" i="181"/>
  <c r="C405" i="181"/>
  <c r="B405" i="157"/>
  <c r="C404" i="157"/>
  <c r="B405" i="156"/>
  <c r="C404" i="156"/>
  <c r="B405" i="155"/>
  <c r="C404" i="155"/>
  <c r="B358" i="137"/>
  <c r="C357" i="137"/>
  <c r="B353" i="133"/>
  <c r="C352" i="133"/>
  <c r="B353" i="131"/>
  <c r="C352" i="131"/>
  <c r="C347" i="88"/>
  <c r="B348" i="88"/>
  <c r="C407" i="205" l="1"/>
  <c r="B408" i="205"/>
  <c r="B407" i="204"/>
  <c r="C406" i="204"/>
  <c r="B407" i="203"/>
  <c r="C406" i="203"/>
  <c r="B407" i="202"/>
  <c r="C406" i="202"/>
  <c r="B407" i="201"/>
  <c r="C406" i="201"/>
  <c r="B407" i="200"/>
  <c r="C406" i="200"/>
  <c r="B407" i="199"/>
  <c r="C406" i="199"/>
  <c r="B407" i="198"/>
  <c r="C406" i="198"/>
  <c r="B407" i="197"/>
  <c r="C406" i="197"/>
  <c r="B408" i="193"/>
  <c r="C407" i="193"/>
  <c r="B406" i="190"/>
  <c r="C405" i="190"/>
  <c r="B407" i="182"/>
  <c r="C406" i="182"/>
  <c r="B407" i="181"/>
  <c r="C406" i="181"/>
  <c r="B406" i="157"/>
  <c r="C405" i="157"/>
  <c r="B406" i="156"/>
  <c r="C405" i="156"/>
  <c r="B406" i="155"/>
  <c r="C405" i="155"/>
  <c r="B359" i="137"/>
  <c r="C358" i="137"/>
  <c r="B354" i="133"/>
  <c r="C353" i="133"/>
  <c r="B354" i="131"/>
  <c r="C353" i="131"/>
  <c r="C348" i="88"/>
  <c r="B349" i="88"/>
  <c r="C408" i="205" l="1"/>
  <c r="B409" i="205"/>
  <c r="B408" i="204"/>
  <c r="C407" i="204"/>
  <c r="B408" i="203"/>
  <c r="C407" i="203"/>
  <c r="B408" i="202"/>
  <c r="C407" i="202"/>
  <c r="B408" i="201"/>
  <c r="C407" i="201"/>
  <c r="B408" i="200"/>
  <c r="C407" i="200"/>
  <c r="B408" i="199"/>
  <c r="C407" i="199"/>
  <c r="B408" i="198"/>
  <c r="C407" i="198"/>
  <c r="B408" i="197"/>
  <c r="C407" i="197"/>
  <c r="B409" i="193"/>
  <c r="C408" i="193"/>
  <c r="B407" i="190"/>
  <c r="C406" i="190"/>
  <c r="B408" i="182"/>
  <c r="C407" i="182"/>
  <c r="B408" i="181"/>
  <c r="C407" i="181"/>
  <c r="B407" i="157"/>
  <c r="C406" i="157"/>
  <c r="B407" i="156"/>
  <c r="C406" i="156"/>
  <c r="B407" i="155"/>
  <c r="C406" i="155"/>
  <c r="B360" i="137"/>
  <c r="C359" i="137"/>
  <c r="B355" i="133"/>
  <c r="C354" i="133"/>
  <c r="B355" i="131"/>
  <c r="C354" i="131"/>
  <c r="B350" i="88"/>
  <c r="C349" i="88"/>
  <c r="C409" i="205" l="1"/>
  <c r="B410" i="205"/>
  <c r="B409" i="204"/>
  <c r="C408" i="204"/>
  <c r="B409" i="203"/>
  <c r="C408" i="203"/>
  <c r="B409" i="202"/>
  <c r="C408" i="202"/>
  <c r="B409" i="201"/>
  <c r="C408" i="201"/>
  <c r="B409" i="200"/>
  <c r="C408" i="200"/>
  <c r="B409" i="199"/>
  <c r="C408" i="199"/>
  <c r="B409" i="198"/>
  <c r="C408" i="198"/>
  <c r="B409" i="197"/>
  <c r="C408" i="197"/>
  <c r="B410" i="193"/>
  <c r="C409" i="193"/>
  <c r="B408" i="190"/>
  <c r="C407" i="190"/>
  <c r="B409" i="182"/>
  <c r="C408" i="182"/>
  <c r="B409" i="181"/>
  <c r="C408" i="181"/>
  <c r="B408" i="157"/>
  <c r="C407" i="157"/>
  <c r="B408" i="156"/>
  <c r="C407" i="156"/>
  <c r="B408" i="155"/>
  <c r="C407" i="155"/>
  <c r="B361" i="137"/>
  <c r="C360" i="137"/>
  <c r="B356" i="133"/>
  <c r="C355" i="133"/>
  <c r="B356" i="131"/>
  <c r="C355" i="131"/>
  <c r="B351" i="88"/>
  <c r="C350" i="88"/>
  <c r="C410" i="205" l="1"/>
  <c r="B411" i="205"/>
  <c r="B410" i="204"/>
  <c r="C409" i="204"/>
  <c r="B410" i="203"/>
  <c r="C409" i="203"/>
  <c r="B410" i="202"/>
  <c r="C409" i="202"/>
  <c r="B410" i="201"/>
  <c r="C409" i="201"/>
  <c r="B410" i="200"/>
  <c r="C409" i="200"/>
  <c r="B410" i="199"/>
  <c r="C409" i="199"/>
  <c r="B410" i="198"/>
  <c r="C409" i="198"/>
  <c r="B410" i="197"/>
  <c r="C409" i="197"/>
  <c r="B411" i="193"/>
  <c r="C410" i="193"/>
  <c r="B409" i="190"/>
  <c r="C408" i="190"/>
  <c r="B410" i="182"/>
  <c r="C409" i="182"/>
  <c r="B410" i="181"/>
  <c r="C409" i="181"/>
  <c r="B409" i="157"/>
  <c r="C408" i="157"/>
  <c r="B409" i="156"/>
  <c r="C408" i="156"/>
  <c r="B409" i="155"/>
  <c r="C408" i="155"/>
  <c r="B362" i="137"/>
  <c r="C361" i="137"/>
  <c r="B357" i="133"/>
  <c r="C356" i="133"/>
  <c r="B357" i="131"/>
  <c r="C356" i="131"/>
  <c r="B352" i="88"/>
  <c r="C351" i="88"/>
  <c r="C411" i="205" l="1"/>
  <c r="B412" i="205"/>
  <c r="B411" i="204"/>
  <c r="C410" i="204"/>
  <c r="B411" i="203"/>
  <c r="C410" i="203"/>
  <c r="B411" i="202"/>
  <c r="C410" i="202"/>
  <c r="B411" i="201"/>
  <c r="C410" i="201"/>
  <c r="B411" i="200"/>
  <c r="C410" i="200"/>
  <c r="B411" i="199"/>
  <c r="C410" i="199"/>
  <c r="B411" i="198"/>
  <c r="C410" i="198"/>
  <c r="B411" i="197"/>
  <c r="C410" i="197"/>
  <c r="B412" i="193"/>
  <c r="C411" i="193"/>
  <c r="B410" i="190"/>
  <c r="C409" i="190"/>
  <c r="B411" i="182"/>
  <c r="C410" i="182"/>
  <c r="B411" i="181"/>
  <c r="C410" i="181"/>
  <c r="B410" i="157"/>
  <c r="C409" i="157"/>
  <c r="B410" i="156"/>
  <c r="C409" i="156"/>
  <c r="B410" i="155"/>
  <c r="C409" i="155"/>
  <c r="B363" i="137"/>
  <c r="C362" i="137"/>
  <c r="B358" i="133"/>
  <c r="C357" i="133"/>
  <c r="B358" i="131"/>
  <c r="C357" i="131"/>
  <c r="C352" i="88"/>
  <c r="B353" i="88"/>
  <c r="C412" i="205" l="1"/>
  <c r="B413" i="205"/>
  <c r="B412" i="204"/>
  <c r="C411" i="204"/>
  <c r="B412" i="203"/>
  <c r="C411" i="203"/>
  <c r="B412" i="202"/>
  <c r="C411" i="202"/>
  <c r="B412" i="201"/>
  <c r="C411" i="201"/>
  <c r="B412" i="200"/>
  <c r="C411" i="200"/>
  <c r="B412" i="199"/>
  <c r="C411" i="199"/>
  <c r="B412" i="198"/>
  <c r="C411" i="198"/>
  <c r="B412" i="197"/>
  <c r="C411" i="197"/>
  <c r="B413" i="193"/>
  <c r="C412" i="193"/>
  <c r="B411" i="190"/>
  <c r="C410" i="190"/>
  <c r="B412" i="182"/>
  <c r="C411" i="182"/>
  <c r="B412" i="181"/>
  <c r="C411" i="181"/>
  <c r="B411" i="157"/>
  <c r="C410" i="157"/>
  <c r="B411" i="156"/>
  <c r="C410" i="156"/>
  <c r="B411" i="155"/>
  <c r="C410" i="155"/>
  <c r="B364" i="137"/>
  <c r="C363" i="137"/>
  <c r="B359" i="133"/>
  <c r="C358" i="133"/>
  <c r="B359" i="131"/>
  <c r="C358" i="131"/>
  <c r="C353" i="88"/>
  <c r="B354" i="88"/>
  <c r="B414" i="205" l="1"/>
  <c r="C413" i="205"/>
  <c r="B413" i="204"/>
  <c r="C412" i="204"/>
  <c r="B413" i="203"/>
  <c r="C412" i="203"/>
  <c r="B413" i="202"/>
  <c r="C412" i="202"/>
  <c r="B413" i="201"/>
  <c r="C412" i="201"/>
  <c r="B413" i="200"/>
  <c r="C412" i="200"/>
  <c r="B413" i="199"/>
  <c r="C412" i="199"/>
  <c r="B413" i="198"/>
  <c r="C412" i="198"/>
  <c r="B413" i="197"/>
  <c r="C412" i="197"/>
  <c r="B414" i="193"/>
  <c r="C413" i="193"/>
  <c r="B412" i="190"/>
  <c r="C411" i="190"/>
  <c r="B413" i="182"/>
  <c r="C412" i="182"/>
  <c r="B413" i="181"/>
  <c r="C412" i="181"/>
  <c r="B412" i="157"/>
  <c r="C411" i="157"/>
  <c r="B412" i="156"/>
  <c r="C411" i="156"/>
  <c r="B412" i="155"/>
  <c r="C411" i="155"/>
  <c r="B365" i="137"/>
  <c r="C364" i="137"/>
  <c r="B360" i="133"/>
  <c r="C359" i="133"/>
  <c r="B360" i="131"/>
  <c r="C359" i="131"/>
  <c r="C354" i="88"/>
  <c r="B355" i="88"/>
  <c r="C414" i="205" l="1"/>
  <c r="B415" i="205"/>
  <c r="B414" i="204"/>
  <c r="C413" i="204"/>
  <c r="B414" i="203"/>
  <c r="C413" i="203"/>
  <c r="B414" i="202"/>
  <c r="C413" i="202"/>
  <c r="B414" i="201"/>
  <c r="C413" i="201"/>
  <c r="B414" i="200"/>
  <c r="C413" i="200"/>
  <c r="B414" i="199"/>
  <c r="C413" i="199"/>
  <c r="B414" i="198"/>
  <c r="C413" i="198"/>
  <c r="B414" i="197"/>
  <c r="C413" i="197"/>
  <c r="B415" i="193"/>
  <c r="C414" i="193"/>
  <c r="B413" i="190"/>
  <c r="C412" i="190"/>
  <c r="B414" i="182"/>
  <c r="C413" i="182"/>
  <c r="B414" i="181"/>
  <c r="C413" i="181"/>
  <c r="B413" i="157"/>
  <c r="C412" i="157"/>
  <c r="B413" i="156"/>
  <c r="C412" i="156"/>
  <c r="B413" i="155"/>
  <c r="C412" i="155"/>
  <c r="B366" i="137"/>
  <c r="C365" i="137"/>
  <c r="B361" i="133"/>
  <c r="C360" i="133"/>
  <c r="B361" i="131"/>
  <c r="C360" i="131"/>
  <c r="C355" i="88"/>
  <c r="B356" i="88"/>
  <c r="C415" i="205" l="1"/>
  <c r="B416" i="205"/>
  <c r="B415" i="204"/>
  <c r="C414" i="204"/>
  <c r="B415" i="203"/>
  <c r="C414" i="203"/>
  <c r="B415" i="202"/>
  <c r="C414" i="202"/>
  <c r="B415" i="201"/>
  <c r="C414" i="201"/>
  <c r="B415" i="200"/>
  <c r="C414" i="200"/>
  <c r="B415" i="199"/>
  <c r="C414" i="199"/>
  <c r="B415" i="198"/>
  <c r="C414" i="198"/>
  <c r="B415" i="197"/>
  <c r="C414" i="197"/>
  <c r="B416" i="193"/>
  <c r="C415" i="193"/>
  <c r="B414" i="190"/>
  <c r="C413" i="190"/>
  <c r="B415" i="182"/>
  <c r="C414" i="182"/>
  <c r="B415" i="181"/>
  <c r="C414" i="181"/>
  <c r="B414" i="157"/>
  <c r="C413" i="157"/>
  <c r="B414" i="156"/>
  <c r="C413" i="156"/>
  <c r="B414" i="155"/>
  <c r="C413" i="155"/>
  <c r="B367" i="137"/>
  <c r="C366" i="137"/>
  <c r="B362" i="133"/>
  <c r="C361" i="133"/>
  <c r="B362" i="131"/>
  <c r="C361" i="131"/>
  <c r="B357" i="88"/>
  <c r="C356" i="88"/>
  <c r="C416" i="205" l="1"/>
  <c r="B417" i="205"/>
  <c r="B416" i="204"/>
  <c r="C415" i="204"/>
  <c r="B416" i="203"/>
  <c r="C415" i="203"/>
  <c r="B416" i="202"/>
  <c r="C415" i="202"/>
  <c r="B416" i="201"/>
  <c r="C415" i="201"/>
  <c r="B416" i="200"/>
  <c r="C415" i="200"/>
  <c r="B416" i="199"/>
  <c r="C415" i="199"/>
  <c r="B416" i="198"/>
  <c r="C415" i="198"/>
  <c r="B416" i="197"/>
  <c r="C415" i="197"/>
  <c r="B417" i="193"/>
  <c r="C416" i="193"/>
  <c r="B415" i="190"/>
  <c r="C414" i="190"/>
  <c r="B416" i="182"/>
  <c r="C415" i="182"/>
  <c r="B416" i="181"/>
  <c r="C415" i="181"/>
  <c r="B415" i="157"/>
  <c r="C414" i="157"/>
  <c r="B415" i="156"/>
  <c r="C414" i="156"/>
  <c r="B415" i="155"/>
  <c r="C414" i="155"/>
  <c r="B368" i="137"/>
  <c r="C367" i="137"/>
  <c r="B363" i="133"/>
  <c r="C362" i="133"/>
  <c r="B363" i="131"/>
  <c r="C362" i="131"/>
  <c r="C357" i="88"/>
  <c r="B358" i="88"/>
  <c r="C417" i="205" l="1"/>
  <c r="B418" i="205"/>
  <c r="B417" i="204"/>
  <c r="C416" i="204"/>
  <c r="B417" i="203"/>
  <c r="C416" i="203"/>
  <c r="B417" i="202"/>
  <c r="C416" i="202"/>
  <c r="B417" i="201"/>
  <c r="C416" i="201"/>
  <c r="B417" i="200"/>
  <c r="C416" i="200"/>
  <c r="B417" i="199"/>
  <c r="C416" i="199"/>
  <c r="B417" i="198"/>
  <c r="C416" i="198"/>
  <c r="B417" i="197"/>
  <c r="C416" i="197"/>
  <c r="B418" i="193"/>
  <c r="C417" i="193"/>
  <c r="B416" i="190"/>
  <c r="C415" i="190"/>
  <c r="B417" i="182"/>
  <c r="C416" i="182"/>
  <c r="B417" i="181"/>
  <c r="C416" i="181"/>
  <c r="B416" i="157"/>
  <c r="C415" i="157"/>
  <c r="B416" i="156"/>
  <c r="C415" i="156"/>
  <c r="B416" i="155"/>
  <c r="C415" i="155"/>
  <c r="B369" i="137"/>
  <c r="C368" i="137"/>
  <c r="B364" i="133"/>
  <c r="C363" i="133"/>
  <c r="B364" i="131"/>
  <c r="C363" i="131"/>
  <c r="C358" i="88"/>
  <c r="B359" i="88"/>
  <c r="C418" i="205" l="1"/>
  <c r="B419" i="205"/>
  <c r="B418" i="204"/>
  <c r="C417" i="204"/>
  <c r="B418" i="203"/>
  <c r="C417" i="203"/>
  <c r="B418" i="202"/>
  <c r="C417" i="202"/>
  <c r="B418" i="201"/>
  <c r="C417" i="201"/>
  <c r="B418" i="200"/>
  <c r="C417" i="200"/>
  <c r="B418" i="199"/>
  <c r="C417" i="199"/>
  <c r="B418" i="198"/>
  <c r="C417" i="198"/>
  <c r="B418" i="197"/>
  <c r="C417" i="197"/>
  <c r="B419" i="193"/>
  <c r="C418" i="193"/>
  <c r="B417" i="190"/>
  <c r="C416" i="190"/>
  <c r="B418" i="182"/>
  <c r="C417" i="182"/>
  <c r="B418" i="181"/>
  <c r="C417" i="181"/>
  <c r="B417" i="157"/>
  <c r="C416" i="157"/>
  <c r="B417" i="156"/>
  <c r="C416" i="156"/>
  <c r="B417" i="155"/>
  <c r="C416" i="155"/>
  <c r="B370" i="137"/>
  <c r="C369" i="137"/>
  <c r="B365" i="133"/>
  <c r="C364" i="133"/>
  <c r="B365" i="131"/>
  <c r="C364" i="131"/>
  <c r="C359" i="88"/>
  <c r="B360" i="88"/>
  <c r="C419" i="205" l="1"/>
  <c r="B420" i="205"/>
  <c r="B419" i="204"/>
  <c r="C418" i="204"/>
  <c r="B419" i="203"/>
  <c r="C418" i="203"/>
  <c r="B419" i="202"/>
  <c r="C418" i="202"/>
  <c r="B419" i="201"/>
  <c r="C418" i="201"/>
  <c r="B419" i="200"/>
  <c r="C418" i="200"/>
  <c r="B419" i="199"/>
  <c r="C418" i="199"/>
  <c r="B419" i="198"/>
  <c r="C418" i="198"/>
  <c r="B419" i="197"/>
  <c r="C418" i="197"/>
  <c r="B420" i="193"/>
  <c r="C419" i="193"/>
  <c r="B418" i="190"/>
  <c r="C417" i="190"/>
  <c r="B419" i="182"/>
  <c r="C418" i="182"/>
  <c r="B419" i="181"/>
  <c r="C418" i="181"/>
  <c r="B418" i="157"/>
  <c r="C417" i="157"/>
  <c r="B418" i="156"/>
  <c r="C417" i="156"/>
  <c r="B418" i="155"/>
  <c r="C417" i="155"/>
  <c r="B371" i="137"/>
  <c r="C370" i="137"/>
  <c r="B366" i="133"/>
  <c r="C365" i="133"/>
  <c r="B366" i="131"/>
  <c r="C365" i="131"/>
  <c r="C360" i="88"/>
  <c r="B361" i="88"/>
  <c r="C420" i="205" l="1"/>
  <c r="B421" i="205"/>
  <c r="B420" i="204"/>
  <c r="C419" i="204"/>
  <c r="B420" i="203"/>
  <c r="C419" i="203"/>
  <c r="B420" i="202"/>
  <c r="C419" i="202"/>
  <c r="B420" i="201"/>
  <c r="C419" i="201"/>
  <c r="B420" i="200"/>
  <c r="C419" i="200"/>
  <c r="B420" i="199"/>
  <c r="C419" i="199"/>
  <c r="B420" i="198"/>
  <c r="C419" i="198"/>
  <c r="B420" i="197"/>
  <c r="C419" i="197"/>
  <c r="B421" i="193"/>
  <c r="C420" i="193"/>
  <c r="B419" i="190"/>
  <c r="C418" i="190"/>
  <c r="B420" i="182"/>
  <c r="C419" i="182"/>
  <c r="B420" i="181"/>
  <c r="C419" i="181"/>
  <c r="B419" i="157"/>
  <c r="C418" i="157"/>
  <c r="B419" i="156"/>
  <c r="C418" i="156"/>
  <c r="B419" i="155"/>
  <c r="C418" i="155"/>
  <c r="B372" i="137"/>
  <c r="C371" i="137"/>
  <c r="B367" i="133"/>
  <c r="C366" i="133"/>
  <c r="B367" i="131"/>
  <c r="C366" i="131"/>
  <c r="C361" i="88"/>
  <c r="B362" i="88"/>
  <c r="C421" i="205" l="1"/>
  <c r="B422" i="205"/>
  <c r="B421" i="204"/>
  <c r="C420" i="204"/>
  <c r="B421" i="203"/>
  <c r="C420" i="203"/>
  <c r="B421" i="202"/>
  <c r="C420" i="202"/>
  <c r="B421" i="201"/>
  <c r="C420" i="201"/>
  <c r="B421" i="200"/>
  <c r="C420" i="200"/>
  <c r="B421" i="199"/>
  <c r="C420" i="199"/>
  <c r="B421" i="198"/>
  <c r="C420" i="198"/>
  <c r="B421" i="197"/>
  <c r="C420" i="197"/>
  <c r="B422" i="193"/>
  <c r="C421" i="193"/>
  <c r="B420" i="190"/>
  <c r="C419" i="190"/>
  <c r="B421" i="182"/>
  <c r="C420" i="182"/>
  <c r="B421" i="181"/>
  <c r="C420" i="181"/>
  <c r="B420" i="157"/>
  <c r="C419" i="157"/>
  <c r="B420" i="156"/>
  <c r="C419" i="156"/>
  <c r="B420" i="155"/>
  <c r="C419" i="155"/>
  <c r="B373" i="137"/>
  <c r="C372" i="137"/>
  <c r="B368" i="133"/>
  <c r="C367" i="133"/>
  <c r="B368" i="131"/>
  <c r="C367" i="131"/>
  <c r="B363" i="88"/>
  <c r="C362" i="88"/>
  <c r="C422" i="205" l="1"/>
  <c r="B423" i="205"/>
  <c r="B422" i="204"/>
  <c r="C421" i="204"/>
  <c r="B422" i="203"/>
  <c r="C421" i="203"/>
  <c r="B422" i="202"/>
  <c r="C421" i="202"/>
  <c r="B422" i="201"/>
  <c r="C421" i="201"/>
  <c r="B422" i="200"/>
  <c r="C421" i="200"/>
  <c r="B422" i="199"/>
  <c r="C421" i="199"/>
  <c r="B422" i="198"/>
  <c r="C421" i="198"/>
  <c r="B422" i="197"/>
  <c r="C421" i="197"/>
  <c r="B423" i="193"/>
  <c r="C422" i="193"/>
  <c r="B421" i="190"/>
  <c r="C420" i="190"/>
  <c r="B422" i="182"/>
  <c r="C421" i="182"/>
  <c r="B422" i="181"/>
  <c r="C421" i="181"/>
  <c r="B421" i="157"/>
  <c r="C420" i="157"/>
  <c r="B421" i="156"/>
  <c r="C420" i="156"/>
  <c r="B421" i="155"/>
  <c r="C420" i="155"/>
  <c r="B374" i="137"/>
  <c r="C373" i="137"/>
  <c r="B369" i="133"/>
  <c r="C368" i="133"/>
  <c r="B369" i="131"/>
  <c r="C368" i="131"/>
  <c r="C363" i="88"/>
  <c r="B364" i="88"/>
  <c r="C423" i="205" l="1"/>
  <c r="B424" i="205"/>
  <c r="B423" i="204"/>
  <c r="C422" i="204"/>
  <c r="B423" i="203"/>
  <c r="C422" i="203"/>
  <c r="B423" i="202"/>
  <c r="C422" i="202"/>
  <c r="B423" i="201"/>
  <c r="C422" i="201"/>
  <c r="B423" i="200"/>
  <c r="C422" i="200"/>
  <c r="B423" i="199"/>
  <c r="C422" i="199"/>
  <c r="B423" i="198"/>
  <c r="C422" i="198"/>
  <c r="B423" i="197"/>
  <c r="C422" i="197"/>
  <c r="B424" i="193"/>
  <c r="C423" i="193"/>
  <c r="B422" i="190"/>
  <c r="C421" i="190"/>
  <c r="B423" i="182"/>
  <c r="C422" i="182"/>
  <c r="B423" i="181"/>
  <c r="C422" i="181"/>
  <c r="B422" i="157"/>
  <c r="C421" i="157"/>
  <c r="B422" i="156"/>
  <c r="C421" i="156"/>
  <c r="B422" i="155"/>
  <c r="C421" i="155"/>
  <c r="B375" i="137"/>
  <c r="C374" i="137"/>
  <c r="B370" i="133"/>
  <c r="C369" i="133"/>
  <c r="B370" i="131"/>
  <c r="C369" i="131"/>
  <c r="C364" i="88"/>
  <c r="B365" i="88"/>
  <c r="C424" i="205" l="1"/>
  <c r="B425" i="205"/>
  <c r="B424" i="204"/>
  <c r="C423" i="204"/>
  <c r="B424" i="203"/>
  <c r="C423" i="203"/>
  <c r="B424" i="202"/>
  <c r="C423" i="202"/>
  <c r="B424" i="201"/>
  <c r="C423" i="201"/>
  <c r="B424" i="200"/>
  <c r="C423" i="200"/>
  <c r="B424" i="199"/>
  <c r="C423" i="199"/>
  <c r="B424" i="198"/>
  <c r="C423" i="198"/>
  <c r="B424" i="197"/>
  <c r="C423" i="197"/>
  <c r="B425" i="193"/>
  <c r="C424" i="193"/>
  <c r="B423" i="190"/>
  <c r="C422" i="190"/>
  <c r="B424" i="182"/>
  <c r="C423" i="182"/>
  <c r="B424" i="181"/>
  <c r="C423" i="181"/>
  <c r="B423" i="157"/>
  <c r="C422" i="157"/>
  <c r="B423" i="156"/>
  <c r="C422" i="156"/>
  <c r="B423" i="155"/>
  <c r="C422" i="155"/>
  <c r="B376" i="137"/>
  <c r="C375" i="137"/>
  <c r="B371" i="133"/>
  <c r="C370" i="133"/>
  <c r="B371" i="131"/>
  <c r="C370" i="131"/>
  <c r="C365" i="88"/>
  <c r="B366" i="88"/>
  <c r="C425" i="205" l="1"/>
  <c r="B426" i="205"/>
  <c r="B425" i="204"/>
  <c r="C424" i="204"/>
  <c r="B425" i="203"/>
  <c r="C424" i="203"/>
  <c r="B425" i="202"/>
  <c r="C424" i="202"/>
  <c r="B425" i="201"/>
  <c r="C424" i="201"/>
  <c r="B425" i="200"/>
  <c r="C424" i="200"/>
  <c r="B425" i="199"/>
  <c r="C424" i="199"/>
  <c r="B425" i="198"/>
  <c r="C424" i="198"/>
  <c r="B425" i="197"/>
  <c r="C424" i="197"/>
  <c r="B426" i="193"/>
  <c r="C425" i="193"/>
  <c r="B424" i="190"/>
  <c r="C423" i="190"/>
  <c r="B425" i="182"/>
  <c r="C424" i="182"/>
  <c r="B425" i="181"/>
  <c r="C424" i="181"/>
  <c r="B424" i="157"/>
  <c r="C423" i="157"/>
  <c r="B424" i="156"/>
  <c r="C423" i="156"/>
  <c r="B424" i="155"/>
  <c r="C423" i="155"/>
  <c r="B377" i="137"/>
  <c r="C376" i="137"/>
  <c r="B372" i="133"/>
  <c r="C371" i="133"/>
  <c r="B372" i="131"/>
  <c r="C371" i="131"/>
  <c r="B367" i="88"/>
  <c r="C366" i="88"/>
  <c r="B427" i="205" l="1"/>
  <c r="C426" i="205"/>
  <c r="B426" i="204"/>
  <c r="C425" i="204"/>
  <c r="B426" i="203"/>
  <c r="C425" i="203"/>
  <c r="B426" i="202"/>
  <c r="C425" i="202"/>
  <c r="B426" i="201"/>
  <c r="C425" i="201"/>
  <c r="B426" i="200"/>
  <c r="C425" i="200"/>
  <c r="B426" i="199"/>
  <c r="C425" i="199"/>
  <c r="B426" i="198"/>
  <c r="C425" i="198"/>
  <c r="B426" i="197"/>
  <c r="C425" i="197"/>
  <c r="B427" i="193"/>
  <c r="C426" i="193"/>
  <c r="B425" i="190"/>
  <c r="C424" i="190"/>
  <c r="B426" i="182"/>
  <c r="C425" i="182"/>
  <c r="B426" i="181"/>
  <c r="C425" i="181"/>
  <c r="B425" i="157"/>
  <c r="C424" i="157"/>
  <c r="B425" i="156"/>
  <c r="C424" i="156"/>
  <c r="B425" i="155"/>
  <c r="C424" i="155"/>
  <c r="B378" i="137"/>
  <c r="C377" i="137"/>
  <c r="B373" i="133"/>
  <c r="C372" i="133"/>
  <c r="B373" i="131"/>
  <c r="C372" i="131"/>
  <c r="C367" i="88"/>
  <c r="B368" i="88"/>
  <c r="C427" i="205" l="1"/>
  <c r="B428" i="205"/>
  <c r="B427" i="204"/>
  <c r="C426" i="204"/>
  <c r="B427" i="203"/>
  <c r="C426" i="203"/>
  <c r="B427" i="202"/>
  <c r="C426" i="202"/>
  <c r="B427" i="201"/>
  <c r="C426" i="201"/>
  <c r="B427" i="200"/>
  <c r="C426" i="200"/>
  <c r="B427" i="199"/>
  <c r="C426" i="199"/>
  <c r="B427" i="198"/>
  <c r="C426" i="198"/>
  <c r="B427" i="197"/>
  <c r="C426" i="197"/>
  <c r="B428" i="193"/>
  <c r="C427" i="193"/>
  <c r="B426" i="190"/>
  <c r="C425" i="190"/>
  <c r="B427" i="182"/>
  <c r="C426" i="182"/>
  <c r="B427" i="181"/>
  <c r="C426" i="181"/>
  <c r="B426" i="157"/>
  <c r="C425" i="157"/>
  <c r="B426" i="156"/>
  <c r="C425" i="156"/>
  <c r="B426" i="155"/>
  <c r="C425" i="155"/>
  <c r="B379" i="137"/>
  <c r="C378" i="137"/>
  <c r="B374" i="133"/>
  <c r="C373" i="133"/>
  <c r="B374" i="131"/>
  <c r="C373" i="131"/>
  <c r="C368" i="88"/>
  <c r="B369" i="88"/>
  <c r="C428" i="205" l="1"/>
  <c r="B429" i="205"/>
  <c r="B428" i="204"/>
  <c r="C427" i="204"/>
  <c r="B428" i="203"/>
  <c r="C427" i="203"/>
  <c r="B428" i="202"/>
  <c r="C427" i="202"/>
  <c r="B428" i="201"/>
  <c r="C427" i="201"/>
  <c r="B428" i="200"/>
  <c r="C427" i="200"/>
  <c r="B428" i="199"/>
  <c r="C427" i="199"/>
  <c r="B428" i="198"/>
  <c r="C427" i="198"/>
  <c r="B428" i="197"/>
  <c r="C427" i="197"/>
  <c r="B429" i="193"/>
  <c r="C428" i="193"/>
  <c r="B427" i="190"/>
  <c r="C426" i="190"/>
  <c r="B428" i="182"/>
  <c r="C427" i="182"/>
  <c r="B428" i="181"/>
  <c r="C427" i="181"/>
  <c r="B427" i="157"/>
  <c r="C426" i="157"/>
  <c r="B427" i="156"/>
  <c r="C426" i="156"/>
  <c r="B427" i="155"/>
  <c r="C426" i="155"/>
  <c r="B380" i="137"/>
  <c r="C379" i="137"/>
  <c r="B375" i="133"/>
  <c r="C374" i="133"/>
  <c r="B375" i="131"/>
  <c r="C374" i="131"/>
  <c r="B370" i="88"/>
  <c r="C369" i="88"/>
  <c r="C429" i="205" l="1"/>
  <c r="B430" i="205"/>
  <c r="B429" i="204"/>
  <c r="C428" i="204"/>
  <c r="B429" i="203"/>
  <c r="C428" i="203"/>
  <c r="B429" i="202"/>
  <c r="C428" i="202"/>
  <c r="B429" i="201"/>
  <c r="C428" i="201"/>
  <c r="B429" i="200"/>
  <c r="C428" i="200"/>
  <c r="B429" i="199"/>
  <c r="C428" i="199"/>
  <c r="B429" i="198"/>
  <c r="C428" i="198"/>
  <c r="B429" i="197"/>
  <c r="C428" i="197"/>
  <c r="B430" i="193"/>
  <c r="C429" i="193"/>
  <c r="B428" i="190"/>
  <c r="C427" i="190"/>
  <c r="B429" i="182"/>
  <c r="C428" i="182"/>
  <c r="B429" i="181"/>
  <c r="C428" i="181"/>
  <c r="B428" i="157"/>
  <c r="C427" i="157"/>
  <c r="B428" i="156"/>
  <c r="C427" i="156"/>
  <c r="B428" i="155"/>
  <c r="C427" i="155"/>
  <c r="B381" i="137"/>
  <c r="C380" i="137"/>
  <c r="B376" i="133"/>
  <c r="C375" i="133"/>
  <c r="B376" i="131"/>
  <c r="C375" i="131"/>
  <c r="C370" i="88"/>
  <c r="B371" i="88"/>
  <c r="C430" i="205" l="1"/>
  <c r="B431" i="205"/>
  <c r="B430" i="204"/>
  <c r="C429" i="204"/>
  <c r="B430" i="203"/>
  <c r="C429" i="203"/>
  <c r="B430" i="202"/>
  <c r="C429" i="202"/>
  <c r="B430" i="201"/>
  <c r="C429" i="201"/>
  <c r="B430" i="200"/>
  <c r="C429" i="200"/>
  <c r="B430" i="199"/>
  <c r="C429" i="199"/>
  <c r="B430" i="198"/>
  <c r="C429" i="198"/>
  <c r="B430" i="197"/>
  <c r="C429" i="197"/>
  <c r="B431" i="193"/>
  <c r="C430" i="193"/>
  <c r="B429" i="190"/>
  <c r="C428" i="190"/>
  <c r="B430" i="182"/>
  <c r="C429" i="182"/>
  <c r="B430" i="181"/>
  <c r="C429" i="181"/>
  <c r="B429" i="157"/>
  <c r="C428" i="157"/>
  <c r="B429" i="156"/>
  <c r="C428" i="156"/>
  <c r="B429" i="155"/>
  <c r="C428" i="155"/>
  <c r="B382" i="137"/>
  <c r="C381" i="137"/>
  <c r="B377" i="133"/>
  <c r="C376" i="133"/>
  <c r="B377" i="131"/>
  <c r="C376" i="131"/>
  <c r="B372" i="88"/>
  <c r="C371" i="88"/>
  <c r="C431" i="205" l="1"/>
  <c r="B432" i="205"/>
  <c r="B431" i="204"/>
  <c r="C430" i="204"/>
  <c r="B431" i="203"/>
  <c r="C430" i="203"/>
  <c r="B431" i="202"/>
  <c r="C430" i="202"/>
  <c r="B431" i="201"/>
  <c r="C430" i="201"/>
  <c r="B431" i="200"/>
  <c r="C430" i="200"/>
  <c r="B431" i="199"/>
  <c r="C430" i="199"/>
  <c r="B431" i="198"/>
  <c r="C430" i="198"/>
  <c r="B431" i="197"/>
  <c r="C430" i="197"/>
  <c r="B432" i="193"/>
  <c r="C431" i="193"/>
  <c r="B430" i="190"/>
  <c r="C429" i="190"/>
  <c r="B431" i="182"/>
  <c r="C430" i="182"/>
  <c r="B431" i="181"/>
  <c r="C430" i="181"/>
  <c r="B430" i="157"/>
  <c r="C429" i="157"/>
  <c r="B430" i="156"/>
  <c r="C429" i="156"/>
  <c r="B430" i="155"/>
  <c r="C429" i="155"/>
  <c r="B383" i="137"/>
  <c r="C382" i="137"/>
  <c r="B378" i="133"/>
  <c r="C377" i="133"/>
  <c r="B378" i="131"/>
  <c r="C377" i="131"/>
  <c r="B373" i="88"/>
  <c r="C372" i="88"/>
  <c r="C432" i="205" l="1"/>
  <c r="B433" i="205"/>
  <c r="B432" i="204"/>
  <c r="C431" i="204"/>
  <c r="B432" i="203"/>
  <c r="C431" i="203"/>
  <c r="B432" i="202"/>
  <c r="C431" i="202"/>
  <c r="B432" i="201"/>
  <c r="C431" i="201"/>
  <c r="B432" i="200"/>
  <c r="C431" i="200"/>
  <c r="B432" i="199"/>
  <c r="C431" i="199"/>
  <c r="B432" i="198"/>
  <c r="C431" i="198"/>
  <c r="B432" i="197"/>
  <c r="C431" i="197"/>
  <c r="B433" i="193"/>
  <c r="C432" i="193"/>
  <c r="B431" i="190"/>
  <c r="C430" i="190"/>
  <c r="B432" i="182"/>
  <c r="C431" i="182"/>
  <c r="B432" i="181"/>
  <c r="C431" i="181"/>
  <c r="B431" i="157"/>
  <c r="C430" i="157"/>
  <c r="B431" i="156"/>
  <c r="C430" i="156"/>
  <c r="B431" i="155"/>
  <c r="C430" i="155"/>
  <c r="B384" i="137"/>
  <c r="C383" i="137"/>
  <c r="B379" i="133"/>
  <c r="C378" i="133"/>
  <c r="B379" i="131"/>
  <c r="C378" i="131"/>
  <c r="C373" i="88"/>
  <c r="B374" i="88"/>
  <c r="C433" i="205" l="1"/>
  <c r="B434" i="205"/>
  <c r="B433" i="204"/>
  <c r="C432" i="204"/>
  <c r="B433" i="203"/>
  <c r="C432" i="203"/>
  <c r="B433" i="202"/>
  <c r="C432" i="202"/>
  <c r="B433" i="201"/>
  <c r="C432" i="201"/>
  <c r="B433" i="200"/>
  <c r="C432" i="200"/>
  <c r="B433" i="199"/>
  <c r="C432" i="199"/>
  <c r="B433" i="198"/>
  <c r="C432" i="198"/>
  <c r="B433" i="197"/>
  <c r="C432" i="197"/>
  <c r="B434" i="193"/>
  <c r="C433" i="193"/>
  <c r="B432" i="190"/>
  <c r="C431" i="190"/>
  <c r="B433" i="182"/>
  <c r="C432" i="182"/>
  <c r="B433" i="181"/>
  <c r="C432" i="181"/>
  <c r="B432" i="157"/>
  <c r="C431" i="157"/>
  <c r="B432" i="156"/>
  <c r="C431" i="156"/>
  <c r="B432" i="155"/>
  <c r="C431" i="155"/>
  <c r="B385" i="137"/>
  <c r="C384" i="137"/>
  <c r="B380" i="133"/>
  <c r="C379" i="133"/>
  <c r="B380" i="131"/>
  <c r="C379" i="131"/>
  <c r="B375" i="88"/>
  <c r="C374" i="88"/>
  <c r="C434" i="205" l="1"/>
  <c r="B435" i="205"/>
  <c r="B434" i="204"/>
  <c r="C433" i="204"/>
  <c r="B434" i="203"/>
  <c r="C433" i="203"/>
  <c r="B434" i="202"/>
  <c r="C433" i="202"/>
  <c r="B434" i="201"/>
  <c r="C433" i="201"/>
  <c r="B434" i="200"/>
  <c r="C433" i="200"/>
  <c r="B434" i="199"/>
  <c r="C433" i="199"/>
  <c r="B434" i="198"/>
  <c r="C433" i="198"/>
  <c r="B434" i="197"/>
  <c r="C433" i="197"/>
  <c r="B435" i="193"/>
  <c r="C434" i="193"/>
  <c r="B433" i="190"/>
  <c r="C432" i="190"/>
  <c r="B434" i="182"/>
  <c r="C433" i="182"/>
  <c r="B434" i="181"/>
  <c r="C433" i="181"/>
  <c r="B433" i="157"/>
  <c r="C432" i="157"/>
  <c r="B433" i="156"/>
  <c r="C432" i="156"/>
  <c r="B433" i="155"/>
  <c r="C432" i="155"/>
  <c r="B386" i="137"/>
  <c r="C385" i="137"/>
  <c r="B381" i="133"/>
  <c r="C380" i="133"/>
  <c r="B381" i="131"/>
  <c r="C380" i="131"/>
  <c r="B376" i="88"/>
  <c r="C375" i="88"/>
  <c r="C435" i="205" l="1"/>
  <c r="B436" i="205"/>
  <c r="B435" i="204"/>
  <c r="C434" i="204"/>
  <c r="B435" i="203"/>
  <c r="C434" i="203"/>
  <c r="B435" i="202"/>
  <c r="C434" i="202"/>
  <c r="B435" i="201"/>
  <c r="C434" i="201"/>
  <c r="B435" i="200"/>
  <c r="C434" i="200"/>
  <c r="B435" i="199"/>
  <c r="C434" i="199"/>
  <c r="B435" i="198"/>
  <c r="C434" i="198"/>
  <c r="B435" i="197"/>
  <c r="C434" i="197"/>
  <c r="B436" i="193"/>
  <c r="C435" i="193"/>
  <c r="B434" i="190"/>
  <c r="C433" i="190"/>
  <c r="B435" i="182"/>
  <c r="C434" i="182"/>
  <c r="B435" i="181"/>
  <c r="C434" i="181"/>
  <c r="B434" i="157"/>
  <c r="C433" i="157"/>
  <c r="B434" i="156"/>
  <c r="C433" i="156"/>
  <c r="B434" i="155"/>
  <c r="C433" i="155"/>
  <c r="B387" i="137"/>
  <c r="C386" i="137"/>
  <c r="B382" i="133"/>
  <c r="C381" i="133"/>
  <c r="B382" i="131"/>
  <c r="C381" i="131"/>
  <c r="C376" i="88"/>
  <c r="B377" i="88"/>
  <c r="C436" i="205" l="1"/>
  <c r="B437" i="205"/>
  <c r="B436" i="204"/>
  <c r="C435" i="204"/>
  <c r="B436" i="203"/>
  <c r="C435" i="203"/>
  <c r="B436" i="202"/>
  <c r="C435" i="202"/>
  <c r="B436" i="201"/>
  <c r="C435" i="201"/>
  <c r="B436" i="200"/>
  <c r="C435" i="200"/>
  <c r="B436" i="199"/>
  <c r="C435" i="199"/>
  <c r="B436" i="198"/>
  <c r="C435" i="198"/>
  <c r="B436" i="197"/>
  <c r="C435" i="197"/>
  <c r="B437" i="193"/>
  <c r="C436" i="193"/>
  <c r="B435" i="190"/>
  <c r="C434" i="190"/>
  <c r="B436" i="182"/>
  <c r="C435" i="182"/>
  <c r="B436" i="181"/>
  <c r="C435" i="181"/>
  <c r="B435" i="157"/>
  <c r="C434" i="157"/>
  <c r="B435" i="156"/>
  <c r="C434" i="156"/>
  <c r="B435" i="155"/>
  <c r="C434" i="155"/>
  <c r="B388" i="137"/>
  <c r="C387" i="137"/>
  <c r="B383" i="133"/>
  <c r="C382" i="133"/>
  <c r="B383" i="131"/>
  <c r="C382" i="131"/>
  <c r="C377" i="88"/>
  <c r="B378" i="88"/>
  <c r="C437" i="205" l="1"/>
  <c r="B438" i="205"/>
  <c r="B437" i="204"/>
  <c r="C436" i="204"/>
  <c r="B437" i="203"/>
  <c r="C436" i="203"/>
  <c r="B437" i="202"/>
  <c r="C436" i="202"/>
  <c r="B437" i="201"/>
  <c r="C436" i="201"/>
  <c r="B437" i="200"/>
  <c r="C436" i="200"/>
  <c r="B437" i="199"/>
  <c r="C436" i="199"/>
  <c r="B437" i="198"/>
  <c r="C436" i="198"/>
  <c r="B437" i="197"/>
  <c r="C436" i="197"/>
  <c r="B438" i="193"/>
  <c r="C437" i="193"/>
  <c r="B436" i="190"/>
  <c r="C435" i="190"/>
  <c r="B437" i="182"/>
  <c r="C436" i="182"/>
  <c r="B437" i="181"/>
  <c r="C436" i="181"/>
  <c r="B436" i="157"/>
  <c r="C435" i="157"/>
  <c r="B436" i="156"/>
  <c r="C435" i="156"/>
  <c r="B436" i="155"/>
  <c r="C435" i="155"/>
  <c r="B389" i="137"/>
  <c r="C388" i="137"/>
  <c r="B384" i="133"/>
  <c r="C383" i="133"/>
  <c r="B384" i="131"/>
  <c r="C383" i="131"/>
  <c r="B379" i="88"/>
  <c r="C378" i="88"/>
  <c r="C438" i="205" l="1"/>
  <c r="B439" i="205"/>
  <c r="B438" i="204"/>
  <c r="C437" i="204"/>
  <c r="B438" i="203"/>
  <c r="C437" i="203"/>
  <c r="B438" i="202"/>
  <c r="C437" i="202"/>
  <c r="B438" i="201"/>
  <c r="C437" i="201"/>
  <c r="B438" i="200"/>
  <c r="C437" i="200"/>
  <c r="B438" i="199"/>
  <c r="C437" i="199"/>
  <c r="B438" i="198"/>
  <c r="C437" i="198"/>
  <c r="B438" i="197"/>
  <c r="C437" i="197"/>
  <c r="B439" i="193"/>
  <c r="C438" i="193"/>
  <c r="B437" i="190"/>
  <c r="C436" i="190"/>
  <c r="B438" i="182"/>
  <c r="C437" i="182"/>
  <c r="B438" i="181"/>
  <c r="C437" i="181"/>
  <c r="B437" i="157"/>
  <c r="C436" i="157"/>
  <c r="B437" i="156"/>
  <c r="C436" i="156"/>
  <c r="B437" i="155"/>
  <c r="C436" i="155"/>
  <c r="B390" i="137"/>
  <c r="C389" i="137"/>
  <c r="B385" i="133"/>
  <c r="C384" i="133"/>
  <c r="B385" i="131"/>
  <c r="C384" i="131"/>
  <c r="B380" i="88"/>
  <c r="C379" i="88"/>
  <c r="C439" i="205" l="1"/>
  <c r="B440" i="205"/>
  <c r="B439" i="204"/>
  <c r="C438" i="204"/>
  <c r="B439" i="203"/>
  <c r="C438" i="203"/>
  <c r="B439" i="202"/>
  <c r="C438" i="202"/>
  <c r="B439" i="201"/>
  <c r="C438" i="201"/>
  <c r="B439" i="200"/>
  <c r="C438" i="200"/>
  <c r="B439" i="199"/>
  <c r="C438" i="199"/>
  <c r="B439" i="198"/>
  <c r="C438" i="198"/>
  <c r="B439" i="197"/>
  <c r="C438" i="197"/>
  <c r="B440" i="193"/>
  <c r="C439" i="193"/>
  <c r="B438" i="190"/>
  <c r="C437" i="190"/>
  <c r="B439" i="182"/>
  <c r="C438" i="182"/>
  <c r="B439" i="181"/>
  <c r="C438" i="181"/>
  <c r="B438" i="157"/>
  <c r="C437" i="157"/>
  <c r="B438" i="156"/>
  <c r="C437" i="156"/>
  <c r="B438" i="155"/>
  <c r="C437" i="155"/>
  <c r="B391" i="137"/>
  <c r="C390" i="137"/>
  <c r="B386" i="133"/>
  <c r="C385" i="133"/>
  <c r="B386" i="131"/>
  <c r="C385" i="131"/>
  <c r="B381" i="88"/>
  <c r="C380" i="88"/>
  <c r="C440" i="205" l="1"/>
  <c r="B441" i="205"/>
  <c r="B440" i="204"/>
  <c r="C439" i="204"/>
  <c r="B440" i="203"/>
  <c r="C439" i="203"/>
  <c r="B440" i="202"/>
  <c r="C439" i="202"/>
  <c r="B440" i="201"/>
  <c r="C439" i="201"/>
  <c r="B440" i="200"/>
  <c r="C439" i="200"/>
  <c r="B440" i="199"/>
  <c r="C439" i="199"/>
  <c r="B440" i="198"/>
  <c r="C439" i="198"/>
  <c r="B440" i="197"/>
  <c r="C439" i="197"/>
  <c r="B441" i="193"/>
  <c r="C440" i="193"/>
  <c r="B439" i="190"/>
  <c r="C438" i="190"/>
  <c r="B440" i="182"/>
  <c r="C439" i="182"/>
  <c r="B440" i="181"/>
  <c r="C439" i="181"/>
  <c r="B439" i="157"/>
  <c r="C438" i="157"/>
  <c r="B439" i="156"/>
  <c r="C438" i="156"/>
  <c r="B439" i="155"/>
  <c r="C438" i="155"/>
  <c r="B392" i="137"/>
  <c r="C391" i="137"/>
  <c r="B387" i="133"/>
  <c r="C386" i="133"/>
  <c r="B387" i="131"/>
  <c r="C386" i="131"/>
  <c r="B382" i="88"/>
  <c r="C381" i="88"/>
  <c r="C441" i="205" l="1"/>
  <c r="B442" i="205"/>
  <c r="B441" i="204"/>
  <c r="C440" i="204"/>
  <c r="B441" i="203"/>
  <c r="C440" i="203"/>
  <c r="B441" i="202"/>
  <c r="C440" i="202"/>
  <c r="B441" i="201"/>
  <c r="C440" i="201"/>
  <c r="B441" i="200"/>
  <c r="C440" i="200"/>
  <c r="B441" i="199"/>
  <c r="C440" i="199"/>
  <c r="B441" i="198"/>
  <c r="C440" i="198"/>
  <c r="B441" i="197"/>
  <c r="C440" i="197"/>
  <c r="B442" i="193"/>
  <c r="C441" i="193"/>
  <c r="B440" i="190"/>
  <c r="C439" i="190"/>
  <c r="B441" i="182"/>
  <c r="C440" i="182"/>
  <c r="B441" i="181"/>
  <c r="C440" i="181"/>
  <c r="B440" i="157"/>
  <c r="C439" i="157"/>
  <c r="B440" i="156"/>
  <c r="C439" i="156"/>
  <c r="B440" i="155"/>
  <c r="C439" i="155"/>
  <c r="B393" i="137"/>
  <c r="C392" i="137"/>
  <c r="B388" i="133"/>
  <c r="C387" i="133"/>
  <c r="B388" i="131"/>
  <c r="C387" i="131"/>
  <c r="C382" i="88"/>
  <c r="B383" i="88"/>
  <c r="C442" i="205" l="1"/>
  <c r="B443" i="205"/>
  <c r="B442" i="204"/>
  <c r="C441" i="204"/>
  <c r="B442" i="203"/>
  <c r="C441" i="203"/>
  <c r="B442" i="202"/>
  <c r="C441" i="202"/>
  <c r="B442" i="201"/>
  <c r="C441" i="201"/>
  <c r="B442" i="200"/>
  <c r="C441" i="200"/>
  <c r="B442" i="199"/>
  <c r="C441" i="199"/>
  <c r="B442" i="198"/>
  <c r="C441" i="198"/>
  <c r="B442" i="197"/>
  <c r="C441" i="197"/>
  <c r="B443" i="193"/>
  <c r="C442" i="193"/>
  <c r="B441" i="190"/>
  <c r="C440" i="190"/>
  <c r="B442" i="182"/>
  <c r="C441" i="182"/>
  <c r="B442" i="181"/>
  <c r="C441" i="181"/>
  <c r="B441" i="157"/>
  <c r="C440" i="157"/>
  <c r="B441" i="156"/>
  <c r="C440" i="156"/>
  <c r="B441" i="155"/>
  <c r="C440" i="155"/>
  <c r="B394" i="137"/>
  <c r="C393" i="137"/>
  <c r="B389" i="133"/>
  <c r="C388" i="133"/>
  <c r="B389" i="131"/>
  <c r="C388" i="131"/>
  <c r="B384" i="88"/>
  <c r="C383" i="88"/>
  <c r="C443" i="205" l="1"/>
  <c r="B444" i="205"/>
  <c r="B443" i="204"/>
  <c r="C442" i="204"/>
  <c r="B443" i="203"/>
  <c r="C442" i="203"/>
  <c r="B443" i="202"/>
  <c r="C442" i="202"/>
  <c r="B443" i="201"/>
  <c r="C442" i="201"/>
  <c r="B443" i="200"/>
  <c r="C442" i="200"/>
  <c r="B443" i="199"/>
  <c r="C442" i="199"/>
  <c r="B443" i="198"/>
  <c r="C442" i="198"/>
  <c r="B443" i="197"/>
  <c r="C442" i="197"/>
  <c r="B444" i="193"/>
  <c r="C443" i="193"/>
  <c r="B442" i="190"/>
  <c r="C441" i="190"/>
  <c r="B443" i="182"/>
  <c r="C442" i="182"/>
  <c r="B443" i="181"/>
  <c r="C442" i="181"/>
  <c r="B442" i="157"/>
  <c r="C441" i="157"/>
  <c r="B442" i="156"/>
  <c r="C441" i="156"/>
  <c r="B442" i="155"/>
  <c r="C441" i="155"/>
  <c r="B395" i="137"/>
  <c r="C394" i="137"/>
  <c r="B390" i="133"/>
  <c r="C389" i="133"/>
  <c r="B390" i="131"/>
  <c r="C389" i="131"/>
  <c r="C384" i="88"/>
  <c r="B385" i="88"/>
  <c r="C444" i="205" l="1"/>
  <c r="B445" i="205"/>
  <c r="B444" i="204"/>
  <c r="C443" i="204"/>
  <c r="B444" i="203"/>
  <c r="C443" i="203"/>
  <c r="B444" i="202"/>
  <c r="C443" i="202"/>
  <c r="B444" i="201"/>
  <c r="C443" i="201"/>
  <c r="B444" i="200"/>
  <c r="C443" i="200"/>
  <c r="B444" i="199"/>
  <c r="C443" i="199"/>
  <c r="B444" i="198"/>
  <c r="C443" i="198"/>
  <c r="B444" i="197"/>
  <c r="C443" i="197"/>
  <c r="B445" i="193"/>
  <c r="C444" i="193"/>
  <c r="B443" i="190"/>
  <c r="C442" i="190"/>
  <c r="B444" i="182"/>
  <c r="C443" i="182"/>
  <c r="B444" i="181"/>
  <c r="C443" i="181"/>
  <c r="B443" i="157"/>
  <c r="C442" i="157"/>
  <c r="B443" i="156"/>
  <c r="C442" i="156"/>
  <c r="B443" i="155"/>
  <c r="C442" i="155"/>
  <c r="B396" i="137"/>
  <c r="C395" i="137"/>
  <c r="B391" i="133"/>
  <c r="C390" i="133"/>
  <c r="B391" i="131"/>
  <c r="C390" i="131"/>
  <c r="C385" i="88"/>
  <c r="B386" i="88"/>
  <c r="C445" i="205" l="1"/>
  <c r="B446" i="205"/>
  <c r="B445" i="204"/>
  <c r="C444" i="204"/>
  <c r="B445" i="203"/>
  <c r="C444" i="203"/>
  <c r="B445" i="202"/>
  <c r="C444" i="202"/>
  <c r="B445" i="201"/>
  <c r="C444" i="201"/>
  <c r="B445" i="200"/>
  <c r="C444" i="200"/>
  <c r="B445" i="199"/>
  <c r="C444" i="199"/>
  <c r="B445" i="198"/>
  <c r="C444" i="198"/>
  <c r="B445" i="197"/>
  <c r="C444" i="197"/>
  <c r="B446" i="193"/>
  <c r="C445" i="193"/>
  <c r="B444" i="190"/>
  <c r="C443" i="190"/>
  <c r="B445" i="182"/>
  <c r="C444" i="182"/>
  <c r="B445" i="181"/>
  <c r="C444" i="181"/>
  <c r="B444" i="157"/>
  <c r="C443" i="157"/>
  <c r="B444" i="156"/>
  <c r="C443" i="156"/>
  <c r="B444" i="155"/>
  <c r="C443" i="155"/>
  <c r="B397" i="137"/>
  <c r="C396" i="137"/>
  <c r="B392" i="133"/>
  <c r="C391" i="133"/>
  <c r="B392" i="131"/>
  <c r="C391" i="131"/>
  <c r="B387" i="88"/>
  <c r="C386" i="88"/>
  <c r="B447" i="205" l="1"/>
  <c r="C446" i="205"/>
  <c r="B446" i="204"/>
  <c r="C445" i="204"/>
  <c r="B446" i="203"/>
  <c r="C445" i="203"/>
  <c r="B446" i="202"/>
  <c r="C445" i="202"/>
  <c r="B446" i="201"/>
  <c r="C445" i="201"/>
  <c r="B446" i="200"/>
  <c r="C445" i="200"/>
  <c r="B446" i="199"/>
  <c r="C445" i="199"/>
  <c r="B446" i="198"/>
  <c r="C445" i="198"/>
  <c r="B446" i="197"/>
  <c r="C445" i="197"/>
  <c r="B447" i="193"/>
  <c r="C446" i="193"/>
  <c r="B445" i="190"/>
  <c r="C444" i="190"/>
  <c r="B446" i="182"/>
  <c r="C445" i="182"/>
  <c r="B446" i="181"/>
  <c r="C445" i="181"/>
  <c r="B445" i="157"/>
  <c r="C444" i="157"/>
  <c r="B445" i="156"/>
  <c r="C444" i="156"/>
  <c r="B445" i="155"/>
  <c r="C444" i="155"/>
  <c r="B398" i="137"/>
  <c r="C397" i="137"/>
  <c r="B393" i="133"/>
  <c r="C392" i="133"/>
  <c r="B393" i="131"/>
  <c r="C392" i="131"/>
  <c r="B388" i="88"/>
  <c r="C387" i="88"/>
  <c r="C447" i="205" l="1"/>
  <c r="B448" i="205"/>
  <c r="B447" i="204"/>
  <c r="C446" i="204"/>
  <c r="B447" i="203"/>
  <c r="C446" i="203"/>
  <c r="B447" i="202"/>
  <c r="C446" i="202"/>
  <c r="B447" i="201"/>
  <c r="C446" i="201"/>
  <c r="B447" i="200"/>
  <c r="C446" i="200"/>
  <c r="B447" i="199"/>
  <c r="C446" i="199"/>
  <c r="B447" i="198"/>
  <c r="C446" i="198"/>
  <c r="B447" i="197"/>
  <c r="C446" i="197"/>
  <c r="B448" i="193"/>
  <c r="C447" i="193"/>
  <c r="B446" i="190"/>
  <c r="C445" i="190"/>
  <c r="B447" i="182"/>
  <c r="C446" i="182"/>
  <c r="B447" i="181"/>
  <c r="C446" i="181"/>
  <c r="B446" i="157"/>
  <c r="C445" i="157"/>
  <c r="B446" i="156"/>
  <c r="C445" i="156"/>
  <c r="B446" i="155"/>
  <c r="C445" i="155"/>
  <c r="B399" i="137"/>
  <c r="C398" i="137"/>
  <c r="B394" i="133"/>
  <c r="C393" i="133"/>
  <c r="B394" i="131"/>
  <c r="C393" i="131"/>
  <c r="C388" i="88"/>
  <c r="B389" i="88"/>
  <c r="C448" i="205" l="1"/>
  <c r="B449" i="205"/>
  <c r="B448" i="204"/>
  <c r="C447" i="204"/>
  <c r="B448" i="203"/>
  <c r="C447" i="203"/>
  <c r="B448" i="202"/>
  <c r="C447" i="202"/>
  <c r="B448" i="201"/>
  <c r="C447" i="201"/>
  <c r="B448" i="200"/>
  <c r="C447" i="200"/>
  <c r="B448" i="199"/>
  <c r="C447" i="199"/>
  <c r="B448" i="198"/>
  <c r="C447" i="198"/>
  <c r="B448" i="197"/>
  <c r="C447" i="197"/>
  <c r="B449" i="193"/>
  <c r="C448" i="193"/>
  <c r="B447" i="190"/>
  <c r="C446" i="190"/>
  <c r="B448" i="182"/>
  <c r="C447" i="182"/>
  <c r="B448" i="181"/>
  <c r="C447" i="181"/>
  <c r="B447" i="157"/>
  <c r="C446" i="157"/>
  <c r="B447" i="156"/>
  <c r="C446" i="156"/>
  <c r="B447" i="155"/>
  <c r="C446" i="155"/>
  <c r="B400" i="137"/>
  <c r="C399" i="137"/>
  <c r="B395" i="133"/>
  <c r="C394" i="133"/>
  <c r="B395" i="131"/>
  <c r="C394" i="131"/>
  <c r="C389" i="88"/>
  <c r="B390" i="88"/>
  <c r="C449" i="205" l="1"/>
  <c r="B450" i="205"/>
  <c r="B449" i="204"/>
  <c r="C448" i="204"/>
  <c r="B449" i="203"/>
  <c r="C448" i="203"/>
  <c r="B449" i="202"/>
  <c r="C448" i="202"/>
  <c r="B449" i="201"/>
  <c r="C448" i="201"/>
  <c r="B449" i="200"/>
  <c r="C448" i="200"/>
  <c r="B449" i="199"/>
  <c r="C448" i="199"/>
  <c r="B449" i="198"/>
  <c r="C448" i="198"/>
  <c r="B449" i="197"/>
  <c r="C448" i="197"/>
  <c r="B450" i="193"/>
  <c r="C449" i="193"/>
  <c r="B448" i="190"/>
  <c r="C447" i="190"/>
  <c r="B449" i="182"/>
  <c r="C448" i="182"/>
  <c r="B449" i="181"/>
  <c r="C448" i="181"/>
  <c r="B448" i="157"/>
  <c r="C447" i="157"/>
  <c r="B448" i="156"/>
  <c r="C447" i="156"/>
  <c r="B448" i="155"/>
  <c r="C447" i="155"/>
  <c r="B401" i="137"/>
  <c r="C400" i="137"/>
  <c r="B396" i="133"/>
  <c r="C395" i="133"/>
  <c r="B396" i="131"/>
  <c r="C395" i="131"/>
  <c r="B391" i="88"/>
  <c r="C390" i="88"/>
  <c r="C450" i="205" l="1"/>
  <c r="B451" i="205"/>
  <c r="B450" i="204"/>
  <c r="C449" i="204"/>
  <c r="B450" i="203"/>
  <c r="C449" i="203"/>
  <c r="B450" i="202"/>
  <c r="C449" i="202"/>
  <c r="B450" i="201"/>
  <c r="C449" i="201"/>
  <c r="B450" i="200"/>
  <c r="C449" i="200"/>
  <c r="B450" i="199"/>
  <c r="C449" i="199"/>
  <c r="B450" i="198"/>
  <c r="C449" i="198"/>
  <c r="B450" i="197"/>
  <c r="C449" i="197"/>
  <c r="B451" i="193"/>
  <c r="C450" i="193"/>
  <c r="B449" i="190"/>
  <c r="C448" i="190"/>
  <c r="B450" i="182"/>
  <c r="C449" i="182"/>
  <c r="B450" i="181"/>
  <c r="C449" i="181"/>
  <c r="B449" i="157"/>
  <c r="C448" i="157"/>
  <c r="B449" i="156"/>
  <c r="C448" i="156"/>
  <c r="B449" i="155"/>
  <c r="C448" i="155"/>
  <c r="B402" i="137"/>
  <c r="C401" i="137"/>
  <c r="B397" i="133"/>
  <c r="C396" i="133"/>
  <c r="B397" i="131"/>
  <c r="C396" i="131"/>
  <c r="B392" i="88"/>
  <c r="C391" i="88"/>
  <c r="C451" i="205" l="1"/>
  <c r="B452" i="205"/>
  <c r="B451" i="204"/>
  <c r="C450" i="204"/>
  <c r="B451" i="203"/>
  <c r="C450" i="203"/>
  <c r="B451" i="202"/>
  <c r="C450" i="202"/>
  <c r="B451" i="201"/>
  <c r="C450" i="201"/>
  <c r="B451" i="200"/>
  <c r="C450" i="200"/>
  <c r="B451" i="199"/>
  <c r="C450" i="199"/>
  <c r="B451" i="198"/>
  <c r="C450" i="198"/>
  <c r="B451" i="197"/>
  <c r="C450" i="197"/>
  <c r="B452" i="193"/>
  <c r="C451" i="193"/>
  <c r="B450" i="190"/>
  <c r="C449" i="190"/>
  <c r="B451" i="182"/>
  <c r="C450" i="182"/>
  <c r="B451" i="181"/>
  <c r="C450" i="181"/>
  <c r="B450" i="157"/>
  <c r="C449" i="157"/>
  <c r="B450" i="156"/>
  <c r="C449" i="156"/>
  <c r="B450" i="155"/>
  <c r="C449" i="155"/>
  <c r="B403" i="137"/>
  <c r="C402" i="137"/>
  <c r="B398" i="133"/>
  <c r="C397" i="133"/>
  <c r="B398" i="131"/>
  <c r="C397" i="131"/>
  <c r="B393" i="88"/>
  <c r="C392" i="88"/>
  <c r="C452" i="205" l="1"/>
  <c r="B453" i="205"/>
  <c r="B452" i="204"/>
  <c r="C451" i="204"/>
  <c r="B452" i="203"/>
  <c r="C451" i="203"/>
  <c r="B452" i="202"/>
  <c r="C451" i="202"/>
  <c r="B452" i="201"/>
  <c r="C451" i="201"/>
  <c r="B452" i="200"/>
  <c r="C451" i="200"/>
  <c r="B452" i="199"/>
  <c r="C451" i="199"/>
  <c r="B452" i="198"/>
  <c r="C451" i="198"/>
  <c r="B452" i="197"/>
  <c r="C451" i="197"/>
  <c r="B453" i="193"/>
  <c r="C452" i="193"/>
  <c r="B451" i="190"/>
  <c r="C450" i="190"/>
  <c r="B452" i="182"/>
  <c r="C451" i="182"/>
  <c r="B452" i="181"/>
  <c r="C451" i="181"/>
  <c r="B451" i="157"/>
  <c r="C450" i="157"/>
  <c r="B451" i="156"/>
  <c r="C450" i="156"/>
  <c r="B451" i="155"/>
  <c r="C450" i="155"/>
  <c r="B404" i="137"/>
  <c r="C403" i="137"/>
  <c r="B399" i="133"/>
  <c r="C398" i="133"/>
  <c r="B399" i="131"/>
  <c r="C398" i="131"/>
  <c r="C393" i="88"/>
  <c r="B394" i="88"/>
  <c r="C453" i="205" l="1"/>
  <c r="B454" i="205"/>
  <c r="B453" i="204"/>
  <c r="C452" i="204"/>
  <c r="B453" i="203"/>
  <c r="C452" i="203"/>
  <c r="B453" i="202"/>
  <c r="C452" i="202"/>
  <c r="B453" i="201"/>
  <c r="C452" i="201"/>
  <c r="B453" i="200"/>
  <c r="C452" i="200"/>
  <c r="B453" i="199"/>
  <c r="C452" i="199"/>
  <c r="B453" i="198"/>
  <c r="C452" i="198"/>
  <c r="B453" i="197"/>
  <c r="C452" i="197"/>
  <c r="B454" i="193"/>
  <c r="C453" i="193"/>
  <c r="B452" i="190"/>
  <c r="C451" i="190"/>
  <c r="B453" i="182"/>
  <c r="C452" i="182"/>
  <c r="B453" i="181"/>
  <c r="C452" i="181"/>
  <c r="B452" i="157"/>
  <c r="C451" i="157"/>
  <c r="B452" i="156"/>
  <c r="C451" i="156"/>
  <c r="B452" i="155"/>
  <c r="C451" i="155"/>
  <c r="B405" i="137"/>
  <c r="C404" i="137"/>
  <c r="B400" i="133"/>
  <c r="C399" i="133"/>
  <c r="B400" i="131"/>
  <c r="C399" i="131"/>
  <c r="C394" i="88"/>
  <c r="B395" i="88"/>
  <c r="C454" i="205" l="1"/>
  <c r="B455" i="205"/>
  <c r="B454" i="204"/>
  <c r="C453" i="204"/>
  <c r="B454" i="203"/>
  <c r="C453" i="203"/>
  <c r="B454" i="202"/>
  <c r="C453" i="202"/>
  <c r="B454" i="201"/>
  <c r="C453" i="201"/>
  <c r="B454" i="200"/>
  <c r="C453" i="200"/>
  <c r="B454" i="199"/>
  <c r="C453" i="199"/>
  <c r="B454" i="198"/>
  <c r="C453" i="198"/>
  <c r="B454" i="197"/>
  <c r="C453" i="197"/>
  <c r="B455" i="193"/>
  <c r="C454" i="193"/>
  <c r="B453" i="190"/>
  <c r="C452" i="190"/>
  <c r="B454" i="182"/>
  <c r="C453" i="182"/>
  <c r="B454" i="181"/>
  <c r="C453" i="181"/>
  <c r="B453" i="157"/>
  <c r="C452" i="157"/>
  <c r="B453" i="156"/>
  <c r="C452" i="156"/>
  <c r="B453" i="155"/>
  <c r="C452" i="155"/>
  <c r="B406" i="137"/>
  <c r="C405" i="137"/>
  <c r="B401" i="133"/>
  <c r="C400" i="133"/>
  <c r="B401" i="131"/>
  <c r="C400" i="131"/>
  <c r="B396" i="88"/>
  <c r="C395" i="88"/>
  <c r="C455" i="205" l="1"/>
  <c r="B456" i="205"/>
  <c r="B455" i="204"/>
  <c r="C454" i="204"/>
  <c r="B455" i="203"/>
  <c r="C454" i="203"/>
  <c r="B455" i="202"/>
  <c r="C454" i="202"/>
  <c r="B455" i="201"/>
  <c r="C454" i="201"/>
  <c r="B455" i="200"/>
  <c r="C454" i="200"/>
  <c r="B455" i="199"/>
  <c r="C454" i="199"/>
  <c r="B455" i="198"/>
  <c r="C454" i="198"/>
  <c r="B455" i="197"/>
  <c r="C454" i="197"/>
  <c r="B456" i="193"/>
  <c r="C455" i="193"/>
  <c r="B454" i="190"/>
  <c r="C453" i="190"/>
  <c r="B455" i="182"/>
  <c r="C454" i="182"/>
  <c r="B455" i="181"/>
  <c r="C454" i="181"/>
  <c r="B454" i="157"/>
  <c r="C453" i="157"/>
  <c r="B454" i="156"/>
  <c r="C453" i="156"/>
  <c r="B454" i="155"/>
  <c r="C453" i="155"/>
  <c r="B407" i="137"/>
  <c r="C406" i="137"/>
  <c r="B402" i="133"/>
  <c r="C401" i="133"/>
  <c r="B402" i="131"/>
  <c r="C401" i="131"/>
  <c r="B397" i="88"/>
  <c r="C396" i="88"/>
  <c r="C456" i="205" l="1"/>
  <c r="B457" i="205"/>
  <c r="B456" i="204"/>
  <c r="C455" i="204"/>
  <c r="B456" i="203"/>
  <c r="C455" i="203"/>
  <c r="B456" i="202"/>
  <c r="C455" i="202"/>
  <c r="B456" i="201"/>
  <c r="C455" i="201"/>
  <c r="B456" i="200"/>
  <c r="C455" i="200"/>
  <c r="B456" i="199"/>
  <c r="C455" i="199"/>
  <c r="B456" i="198"/>
  <c r="C455" i="198"/>
  <c r="B456" i="197"/>
  <c r="C455" i="197"/>
  <c r="B457" i="193"/>
  <c r="C456" i="193"/>
  <c r="B455" i="190"/>
  <c r="C454" i="190"/>
  <c r="B456" i="182"/>
  <c r="C455" i="182"/>
  <c r="B456" i="181"/>
  <c r="C455" i="181"/>
  <c r="B455" i="157"/>
  <c r="C454" i="157"/>
  <c r="B455" i="156"/>
  <c r="C454" i="156"/>
  <c r="B455" i="155"/>
  <c r="C454" i="155"/>
  <c r="B408" i="137"/>
  <c r="C407" i="137"/>
  <c r="B403" i="133"/>
  <c r="C402" i="133"/>
  <c r="B403" i="131"/>
  <c r="C402" i="131"/>
  <c r="B398" i="88"/>
  <c r="C397" i="88"/>
  <c r="C457" i="205" l="1"/>
  <c r="B458" i="205"/>
  <c r="B457" i="204"/>
  <c r="C456" i="204"/>
  <c r="B457" i="203"/>
  <c r="C456" i="203"/>
  <c r="B457" i="202"/>
  <c r="C456" i="202"/>
  <c r="B457" i="201"/>
  <c r="C456" i="201"/>
  <c r="B457" i="200"/>
  <c r="C456" i="200"/>
  <c r="B457" i="199"/>
  <c r="C456" i="199"/>
  <c r="B457" i="198"/>
  <c r="C456" i="198"/>
  <c r="B457" i="197"/>
  <c r="C456" i="197"/>
  <c r="B458" i="193"/>
  <c r="C457" i="193"/>
  <c r="B456" i="190"/>
  <c r="C455" i="190"/>
  <c r="B457" i="182"/>
  <c r="C456" i="182"/>
  <c r="B457" i="181"/>
  <c r="C456" i="181"/>
  <c r="B456" i="157"/>
  <c r="C455" i="157"/>
  <c r="B456" i="156"/>
  <c r="C455" i="156"/>
  <c r="B456" i="155"/>
  <c r="C455" i="155"/>
  <c r="B409" i="137"/>
  <c r="C408" i="137"/>
  <c r="B404" i="133"/>
  <c r="C403" i="133"/>
  <c r="B404" i="131"/>
  <c r="C403" i="131"/>
  <c r="C398" i="88"/>
  <c r="B399" i="88"/>
  <c r="C458" i="205" l="1"/>
  <c r="B459" i="205"/>
  <c r="B458" i="204"/>
  <c r="C457" i="204"/>
  <c r="B458" i="203"/>
  <c r="C457" i="203"/>
  <c r="B458" i="202"/>
  <c r="C457" i="202"/>
  <c r="B458" i="201"/>
  <c r="C457" i="201"/>
  <c r="B458" i="200"/>
  <c r="C457" i="200"/>
  <c r="B458" i="199"/>
  <c r="C457" i="199"/>
  <c r="B458" i="198"/>
  <c r="C457" i="198"/>
  <c r="B458" i="197"/>
  <c r="C457" i="197"/>
  <c r="B459" i="193"/>
  <c r="C458" i="193"/>
  <c r="B457" i="190"/>
  <c r="C456" i="190"/>
  <c r="B458" i="182"/>
  <c r="C457" i="182"/>
  <c r="B458" i="181"/>
  <c r="C457" i="181"/>
  <c r="B457" i="157"/>
  <c r="C456" i="157"/>
  <c r="B457" i="156"/>
  <c r="C456" i="156"/>
  <c r="B457" i="155"/>
  <c r="C456" i="155"/>
  <c r="B410" i="137"/>
  <c r="C409" i="137"/>
  <c r="B405" i="133"/>
  <c r="C404" i="133"/>
  <c r="B405" i="131"/>
  <c r="C404" i="131"/>
  <c r="C399" i="88"/>
  <c r="B400" i="88"/>
  <c r="B460" i="205" l="1"/>
  <c r="C459" i="205"/>
  <c r="B459" i="204"/>
  <c r="C458" i="204"/>
  <c r="B459" i="203"/>
  <c r="C458" i="203"/>
  <c r="B459" i="202"/>
  <c r="C458" i="202"/>
  <c r="B459" i="201"/>
  <c r="C458" i="201"/>
  <c r="B459" i="200"/>
  <c r="C458" i="200"/>
  <c r="B459" i="199"/>
  <c r="C458" i="199"/>
  <c r="B459" i="198"/>
  <c r="C458" i="198"/>
  <c r="B459" i="197"/>
  <c r="C458" i="197"/>
  <c r="B460" i="193"/>
  <c r="C459" i="193"/>
  <c r="B458" i="190"/>
  <c r="C457" i="190"/>
  <c r="B459" i="182"/>
  <c r="C458" i="182"/>
  <c r="B459" i="181"/>
  <c r="C458" i="181"/>
  <c r="B458" i="157"/>
  <c r="C457" i="157"/>
  <c r="B458" i="156"/>
  <c r="C457" i="156"/>
  <c r="B458" i="155"/>
  <c r="C457" i="155"/>
  <c r="B411" i="137"/>
  <c r="C410" i="137"/>
  <c r="B406" i="133"/>
  <c r="C405" i="133"/>
  <c r="B406" i="131"/>
  <c r="C405" i="131"/>
  <c r="B401" i="88"/>
  <c r="C400" i="88"/>
  <c r="C460" i="205" l="1"/>
  <c r="B461" i="205"/>
  <c r="B460" i="204"/>
  <c r="C459" i="204"/>
  <c r="B460" i="203"/>
  <c r="C459" i="203"/>
  <c r="B460" i="202"/>
  <c r="C459" i="202"/>
  <c r="B460" i="201"/>
  <c r="C459" i="201"/>
  <c r="B460" i="200"/>
  <c r="C459" i="200"/>
  <c r="B460" i="199"/>
  <c r="C459" i="199"/>
  <c r="B460" i="198"/>
  <c r="C459" i="198"/>
  <c r="B460" i="197"/>
  <c r="C459" i="197"/>
  <c r="B461" i="193"/>
  <c r="C460" i="193"/>
  <c r="B459" i="190"/>
  <c r="C458" i="190"/>
  <c r="B460" i="182"/>
  <c r="C459" i="182"/>
  <c r="B460" i="181"/>
  <c r="C459" i="181"/>
  <c r="B459" i="157"/>
  <c r="C458" i="157"/>
  <c r="B459" i="156"/>
  <c r="C458" i="156"/>
  <c r="B459" i="155"/>
  <c r="C458" i="155"/>
  <c r="B412" i="137"/>
  <c r="C411" i="137"/>
  <c r="B407" i="133"/>
  <c r="C406" i="133"/>
  <c r="B407" i="131"/>
  <c r="C406" i="131"/>
  <c r="C401" i="88"/>
  <c r="B402" i="88"/>
  <c r="C461" i="205" l="1"/>
  <c r="B462" i="205"/>
  <c r="B461" i="204"/>
  <c r="C460" i="204"/>
  <c r="B461" i="203"/>
  <c r="C460" i="203"/>
  <c r="B461" i="202"/>
  <c r="C460" i="202"/>
  <c r="B461" i="201"/>
  <c r="C460" i="201"/>
  <c r="B461" i="200"/>
  <c r="C460" i="200"/>
  <c r="B461" i="199"/>
  <c r="C460" i="199"/>
  <c r="B461" i="198"/>
  <c r="C460" i="198"/>
  <c r="B461" i="197"/>
  <c r="C460" i="197"/>
  <c r="B462" i="193"/>
  <c r="C461" i="193"/>
  <c r="B460" i="190"/>
  <c r="C459" i="190"/>
  <c r="B461" i="182"/>
  <c r="C460" i="182"/>
  <c r="B461" i="181"/>
  <c r="C460" i="181"/>
  <c r="B460" i="157"/>
  <c r="C459" i="157"/>
  <c r="B460" i="156"/>
  <c r="C459" i="156"/>
  <c r="B460" i="155"/>
  <c r="C459" i="155"/>
  <c r="B413" i="137"/>
  <c r="C412" i="137"/>
  <c r="B408" i="133"/>
  <c r="C407" i="133"/>
  <c r="B408" i="131"/>
  <c r="C407" i="131"/>
  <c r="B403" i="88"/>
  <c r="C402" i="88"/>
  <c r="C462" i="205" l="1"/>
  <c r="B463" i="205"/>
  <c r="B462" i="204"/>
  <c r="C461" i="204"/>
  <c r="B462" i="203"/>
  <c r="C461" i="203"/>
  <c r="B462" i="202"/>
  <c r="C461" i="202"/>
  <c r="B462" i="201"/>
  <c r="C461" i="201"/>
  <c r="B462" i="200"/>
  <c r="C461" i="200"/>
  <c r="B462" i="199"/>
  <c r="C461" i="199"/>
  <c r="B462" i="198"/>
  <c r="C461" i="198"/>
  <c r="B462" i="197"/>
  <c r="C461" i="197"/>
  <c r="B463" i="193"/>
  <c r="C462" i="193"/>
  <c r="B461" i="190"/>
  <c r="C460" i="190"/>
  <c r="B462" i="182"/>
  <c r="C461" i="182"/>
  <c r="B462" i="181"/>
  <c r="C461" i="181"/>
  <c r="B461" i="157"/>
  <c r="C460" i="157"/>
  <c r="B461" i="156"/>
  <c r="C460" i="156"/>
  <c r="B461" i="155"/>
  <c r="C460" i="155"/>
  <c r="B414" i="137"/>
  <c r="C413" i="137"/>
  <c r="B409" i="133"/>
  <c r="C408" i="133"/>
  <c r="B409" i="131"/>
  <c r="C408" i="131"/>
  <c r="C403" i="88"/>
  <c r="B404" i="88"/>
  <c r="C463" i="205" l="1"/>
  <c r="B464" i="205"/>
  <c r="B463" i="204"/>
  <c r="C462" i="204"/>
  <c r="B463" i="203"/>
  <c r="C462" i="203"/>
  <c r="B463" i="202"/>
  <c r="C462" i="202"/>
  <c r="B463" i="201"/>
  <c r="C462" i="201"/>
  <c r="B463" i="200"/>
  <c r="C462" i="200"/>
  <c r="B463" i="199"/>
  <c r="C462" i="199"/>
  <c r="B463" i="198"/>
  <c r="C462" i="198"/>
  <c r="B463" i="197"/>
  <c r="C462" i="197"/>
  <c r="B464" i="193"/>
  <c r="C463" i="193"/>
  <c r="B462" i="190"/>
  <c r="C461" i="190"/>
  <c r="B463" i="182"/>
  <c r="C462" i="182"/>
  <c r="B463" i="181"/>
  <c r="C462" i="181"/>
  <c r="B462" i="157"/>
  <c r="C461" i="157"/>
  <c r="B462" i="156"/>
  <c r="C461" i="156"/>
  <c r="B462" i="155"/>
  <c r="C461" i="155"/>
  <c r="B415" i="137"/>
  <c r="C414" i="137"/>
  <c r="B410" i="133"/>
  <c r="C409" i="133"/>
  <c r="B410" i="131"/>
  <c r="C409" i="131"/>
  <c r="B405" i="88"/>
  <c r="C404" i="88"/>
  <c r="C464" i="205" l="1"/>
  <c r="B465" i="205"/>
  <c r="B464" i="204"/>
  <c r="C463" i="204"/>
  <c r="B464" i="203"/>
  <c r="C463" i="203"/>
  <c r="B464" i="202"/>
  <c r="C463" i="202"/>
  <c r="B464" i="201"/>
  <c r="C463" i="201"/>
  <c r="B464" i="200"/>
  <c r="C463" i="200"/>
  <c r="B464" i="199"/>
  <c r="C463" i="199"/>
  <c r="B464" i="198"/>
  <c r="C463" i="198"/>
  <c r="B464" i="197"/>
  <c r="C463" i="197"/>
  <c r="B465" i="193"/>
  <c r="C464" i="193"/>
  <c r="B463" i="190"/>
  <c r="C462" i="190"/>
  <c r="B464" i="182"/>
  <c r="C463" i="182"/>
  <c r="B464" i="181"/>
  <c r="C463" i="181"/>
  <c r="B463" i="157"/>
  <c r="C462" i="157"/>
  <c r="B463" i="156"/>
  <c r="C462" i="156"/>
  <c r="B463" i="155"/>
  <c r="C462" i="155"/>
  <c r="B416" i="137"/>
  <c r="C415" i="137"/>
  <c r="B411" i="133"/>
  <c r="C410" i="133"/>
  <c r="B411" i="131"/>
  <c r="C410" i="131"/>
  <c r="C405" i="88"/>
  <c r="B406" i="88"/>
  <c r="C465" i="205" l="1"/>
  <c r="B466" i="205"/>
  <c r="B465" i="204"/>
  <c r="C464" i="204"/>
  <c r="B465" i="203"/>
  <c r="C464" i="203"/>
  <c r="B465" i="202"/>
  <c r="C464" i="202"/>
  <c r="B465" i="201"/>
  <c r="C464" i="201"/>
  <c r="B465" i="200"/>
  <c r="C464" i="200"/>
  <c r="B465" i="199"/>
  <c r="C464" i="199"/>
  <c r="B465" i="198"/>
  <c r="C464" i="198"/>
  <c r="B465" i="197"/>
  <c r="C464" i="197"/>
  <c r="B466" i="193"/>
  <c r="C465" i="193"/>
  <c r="B464" i="190"/>
  <c r="C463" i="190"/>
  <c r="B465" i="182"/>
  <c r="C464" i="182"/>
  <c r="B465" i="181"/>
  <c r="C464" i="181"/>
  <c r="B464" i="157"/>
  <c r="C463" i="157"/>
  <c r="B464" i="156"/>
  <c r="C463" i="156"/>
  <c r="B464" i="155"/>
  <c r="C463" i="155"/>
  <c r="B417" i="137"/>
  <c r="C416" i="137"/>
  <c r="B412" i="133"/>
  <c r="C411" i="133"/>
  <c r="B412" i="131"/>
  <c r="C411" i="131"/>
  <c r="C406" i="88"/>
  <c r="B407" i="88"/>
  <c r="C466" i="205" l="1"/>
  <c r="B467" i="205"/>
  <c r="B466" i="204"/>
  <c r="C465" i="204"/>
  <c r="B466" i="203"/>
  <c r="C465" i="203"/>
  <c r="B466" i="202"/>
  <c r="C465" i="202"/>
  <c r="B466" i="201"/>
  <c r="C465" i="201"/>
  <c r="B466" i="200"/>
  <c r="C465" i="200"/>
  <c r="B466" i="199"/>
  <c r="C465" i="199"/>
  <c r="B466" i="198"/>
  <c r="C465" i="198"/>
  <c r="B466" i="197"/>
  <c r="C465" i="197"/>
  <c r="B467" i="193"/>
  <c r="C466" i="193"/>
  <c r="B465" i="190"/>
  <c r="C464" i="190"/>
  <c r="B466" i="182"/>
  <c r="C465" i="182"/>
  <c r="B466" i="181"/>
  <c r="C465" i="181"/>
  <c r="B465" i="157"/>
  <c r="C464" i="157"/>
  <c r="B465" i="156"/>
  <c r="C464" i="156"/>
  <c r="B465" i="155"/>
  <c r="C464" i="155"/>
  <c r="B418" i="137"/>
  <c r="C417" i="137"/>
  <c r="B413" i="133"/>
  <c r="C412" i="133"/>
  <c r="B413" i="131"/>
  <c r="C412" i="131"/>
  <c r="B408" i="88"/>
  <c r="C407" i="88"/>
  <c r="C467" i="205" l="1"/>
  <c r="B468" i="205"/>
  <c r="B467" i="204"/>
  <c r="C466" i="204"/>
  <c r="B467" i="203"/>
  <c r="C466" i="203"/>
  <c r="B467" i="202"/>
  <c r="C466" i="202"/>
  <c r="B467" i="201"/>
  <c r="C466" i="201"/>
  <c r="B467" i="200"/>
  <c r="C466" i="200"/>
  <c r="B467" i="199"/>
  <c r="C466" i="199"/>
  <c r="B467" i="198"/>
  <c r="C466" i="198"/>
  <c r="B467" i="197"/>
  <c r="C466" i="197"/>
  <c r="B468" i="193"/>
  <c r="C467" i="193"/>
  <c r="B466" i="190"/>
  <c r="C465" i="190"/>
  <c r="B467" i="182"/>
  <c r="C466" i="182"/>
  <c r="B467" i="181"/>
  <c r="C466" i="181"/>
  <c r="B466" i="157"/>
  <c r="C465" i="157"/>
  <c r="B466" i="156"/>
  <c r="C465" i="156"/>
  <c r="B466" i="155"/>
  <c r="C465" i="155"/>
  <c r="B419" i="137"/>
  <c r="C418" i="137"/>
  <c r="B414" i="133"/>
  <c r="C413" i="133"/>
  <c r="B414" i="131"/>
  <c r="C413" i="131"/>
  <c r="C408" i="88"/>
  <c r="B409" i="88"/>
  <c r="C468" i="205" l="1"/>
  <c r="B469" i="205"/>
  <c r="B468" i="204"/>
  <c r="C467" i="204"/>
  <c r="B468" i="203"/>
  <c r="C467" i="203"/>
  <c r="B468" i="202"/>
  <c r="C467" i="202"/>
  <c r="B468" i="201"/>
  <c r="C467" i="201"/>
  <c r="B468" i="200"/>
  <c r="C467" i="200"/>
  <c r="B468" i="199"/>
  <c r="C467" i="199"/>
  <c r="B468" i="198"/>
  <c r="C467" i="198"/>
  <c r="B468" i="197"/>
  <c r="C467" i="197"/>
  <c r="B469" i="193"/>
  <c r="C468" i="193"/>
  <c r="B467" i="190"/>
  <c r="C466" i="190"/>
  <c r="B468" i="182"/>
  <c r="C467" i="182"/>
  <c r="B468" i="181"/>
  <c r="C467" i="181"/>
  <c r="B467" i="157"/>
  <c r="C466" i="157"/>
  <c r="B467" i="156"/>
  <c r="C466" i="156"/>
  <c r="B467" i="155"/>
  <c r="C466" i="155"/>
  <c r="B420" i="137"/>
  <c r="C419" i="137"/>
  <c r="B415" i="133"/>
  <c r="C414" i="133"/>
  <c r="B415" i="131"/>
  <c r="C414" i="131"/>
  <c r="C409" i="88"/>
  <c r="B410" i="88"/>
  <c r="C469" i="205" l="1"/>
  <c r="B470" i="205"/>
  <c r="B469" i="204"/>
  <c r="C468" i="204"/>
  <c r="B469" i="203"/>
  <c r="C468" i="203"/>
  <c r="B469" i="202"/>
  <c r="C468" i="202"/>
  <c r="B469" i="201"/>
  <c r="C468" i="201"/>
  <c r="B469" i="200"/>
  <c r="C468" i="200"/>
  <c r="B469" i="199"/>
  <c r="C468" i="199"/>
  <c r="B469" i="198"/>
  <c r="C468" i="198"/>
  <c r="B469" i="197"/>
  <c r="C468" i="197"/>
  <c r="B470" i="193"/>
  <c r="C469" i="193"/>
  <c r="B468" i="190"/>
  <c r="C467" i="190"/>
  <c r="B469" i="182"/>
  <c r="C468" i="182"/>
  <c r="B469" i="181"/>
  <c r="C468" i="181"/>
  <c r="B468" i="157"/>
  <c r="C467" i="157"/>
  <c r="B468" i="156"/>
  <c r="C467" i="156"/>
  <c r="B468" i="155"/>
  <c r="C467" i="155"/>
  <c r="B421" i="137"/>
  <c r="C420" i="137"/>
  <c r="B416" i="133"/>
  <c r="C415" i="133"/>
  <c r="B416" i="131"/>
  <c r="C415" i="131"/>
  <c r="C410" i="88"/>
  <c r="B411" i="88"/>
  <c r="C470" i="205" l="1"/>
  <c r="B471" i="205"/>
  <c r="B470" i="204"/>
  <c r="C469" i="204"/>
  <c r="B470" i="203"/>
  <c r="C469" i="203"/>
  <c r="B470" i="202"/>
  <c r="C469" i="202"/>
  <c r="B470" i="201"/>
  <c r="C469" i="201"/>
  <c r="B470" i="200"/>
  <c r="C469" i="200"/>
  <c r="B470" i="199"/>
  <c r="C469" i="199"/>
  <c r="B470" i="198"/>
  <c r="C469" i="198"/>
  <c r="B470" i="197"/>
  <c r="C469" i="197"/>
  <c r="B471" i="193"/>
  <c r="C470" i="193"/>
  <c r="B469" i="190"/>
  <c r="C468" i="190"/>
  <c r="B470" i="182"/>
  <c r="C469" i="182"/>
  <c r="B470" i="181"/>
  <c r="C469" i="181"/>
  <c r="B469" i="157"/>
  <c r="C468" i="157"/>
  <c r="B469" i="156"/>
  <c r="C468" i="156"/>
  <c r="B469" i="155"/>
  <c r="C468" i="155"/>
  <c r="B422" i="137"/>
  <c r="C421" i="137"/>
  <c r="B417" i="133"/>
  <c r="C416" i="133"/>
  <c r="B417" i="131"/>
  <c r="C416" i="131"/>
  <c r="C411" i="88"/>
  <c r="B412" i="88"/>
  <c r="C471" i="205" l="1"/>
  <c r="B472" i="205"/>
  <c r="B471" i="204"/>
  <c r="C470" i="204"/>
  <c r="B471" i="203"/>
  <c r="C470" i="203"/>
  <c r="B471" i="202"/>
  <c r="C470" i="202"/>
  <c r="B471" i="201"/>
  <c r="C470" i="201"/>
  <c r="B471" i="200"/>
  <c r="C470" i="200"/>
  <c r="B471" i="199"/>
  <c r="C470" i="199"/>
  <c r="B471" i="198"/>
  <c r="C470" i="198"/>
  <c r="B471" i="197"/>
  <c r="C470" i="197"/>
  <c r="B472" i="193"/>
  <c r="C471" i="193"/>
  <c r="B470" i="190"/>
  <c r="C469" i="190"/>
  <c r="B471" i="182"/>
  <c r="C470" i="182"/>
  <c r="B471" i="181"/>
  <c r="C470" i="181"/>
  <c r="B470" i="157"/>
  <c r="C469" i="157"/>
  <c r="B470" i="156"/>
  <c r="C469" i="156"/>
  <c r="B470" i="155"/>
  <c r="C469" i="155"/>
  <c r="B423" i="137"/>
  <c r="C422" i="137"/>
  <c r="B418" i="133"/>
  <c r="C417" i="133"/>
  <c r="B418" i="131"/>
  <c r="C417" i="131"/>
  <c r="B413" i="88"/>
  <c r="C412" i="88"/>
  <c r="B473" i="205" l="1"/>
  <c r="C472" i="205"/>
  <c r="B472" i="204"/>
  <c r="C471" i="204"/>
  <c r="B472" i="203"/>
  <c r="C471" i="203"/>
  <c r="B472" i="202"/>
  <c r="C471" i="202"/>
  <c r="B472" i="201"/>
  <c r="C471" i="201"/>
  <c r="B472" i="200"/>
  <c r="C471" i="200"/>
  <c r="B472" i="199"/>
  <c r="C471" i="199"/>
  <c r="B472" i="198"/>
  <c r="C471" i="198"/>
  <c r="B472" i="197"/>
  <c r="C471" i="197"/>
  <c r="B473" i="193"/>
  <c r="C472" i="193"/>
  <c r="B471" i="190"/>
  <c r="C470" i="190"/>
  <c r="B472" i="182"/>
  <c r="C471" i="182"/>
  <c r="B472" i="181"/>
  <c r="C471" i="181"/>
  <c r="B471" i="157"/>
  <c r="C470" i="157"/>
  <c r="B471" i="156"/>
  <c r="C470" i="156"/>
  <c r="B471" i="155"/>
  <c r="C470" i="155"/>
  <c r="B424" i="137"/>
  <c r="C423" i="137"/>
  <c r="B419" i="133"/>
  <c r="C418" i="133"/>
  <c r="B419" i="131"/>
  <c r="C418" i="131"/>
  <c r="C413" i="88"/>
  <c r="B414" i="88"/>
  <c r="C473" i="205" l="1"/>
  <c r="B474" i="205"/>
  <c r="B473" i="204"/>
  <c r="C472" i="204"/>
  <c r="B473" i="203"/>
  <c r="C472" i="203"/>
  <c r="B473" i="202"/>
  <c r="C472" i="202"/>
  <c r="B473" i="201"/>
  <c r="C472" i="201"/>
  <c r="B473" i="200"/>
  <c r="C472" i="200"/>
  <c r="B473" i="199"/>
  <c r="C472" i="199"/>
  <c r="B473" i="198"/>
  <c r="C472" i="198"/>
  <c r="B473" i="197"/>
  <c r="C472" i="197"/>
  <c r="B474" i="193"/>
  <c r="C473" i="193"/>
  <c r="B472" i="190"/>
  <c r="C471" i="190"/>
  <c r="B473" i="182"/>
  <c r="C472" i="182"/>
  <c r="B473" i="181"/>
  <c r="C472" i="181"/>
  <c r="B472" i="157"/>
  <c r="C471" i="157"/>
  <c r="B472" i="156"/>
  <c r="C471" i="156"/>
  <c r="B472" i="155"/>
  <c r="C471" i="155"/>
  <c r="B425" i="137"/>
  <c r="C424" i="137"/>
  <c r="B420" i="133"/>
  <c r="C419" i="133"/>
  <c r="B420" i="131"/>
  <c r="C419" i="131"/>
  <c r="C414" i="88"/>
  <c r="B415" i="88"/>
  <c r="C474" i="205" l="1"/>
  <c r="B475" i="205"/>
  <c r="B474" i="204"/>
  <c r="C473" i="204"/>
  <c r="B474" i="203"/>
  <c r="C473" i="203"/>
  <c r="B474" i="202"/>
  <c r="C473" i="202"/>
  <c r="B474" i="201"/>
  <c r="C473" i="201"/>
  <c r="B474" i="200"/>
  <c r="C473" i="200"/>
  <c r="B474" i="199"/>
  <c r="C473" i="199"/>
  <c r="B474" i="198"/>
  <c r="C473" i="198"/>
  <c r="B474" i="197"/>
  <c r="C473" i="197"/>
  <c r="B475" i="193"/>
  <c r="C474" i="193"/>
  <c r="B473" i="190"/>
  <c r="C472" i="190"/>
  <c r="B474" i="182"/>
  <c r="C473" i="182"/>
  <c r="B474" i="181"/>
  <c r="C473" i="181"/>
  <c r="B473" i="157"/>
  <c r="C472" i="157"/>
  <c r="B473" i="156"/>
  <c r="C472" i="156"/>
  <c r="B473" i="155"/>
  <c r="C472" i="155"/>
  <c r="B426" i="137"/>
  <c r="C425" i="137"/>
  <c r="B421" i="133"/>
  <c r="C420" i="133"/>
  <c r="B421" i="131"/>
  <c r="C420" i="131"/>
  <c r="C415" i="88"/>
  <c r="B416" i="88"/>
  <c r="C475" i="205" l="1"/>
  <c r="B476" i="205"/>
  <c r="B475" i="204"/>
  <c r="C474" i="204"/>
  <c r="B475" i="203"/>
  <c r="C474" i="203"/>
  <c r="B475" i="202"/>
  <c r="C474" i="202"/>
  <c r="B475" i="201"/>
  <c r="C474" i="201"/>
  <c r="B475" i="200"/>
  <c r="C474" i="200"/>
  <c r="B475" i="199"/>
  <c r="C474" i="199"/>
  <c r="B475" i="198"/>
  <c r="C474" i="198"/>
  <c r="B475" i="197"/>
  <c r="C474" i="197"/>
  <c r="B476" i="193"/>
  <c r="C475" i="193"/>
  <c r="B474" i="190"/>
  <c r="C473" i="190"/>
  <c r="B475" i="182"/>
  <c r="C474" i="182"/>
  <c r="B475" i="181"/>
  <c r="C474" i="181"/>
  <c r="B474" i="157"/>
  <c r="C473" i="157"/>
  <c r="B474" i="156"/>
  <c r="C473" i="156"/>
  <c r="B474" i="155"/>
  <c r="C473" i="155"/>
  <c r="B427" i="137"/>
  <c r="C426" i="137"/>
  <c r="B422" i="133"/>
  <c r="C421" i="133"/>
  <c r="B422" i="131"/>
  <c r="C421" i="131"/>
  <c r="B417" i="88"/>
  <c r="C416" i="88"/>
  <c r="C476" i="205" l="1"/>
  <c r="B477" i="205"/>
  <c r="B476" i="204"/>
  <c r="C475" i="204"/>
  <c r="B476" i="203"/>
  <c r="C475" i="203"/>
  <c r="B476" i="202"/>
  <c r="C475" i="202"/>
  <c r="B476" i="201"/>
  <c r="C475" i="201"/>
  <c r="B476" i="200"/>
  <c r="C475" i="200"/>
  <c r="B476" i="199"/>
  <c r="C475" i="199"/>
  <c r="B476" i="198"/>
  <c r="C475" i="198"/>
  <c r="B476" i="197"/>
  <c r="C475" i="197"/>
  <c r="B477" i="193"/>
  <c r="C476" i="193"/>
  <c r="B475" i="190"/>
  <c r="C474" i="190"/>
  <c r="B476" i="182"/>
  <c r="C475" i="182"/>
  <c r="B476" i="181"/>
  <c r="C475" i="181"/>
  <c r="B475" i="157"/>
  <c r="C474" i="157"/>
  <c r="B475" i="156"/>
  <c r="C474" i="156"/>
  <c r="B475" i="155"/>
  <c r="C474" i="155"/>
  <c r="B428" i="137"/>
  <c r="C427" i="137"/>
  <c r="B423" i="133"/>
  <c r="C422" i="133"/>
  <c r="B423" i="131"/>
  <c r="C422" i="131"/>
  <c r="C417" i="88"/>
  <c r="B418" i="88"/>
  <c r="C477" i="205" l="1"/>
  <c r="B478" i="205"/>
  <c r="B477" i="204"/>
  <c r="C476" i="204"/>
  <c r="B477" i="203"/>
  <c r="C476" i="203"/>
  <c r="B477" i="202"/>
  <c r="C476" i="202"/>
  <c r="B477" i="201"/>
  <c r="C476" i="201"/>
  <c r="B477" i="200"/>
  <c r="C476" i="200"/>
  <c r="B477" i="199"/>
  <c r="C476" i="199"/>
  <c r="B477" i="198"/>
  <c r="C476" i="198"/>
  <c r="B477" i="197"/>
  <c r="C476" i="197"/>
  <c r="B478" i="193"/>
  <c r="C477" i="193"/>
  <c r="B476" i="190"/>
  <c r="C475" i="190"/>
  <c r="B477" i="182"/>
  <c r="C476" i="182"/>
  <c r="B477" i="181"/>
  <c r="C476" i="181"/>
  <c r="B476" i="157"/>
  <c r="C475" i="157"/>
  <c r="B476" i="156"/>
  <c r="C475" i="156"/>
  <c r="B476" i="155"/>
  <c r="C475" i="155"/>
  <c r="B429" i="137"/>
  <c r="C428" i="137"/>
  <c r="B424" i="133"/>
  <c r="C423" i="133"/>
  <c r="B424" i="131"/>
  <c r="C423" i="131"/>
  <c r="B419" i="88"/>
  <c r="C418" i="88"/>
  <c r="C478" i="205" l="1"/>
  <c r="B479" i="205"/>
  <c r="B478" i="204"/>
  <c r="C477" i="204"/>
  <c r="B478" i="203"/>
  <c r="C477" i="203"/>
  <c r="B478" i="202"/>
  <c r="C477" i="202"/>
  <c r="B478" i="201"/>
  <c r="C477" i="201"/>
  <c r="B478" i="200"/>
  <c r="C477" i="200"/>
  <c r="B478" i="199"/>
  <c r="C477" i="199"/>
  <c r="B478" i="198"/>
  <c r="C477" i="198"/>
  <c r="B478" i="197"/>
  <c r="C477" i="197"/>
  <c r="B479" i="193"/>
  <c r="C478" i="193"/>
  <c r="B477" i="190"/>
  <c r="C476" i="190"/>
  <c r="B478" i="182"/>
  <c r="C477" i="182"/>
  <c r="B478" i="181"/>
  <c r="C477" i="181"/>
  <c r="B477" i="157"/>
  <c r="C476" i="157"/>
  <c r="B477" i="156"/>
  <c r="C476" i="156"/>
  <c r="B477" i="155"/>
  <c r="C476" i="155"/>
  <c r="B430" i="137"/>
  <c r="C429" i="137"/>
  <c r="B425" i="133"/>
  <c r="C424" i="133"/>
  <c r="B425" i="131"/>
  <c r="C424" i="131"/>
  <c r="B420" i="88"/>
  <c r="C419" i="88"/>
  <c r="C479" i="205" l="1"/>
  <c r="B480" i="205"/>
  <c r="B479" i="204"/>
  <c r="C478" i="204"/>
  <c r="B479" i="203"/>
  <c r="C478" i="203"/>
  <c r="B479" i="202"/>
  <c r="C478" i="202"/>
  <c r="B479" i="201"/>
  <c r="C478" i="201"/>
  <c r="B479" i="200"/>
  <c r="C478" i="200"/>
  <c r="B479" i="199"/>
  <c r="C478" i="199"/>
  <c r="B479" i="198"/>
  <c r="C478" i="198"/>
  <c r="B479" i="197"/>
  <c r="C478" i="197"/>
  <c r="B480" i="193"/>
  <c r="C479" i="193"/>
  <c r="B478" i="190"/>
  <c r="C477" i="190"/>
  <c r="B479" i="182"/>
  <c r="C478" i="182"/>
  <c r="B479" i="181"/>
  <c r="C478" i="181"/>
  <c r="B478" i="157"/>
  <c r="C477" i="157"/>
  <c r="B478" i="156"/>
  <c r="C477" i="156"/>
  <c r="B478" i="155"/>
  <c r="C477" i="155"/>
  <c r="B431" i="137"/>
  <c r="C430" i="137"/>
  <c r="B426" i="133"/>
  <c r="C425" i="133"/>
  <c r="B426" i="131"/>
  <c r="C425" i="131"/>
  <c r="C420" i="88"/>
  <c r="B421" i="88"/>
  <c r="C480" i="205" l="1"/>
  <c r="B481" i="205"/>
  <c r="B480" i="204"/>
  <c r="C479" i="204"/>
  <c r="B480" i="203"/>
  <c r="C479" i="203"/>
  <c r="B480" i="202"/>
  <c r="C479" i="202"/>
  <c r="B480" i="201"/>
  <c r="C479" i="201"/>
  <c r="B480" i="200"/>
  <c r="C479" i="200"/>
  <c r="B480" i="199"/>
  <c r="C479" i="199"/>
  <c r="B480" i="198"/>
  <c r="C479" i="198"/>
  <c r="B480" i="197"/>
  <c r="C479" i="197"/>
  <c r="B481" i="193"/>
  <c r="C480" i="193"/>
  <c r="B479" i="190"/>
  <c r="C478" i="190"/>
  <c r="B480" i="182"/>
  <c r="C479" i="182"/>
  <c r="B480" i="181"/>
  <c r="C479" i="181"/>
  <c r="B479" i="157"/>
  <c r="C478" i="157"/>
  <c r="B479" i="156"/>
  <c r="C478" i="156"/>
  <c r="B479" i="155"/>
  <c r="C478" i="155"/>
  <c r="B432" i="137"/>
  <c r="C431" i="137"/>
  <c r="B427" i="133"/>
  <c r="C426" i="133"/>
  <c r="B427" i="131"/>
  <c r="C426" i="131"/>
  <c r="B422" i="88"/>
  <c r="C421" i="88"/>
  <c r="C481" i="205" l="1"/>
  <c r="B482" i="205"/>
  <c r="B481" i="204"/>
  <c r="C480" i="204"/>
  <c r="B481" i="203"/>
  <c r="C480" i="203"/>
  <c r="B481" i="202"/>
  <c r="C480" i="202"/>
  <c r="B481" i="201"/>
  <c r="C480" i="201"/>
  <c r="B481" i="200"/>
  <c r="C480" i="200"/>
  <c r="B481" i="199"/>
  <c r="C480" i="199"/>
  <c r="B481" i="198"/>
  <c r="C480" i="198"/>
  <c r="B481" i="197"/>
  <c r="C480" i="197"/>
  <c r="B482" i="193"/>
  <c r="C481" i="193"/>
  <c r="B480" i="190"/>
  <c r="C479" i="190"/>
  <c r="B481" i="182"/>
  <c r="C480" i="182"/>
  <c r="B481" i="181"/>
  <c r="C480" i="181"/>
  <c r="B480" i="157"/>
  <c r="C479" i="157"/>
  <c r="B480" i="156"/>
  <c r="C479" i="156"/>
  <c r="B480" i="155"/>
  <c r="C479" i="155"/>
  <c r="B433" i="137"/>
  <c r="C432" i="137"/>
  <c r="B428" i="133"/>
  <c r="C427" i="133"/>
  <c r="B428" i="131"/>
  <c r="C427" i="131"/>
  <c r="C422" i="88"/>
  <c r="B423" i="88"/>
  <c r="C482" i="205" l="1"/>
  <c r="B483" i="205"/>
  <c r="B482" i="204"/>
  <c r="C481" i="204"/>
  <c r="B482" i="203"/>
  <c r="C481" i="203"/>
  <c r="B482" i="202"/>
  <c r="C481" i="202"/>
  <c r="B482" i="201"/>
  <c r="C481" i="201"/>
  <c r="B482" i="200"/>
  <c r="C481" i="200"/>
  <c r="B482" i="199"/>
  <c r="C481" i="199"/>
  <c r="B482" i="198"/>
  <c r="C481" i="198"/>
  <c r="B482" i="197"/>
  <c r="C481" i="197"/>
  <c r="B483" i="193"/>
  <c r="C482" i="193"/>
  <c r="B481" i="190"/>
  <c r="C480" i="190"/>
  <c r="B482" i="182"/>
  <c r="C481" i="182"/>
  <c r="B482" i="181"/>
  <c r="C481" i="181"/>
  <c r="B481" i="157"/>
  <c r="C480" i="157"/>
  <c r="B481" i="156"/>
  <c r="C480" i="156"/>
  <c r="B481" i="155"/>
  <c r="C480" i="155"/>
  <c r="B434" i="137"/>
  <c r="C433" i="137"/>
  <c r="B429" i="133"/>
  <c r="C428" i="133"/>
  <c r="B429" i="131"/>
  <c r="C428" i="131"/>
  <c r="B424" i="88"/>
  <c r="C423" i="88"/>
  <c r="C483" i="205" l="1"/>
  <c r="B484" i="205"/>
  <c r="B483" i="204"/>
  <c r="C482" i="204"/>
  <c r="B483" i="203"/>
  <c r="C482" i="203"/>
  <c r="B483" i="202"/>
  <c r="C482" i="202"/>
  <c r="B483" i="201"/>
  <c r="C482" i="201"/>
  <c r="B483" i="200"/>
  <c r="C482" i="200"/>
  <c r="B483" i="199"/>
  <c r="C482" i="199"/>
  <c r="B483" i="198"/>
  <c r="C482" i="198"/>
  <c r="B483" i="197"/>
  <c r="C482" i="197"/>
  <c r="B484" i="193"/>
  <c r="C483" i="193"/>
  <c r="B482" i="190"/>
  <c r="C481" i="190"/>
  <c r="B483" i="182"/>
  <c r="C482" i="182"/>
  <c r="B483" i="181"/>
  <c r="C482" i="181"/>
  <c r="B482" i="157"/>
  <c r="C481" i="157"/>
  <c r="B482" i="156"/>
  <c r="C481" i="156"/>
  <c r="B482" i="155"/>
  <c r="C481" i="155"/>
  <c r="B435" i="137"/>
  <c r="C434" i="137"/>
  <c r="B430" i="133"/>
  <c r="C429" i="133"/>
  <c r="B430" i="131"/>
  <c r="C429" i="131"/>
  <c r="C424" i="88"/>
  <c r="B425" i="88"/>
  <c r="C484" i="205" l="1"/>
  <c r="B485" i="205"/>
  <c r="B484" i="204"/>
  <c r="C483" i="204"/>
  <c r="B484" i="203"/>
  <c r="C483" i="203"/>
  <c r="B484" i="202"/>
  <c r="C483" i="202"/>
  <c r="B484" i="201"/>
  <c r="C483" i="201"/>
  <c r="B484" i="200"/>
  <c r="C483" i="200"/>
  <c r="B484" i="199"/>
  <c r="C483" i="199"/>
  <c r="B484" i="198"/>
  <c r="C483" i="198"/>
  <c r="B484" i="197"/>
  <c r="C483" i="197"/>
  <c r="B485" i="193"/>
  <c r="C484" i="193"/>
  <c r="B483" i="190"/>
  <c r="C482" i="190"/>
  <c r="B484" i="182"/>
  <c r="C483" i="182"/>
  <c r="B484" i="181"/>
  <c r="C483" i="181"/>
  <c r="B483" i="157"/>
  <c r="C482" i="157"/>
  <c r="B483" i="156"/>
  <c r="C482" i="156"/>
  <c r="B483" i="155"/>
  <c r="C482" i="155"/>
  <c r="B436" i="137"/>
  <c r="C435" i="137"/>
  <c r="B431" i="133"/>
  <c r="C430" i="133"/>
  <c r="B431" i="131"/>
  <c r="C430" i="131"/>
  <c r="B426" i="88"/>
  <c r="C425" i="88"/>
  <c r="B486" i="205" l="1"/>
  <c r="C485" i="205"/>
  <c r="B485" i="204"/>
  <c r="C484" i="204"/>
  <c r="B485" i="203"/>
  <c r="C484" i="203"/>
  <c r="B485" i="202"/>
  <c r="C484" i="202"/>
  <c r="B485" i="201"/>
  <c r="C484" i="201"/>
  <c r="B485" i="200"/>
  <c r="C484" i="200"/>
  <c r="B485" i="199"/>
  <c r="C484" i="199"/>
  <c r="B485" i="198"/>
  <c r="C484" i="198"/>
  <c r="B485" i="197"/>
  <c r="C484" i="197"/>
  <c r="B486" i="193"/>
  <c r="C485" i="193"/>
  <c r="B484" i="190"/>
  <c r="C483" i="190"/>
  <c r="B485" i="182"/>
  <c r="C484" i="182"/>
  <c r="B485" i="181"/>
  <c r="C484" i="181"/>
  <c r="B484" i="157"/>
  <c r="C483" i="157"/>
  <c r="B484" i="156"/>
  <c r="C483" i="156"/>
  <c r="B484" i="155"/>
  <c r="C483" i="155"/>
  <c r="B437" i="137"/>
  <c r="C436" i="137"/>
  <c r="B432" i="133"/>
  <c r="C431" i="133"/>
  <c r="B432" i="131"/>
  <c r="C431" i="131"/>
  <c r="C426" i="88"/>
  <c r="B427" i="88"/>
  <c r="C486" i="205" l="1"/>
  <c r="B487" i="205"/>
  <c r="B486" i="204"/>
  <c r="C485" i="204"/>
  <c r="B486" i="203"/>
  <c r="C485" i="203"/>
  <c r="B486" i="202"/>
  <c r="C485" i="202"/>
  <c r="B486" i="201"/>
  <c r="C485" i="201"/>
  <c r="B486" i="200"/>
  <c r="C485" i="200"/>
  <c r="B486" i="199"/>
  <c r="C485" i="199"/>
  <c r="B486" i="198"/>
  <c r="C485" i="198"/>
  <c r="B486" i="197"/>
  <c r="C485" i="197"/>
  <c r="B487" i="193"/>
  <c r="C486" i="193"/>
  <c r="B485" i="190"/>
  <c r="C484" i="190"/>
  <c r="B486" i="182"/>
  <c r="C485" i="182"/>
  <c r="B486" i="181"/>
  <c r="C485" i="181"/>
  <c r="B485" i="157"/>
  <c r="C484" i="157"/>
  <c r="B485" i="156"/>
  <c r="C484" i="156"/>
  <c r="B485" i="155"/>
  <c r="C484" i="155"/>
  <c r="B438" i="137"/>
  <c r="C437" i="137"/>
  <c r="B433" i="133"/>
  <c r="C432" i="133"/>
  <c r="B433" i="131"/>
  <c r="C432" i="131"/>
  <c r="B428" i="88"/>
  <c r="C427" i="88"/>
  <c r="C487" i="205" l="1"/>
  <c r="B488" i="205"/>
  <c r="B487" i="204"/>
  <c r="C486" i="204"/>
  <c r="B487" i="203"/>
  <c r="C486" i="203"/>
  <c r="B487" i="202"/>
  <c r="C486" i="202"/>
  <c r="B487" i="201"/>
  <c r="C486" i="201"/>
  <c r="B487" i="200"/>
  <c r="C486" i="200"/>
  <c r="B487" i="199"/>
  <c r="C486" i="199"/>
  <c r="B487" i="198"/>
  <c r="C486" i="198"/>
  <c r="B487" i="197"/>
  <c r="C486" i="197"/>
  <c r="B488" i="193"/>
  <c r="C487" i="193"/>
  <c r="B486" i="190"/>
  <c r="C485" i="190"/>
  <c r="B487" i="182"/>
  <c r="C486" i="182"/>
  <c r="B487" i="181"/>
  <c r="C486" i="181"/>
  <c r="B486" i="157"/>
  <c r="C485" i="157"/>
  <c r="B486" i="156"/>
  <c r="C485" i="156"/>
  <c r="B486" i="155"/>
  <c r="C485" i="155"/>
  <c r="B439" i="137"/>
  <c r="C438" i="137"/>
  <c r="B434" i="133"/>
  <c r="C433" i="133"/>
  <c r="B434" i="131"/>
  <c r="C433" i="131"/>
  <c r="B429" i="88"/>
  <c r="C428" i="88"/>
  <c r="C488" i="205" l="1"/>
  <c r="B489" i="205"/>
  <c r="B488" i="204"/>
  <c r="C487" i="204"/>
  <c r="B488" i="203"/>
  <c r="C487" i="203"/>
  <c r="B488" i="202"/>
  <c r="C487" i="202"/>
  <c r="B488" i="201"/>
  <c r="C487" i="201"/>
  <c r="B488" i="200"/>
  <c r="C487" i="200"/>
  <c r="B488" i="199"/>
  <c r="C487" i="199"/>
  <c r="B488" i="198"/>
  <c r="C487" i="198"/>
  <c r="B488" i="197"/>
  <c r="C487" i="197"/>
  <c r="B489" i="193"/>
  <c r="C488" i="193"/>
  <c r="B487" i="190"/>
  <c r="C486" i="190"/>
  <c r="B488" i="182"/>
  <c r="C487" i="182"/>
  <c r="B488" i="181"/>
  <c r="C487" i="181"/>
  <c r="B487" i="157"/>
  <c r="C486" i="157"/>
  <c r="B487" i="156"/>
  <c r="C486" i="156"/>
  <c r="B487" i="155"/>
  <c r="C486" i="155"/>
  <c r="B440" i="137"/>
  <c r="C439" i="137"/>
  <c r="B435" i="133"/>
  <c r="C434" i="133"/>
  <c r="B435" i="131"/>
  <c r="C434" i="131"/>
  <c r="C429" i="88"/>
  <c r="B430" i="88"/>
  <c r="C489" i="205" l="1"/>
  <c r="B490" i="205"/>
  <c r="B489" i="204"/>
  <c r="C488" i="204"/>
  <c r="B489" i="203"/>
  <c r="C488" i="203"/>
  <c r="B489" i="202"/>
  <c r="C488" i="202"/>
  <c r="B489" i="201"/>
  <c r="C488" i="201"/>
  <c r="B489" i="200"/>
  <c r="C488" i="200"/>
  <c r="B489" i="199"/>
  <c r="C488" i="199"/>
  <c r="B489" i="198"/>
  <c r="C488" i="198"/>
  <c r="B489" i="197"/>
  <c r="C488" i="197"/>
  <c r="B490" i="193"/>
  <c r="C489" i="193"/>
  <c r="B488" i="190"/>
  <c r="C487" i="190"/>
  <c r="B489" i="182"/>
  <c r="C488" i="182"/>
  <c r="B489" i="181"/>
  <c r="C488" i="181"/>
  <c r="B488" i="157"/>
  <c r="C487" i="157"/>
  <c r="B488" i="156"/>
  <c r="C487" i="156"/>
  <c r="B488" i="155"/>
  <c r="C487" i="155"/>
  <c r="B441" i="137"/>
  <c r="C440" i="137"/>
  <c r="B436" i="133"/>
  <c r="C435" i="133"/>
  <c r="B436" i="131"/>
  <c r="C435" i="131"/>
  <c r="C430" i="88"/>
  <c r="B431" i="88"/>
  <c r="C490" i="205" l="1"/>
  <c r="B491" i="205"/>
  <c r="B490" i="204"/>
  <c r="C489" i="204"/>
  <c r="B490" i="203"/>
  <c r="C489" i="203"/>
  <c r="B490" i="202"/>
  <c r="C489" i="202"/>
  <c r="B490" i="201"/>
  <c r="C489" i="201"/>
  <c r="B490" i="200"/>
  <c r="C489" i="200"/>
  <c r="B490" i="199"/>
  <c r="C489" i="199"/>
  <c r="B490" i="198"/>
  <c r="C489" i="198"/>
  <c r="B490" i="197"/>
  <c r="C489" i="197"/>
  <c r="B491" i="193"/>
  <c r="C490" i="193"/>
  <c r="B489" i="190"/>
  <c r="C488" i="190"/>
  <c r="B490" i="182"/>
  <c r="C489" i="182"/>
  <c r="B490" i="181"/>
  <c r="C489" i="181"/>
  <c r="B489" i="157"/>
  <c r="C488" i="157"/>
  <c r="B489" i="156"/>
  <c r="C488" i="156"/>
  <c r="B489" i="155"/>
  <c r="C488" i="155"/>
  <c r="B442" i="137"/>
  <c r="C441" i="137"/>
  <c r="B437" i="133"/>
  <c r="C436" i="133"/>
  <c r="B437" i="131"/>
  <c r="C436" i="131"/>
  <c r="B432" i="88"/>
  <c r="C431" i="88"/>
  <c r="C491" i="205" l="1"/>
  <c r="B492" i="205"/>
  <c r="B491" i="204"/>
  <c r="C490" i="204"/>
  <c r="B491" i="203"/>
  <c r="C490" i="203"/>
  <c r="B491" i="202"/>
  <c r="C490" i="202"/>
  <c r="B491" i="201"/>
  <c r="C490" i="201"/>
  <c r="B491" i="200"/>
  <c r="C490" i="200"/>
  <c r="B491" i="199"/>
  <c r="C490" i="199"/>
  <c r="B491" i="198"/>
  <c r="C490" i="198"/>
  <c r="B491" i="197"/>
  <c r="C490" i="197"/>
  <c r="B492" i="193"/>
  <c r="C491" i="193"/>
  <c r="B490" i="190"/>
  <c r="C489" i="190"/>
  <c r="B491" i="182"/>
  <c r="C490" i="182"/>
  <c r="B491" i="181"/>
  <c r="C490" i="181"/>
  <c r="B490" i="157"/>
  <c r="C489" i="157"/>
  <c r="B490" i="156"/>
  <c r="C489" i="156"/>
  <c r="B490" i="155"/>
  <c r="C489" i="155"/>
  <c r="B443" i="137"/>
  <c r="C442" i="137"/>
  <c r="B438" i="133"/>
  <c r="C437" i="133"/>
  <c r="B438" i="131"/>
  <c r="C437" i="131"/>
  <c r="C432" i="88"/>
  <c r="B433" i="88"/>
  <c r="C492" i="205" l="1"/>
  <c r="B493" i="205"/>
  <c r="B492" i="204"/>
  <c r="C491" i="204"/>
  <c r="B492" i="203"/>
  <c r="C491" i="203"/>
  <c r="B492" i="202"/>
  <c r="C491" i="202"/>
  <c r="B492" i="201"/>
  <c r="C491" i="201"/>
  <c r="B492" i="200"/>
  <c r="C491" i="200"/>
  <c r="B492" i="199"/>
  <c r="C491" i="199"/>
  <c r="B492" i="198"/>
  <c r="C491" i="198"/>
  <c r="B492" i="197"/>
  <c r="C491" i="197"/>
  <c r="B493" i="193"/>
  <c r="C492" i="193"/>
  <c r="B491" i="190"/>
  <c r="C490" i="190"/>
  <c r="B492" i="182"/>
  <c r="C491" i="182"/>
  <c r="B492" i="181"/>
  <c r="C491" i="181"/>
  <c r="B491" i="157"/>
  <c r="C490" i="157"/>
  <c r="B491" i="156"/>
  <c r="C490" i="156"/>
  <c r="B491" i="155"/>
  <c r="C490" i="155"/>
  <c r="B444" i="137"/>
  <c r="C443" i="137"/>
  <c r="B439" i="133"/>
  <c r="C438" i="133"/>
  <c r="B439" i="131"/>
  <c r="C438" i="131"/>
  <c r="C433" i="88"/>
  <c r="B434" i="88"/>
  <c r="C493" i="205" l="1"/>
  <c r="B494" i="205"/>
  <c r="B493" i="204"/>
  <c r="C492" i="204"/>
  <c r="B493" i="203"/>
  <c r="C492" i="203"/>
  <c r="B493" i="202"/>
  <c r="C492" i="202"/>
  <c r="B493" i="201"/>
  <c r="C492" i="201"/>
  <c r="B493" i="200"/>
  <c r="C492" i="200"/>
  <c r="B493" i="199"/>
  <c r="C492" i="199"/>
  <c r="B493" i="198"/>
  <c r="C492" i="198"/>
  <c r="B493" i="197"/>
  <c r="C492" i="197"/>
  <c r="B494" i="193"/>
  <c r="C493" i="193"/>
  <c r="B492" i="190"/>
  <c r="C491" i="190"/>
  <c r="B493" i="182"/>
  <c r="C492" i="182"/>
  <c r="B493" i="181"/>
  <c r="C492" i="181"/>
  <c r="B492" i="157"/>
  <c r="C491" i="157"/>
  <c r="B492" i="156"/>
  <c r="C491" i="156"/>
  <c r="B492" i="155"/>
  <c r="C491" i="155"/>
  <c r="B445" i="137"/>
  <c r="C444" i="137"/>
  <c r="B440" i="133"/>
  <c r="C439" i="133"/>
  <c r="B440" i="131"/>
  <c r="C439" i="131"/>
  <c r="B435" i="88"/>
  <c r="C434" i="88"/>
  <c r="C494" i="205" l="1"/>
  <c r="B495" i="205"/>
  <c r="B494" i="204"/>
  <c r="C493" i="204"/>
  <c r="B494" i="203"/>
  <c r="C493" i="203"/>
  <c r="B494" i="202"/>
  <c r="C493" i="202"/>
  <c r="B494" i="201"/>
  <c r="C493" i="201"/>
  <c r="B494" i="200"/>
  <c r="C493" i="200"/>
  <c r="B494" i="199"/>
  <c r="C493" i="199"/>
  <c r="B494" i="198"/>
  <c r="C493" i="198"/>
  <c r="B494" i="197"/>
  <c r="C493" i="197"/>
  <c r="B495" i="193"/>
  <c r="C494" i="193"/>
  <c r="B493" i="190"/>
  <c r="C492" i="190"/>
  <c r="B494" i="182"/>
  <c r="C493" i="182"/>
  <c r="B494" i="181"/>
  <c r="C493" i="181"/>
  <c r="B493" i="157"/>
  <c r="C492" i="157"/>
  <c r="B493" i="156"/>
  <c r="C492" i="156"/>
  <c r="B493" i="155"/>
  <c r="C492" i="155"/>
  <c r="B446" i="137"/>
  <c r="C445" i="137"/>
  <c r="B441" i="133"/>
  <c r="C440" i="133"/>
  <c r="B441" i="131"/>
  <c r="C440" i="131"/>
  <c r="C435" i="88"/>
  <c r="B436" i="88"/>
  <c r="C495" i="205" l="1"/>
  <c r="B496" i="205"/>
  <c r="B495" i="204"/>
  <c r="C494" i="204"/>
  <c r="B495" i="203"/>
  <c r="C494" i="203"/>
  <c r="B495" i="202"/>
  <c r="C494" i="202"/>
  <c r="B495" i="201"/>
  <c r="C494" i="201"/>
  <c r="B495" i="200"/>
  <c r="C494" i="200"/>
  <c r="B495" i="199"/>
  <c r="C494" i="199"/>
  <c r="B495" i="198"/>
  <c r="C494" i="198"/>
  <c r="B495" i="197"/>
  <c r="C494" i="197"/>
  <c r="B496" i="193"/>
  <c r="C495" i="193"/>
  <c r="B494" i="190"/>
  <c r="C493" i="190"/>
  <c r="B495" i="182"/>
  <c r="C494" i="182"/>
  <c r="B495" i="181"/>
  <c r="C494" i="181"/>
  <c r="B494" i="157"/>
  <c r="C493" i="157"/>
  <c r="B494" i="156"/>
  <c r="C493" i="156"/>
  <c r="B494" i="155"/>
  <c r="C493" i="155"/>
  <c r="B447" i="137"/>
  <c r="C446" i="137"/>
  <c r="B442" i="133"/>
  <c r="C441" i="133"/>
  <c r="B442" i="131"/>
  <c r="C441" i="131"/>
  <c r="B437" i="88"/>
  <c r="C436" i="88"/>
  <c r="C496" i="205" l="1"/>
  <c r="B497" i="205"/>
  <c r="B496" i="204"/>
  <c r="C495" i="204"/>
  <c r="B496" i="203"/>
  <c r="C495" i="203"/>
  <c r="B496" i="202"/>
  <c r="C495" i="202"/>
  <c r="B496" i="201"/>
  <c r="C495" i="201"/>
  <c r="B496" i="200"/>
  <c r="C495" i="200"/>
  <c r="B496" i="199"/>
  <c r="C495" i="199"/>
  <c r="B496" i="198"/>
  <c r="C495" i="198"/>
  <c r="B496" i="197"/>
  <c r="C495" i="197"/>
  <c r="B497" i="193"/>
  <c r="C496" i="193"/>
  <c r="B495" i="190"/>
  <c r="C494" i="190"/>
  <c r="B496" i="182"/>
  <c r="C495" i="182"/>
  <c r="B496" i="181"/>
  <c r="C495" i="181"/>
  <c r="B495" i="157"/>
  <c r="C494" i="157"/>
  <c r="B495" i="156"/>
  <c r="C494" i="156"/>
  <c r="B495" i="155"/>
  <c r="C494" i="155"/>
  <c r="B448" i="137"/>
  <c r="C447" i="137"/>
  <c r="B443" i="133"/>
  <c r="C442" i="133"/>
  <c r="B443" i="131"/>
  <c r="C442" i="131"/>
  <c r="B438" i="88"/>
  <c r="C437" i="88"/>
  <c r="C497" i="205" l="1"/>
  <c r="B498" i="205"/>
  <c r="B497" i="204"/>
  <c r="C496" i="204"/>
  <c r="B497" i="203"/>
  <c r="C496" i="203"/>
  <c r="B497" i="202"/>
  <c r="C496" i="202"/>
  <c r="B497" i="201"/>
  <c r="C496" i="201"/>
  <c r="B497" i="200"/>
  <c r="C496" i="200"/>
  <c r="B497" i="199"/>
  <c r="C496" i="199"/>
  <c r="B497" i="198"/>
  <c r="C496" i="198"/>
  <c r="B497" i="197"/>
  <c r="C496" i="197"/>
  <c r="B498" i="193"/>
  <c r="C497" i="193"/>
  <c r="B496" i="190"/>
  <c r="C495" i="190"/>
  <c r="B497" i="182"/>
  <c r="C496" i="182"/>
  <c r="B497" i="181"/>
  <c r="C496" i="181"/>
  <c r="B496" i="157"/>
  <c r="C495" i="157"/>
  <c r="B496" i="156"/>
  <c r="C495" i="156"/>
  <c r="B496" i="155"/>
  <c r="C495" i="155"/>
  <c r="B449" i="137"/>
  <c r="C448" i="137"/>
  <c r="B444" i="133"/>
  <c r="C443" i="133"/>
  <c r="B444" i="131"/>
  <c r="C443" i="131"/>
  <c r="B439" i="88"/>
  <c r="C438" i="88"/>
  <c r="B499" i="205" l="1"/>
  <c r="C498" i="205"/>
  <c r="B498" i="204"/>
  <c r="C497" i="204"/>
  <c r="B498" i="203"/>
  <c r="C497" i="203"/>
  <c r="B498" i="202"/>
  <c r="C497" i="202"/>
  <c r="B498" i="201"/>
  <c r="C497" i="201"/>
  <c r="B498" i="200"/>
  <c r="C497" i="200"/>
  <c r="B498" i="199"/>
  <c r="C497" i="199"/>
  <c r="B498" i="198"/>
  <c r="C497" i="198"/>
  <c r="B498" i="197"/>
  <c r="C497" i="197"/>
  <c r="B499" i="193"/>
  <c r="C498" i="193"/>
  <c r="B497" i="190"/>
  <c r="C496" i="190"/>
  <c r="B498" i="182"/>
  <c r="C497" i="182"/>
  <c r="B498" i="181"/>
  <c r="C497" i="181"/>
  <c r="B497" i="157"/>
  <c r="C496" i="157"/>
  <c r="B497" i="156"/>
  <c r="C496" i="156"/>
  <c r="B497" i="155"/>
  <c r="C496" i="155"/>
  <c r="B450" i="137"/>
  <c r="C449" i="137"/>
  <c r="B445" i="133"/>
  <c r="C444" i="133"/>
  <c r="B445" i="131"/>
  <c r="C444" i="131"/>
  <c r="C439" i="88"/>
  <c r="B440" i="88"/>
  <c r="C499" i="205" l="1"/>
  <c r="B500" i="205"/>
  <c r="B499" i="204"/>
  <c r="C498" i="204"/>
  <c r="B499" i="203"/>
  <c r="C498" i="203"/>
  <c r="B499" i="202"/>
  <c r="C498" i="202"/>
  <c r="B499" i="201"/>
  <c r="C498" i="201"/>
  <c r="B499" i="200"/>
  <c r="C498" i="200"/>
  <c r="B499" i="199"/>
  <c r="C498" i="199"/>
  <c r="B499" i="198"/>
  <c r="C498" i="198"/>
  <c r="B499" i="197"/>
  <c r="C498" i="197"/>
  <c r="B500" i="193"/>
  <c r="C499" i="193"/>
  <c r="B498" i="190"/>
  <c r="C497" i="190"/>
  <c r="B499" i="182"/>
  <c r="C498" i="182"/>
  <c r="B499" i="181"/>
  <c r="C498" i="181"/>
  <c r="B498" i="157"/>
  <c r="C497" i="157"/>
  <c r="B498" i="156"/>
  <c r="C497" i="156"/>
  <c r="B498" i="155"/>
  <c r="C497" i="155"/>
  <c r="B451" i="137"/>
  <c r="C450" i="137"/>
  <c r="B446" i="133"/>
  <c r="C445" i="133"/>
  <c r="B446" i="131"/>
  <c r="C445" i="131"/>
  <c r="B441" i="88"/>
  <c r="C440" i="88"/>
  <c r="C500" i="205" l="1"/>
  <c r="B501" i="205"/>
  <c r="B500" i="204"/>
  <c r="C499" i="204"/>
  <c r="B500" i="203"/>
  <c r="C499" i="203"/>
  <c r="B500" i="202"/>
  <c r="C499" i="202"/>
  <c r="B500" i="201"/>
  <c r="C499" i="201"/>
  <c r="B500" i="200"/>
  <c r="C499" i="200"/>
  <c r="B500" i="199"/>
  <c r="C499" i="199"/>
  <c r="B500" i="198"/>
  <c r="C499" i="198"/>
  <c r="B500" i="197"/>
  <c r="C499" i="197"/>
  <c r="B501" i="193"/>
  <c r="C500" i="193"/>
  <c r="B499" i="190"/>
  <c r="C498" i="190"/>
  <c r="B500" i="182"/>
  <c r="C499" i="182"/>
  <c r="B500" i="181"/>
  <c r="C499" i="181"/>
  <c r="B499" i="157"/>
  <c r="C498" i="157"/>
  <c r="B499" i="156"/>
  <c r="C498" i="156"/>
  <c r="B499" i="155"/>
  <c r="C498" i="155"/>
  <c r="B452" i="137"/>
  <c r="C451" i="137"/>
  <c r="B447" i="133"/>
  <c r="C446" i="133"/>
  <c r="B447" i="131"/>
  <c r="C446" i="131"/>
  <c r="C441" i="88"/>
  <c r="B442" i="88"/>
  <c r="C501" i="205" l="1"/>
  <c r="B502" i="205"/>
  <c r="B501" i="204"/>
  <c r="C500" i="204"/>
  <c r="B501" i="203"/>
  <c r="C500" i="203"/>
  <c r="B501" i="202"/>
  <c r="C500" i="202"/>
  <c r="B501" i="201"/>
  <c r="C500" i="201"/>
  <c r="B501" i="200"/>
  <c r="C500" i="200"/>
  <c r="B501" i="199"/>
  <c r="C500" i="199"/>
  <c r="B501" i="198"/>
  <c r="C500" i="198"/>
  <c r="B501" i="197"/>
  <c r="C500" i="197"/>
  <c r="B502" i="193"/>
  <c r="C501" i="193"/>
  <c r="B500" i="190"/>
  <c r="C499" i="190"/>
  <c r="B501" i="182"/>
  <c r="C500" i="182"/>
  <c r="B501" i="181"/>
  <c r="C500" i="181"/>
  <c r="B500" i="157"/>
  <c r="C499" i="157"/>
  <c r="B500" i="156"/>
  <c r="C499" i="156"/>
  <c r="B500" i="155"/>
  <c r="C499" i="155"/>
  <c r="B453" i="137"/>
  <c r="C452" i="137"/>
  <c r="B448" i="133"/>
  <c r="C447" i="133"/>
  <c r="B448" i="131"/>
  <c r="C447" i="131"/>
  <c r="C442" i="88"/>
  <c r="B443" i="88"/>
  <c r="C502" i="205" l="1"/>
  <c r="B503" i="205"/>
  <c r="B502" i="204"/>
  <c r="C501" i="204"/>
  <c r="B502" i="203"/>
  <c r="C501" i="203"/>
  <c r="B502" i="202"/>
  <c r="C501" i="202"/>
  <c r="B502" i="201"/>
  <c r="C501" i="201"/>
  <c r="B502" i="200"/>
  <c r="C501" i="200"/>
  <c r="B502" i="199"/>
  <c r="C501" i="199"/>
  <c r="B502" i="198"/>
  <c r="C501" i="198"/>
  <c r="B502" i="197"/>
  <c r="C501" i="197"/>
  <c r="B503" i="193"/>
  <c r="C502" i="193"/>
  <c r="B501" i="190"/>
  <c r="C500" i="190"/>
  <c r="B502" i="182"/>
  <c r="C501" i="182"/>
  <c r="B502" i="181"/>
  <c r="C501" i="181"/>
  <c r="B501" i="157"/>
  <c r="C500" i="157"/>
  <c r="B501" i="156"/>
  <c r="C500" i="156"/>
  <c r="B501" i="155"/>
  <c r="C500" i="155"/>
  <c r="B454" i="137"/>
  <c r="C453" i="137"/>
  <c r="B449" i="133"/>
  <c r="C448" i="133"/>
  <c r="B449" i="131"/>
  <c r="C448" i="131"/>
  <c r="C443" i="88"/>
  <c r="B444" i="88"/>
  <c r="C503" i="205" l="1"/>
  <c r="B504" i="205"/>
  <c r="B503" i="204"/>
  <c r="C502" i="204"/>
  <c r="B503" i="203"/>
  <c r="C502" i="203"/>
  <c r="B503" i="202"/>
  <c r="C502" i="202"/>
  <c r="B503" i="201"/>
  <c r="C502" i="201"/>
  <c r="B503" i="200"/>
  <c r="C502" i="200"/>
  <c r="B503" i="199"/>
  <c r="C502" i="199"/>
  <c r="B503" i="198"/>
  <c r="C502" i="198"/>
  <c r="B503" i="197"/>
  <c r="C502" i="197"/>
  <c r="B504" i="193"/>
  <c r="C503" i="193"/>
  <c r="B502" i="190"/>
  <c r="C501" i="190"/>
  <c r="B503" i="182"/>
  <c r="C502" i="182"/>
  <c r="B503" i="181"/>
  <c r="C502" i="181"/>
  <c r="B502" i="157"/>
  <c r="C501" i="157"/>
  <c r="B502" i="156"/>
  <c r="C501" i="156"/>
  <c r="B502" i="155"/>
  <c r="C501" i="155"/>
  <c r="B455" i="137"/>
  <c r="C454" i="137"/>
  <c r="B450" i="133"/>
  <c r="C449" i="133"/>
  <c r="B450" i="131"/>
  <c r="C449" i="131"/>
  <c r="C444" i="88"/>
  <c r="B445" i="88"/>
  <c r="C504" i="205" l="1"/>
  <c r="B505" i="205"/>
  <c r="B504" i="204"/>
  <c r="C503" i="204"/>
  <c r="B504" i="203"/>
  <c r="C503" i="203"/>
  <c r="B504" i="202"/>
  <c r="C503" i="202"/>
  <c r="B504" i="201"/>
  <c r="C503" i="201"/>
  <c r="B504" i="200"/>
  <c r="C503" i="200"/>
  <c r="B504" i="199"/>
  <c r="C503" i="199"/>
  <c r="B504" i="198"/>
  <c r="C503" i="198"/>
  <c r="B504" i="197"/>
  <c r="C503" i="197"/>
  <c r="B505" i="193"/>
  <c r="C504" i="193"/>
  <c r="B503" i="190"/>
  <c r="C502" i="190"/>
  <c r="B504" i="182"/>
  <c r="C503" i="182"/>
  <c r="B504" i="181"/>
  <c r="C503" i="181"/>
  <c r="B503" i="157"/>
  <c r="C502" i="157"/>
  <c r="B503" i="156"/>
  <c r="C502" i="156"/>
  <c r="B503" i="155"/>
  <c r="C502" i="155"/>
  <c r="B456" i="137"/>
  <c r="C455" i="137"/>
  <c r="B451" i="133"/>
  <c r="C450" i="133"/>
  <c r="B451" i="131"/>
  <c r="C450" i="131"/>
  <c r="C445" i="88"/>
  <c r="B446" i="88"/>
  <c r="C505" i="205" l="1"/>
  <c r="B506" i="205"/>
  <c r="B505" i="204"/>
  <c r="C504" i="204"/>
  <c r="B505" i="203"/>
  <c r="C504" i="203"/>
  <c r="B505" i="202"/>
  <c r="C504" i="202"/>
  <c r="B505" i="201"/>
  <c r="C504" i="201"/>
  <c r="B505" i="200"/>
  <c r="C504" i="200"/>
  <c r="B505" i="199"/>
  <c r="C504" i="199"/>
  <c r="B505" i="198"/>
  <c r="C504" i="198"/>
  <c r="B505" i="197"/>
  <c r="C504" i="197"/>
  <c r="B506" i="193"/>
  <c r="C505" i="193"/>
  <c r="B504" i="190"/>
  <c r="C503" i="190"/>
  <c r="B505" i="182"/>
  <c r="C504" i="182"/>
  <c r="B505" i="181"/>
  <c r="C504" i="181"/>
  <c r="B504" i="157"/>
  <c r="C503" i="157"/>
  <c r="B504" i="156"/>
  <c r="C503" i="156"/>
  <c r="B504" i="155"/>
  <c r="C503" i="155"/>
  <c r="B457" i="137"/>
  <c r="C456" i="137"/>
  <c r="B452" i="133"/>
  <c r="C451" i="133"/>
  <c r="B452" i="131"/>
  <c r="C451" i="131"/>
  <c r="B447" i="88"/>
  <c r="C446" i="88"/>
  <c r="C506" i="205" l="1"/>
  <c r="B507" i="205"/>
  <c r="B506" i="204"/>
  <c r="C505" i="204"/>
  <c r="B506" i="203"/>
  <c r="C505" i="203"/>
  <c r="B506" i="202"/>
  <c r="C505" i="202"/>
  <c r="B506" i="201"/>
  <c r="C505" i="201"/>
  <c r="B506" i="200"/>
  <c r="C505" i="200"/>
  <c r="B506" i="199"/>
  <c r="C505" i="199"/>
  <c r="B506" i="198"/>
  <c r="C505" i="198"/>
  <c r="B506" i="197"/>
  <c r="C505" i="197"/>
  <c r="B507" i="193"/>
  <c r="C506" i="193"/>
  <c r="B505" i="190"/>
  <c r="C504" i="190"/>
  <c r="B506" i="182"/>
  <c r="C505" i="182"/>
  <c r="B506" i="181"/>
  <c r="C505" i="181"/>
  <c r="B505" i="157"/>
  <c r="C504" i="157"/>
  <c r="B505" i="156"/>
  <c r="C504" i="156"/>
  <c r="B505" i="155"/>
  <c r="C504" i="155"/>
  <c r="B458" i="137"/>
  <c r="C457" i="137"/>
  <c r="B453" i="133"/>
  <c r="C452" i="133"/>
  <c r="B453" i="131"/>
  <c r="C452" i="131"/>
  <c r="C447" i="88"/>
  <c r="B448" i="88"/>
  <c r="C507" i="205" l="1"/>
  <c r="B508" i="205"/>
  <c r="B507" i="204"/>
  <c r="C506" i="204"/>
  <c r="B507" i="203"/>
  <c r="C506" i="203"/>
  <c r="B507" i="202"/>
  <c r="C506" i="202"/>
  <c r="B507" i="201"/>
  <c r="C506" i="201"/>
  <c r="B507" i="200"/>
  <c r="C506" i="200"/>
  <c r="B507" i="199"/>
  <c r="C506" i="199"/>
  <c r="B507" i="198"/>
  <c r="C506" i="198"/>
  <c r="B507" i="197"/>
  <c r="C506" i="197"/>
  <c r="B508" i="193"/>
  <c r="C507" i="193"/>
  <c r="B506" i="190"/>
  <c r="C505" i="190"/>
  <c r="B507" i="182"/>
  <c r="C506" i="182"/>
  <c r="B507" i="181"/>
  <c r="C506" i="181"/>
  <c r="B506" i="157"/>
  <c r="C505" i="157"/>
  <c r="B506" i="156"/>
  <c r="C505" i="156"/>
  <c r="B506" i="155"/>
  <c r="C505" i="155"/>
  <c r="B459" i="137"/>
  <c r="C458" i="137"/>
  <c r="B454" i="133"/>
  <c r="C453" i="133"/>
  <c r="B454" i="131"/>
  <c r="C453" i="131"/>
  <c r="C448" i="88"/>
  <c r="B449" i="88"/>
  <c r="C508" i="205" l="1"/>
  <c r="B509" i="205"/>
  <c r="B508" i="204"/>
  <c r="C507" i="204"/>
  <c r="B508" i="203"/>
  <c r="C507" i="203"/>
  <c r="B508" i="202"/>
  <c r="C507" i="202"/>
  <c r="B508" i="201"/>
  <c r="C507" i="201"/>
  <c r="B508" i="200"/>
  <c r="C507" i="200"/>
  <c r="B508" i="199"/>
  <c r="C507" i="199"/>
  <c r="B508" i="198"/>
  <c r="C507" i="198"/>
  <c r="B508" i="197"/>
  <c r="C507" i="197"/>
  <c r="B509" i="193"/>
  <c r="C508" i="193"/>
  <c r="B507" i="190"/>
  <c r="C506" i="190"/>
  <c r="B508" i="182"/>
  <c r="C507" i="182"/>
  <c r="B508" i="181"/>
  <c r="C507" i="181"/>
  <c r="B507" i="157"/>
  <c r="C506" i="157"/>
  <c r="B507" i="156"/>
  <c r="C506" i="156"/>
  <c r="B507" i="155"/>
  <c r="C506" i="155"/>
  <c r="B460" i="137"/>
  <c r="C459" i="137"/>
  <c r="B455" i="133"/>
  <c r="C454" i="133"/>
  <c r="B455" i="131"/>
  <c r="C454" i="131"/>
  <c r="C449" i="88"/>
  <c r="B450" i="88"/>
  <c r="C509" i="205" l="1"/>
  <c r="B510" i="205"/>
  <c r="B509" i="204"/>
  <c r="C508" i="204"/>
  <c r="B509" i="203"/>
  <c r="C508" i="203"/>
  <c r="B509" i="202"/>
  <c r="C508" i="202"/>
  <c r="B509" i="201"/>
  <c r="C508" i="201"/>
  <c r="B509" i="200"/>
  <c r="C508" i="200"/>
  <c r="B509" i="199"/>
  <c r="C508" i="199"/>
  <c r="B509" i="198"/>
  <c r="C508" i="198"/>
  <c r="B509" i="197"/>
  <c r="C508" i="197"/>
  <c r="B510" i="193"/>
  <c r="C509" i="193"/>
  <c r="B508" i="190"/>
  <c r="C507" i="190"/>
  <c r="B509" i="182"/>
  <c r="C508" i="182"/>
  <c r="B509" i="181"/>
  <c r="C508" i="181"/>
  <c r="B508" i="157"/>
  <c r="C507" i="157"/>
  <c r="B508" i="156"/>
  <c r="C507" i="156"/>
  <c r="B508" i="155"/>
  <c r="C507" i="155"/>
  <c r="B461" i="137"/>
  <c r="C460" i="137"/>
  <c r="B456" i="133"/>
  <c r="C455" i="133"/>
  <c r="B456" i="131"/>
  <c r="C455" i="131"/>
  <c r="B451" i="88"/>
  <c r="C450" i="88"/>
  <c r="C510" i="205" l="1"/>
  <c r="B511" i="205"/>
  <c r="B510" i="204"/>
  <c r="C509" i="204"/>
  <c r="B510" i="203"/>
  <c r="C509" i="203"/>
  <c r="B510" i="202"/>
  <c r="C509" i="202"/>
  <c r="B510" i="201"/>
  <c r="C509" i="201"/>
  <c r="B510" i="200"/>
  <c r="C509" i="200"/>
  <c r="B510" i="199"/>
  <c r="C509" i="199"/>
  <c r="B510" i="198"/>
  <c r="C509" i="198"/>
  <c r="B510" i="197"/>
  <c r="C509" i="197"/>
  <c r="B511" i="193"/>
  <c r="C510" i="193"/>
  <c r="B509" i="190"/>
  <c r="C508" i="190"/>
  <c r="B510" i="182"/>
  <c r="C509" i="182"/>
  <c r="B510" i="181"/>
  <c r="C509" i="181"/>
  <c r="B509" i="157"/>
  <c r="C508" i="157"/>
  <c r="B509" i="156"/>
  <c r="C508" i="156"/>
  <c r="B509" i="155"/>
  <c r="C508" i="155"/>
  <c r="B462" i="137"/>
  <c r="C461" i="137"/>
  <c r="B457" i="133"/>
  <c r="C456" i="133"/>
  <c r="B457" i="131"/>
  <c r="C456" i="131"/>
  <c r="B452" i="88"/>
  <c r="C451" i="88"/>
  <c r="C511" i="205" l="1"/>
  <c r="B512" i="205"/>
  <c r="C512" i="205" s="1"/>
  <c r="B511" i="204"/>
  <c r="C510" i="204"/>
  <c r="B511" i="203"/>
  <c r="C510" i="203"/>
  <c r="B511" i="202"/>
  <c r="C510" i="202"/>
  <c r="B511" i="201"/>
  <c r="C510" i="201"/>
  <c r="B511" i="200"/>
  <c r="C510" i="200"/>
  <c r="B511" i="199"/>
  <c r="C510" i="199"/>
  <c r="B511" i="198"/>
  <c r="C510" i="198"/>
  <c r="B511" i="197"/>
  <c r="C510" i="197"/>
  <c r="B512" i="193"/>
  <c r="C511" i="193"/>
  <c r="B510" i="190"/>
  <c r="C509" i="190"/>
  <c r="B511" i="182"/>
  <c r="C510" i="182"/>
  <c r="B511" i="181"/>
  <c r="C510" i="181"/>
  <c r="B510" i="157"/>
  <c r="C509" i="157"/>
  <c r="B510" i="156"/>
  <c r="C509" i="156"/>
  <c r="B510" i="155"/>
  <c r="C509" i="155"/>
  <c r="B463" i="137"/>
  <c r="C462" i="137"/>
  <c r="B458" i="133"/>
  <c r="C457" i="133"/>
  <c r="B458" i="131"/>
  <c r="C457" i="131"/>
  <c r="C452" i="88"/>
  <c r="B453" i="88"/>
  <c r="B512" i="204" l="1"/>
  <c r="C512" i="204" s="1"/>
  <c r="C511" i="204"/>
  <c r="B512" i="203"/>
  <c r="C512" i="203" s="1"/>
  <c r="C511" i="203"/>
  <c r="B512" i="202"/>
  <c r="C512" i="202" s="1"/>
  <c r="C511" i="202"/>
  <c r="B512" i="201"/>
  <c r="C512" i="201" s="1"/>
  <c r="C511" i="201"/>
  <c r="B512" i="200"/>
  <c r="C512" i="200" s="1"/>
  <c r="C511" i="200"/>
  <c r="B512" i="199"/>
  <c r="C512" i="199" s="1"/>
  <c r="C511" i="199"/>
  <c r="B512" i="198"/>
  <c r="C512" i="198" s="1"/>
  <c r="C511" i="198"/>
  <c r="B512" i="197"/>
  <c r="C512" i="197" s="1"/>
  <c r="C511" i="197"/>
  <c r="B513" i="193"/>
  <c r="C513" i="193" s="1"/>
  <c r="C512" i="193"/>
  <c r="B511" i="190"/>
  <c r="C511" i="190" s="1"/>
  <c r="C510" i="190"/>
  <c r="B512" i="182"/>
  <c r="C512" i="182" s="1"/>
  <c r="C511" i="182"/>
  <c r="B512" i="181"/>
  <c r="C512" i="181" s="1"/>
  <c r="C511" i="181"/>
  <c r="B511" i="157"/>
  <c r="C511" i="157" s="1"/>
  <c r="C510" i="157"/>
  <c r="B511" i="156"/>
  <c r="C511" i="156" s="1"/>
  <c r="C510" i="156"/>
  <c r="B511" i="155"/>
  <c r="C511" i="155" s="1"/>
  <c r="C510" i="155"/>
  <c r="B464" i="137"/>
  <c r="C463" i="137"/>
  <c r="B459" i="133"/>
  <c r="C458" i="133"/>
  <c r="B459" i="131"/>
  <c r="C458" i="131"/>
  <c r="C453" i="88"/>
  <c r="B454" i="88"/>
  <c r="B465" i="137" l="1"/>
  <c r="C464" i="137"/>
  <c r="B460" i="133"/>
  <c r="C459" i="133"/>
  <c r="B460" i="131"/>
  <c r="C459" i="131"/>
  <c r="C454" i="88"/>
  <c r="B455" i="88"/>
  <c r="B466" i="137" l="1"/>
  <c r="C465" i="137"/>
  <c r="B461" i="133"/>
  <c r="C460" i="133"/>
  <c r="B461" i="131"/>
  <c r="C460" i="131"/>
  <c r="B456" i="88"/>
  <c r="C455" i="88"/>
  <c r="B467" i="137" l="1"/>
  <c r="C466" i="137"/>
  <c r="B462" i="133"/>
  <c r="C461" i="133"/>
  <c r="B462" i="131"/>
  <c r="C461" i="131"/>
  <c r="B457" i="88"/>
  <c r="C456" i="88"/>
  <c r="B468" i="137" l="1"/>
  <c r="C467" i="137"/>
  <c r="B463" i="133"/>
  <c r="C462" i="133"/>
  <c r="B463" i="131"/>
  <c r="C462" i="131"/>
  <c r="C457" i="88"/>
  <c r="B458" i="88"/>
  <c r="B469" i="137" l="1"/>
  <c r="C468" i="137"/>
  <c r="B464" i="133"/>
  <c r="C463" i="133"/>
  <c r="B464" i="131"/>
  <c r="C463" i="131"/>
  <c r="B459" i="88"/>
  <c r="C458" i="88"/>
  <c r="B470" i="137" l="1"/>
  <c r="C469" i="137"/>
  <c r="B465" i="133"/>
  <c r="C464" i="133"/>
  <c r="B465" i="131"/>
  <c r="C464" i="131"/>
  <c r="B460" i="88"/>
  <c r="C459" i="88"/>
  <c r="B471" i="137" l="1"/>
  <c r="C470" i="137"/>
  <c r="B466" i="133"/>
  <c r="C465" i="133"/>
  <c r="B466" i="131"/>
  <c r="C465" i="131"/>
  <c r="C460" i="88"/>
  <c r="B461" i="88"/>
  <c r="B472" i="137" l="1"/>
  <c r="C471" i="137"/>
  <c r="B467" i="133"/>
  <c r="C466" i="133"/>
  <c r="B467" i="131"/>
  <c r="C466" i="131"/>
  <c r="B462" i="88"/>
  <c r="C461" i="88"/>
  <c r="B473" i="137" l="1"/>
  <c r="C472" i="137"/>
  <c r="B468" i="133"/>
  <c r="C467" i="133"/>
  <c r="B468" i="131"/>
  <c r="C467" i="131"/>
  <c r="C462" i="88"/>
  <c r="B463" i="88"/>
  <c r="B474" i="137" l="1"/>
  <c r="C473" i="137"/>
  <c r="B469" i="133"/>
  <c r="C468" i="133"/>
  <c r="B469" i="131"/>
  <c r="C468" i="131"/>
  <c r="C463" i="88"/>
  <c r="B464" i="88"/>
  <c r="B475" i="137" l="1"/>
  <c r="C474" i="137"/>
  <c r="B470" i="133"/>
  <c r="C469" i="133"/>
  <c r="B470" i="131"/>
  <c r="C469" i="131"/>
  <c r="B465" i="88"/>
  <c r="C464" i="88"/>
  <c r="B476" i="137" l="1"/>
  <c r="C475" i="137"/>
  <c r="B471" i="133"/>
  <c r="C470" i="133"/>
  <c r="B471" i="131"/>
  <c r="C470" i="131"/>
  <c r="C465" i="88"/>
  <c r="B466" i="88"/>
  <c r="B477" i="137" l="1"/>
  <c r="C476" i="137"/>
  <c r="B472" i="133"/>
  <c r="C471" i="133"/>
  <c r="B472" i="131"/>
  <c r="C471" i="131"/>
  <c r="C466" i="88"/>
  <c r="B467" i="88"/>
  <c r="B478" i="137" l="1"/>
  <c r="C477" i="137"/>
  <c r="B473" i="133"/>
  <c r="C472" i="133"/>
  <c r="B473" i="131"/>
  <c r="C472" i="131"/>
  <c r="C467" i="88"/>
  <c r="B468" i="88"/>
  <c r="B479" i="137" l="1"/>
  <c r="C478" i="137"/>
  <c r="B474" i="133"/>
  <c r="C473" i="133"/>
  <c r="B474" i="131"/>
  <c r="C473" i="131"/>
  <c r="C468" i="88"/>
  <c r="B469" i="88"/>
  <c r="B480" i="137" l="1"/>
  <c r="C479" i="137"/>
  <c r="B475" i="133"/>
  <c r="C474" i="133"/>
  <c r="B475" i="131"/>
  <c r="C474" i="131"/>
  <c r="C469" i="88"/>
  <c r="B470" i="88"/>
  <c r="B481" i="137" l="1"/>
  <c r="C480" i="137"/>
  <c r="B476" i="133"/>
  <c r="C475" i="133"/>
  <c r="B476" i="131"/>
  <c r="C475" i="131"/>
  <c r="B471" i="88"/>
  <c r="C470" i="88"/>
  <c r="B482" i="137" l="1"/>
  <c r="C481" i="137"/>
  <c r="B477" i="133"/>
  <c r="C476" i="133"/>
  <c r="B477" i="131"/>
  <c r="C476" i="131"/>
  <c r="B472" i="88"/>
  <c r="C471" i="88"/>
  <c r="B483" i="137" l="1"/>
  <c r="C482" i="137"/>
  <c r="B478" i="133"/>
  <c r="C477" i="133"/>
  <c r="B478" i="131"/>
  <c r="C477" i="131"/>
  <c r="C472" i="88"/>
  <c r="B473" i="88"/>
  <c r="B484" i="137" l="1"/>
  <c r="C483" i="137"/>
  <c r="B479" i="133"/>
  <c r="C478" i="133"/>
  <c r="B479" i="131"/>
  <c r="C478" i="131"/>
  <c r="C473" i="88"/>
  <c r="B474" i="88"/>
  <c r="B485" i="137" l="1"/>
  <c r="C484" i="137"/>
  <c r="B480" i="133"/>
  <c r="C479" i="133"/>
  <c r="B480" i="131"/>
  <c r="C479" i="131"/>
  <c r="C474" i="88"/>
  <c r="B475" i="88"/>
  <c r="B486" i="137" l="1"/>
  <c r="C485" i="137"/>
  <c r="B481" i="133"/>
  <c r="C480" i="133"/>
  <c r="B481" i="131"/>
  <c r="C480" i="131"/>
  <c r="C475" i="88"/>
  <c r="B476" i="88"/>
  <c r="B487" i="137" l="1"/>
  <c r="C486" i="137"/>
  <c r="B482" i="133"/>
  <c r="C481" i="133"/>
  <c r="B482" i="131"/>
  <c r="C481" i="131"/>
  <c r="B477" i="88"/>
  <c r="C476" i="88"/>
  <c r="B488" i="137" l="1"/>
  <c r="C487" i="137"/>
  <c r="B483" i="133"/>
  <c r="C482" i="133"/>
  <c r="B483" i="131"/>
  <c r="C482" i="131"/>
  <c r="C477" i="88"/>
  <c r="B478" i="88"/>
  <c r="B489" i="137" l="1"/>
  <c r="C488" i="137"/>
  <c r="B484" i="133"/>
  <c r="C483" i="133"/>
  <c r="B484" i="131"/>
  <c r="C483" i="131"/>
  <c r="C478" i="88"/>
  <c r="B479" i="88"/>
  <c r="B490" i="137" l="1"/>
  <c r="C489" i="137"/>
  <c r="B485" i="133"/>
  <c r="C484" i="133"/>
  <c r="B485" i="131"/>
  <c r="C484" i="131"/>
  <c r="C479" i="88"/>
  <c r="B480" i="88"/>
  <c r="B491" i="137" l="1"/>
  <c r="C490" i="137"/>
  <c r="B486" i="133"/>
  <c r="C485" i="133"/>
  <c r="B486" i="131"/>
  <c r="C485" i="131"/>
  <c r="C480" i="88"/>
  <c r="B481" i="88"/>
  <c r="B492" i="137" l="1"/>
  <c r="C491" i="137"/>
  <c r="B487" i="133"/>
  <c r="C486" i="133"/>
  <c r="B487" i="131"/>
  <c r="C486" i="131"/>
  <c r="C481" i="88"/>
  <c r="B482" i="88"/>
  <c r="B493" i="137" l="1"/>
  <c r="C492" i="137"/>
  <c r="B488" i="133"/>
  <c r="C487" i="133"/>
  <c r="B488" i="131"/>
  <c r="C487" i="131"/>
  <c r="B483" i="88"/>
  <c r="C482" i="88"/>
  <c r="B494" i="137" l="1"/>
  <c r="C493" i="137"/>
  <c r="B489" i="133"/>
  <c r="C488" i="133"/>
  <c r="B489" i="131"/>
  <c r="C488" i="131"/>
  <c r="C483" i="88"/>
  <c r="B484" i="88"/>
  <c r="B495" i="137" l="1"/>
  <c r="C494" i="137"/>
  <c r="B490" i="133"/>
  <c r="C489" i="133"/>
  <c r="B490" i="131"/>
  <c r="C489" i="131"/>
  <c r="B485" i="88"/>
  <c r="C484" i="88"/>
  <c r="B496" i="137" l="1"/>
  <c r="C495" i="137"/>
  <c r="B491" i="133"/>
  <c r="C490" i="133"/>
  <c r="B491" i="131"/>
  <c r="C490" i="131"/>
  <c r="C485" i="88"/>
  <c r="B486" i="88"/>
  <c r="B497" i="137" l="1"/>
  <c r="C496" i="137"/>
  <c r="B492" i="133"/>
  <c r="C491" i="133"/>
  <c r="B492" i="131"/>
  <c r="C491" i="131"/>
  <c r="C486" i="88"/>
  <c r="B487" i="88"/>
  <c r="B498" i="137" l="1"/>
  <c r="C497" i="137"/>
  <c r="B493" i="133"/>
  <c r="C492" i="133"/>
  <c r="B493" i="131"/>
  <c r="C492" i="131"/>
  <c r="C487" i="88"/>
  <c r="B488" i="88"/>
  <c r="B499" i="137" l="1"/>
  <c r="C498" i="137"/>
  <c r="B494" i="133"/>
  <c r="C493" i="133"/>
  <c r="B494" i="131"/>
  <c r="C493" i="131"/>
  <c r="B489" i="88"/>
  <c r="C488" i="88"/>
  <c r="B500" i="137" l="1"/>
  <c r="C499" i="137"/>
  <c r="B495" i="133"/>
  <c r="C494" i="133"/>
  <c r="B495" i="131"/>
  <c r="C494" i="131"/>
  <c r="C489" i="88"/>
  <c r="B490" i="88"/>
  <c r="B501" i="137" l="1"/>
  <c r="C500" i="137"/>
  <c r="B496" i="133"/>
  <c r="C495" i="133"/>
  <c r="B496" i="131"/>
  <c r="C495" i="131"/>
  <c r="B491" i="88"/>
  <c r="C490" i="88"/>
  <c r="B502" i="137" l="1"/>
  <c r="C501" i="137"/>
  <c r="B497" i="133"/>
  <c r="C496" i="133"/>
  <c r="B497" i="131"/>
  <c r="C496" i="131"/>
  <c r="C491" i="88"/>
  <c r="B492" i="88"/>
  <c r="B503" i="137" l="1"/>
  <c r="C502" i="137"/>
  <c r="B498" i="133"/>
  <c r="C497" i="133"/>
  <c r="B498" i="131"/>
  <c r="C497" i="131"/>
  <c r="B493" i="88"/>
  <c r="C492" i="88"/>
  <c r="B504" i="137" l="1"/>
  <c r="C503" i="137"/>
  <c r="B499" i="133"/>
  <c r="C498" i="133"/>
  <c r="B499" i="131"/>
  <c r="C498" i="131"/>
  <c r="C493" i="88"/>
  <c r="B494" i="88"/>
  <c r="B505" i="137" l="1"/>
  <c r="C504" i="137"/>
  <c r="B500" i="133"/>
  <c r="C499" i="133"/>
  <c r="B500" i="131"/>
  <c r="C499" i="131"/>
  <c r="B495" i="88"/>
  <c r="C494" i="88"/>
  <c r="B506" i="137" l="1"/>
  <c r="C505" i="137"/>
  <c r="B501" i="133"/>
  <c r="C500" i="133"/>
  <c r="B501" i="131"/>
  <c r="C500" i="131"/>
  <c r="B496" i="88"/>
  <c r="C495" i="88"/>
  <c r="B507" i="137" l="1"/>
  <c r="C506" i="137"/>
  <c r="B502" i="133"/>
  <c r="C501" i="133"/>
  <c r="B502" i="131"/>
  <c r="C501" i="131"/>
  <c r="C496" i="88"/>
  <c r="B497" i="88"/>
  <c r="B508" i="137" l="1"/>
  <c r="C507" i="137"/>
  <c r="B503" i="133"/>
  <c r="C502" i="133"/>
  <c r="B503" i="131"/>
  <c r="C502" i="131"/>
  <c r="C497" i="88"/>
  <c r="B498" i="88"/>
  <c r="B509" i="137" l="1"/>
  <c r="C508" i="137"/>
  <c r="B504" i="133"/>
  <c r="C503" i="133"/>
  <c r="B504" i="131"/>
  <c r="C503" i="131"/>
  <c r="C498" i="88"/>
  <c r="B499" i="88"/>
  <c r="B510" i="137" l="1"/>
  <c r="C509" i="137"/>
  <c r="B505" i="133"/>
  <c r="C504" i="133"/>
  <c r="B505" i="131"/>
  <c r="C504" i="131"/>
  <c r="C499" i="88"/>
  <c r="B500" i="88"/>
  <c r="B511" i="137" l="1"/>
  <c r="C511" i="137" s="1"/>
  <c r="C510" i="137"/>
  <c r="B506" i="133"/>
  <c r="C505" i="133"/>
  <c r="B506" i="131"/>
  <c r="C505" i="131"/>
  <c r="B501" i="88"/>
  <c r="C500" i="88"/>
  <c r="B507" i="133" l="1"/>
  <c r="C506" i="133"/>
  <c r="B507" i="131"/>
  <c r="C506" i="131"/>
  <c r="C501" i="88"/>
  <c r="B502" i="88"/>
  <c r="B508" i="133" l="1"/>
  <c r="C507" i="133"/>
  <c r="B508" i="131"/>
  <c r="C507" i="131"/>
  <c r="C502" i="88"/>
  <c r="B503" i="88"/>
  <c r="B509" i="133" l="1"/>
  <c r="C508" i="133"/>
  <c r="B509" i="131"/>
  <c r="C508" i="131"/>
  <c r="C503" i="88"/>
  <c r="B504" i="88"/>
  <c r="B510" i="133" l="1"/>
  <c r="C509" i="133"/>
  <c r="B510" i="131"/>
  <c r="C509" i="131"/>
  <c r="C504" i="88"/>
  <c r="B505" i="88"/>
  <c r="B511" i="133" l="1"/>
  <c r="C511" i="133" s="1"/>
  <c r="C510" i="133"/>
  <c r="B511" i="131"/>
  <c r="C511" i="131" s="1"/>
  <c r="C510" i="131"/>
  <c r="C505" i="88"/>
  <c r="B506" i="88"/>
  <c r="B507" i="88" l="1"/>
  <c r="C506" i="88"/>
  <c r="B508" i="88" l="1"/>
  <c r="C507" i="88"/>
  <c r="C508" i="88" l="1"/>
  <c r="B509" i="88"/>
  <c r="C509" i="88" l="1"/>
  <c r="B510" i="88"/>
  <c r="B511" i="88" l="1"/>
  <c r="C511" i="88" s="1"/>
  <c r="C510" i="88"/>
  <c r="A84" i="32" l="1"/>
  <c r="A13" i="32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D12" i="32"/>
  <c r="D13" i="32" s="1"/>
  <c r="D14" i="32" s="1"/>
  <c r="D15" i="32" s="1"/>
  <c r="D16" i="32" s="1"/>
  <c r="D17" i="32" s="1"/>
  <c r="D18" i="32" s="1"/>
  <c r="D19" i="32" s="1"/>
  <c r="D20" i="32" s="1"/>
  <c r="D21" i="32" s="1"/>
  <c r="D22" i="32" s="1"/>
  <c r="D23" i="32" s="1"/>
  <c r="D24" i="32" s="1"/>
  <c r="D25" i="32" s="1"/>
  <c r="D26" i="32" s="1"/>
  <c r="D27" i="32" s="1"/>
  <c r="D28" i="32" s="1"/>
  <c r="D29" i="32" s="1"/>
  <c r="D30" i="32" s="1"/>
  <c r="D31" i="32" s="1"/>
  <c r="D32" i="32" s="1"/>
  <c r="D33" i="32" s="1"/>
  <c r="D34" i="32" s="1"/>
  <c r="D35" i="32" s="1"/>
  <c r="D36" i="32" s="1"/>
  <c r="D37" i="32" s="1"/>
  <c r="D38" i="32" s="1"/>
  <c r="D39" i="32" s="1"/>
  <c r="D40" i="32" s="1"/>
  <c r="D41" i="32" s="1"/>
  <c r="D42" i="32" s="1"/>
  <c r="D43" i="32" s="1"/>
  <c r="D44" i="32" s="1"/>
  <c r="D45" i="32" s="1"/>
  <c r="D46" i="32" s="1"/>
  <c r="D47" i="32" s="1"/>
  <c r="D48" i="32" s="1"/>
  <c r="D49" i="32" s="1"/>
  <c r="D50" i="32" s="1"/>
  <c r="C12" i="32"/>
  <c r="C13" i="32" s="1"/>
  <c r="C14" i="32" s="1"/>
  <c r="C15" i="32" s="1"/>
  <c r="C16" i="32" s="1"/>
  <c r="C17" i="32" s="1"/>
  <c r="C18" i="32" s="1"/>
  <c r="C19" i="32" s="1"/>
  <c r="C20" i="32" s="1"/>
  <c r="C21" i="32" s="1"/>
  <c r="C22" i="32" s="1"/>
  <c r="C23" i="32" s="1"/>
  <c r="C24" i="32" s="1"/>
  <c r="C25" i="32" s="1"/>
  <c r="C26" i="32" s="1"/>
  <c r="C27" i="32" s="1"/>
  <c r="C28" i="32" s="1"/>
  <c r="C29" i="32" s="1"/>
  <c r="C30" i="32" s="1"/>
  <c r="C31" i="32" s="1"/>
  <c r="C32" i="32" s="1"/>
  <c r="C33" i="32" s="1"/>
  <c r="C34" i="32" s="1"/>
  <c r="C35" i="32" s="1"/>
  <c r="C36" i="32" s="1"/>
  <c r="C37" i="32" s="1"/>
  <c r="C38" i="32" s="1"/>
  <c r="C39" i="32" s="1"/>
  <c r="C40" i="32" s="1"/>
  <c r="C41" i="32" s="1"/>
  <c r="C42" i="32" s="1"/>
  <c r="C43" i="32" s="1"/>
  <c r="C44" i="32" s="1"/>
  <c r="C45" i="32" s="1"/>
  <c r="C46" i="32" s="1"/>
  <c r="C47" i="32" s="1"/>
  <c r="C48" i="32" s="1"/>
  <c r="C49" i="32" s="1"/>
  <c r="C50" i="32" s="1"/>
  <c r="B12" i="32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A85" i="32" l="1"/>
  <c r="B84" i="32"/>
  <c r="A86" i="32" l="1"/>
  <c r="B85" i="32"/>
  <c r="A87" i="32" l="1"/>
  <c r="B86" i="32"/>
  <c r="A88" i="32" l="1"/>
  <c r="B87" i="32"/>
  <c r="A89" i="32" l="1"/>
  <c r="B88" i="32"/>
  <c r="A90" i="32" l="1"/>
  <c r="B89" i="32"/>
  <c r="A91" i="32" l="1"/>
  <c r="B90" i="32"/>
  <c r="A92" i="32" l="1"/>
  <c r="B91" i="32"/>
  <c r="A93" i="32" l="1"/>
  <c r="B92" i="32"/>
  <c r="A94" i="32" l="1"/>
  <c r="B93" i="32"/>
  <c r="A95" i="32" l="1"/>
  <c r="B94" i="32"/>
  <c r="A96" i="32" l="1"/>
  <c r="B95" i="32"/>
  <c r="A97" i="32" l="1"/>
  <c r="B96" i="32"/>
  <c r="A98" i="32" l="1"/>
  <c r="B97" i="32"/>
  <c r="A99" i="32" l="1"/>
  <c r="B98" i="32"/>
  <c r="A100" i="32" l="1"/>
  <c r="B99" i="32"/>
  <c r="A101" i="32" l="1"/>
  <c r="B100" i="32"/>
  <c r="A102" i="32" l="1"/>
  <c r="B101" i="32"/>
  <c r="A103" i="32" l="1"/>
  <c r="B102" i="32"/>
  <c r="A104" i="32" l="1"/>
  <c r="B103" i="32"/>
  <c r="A105" i="32" l="1"/>
  <c r="B104" i="32"/>
  <c r="A106" i="32" l="1"/>
  <c r="B105" i="32"/>
  <c r="A107" i="32" l="1"/>
  <c r="B106" i="32"/>
  <c r="A108" i="32" l="1"/>
  <c r="B107" i="32"/>
  <c r="A109" i="32" l="1"/>
  <c r="B108" i="32"/>
  <c r="A110" i="32" l="1"/>
  <c r="B109" i="32"/>
  <c r="A111" i="32" l="1"/>
  <c r="B110" i="32"/>
  <c r="A112" i="32" l="1"/>
  <c r="B111" i="32"/>
  <c r="A113" i="32" l="1"/>
  <c r="B112" i="32"/>
  <c r="A114" i="32" l="1"/>
  <c r="B113" i="32"/>
  <c r="A115" i="32" l="1"/>
  <c r="B114" i="32"/>
  <c r="A116" i="32" l="1"/>
  <c r="B115" i="32"/>
  <c r="A117" i="32" l="1"/>
  <c r="B116" i="32"/>
  <c r="A118" i="32" l="1"/>
  <c r="B117" i="32"/>
  <c r="A119" i="32" l="1"/>
  <c r="B118" i="32"/>
  <c r="A120" i="32" l="1"/>
  <c r="B119" i="32"/>
  <c r="A121" i="32" l="1"/>
  <c r="B120" i="32"/>
  <c r="A122" i="32" l="1"/>
  <c r="B121" i="32"/>
  <c r="A123" i="32" l="1"/>
  <c r="B122" i="32"/>
  <c r="A124" i="32" l="1"/>
  <c r="B123" i="32"/>
  <c r="A125" i="32" l="1"/>
  <c r="B124" i="32"/>
  <c r="A126" i="32" l="1"/>
  <c r="B125" i="32"/>
  <c r="A127" i="32" l="1"/>
  <c r="B126" i="32"/>
  <c r="A128" i="32" l="1"/>
  <c r="B127" i="32"/>
  <c r="A129" i="32" l="1"/>
  <c r="B128" i="32"/>
  <c r="A130" i="32" l="1"/>
  <c r="B129" i="32"/>
  <c r="A131" i="32" l="1"/>
  <c r="B130" i="32"/>
  <c r="A132" i="32" l="1"/>
  <c r="B131" i="32"/>
  <c r="A133" i="32" l="1"/>
  <c r="B132" i="32"/>
  <c r="A134" i="32" l="1"/>
  <c r="B133" i="32"/>
  <c r="A135" i="32" l="1"/>
  <c r="B134" i="32"/>
  <c r="A136" i="32" l="1"/>
  <c r="B135" i="32"/>
  <c r="A137" i="32" l="1"/>
  <c r="B136" i="32"/>
  <c r="A138" i="32" l="1"/>
  <c r="B137" i="32"/>
  <c r="A139" i="32" l="1"/>
  <c r="B138" i="32"/>
  <c r="A140" i="32" l="1"/>
  <c r="B139" i="32"/>
  <c r="A141" i="32" l="1"/>
  <c r="B140" i="32"/>
  <c r="A142" i="32" l="1"/>
  <c r="B141" i="32"/>
  <c r="A143" i="32" l="1"/>
  <c r="B142" i="32"/>
  <c r="A144" i="32" l="1"/>
  <c r="B143" i="32"/>
  <c r="A145" i="32" l="1"/>
  <c r="B144" i="32"/>
  <c r="A146" i="32" l="1"/>
  <c r="B145" i="32"/>
  <c r="A147" i="32" l="1"/>
  <c r="B146" i="32"/>
  <c r="A148" i="32" l="1"/>
  <c r="B147" i="32"/>
  <c r="A149" i="32" l="1"/>
  <c r="B148" i="32"/>
  <c r="A150" i="32" l="1"/>
  <c r="B149" i="32"/>
  <c r="A151" i="32" l="1"/>
  <c r="B150" i="32"/>
  <c r="A152" i="32" l="1"/>
  <c r="B151" i="32"/>
  <c r="A153" i="32" l="1"/>
  <c r="B152" i="32"/>
  <c r="A154" i="32" l="1"/>
  <c r="B153" i="32"/>
  <c r="A155" i="32" l="1"/>
  <c r="B154" i="32"/>
  <c r="A156" i="32" l="1"/>
  <c r="B155" i="32"/>
  <c r="A157" i="32" l="1"/>
  <c r="B156" i="32"/>
  <c r="A158" i="32" l="1"/>
  <c r="B157" i="32"/>
  <c r="A159" i="32" l="1"/>
  <c r="B158" i="32"/>
  <c r="A160" i="32" l="1"/>
  <c r="B159" i="32"/>
  <c r="A161" i="32" l="1"/>
  <c r="B160" i="32"/>
  <c r="A162" i="32" l="1"/>
  <c r="B161" i="32"/>
  <c r="A163" i="32" l="1"/>
  <c r="B162" i="32"/>
  <c r="A164" i="32" l="1"/>
  <c r="B163" i="32"/>
  <c r="A165" i="32" l="1"/>
  <c r="B164" i="32"/>
  <c r="A166" i="32" l="1"/>
  <c r="B165" i="32"/>
  <c r="A167" i="32" l="1"/>
  <c r="B166" i="32"/>
  <c r="A168" i="32" l="1"/>
  <c r="B167" i="32"/>
  <c r="A169" i="32" l="1"/>
  <c r="B168" i="32"/>
  <c r="A170" i="32" l="1"/>
  <c r="B169" i="32"/>
  <c r="A171" i="32" l="1"/>
  <c r="B170" i="32"/>
  <c r="A172" i="32" l="1"/>
  <c r="B171" i="32"/>
  <c r="A173" i="32" l="1"/>
  <c r="B172" i="32"/>
  <c r="A174" i="32" l="1"/>
  <c r="B173" i="32"/>
  <c r="A175" i="32" l="1"/>
  <c r="B174" i="32"/>
  <c r="A176" i="32" l="1"/>
  <c r="B175" i="32"/>
  <c r="A177" i="32" l="1"/>
  <c r="B176" i="32"/>
  <c r="A178" i="32" l="1"/>
  <c r="B177" i="32"/>
  <c r="A179" i="32" l="1"/>
  <c r="B178" i="32"/>
  <c r="A180" i="32" l="1"/>
  <c r="B179" i="32"/>
  <c r="A181" i="32" l="1"/>
  <c r="B180" i="32"/>
  <c r="A182" i="32" l="1"/>
  <c r="B181" i="32"/>
  <c r="A183" i="32" l="1"/>
  <c r="B182" i="32"/>
  <c r="A184" i="32" l="1"/>
  <c r="B183" i="32"/>
  <c r="A185" i="32" l="1"/>
  <c r="B184" i="32"/>
  <c r="A186" i="32" l="1"/>
  <c r="B185" i="32"/>
  <c r="A187" i="32" l="1"/>
  <c r="B186" i="32"/>
  <c r="A188" i="32" l="1"/>
  <c r="B187" i="32"/>
  <c r="A189" i="32" l="1"/>
  <c r="B188" i="32"/>
  <c r="A190" i="32" l="1"/>
  <c r="B189" i="32"/>
  <c r="A191" i="32" l="1"/>
  <c r="B190" i="32"/>
  <c r="A192" i="32" l="1"/>
  <c r="B191" i="32"/>
  <c r="A193" i="32" l="1"/>
  <c r="B192" i="32"/>
  <c r="A194" i="32" l="1"/>
  <c r="B193" i="32"/>
  <c r="A195" i="32" l="1"/>
  <c r="B194" i="32"/>
  <c r="A196" i="32" l="1"/>
  <c r="B195" i="32"/>
  <c r="A197" i="32" l="1"/>
  <c r="B196" i="32"/>
  <c r="A198" i="32" l="1"/>
  <c r="B197" i="32"/>
  <c r="A199" i="32" l="1"/>
  <c r="B198" i="32"/>
  <c r="A200" i="32" l="1"/>
  <c r="B199" i="32"/>
  <c r="A201" i="32" l="1"/>
  <c r="B200" i="32"/>
  <c r="A202" i="32" l="1"/>
  <c r="B201" i="32"/>
  <c r="A203" i="32" l="1"/>
  <c r="B202" i="32"/>
  <c r="A204" i="32" l="1"/>
  <c r="B203" i="32"/>
  <c r="A205" i="32" l="1"/>
  <c r="B204" i="32"/>
  <c r="A206" i="32" l="1"/>
  <c r="B205" i="32"/>
  <c r="A207" i="32" l="1"/>
  <c r="B206" i="32"/>
  <c r="A208" i="32" l="1"/>
  <c r="B207" i="32"/>
  <c r="A209" i="32" l="1"/>
  <c r="B208" i="32"/>
  <c r="A210" i="32" l="1"/>
  <c r="B209" i="32"/>
  <c r="A211" i="32" l="1"/>
  <c r="B210" i="32"/>
  <c r="A212" i="32" l="1"/>
  <c r="B211" i="32"/>
  <c r="A213" i="32" l="1"/>
  <c r="B212" i="32"/>
  <c r="A214" i="32" l="1"/>
  <c r="B213" i="32"/>
  <c r="A215" i="32" l="1"/>
  <c r="B214" i="32"/>
  <c r="A216" i="32" l="1"/>
  <c r="B215" i="32"/>
  <c r="A217" i="32" l="1"/>
  <c r="B216" i="32"/>
  <c r="A218" i="32" l="1"/>
  <c r="B217" i="32"/>
  <c r="A219" i="32" l="1"/>
  <c r="B218" i="32"/>
  <c r="A220" i="32" l="1"/>
  <c r="B219" i="32"/>
  <c r="A221" i="32" l="1"/>
  <c r="B220" i="32"/>
  <c r="A222" i="32" l="1"/>
  <c r="B221" i="32"/>
  <c r="A223" i="32" l="1"/>
  <c r="B222" i="32"/>
  <c r="A224" i="32" l="1"/>
  <c r="B223" i="32"/>
  <c r="A225" i="32" l="1"/>
  <c r="B224" i="32"/>
  <c r="A226" i="32" l="1"/>
  <c r="B225" i="32"/>
  <c r="A227" i="32" l="1"/>
  <c r="B226" i="32"/>
  <c r="A228" i="32" l="1"/>
  <c r="B227" i="32"/>
  <c r="A229" i="32" l="1"/>
  <c r="B228" i="32"/>
  <c r="A230" i="32" l="1"/>
  <c r="B229" i="32"/>
  <c r="A231" i="32" l="1"/>
  <c r="B230" i="32"/>
  <c r="A232" i="32" l="1"/>
  <c r="B231" i="32"/>
  <c r="A233" i="32" l="1"/>
  <c r="B232" i="32"/>
  <c r="A234" i="32" l="1"/>
  <c r="B233" i="32"/>
  <c r="A235" i="32" l="1"/>
  <c r="B234" i="32"/>
  <c r="A236" i="32" l="1"/>
  <c r="B235" i="32"/>
  <c r="A237" i="32" l="1"/>
  <c r="B236" i="32"/>
  <c r="A238" i="32" l="1"/>
  <c r="B237" i="32"/>
  <c r="A239" i="32" l="1"/>
  <c r="B238" i="32"/>
  <c r="A240" i="32" l="1"/>
  <c r="B239" i="32"/>
  <c r="A241" i="32" l="1"/>
  <c r="B240" i="32"/>
  <c r="A242" i="32" l="1"/>
  <c r="B241" i="32"/>
  <c r="A243" i="32" l="1"/>
  <c r="B242" i="32"/>
  <c r="A244" i="32" l="1"/>
  <c r="B243" i="32"/>
  <c r="A245" i="32" l="1"/>
  <c r="B244" i="32"/>
  <c r="A246" i="32" l="1"/>
  <c r="B245" i="32"/>
  <c r="A247" i="32" l="1"/>
  <c r="B246" i="32"/>
  <c r="A248" i="32" l="1"/>
  <c r="B247" i="32"/>
  <c r="A249" i="32" l="1"/>
  <c r="B248" i="32"/>
  <c r="A250" i="32" l="1"/>
  <c r="B249" i="32"/>
  <c r="A251" i="32" l="1"/>
  <c r="B250" i="32"/>
  <c r="A252" i="32" l="1"/>
  <c r="B251" i="32"/>
  <c r="A253" i="32" l="1"/>
  <c r="B252" i="32"/>
  <c r="A254" i="32" l="1"/>
  <c r="B253" i="32"/>
  <c r="A255" i="32" l="1"/>
  <c r="B254" i="32"/>
  <c r="A256" i="32" l="1"/>
  <c r="B255" i="32"/>
  <c r="A257" i="32" l="1"/>
  <c r="B256" i="32"/>
  <c r="A258" i="32" l="1"/>
  <c r="B257" i="32"/>
  <c r="A259" i="32" l="1"/>
  <c r="B258" i="32"/>
  <c r="A260" i="32" l="1"/>
  <c r="B259" i="32"/>
  <c r="A261" i="32" l="1"/>
  <c r="B260" i="32"/>
  <c r="A262" i="32" l="1"/>
  <c r="B261" i="32"/>
  <c r="A263" i="32" l="1"/>
  <c r="B262" i="32"/>
  <c r="A264" i="32" l="1"/>
  <c r="B263" i="32"/>
  <c r="A265" i="32" l="1"/>
  <c r="B264" i="32"/>
  <c r="A266" i="32" l="1"/>
  <c r="B265" i="32"/>
  <c r="A267" i="32" l="1"/>
  <c r="B266" i="32"/>
  <c r="A268" i="32" l="1"/>
  <c r="B267" i="32"/>
  <c r="A269" i="32" l="1"/>
  <c r="B268" i="32"/>
  <c r="A270" i="32" l="1"/>
  <c r="B269" i="32"/>
  <c r="A271" i="32" l="1"/>
  <c r="B270" i="32"/>
  <c r="A272" i="32" l="1"/>
  <c r="B271" i="32"/>
  <c r="A273" i="32" l="1"/>
  <c r="B272" i="32"/>
  <c r="A274" i="32" l="1"/>
  <c r="B273" i="32"/>
  <c r="A275" i="32" l="1"/>
  <c r="B274" i="32"/>
  <c r="A276" i="32" l="1"/>
  <c r="B275" i="32"/>
  <c r="A277" i="32" l="1"/>
  <c r="B276" i="32"/>
  <c r="A278" i="32" l="1"/>
  <c r="B277" i="32"/>
  <c r="A279" i="32" l="1"/>
  <c r="B278" i="32"/>
  <c r="A280" i="32" l="1"/>
  <c r="B279" i="32"/>
  <c r="A281" i="32" l="1"/>
  <c r="B280" i="32"/>
  <c r="A282" i="32" l="1"/>
  <c r="B281" i="32"/>
  <c r="A283" i="32" l="1"/>
  <c r="B282" i="32"/>
  <c r="A284" i="32" l="1"/>
  <c r="B283" i="32"/>
  <c r="A285" i="32" l="1"/>
  <c r="B284" i="32"/>
  <c r="A286" i="32" l="1"/>
  <c r="B285" i="32"/>
  <c r="A287" i="32" l="1"/>
  <c r="B286" i="32"/>
  <c r="A288" i="32" l="1"/>
  <c r="B287" i="32"/>
  <c r="A289" i="32" l="1"/>
  <c r="B288" i="32"/>
  <c r="A290" i="32" l="1"/>
  <c r="B289" i="32"/>
  <c r="A291" i="32" l="1"/>
  <c r="B290" i="32"/>
  <c r="A292" i="32" l="1"/>
  <c r="B291" i="32"/>
  <c r="A293" i="32" l="1"/>
  <c r="B292" i="32"/>
  <c r="A294" i="32" l="1"/>
  <c r="B293" i="32"/>
  <c r="A295" i="32" l="1"/>
  <c r="B294" i="32"/>
  <c r="A296" i="32" l="1"/>
  <c r="B295" i="32"/>
  <c r="A297" i="32" l="1"/>
  <c r="B296" i="32"/>
  <c r="A298" i="32" l="1"/>
  <c r="B297" i="32"/>
  <c r="A299" i="32" l="1"/>
  <c r="B298" i="32"/>
  <c r="A300" i="32" l="1"/>
  <c r="B299" i="32"/>
  <c r="A301" i="32" l="1"/>
  <c r="B300" i="32"/>
  <c r="A302" i="32" l="1"/>
  <c r="B301" i="32"/>
  <c r="A303" i="32" l="1"/>
  <c r="B302" i="32"/>
  <c r="A304" i="32" l="1"/>
  <c r="B303" i="32"/>
  <c r="A305" i="32" l="1"/>
  <c r="B304" i="32"/>
  <c r="A306" i="32" l="1"/>
  <c r="B305" i="32"/>
  <c r="A307" i="32" l="1"/>
  <c r="B306" i="32"/>
  <c r="A308" i="32" l="1"/>
  <c r="B307" i="32"/>
  <c r="A309" i="32" l="1"/>
  <c r="B308" i="32"/>
  <c r="A310" i="32" l="1"/>
  <c r="B309" i="32"/>
  <c r="A311" i="32" l="1"/>
  <c r="B310" i="32"/>
  <c r="A312" i="32" l="1"/>
  <c r="B311" i="32"/>
  <c r="A313" i="32" l="1"/>
  <c r="B312" i="32"/>
  <c r="A314" i="32" l="1"/>
  <c r="B313" i="32"/>
  <c r="A315" i="32" l="1"/>
  <c r="B314" i="32"/>
  <c r="A316" i="32" l="1"/>
  <c r="B315" i="32"/>
  <c r="A317" i="32" l="1"/>
  <c r="B316" i="32"/>
  <c r="A318" i="32" l="1"/>
  <c r="B317" i="32"/>
  <c r="A319" i="32" l="1"/>
  <c r="B318" i="32"/>
  <c r="A320" i="32" l="1"/>
  <c r="B319" i="32"/>
  <c r="A321" i="32" l="1"/>
  <c r="B320" i="32"/>
  <c r="A322" i="32" l="1"/>
  <c r="B321" i="32"/>
  <c r="A323" i="32" l="1"/>
  <c r="B322" i="32"/>
  <c r="A324" i="32" l="1"/>
  <c r="B323" i="32"/>
  <c r="A325" i="32" l="1"/>
  <c r="B324" i="32"/>
  <c r="A326" i="32" l="1"/>
  <c r="B325" i="32"/>
  <c r="A327" i="32" l="1"/>
  <c r="B326" i="32"/>
  <c r="A328" i="32" l="1"/>
  <c r="B327" i="32"/>
  <c r="A329" i="32" l="1"/>
  <c r="B328" i="32"/>
  <c r="A330" i="32" l="1"/>
  <c r="B329" i="32"/>
  <c r="A331" i="32" l="1"/>
  <c r="B330" i="32"/>
  <c r="A332" i="32" l="1"/>
  <c r="B331" i="32"/>
  <c r="A333" i="32" l="1"/>
  <c r="B332" i="32"/>
  <c r="A334" i="32" l="1"/>
  <c r="B333" i="32"/>
  <c r="A335" i="32" l="1"/>
  <c r="B334" i="32"/>
  <c r="A336" i="32" l="1"/>
  <c r="B335" i="32"/>
  <c r="A337" i="32" l="1"/>
  <c r="B336" i="32"/>
  <c r="A338" i="32" l="1"/>
  <c r="B337" i="32"/>
  <c r="A339" i="32" l="1"/>
  <c r="B338" i="32"/>
  <c r="A340" i="32" l="1"/>
  <c r="B339" i="32"/>
  <c r="A341" i="32" l="1"/>
  <c r="B340" i="32"/>
  <c r="A342" i="32" l="1"/>
  <c r="B341" i="32"/>
  <c r="A343" i="32" l="1"/>
  <c r="B342" i="32"/>
  <c r="A344" i="32" l="1"/>
  <c r="B343" i="32"/>
  <c r="A345" i="32" l="1"/>
  <c r="B344" i="32"/>
  <c r="A346" i="32" l="1"/>
  <c r="B345" i="32"/>
  <c r="A347" i="32" l="1"/>
  <c r="B346" i="32"/>
  <c r="A348" i="32" l="1"/>
  <c r="B347" i="32"/>
  <c r="A349" i="32" l="1"/>
  <c r="B348" i="32"/>
  <c r="A350" i="32" l="1"/>
  <c r="B349" i="32"/>
  <c r="A351" i="32" l="1"/>
  <c r="B350" i="32"/>
  <c r="A352" i="32" l="1"/>
  <c r="B351" i="32"/>
  <c r="A353" i="32" l="1"/>
  <c r="B352" i="32"/>
  <c r="A354" i="32" l="1"/>
  <c r="B353" i="32"/>
  <c r="A355" i="32" l="1"/>
  <c r="B354" i="32"/>
  <c r="A356" i="32" l="1"/>
  <c r="B355" i="32"/>
  <c r="A357" i="32" l="1"/>
  <c r="B356" i="32"/>
  <c r="A358" i="32" l="1"/>
  <c r="B357" i="32"/>
  <c r="A359" i="32" l="1"/>
  <c r="B358" i="32"/>
  <c r="A360" i="32" l="1"/>
  <c r="B359" i="32"/>
  <c r="A361" i="32" l="1"/>
  <c r="B360" i="32"/>
  <c r="A362" i="32" l="1"/>
  <c r="B361" i="32"/>
  <c r="A363" i="32" l="1"/>
  <c r="B362" i="32"/>
  <c r="A364" i="32" l="1"/>
  <c r="B363" i="32"/>
  <c r="A365" i="32" l="1"/>
  <c r="B364" i="32"/>
  <c r="A366" i="32" l="1"/>
  <c r="B365" i="32"/>
  <c r="A367" i="32" l="1"/>
  <c r="B366" i="32"/>
  <c r="A368" i="32" l="1"/>
  <c r="B367" i="32"/>
  <c r="A369" i="32" l="1"/>
  <c r="B368" i="32"/>
  <c r="A370" i="32" l="1"/>
  <c r="B369" i="32"/>
  <c r="A371" i="32" l="1"/>
  <c r="B370" i="32"/>
  <c r="A372" i="32" l="1"/>
  <c r="B371" i="32"/>
  <c r="A373" i="32" l="1"/>
  <c r="B372" i="32"/>
  <c r="A374" i="32" l="1"/>
  <c r="B373" i="32"/>
  <c r="A375" i="32" l="1"/>
  <c r="B374" i="32"/>
  <c r="A376" i="32" l="1"/>
  <c r="B375" i="32"/>
  <c r="A377" i="32" l="1"/>
  <c r="B376" i="32"/>
  <c r="A378" i="32" l="1"/>
  <c r="B377" i="32"/>
  <c r="A379" i="32" l="1"/>
  <c r="B378" i="32"/>
  <c r="A380" i="32" l="1"/>
  <c r="B379" i="32"/>
  <c r="A381" i="32" l="1"/>
  <c r="B380" i="32"/>
  <c r="A382" i="32" l="1"/>
  <c r="B381" i="32"/>
  <c r="A383" i="32" l="1"/>
  <c r="B382" i="32"/>
  <c r="A384" i="32" l="1"/>
  <c r="B383" i="32"/>
  <c r="A385" i="32" l="1"/>
  <c r="B384" i="32"/>
  <c r="A386" i="32" l="1"/>
  <c r="B385" i="32"/>
  <c r="A387" i="32" l="1"/>
  <c r="B386" i="32"/>
  <c r="A388" i="32" l="1"/>
  <c r="B387" i="32"/>
  <c r="A389" i="32" l="1"/>
  <c r="B388" i="32"/>
  <c r="A390" i="32" l="1"/>
  <c r="B389" i="32"/>
  <c r="A391" i="32" l="1"/>
  <c r="B390" i="32"/>
  <c r="A392" i="32" l="1"/>
  <c r="B391" i="32"/>
  <c r="A393" i="32" l="1"/>
  <c r="B392" i="32"/>
  <c r="A394" i="32" l="1"/>
  <c r="B393" i="32"/>
  <c r="A395" i="32" l="1"/>
  <c r="B394" i="32"/>
  <c r="A396" i="32" l="1"/>
  <c r="B395" i="32"/>
  <c r="A397" i="32" l="1"/>
  <c r="B396" i="32"/>
  <c r="A398" i="32" l="1"/>
  <c r="B397" i="32"/>
  <c r="A399" i="32" l="1"/>
  <c r="B398" i="32"/>
  <c r="A400" i="32" l="1"/>
  <c r="B399" i="32"/>
  <c r="A401" i="32" l="1"/>
  <c r="B400" i="32"/>
  <c r="A402" i="32" l="1"/>
  <c r="B401" i="32"/>
  <c r="A403" i="32" l="1"/>
  <c r="B402" i="32"/>
  <c r="A404" i="32" l="1"/>
  <c r="B403" i="32"/>
  <c r="A405" i="32" l="1"/>
  <c r="B404" i="32"/>
  <c r="A406" i="32" l="1"/>
  <c r="B405" i="32"/>
  <c r="A407" i="32" l="1"/>
  <c r="B406" i="32"/>
  <c r="A408" i="32" l="1"/>
  <c r="B407" i="32"/>
  <c r="A409" i="32" l="1"/>
  <c r="B408" i="32"/>
  <c r="A410" i="32" l="1"/>
  <c r="B409" i="32"/>
  <c r="A411" i="32" l="1"/>
  <c r="B410" i="32"/>
  <c r="A412" i="32" l="1"/>
  <c r="B411" i="32"/>
  <c r="A413" i="32" l="1"/>
  <c r="B412" i="32"/>
  <c r="A414" i="32" l="1"/>
  <c r="B413" i="32"/>
  <c r="A415" i="32" l="1"/>
  <c r="B414" i="32"/>
  <c r="A416" i="32" l="1"/>
  <c r="B415" i="32"/>
  <c r="A417" i="32" l="1"/>
  <c r="B416" i="32"/>
  <c r="A418" i="32" l="1"/>
  <c r="B417" i="32"/>
  <c r="A419" i="32" l="1"/>
  <c r="B418" i="32"/>
  <c r="A420" i="32" l="1"/>
  <c r="B419" i="32"/>
  <c r="A421" i="32" l="1"/>
  <c r="B420" i="32"/>
  <c r="A422" i="32" l="1"/>
  <c r="B421" i="32"/>
  <c r="A423" i="32" l="1"/>
  <c r="B422" i="32"/>
  <c r="A424" i="32" l="1"/>
  <c r="B423" i="32"/>
  <c r="A425" i="32" l="1"/>
  <c r="B424" i="32"/>
  <c r="A426" i="32" l="1"/>
  <c r="B425" i="32"/>
  <c r="A427" i="32" l="1"/>
  <c r="B426" i="32"/>
  <c r="A428" i="32" l="1"/>
  <c r="B427" i="32"/>
  <c r="A429" i="32" l="1"/>
  <c r="B428" i="32"/>
  <c r="A430" i="32" l="1"/>
  <c r="B429" i="32"/>
  <c r="A431" i="32" l="1"/>
  <c r="B430" i="32"/>
  <c r="A432" i="32" l="1"/>
  <c r="B431" i="32"/>
  <c r="A433" i="32" l="1"/>
  <c r="B432" i="32"/>
  <c r="A434" i="32" l="1"/>
  <c r="B433" i="32"/>
  <c r="A435" i="32" l="1"/>
  <c r="B434" i="32"/>
  <c r="A436" i="32" l="1"/>
  <c r="B435" i="32"/>
  <c r="A437" i="32" l="1"/>
  <c r="B436" i="32"/>
  <c r="A438" i="32" l="1"/>
  <c r="B437" i="32"/>
  <c r="A439" i="32" l="1"/>
  <c r="B438" i="32"/>
  <c r="A440" i="32" l="1"/>
  <c r="B439" i="32"/>
  <c r="A441" i="32" l="1"/>
  <c r="B440" i="32"/>
  <c r="A442" i="32" l="1"/>
  <c r="B441" i="32"/>
  <c r="A443" i="32" l="1"/>
  <c r="B442" i="32"/>
  <c r="A444" i="32" l="1"/>
  <c r="B443" i="32"/>
  <c r="A445" i="32" l="1"/>
  <c r="B444" i="32"/>
  <c r="A446" i="32" l="1"/>
  <c r="B445" i="32"/>
  <c r="A447" i="32" l="1"/>
  <c r="B446" i="32"/>
  <c r="A448" i="32" l="1"/>
  <c r="B447" i="32"/>
  <c r="A449" i="32" l="1"/>
  <c r="B448" i="32"/>
  <c r="A450" i="32" l="1"/>
  <c r="B449" i="32"/>
  <c r="A451" i="32" l="1"/>
  <c r="B450" i="32"/>
  <c r="A452" i="32" l="1"/>
  <c r="B451" i="32"/>
  <c r="A453" i="32" l="1"/>
  <c r="B452" i="32"/>
  <c r="A454" i="32" l="1"/>
  <c r="B453" i="32"/>
  <c r="A455" i="32" l="1"/>
  <c r="B454" i="32"/>
  <c r="A456" i="32" l="1"/>
  <c r="B455" i="32"/>
  <c r="A457" i="32" l="1"/>
  <c r="B456" i="32"/>
  <c r="A458" i="32" l="1"/>
  <c r="B457" i="32"/>
  <c r="A459" i="32" l="1"/>
  <c r="B458" i="32"/>
  <c r="A460" i="32" l="1"/>
  <c r="B459" i="32"/>
  <c r="A461" i="32" l="1"/>
  <c r="B460" i="32"/>
  <c r="A462" i="32" l="1"/>
  <c r="B461" i="32"/>
  <c r="A463" i="32" l="1"/>
  <c r="B462" i="32"/>
  <c r="A464" i="32" l="1"/>
  <c r="B463" i="32"/>
  <c r="A465" i="32" l="1"/>
  <c r="B464" i="32"/>
  <c r="A466" i="32" l="1"/>
  <c r="B465" i="32"/>
  <c r="A467" i="32" l="1"/>
  <c r="B466" i="32"/>
  <c r="A468" i="32" l="1"/>
  <c r="B467" i="32"/>
  <c r="A469" i="32" l="1"/>
  <c r="B468" i="32"/>
  <c r="A470" i="32" l="1"/>
  <c r="B469" i="32"/>
  <c r="A471" i="32" l="1"/>
  <c r="B470" i="32"/>
  <c r="A472" i="32" l="1"/>
  <c r="B471" i="32"/>
  <c r="A473" i="32" l="1"/>
  <c r="B472" i="32"/>
  <c r="A474" i="32" l="1"/>
  <c r="B473" i="32"/>
  <c r="A475" i="32" l="1"/>
  <c r="B474" i="32"/>
  <c r="A476" i="32" l="1"/>
  <c r="B475" i="32"/>
  <c r="A477" i="32" l="1"/>
  <c r="B476" i="32"/>
  <c r="A478" i="32" l="1"/>
  <c r="B477" i="32"/>
  <c r="A479" i="32" l="1"/>
  <c r="B478" i="32"/>
  <c r="A480" i="32" l="1"/>
  <c r="B479" i="32"/>
  <c r="A481" i="32" l="1"/>
  <c r="B480" i="32"/>
  <c r="A482" i="32" l="1"/>
  <c r="B481" i="32"/>
  <c r="A483" i="32" l="1"/>
  <c r="B482" i="32"/>
  <c r="A484" i="32" l="1"/>
  <c r="B483" i="32"/>
  <c r="A485" i="32" l="1"/>
  <c r="B484" i="32"/>
  <c r="A486" i="32" l="1"/>
  <c r="B485" i="32"/>
  <c r="A487" i="32" l="1"/>
  <c r="B486" i="32"/>
  <c r="A488" i="32" l="1"/>
  <c r="B487" i="32"/>
  <c r="A489" i="32" l="1"/>
  <c r="B488" i="32"/>
  <c r="A490" i="32" l="1"/>
  <c r="B489" i="32"/>
  <c r="A491" i="32" l="1"/>
  <c r="B490" i="32"/>
  <c r="A492" i="32" l="1"/>
  <c r="B491" i="32"/>
  <c r="A493" i="32" l="1"/>
  <c r="B492" i="32"/>
  <c r="A494" i="32" l="1"/>
  <c r="B493" i="32"/>
  <c r="A495" i="32" l="1"/>
  <c r="B494" i="32"/>
  <c r="A496" i="32" l="1"/>
  <c r="B495" i="32"/>
  <c r="A497" i="32" l="1"/>
  <c r="B496" i="32"/>
  <c r="A498" i="32" l="1"/>
  <c r="B497" i="32"/>
  <c r="A499" i="32" l="1"/>
  <c r="B498" i="32"/>
  <c r="A500" i="32" l="1"/>
  <c r="B499" i="32"/>
  <c r="A501" i="32" l="1"/>
  <c r="B500" i="32"/>
  <c r="A502" i="32" l="1"/>
  <c r="B501" i="32"/>
  <c r="A503" i="32" l="1"/>
  <c r="B502" i="32"/>
  <c r="A504" i="32" l="1"/>
  <c r="B503" i="32"/>
  <c r="A505" i="32" l="1"/>
  <c r="B504" i="32"/>
  <c r="A506" i="32" l="1"/>
  <c r="B505" i="32"/>
  <c r="A507" i="32" l="1"/>
  <c r="B506" i="32"/>
  <c r="A508" i="32" l="1"/>
  <c r="B508" i="32" s="1"/>
  <c r="B507" i="32"/>
  <c r="D23" i="168"/>
  <c r="D24" i="168" s="1"/>
  <c r="D25" i="168" s="1"/>
  <c r="D26" i="168" s="1"/>
  <c r="D27" i="168" s="1"/>
  <c r="D28" i="168" s="1"/>
  <c r="D29" i="168" s="1"/>
  <c r="D30" i="168" s="1"/>
  <c r="D31" i="168" s="1"/>
  <c r="D32" i="168" s="1"/>
  <c r="D33" i="168" s="1"/>
  <c r="D34" i="168" s="1"/>
  <c r="D35" i="168" s="1"/>
  <c r="D36" i="168" s="1"/>
  <c r="D37" i="168" s="1"/>
  <c r="D38" i="168" s="1"/>
  <c r="D39" i="168" s="1"/>
  <c r="D40" i="168" s="1"/>
  <c r="D41" i="168" s="1"/>
  <c r="D42" i="168" s="1"/>
  <c r="D43" i="168" s="1"/>
  <c r="D44" i="168" s="1"/>
  <c r="D45" i="168" s="1"/>
  <c r="D46" i="168" s="1"/>
  <c r="D47" i="168" s="1"/>
  <c r="D48" i="168" s="1"/>
  <c r="D49" i="168" s="1"/>
  <c r="D50" i="168" s="1"/>
  <c r="D51" i="168" s="1"/>
  <c r="D52" i="168" s="1"/>
  <c r="D53" i="168" s="1"/>
  <c r="D54" i="168" s="1"/>
  <c r="C5" i="193"/>
  <c r="E17" i="193" s="1"/>
  <c r="E18" i="193" s="1"/>
  <c r="E19" i="193" s="1"/>
  <c r="E20" i="193" s="1"/>
  <c r="E21" i="193" s="1"/>
  <c r="E22" i="193" s="1"/>
  <c r="E23" i="193" s="1"/>
  <c r="E24" i="193" s="1"/>
  <c r="E25" i="193" s="1"/>
  <c r="E26" i="193" s="1"/>
  <c r="E27" i="193" s="1"/>
  <c r="E28" i="193" s="1"/>
  <c r="E29" i="193" s="1"/>
  <c r="E30" i="193" s="1"/>
  <c r="E31" i="193" s="1"/>
  <c r="E32" i="193" s="1"/>
  <c r="E33" i="193" s="1"/>
  <c r="E34" i="193" s="1"/>
  <c r="E35" i="193" s="1"/>
  <c r="E36" i="193" s="1"/>
  <c r="E37" i="193" s="1"/>
  <c r="E38" i="193" s="1"/>
  <c r="E39" i="193" s="1"/>
  <c r="E40" i="193" s="1"/>
  <c r="E41" i="193" s="1"/>
  <c r="E42" i="193" s="1"/>
  <c r="E43" i="193" s="1"/>
  <c r="E44" i="193" s="1"/>
  <c r="E45" i="193" s="1"/>
  <c r="E46" i="193" s="1"/>
  <c r="E47" i="193" s="1"/>
  <c r="E48" i="193" s="1"/>
  <c r="E49" i="193" s="1"/>
  <c r="E50" i="193" s="1"/>
  <c r="E51" i="193" s="1"/>
  <c r="E52" i="193" s="1"/>
  <c r="E53" i="193" s="1"/>
  <c r="E54" i="193" s="1"/>
  <c r="E55" i="193" s="1"/>
  <c r="E56" i="193" s="1"/>
  <c r="E57" i="193" s="1"/>
  <c r="E58" i="193" s="1"/>
  <c r="E59" i="193" s="1"/>
  <c r="E60" i="193" s="1"/>
  <c r="E61" i="193" s="1"/>
  <c r="E62" i="193" s="1"/>
  <c r="D17" i="193" l="1"/>
  <c r="D18" i="193" s="1"/>
  <c r="D19" i="193" s="1"/>
  <c r="D20" i="193" s="1"/>
  <c r="D21" i="193" s="1"/>
  <c r="D22" i="193" s="1"/>
  <c r="D23" i="193" s="1"/>
  <c r="D24" i="193" s="1"/>
  <c r="D25" i="193" s="1"/>
  <c r="D26" i="193" s="1"/>
  <c r="D27" i="193" s="1"/>
  <c r="D28" i="193" s="1"/>
  <c r="D29" i="193" s="1"/>
  <c r="D30" i="193" s="1"/>
  <c r="D31" i="193" s="1"/>
  <c r="D32" i="193" s="1"/>
  <c r="D33" i="193" s="1"/>
  <c r="D34" i="193" s="1"/>
  <c r="D35" i="193" s="1"/>
  <c r="D36" i="193" s="1"/>
  <c r="D37" i="193" s="1"/>
  <c r="D38" i="193" s="1"/>
  <c r="D39" i="193" s="1"/>
  <c r="D40" i="193" s="1"/>
  <c r="D41" i="193" s="1"/>
  <c r="D42" i="193" s="1"/>
  <c r="D43" i="193" s="1"/>
  <c r="D44" i="193" s="1"/>
  <c r="D45" i="193" s="1"/>
  <c r="D46" i="193" s="1"/>
  <c r="D47" i="193" s="1"/>
  <c r="D48" i="193" s="1"/>
  <c r="D49" i="193" s="1"/>
  <c r="D50" i="193" s="1"/>
  <c r="D51" i="193" s="1"/>
  <c r="D52" i="193" s="1"/>
  <c r="D53" i="193" s="1"/>
  <c r="D54" i="193" s="1"/>
  <c r="D55" i="193" s="1"/>
  <c r="D56" i="193" s="1"/>
  <c r="D57" i="193" s="1"/>
  <c r="D58" i="193" s="1"/>
  <c r="D59" i="193" s="1"/>
  <c r="D60" i="193" s="1"/>
  <c r="D61" i="193" s="1"/>
  <c r="D62" i="193" s="1"/>
  <c r="D63" i="193" s="1"/>
  <c r="E64" i="193" l="1"/>
  <c r="D64" i="193"/>
  <c r="E65" i="193" s="1"/>
  <c r="E63" i="193"/>
  <c r="C37" i="193"/>
  <c r="C38" i="193" s="1"/>
  <c r="C39" i="193" s="1"/>
  <c r="C40" i="193" s="1"/>
  <c r="C41" i="193" s="1"/>
  <c r="C42" i="193" s="1"/>
  <c r="C43" i="193" s="1"/>
  <c r="C44" i="193" s="1"/>
  <c r="C45" i="193" s="1"/>
  <c r="C46" i="193" s="1"/>
  <c r="C47" i="193" s="1"/>
  <c r="C48" i="193" s="1"/>
  <c r="C49" i="193" s="1"/>
  <c r="C50" i="193" s="1"/>
  <c r="C51" i="193" s="1"/>
  <c r="C52" i="193" s="1"/>
  <c r="C53" i="193" s="1"/>
  <c r="C54" i="193" s="1"/>
  <c r="C55" i="193" s="1"/>
  <c r="C56" i="193" s="1"/>
  <c r="C57" i="193" s="1"/>
  <c r="C58" i="193" s="1"/>
  <c r="C59" i="193" s="1"/>
  <c r="C60" i="193" s="1"/>
  <c r="C61" i="193" s="1"/>
  <c r="C62" i="193" s="1"/>
  <c r="C63" i="193" s="1"/>
  <c r="C64" i="193" s="1"/>
  <c r="C65" i="193" s="1"/>
  <c r="C66" i="193" s="1"/>
  <c r="C67" i="193" s="1"/>
  <c r="C68" i="193" s="1"/>
  <c r="C69" i="193" s="1"/>
  <c r="D65" i="193" l="1"/>
  <c r="D66" i="193" s="1"/>
  <c r="E66" i="193" l="1"/>
  <c r="D67" i="193"/>
  <c r="E67" i="193"/>
  <c r="D68" i="193" l="1"/>
  <c r="D69" i="193" s="1"/>
  <c r="E68" i="193"/>
  <c r="E69" i="19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tc={D3AF0A77-9D73-4B44-B1FC-ED81B1BD4B86}</author>
  </authors>
  <commentList>
    <comment ref="E37" authorId="0" shapeId="0" xr:uid="{D3AF0A77-9D73-4B44-B1FC-ED81B1BD4B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16/03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tc={26671247-981F-4B77-B10B-CBD0FA42E183}</author>
    <author>tc={212503E7-DFA3-4D93-8404-E2224963BA06}</author>
    <author>tc={F65F890C-D1A2-407F-BB97-E1441D5558BE}</author>
  </authors>
  <commentList>
    <comment ref="C14" authorId="0" shapeId="0" xr:uid="{26671247-981F-4B77-B10B-CBD0FA42E1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Total de itens R1 e R2</t>
      </text>
    </comment>
    <comment ref="J14" authorId="1" shapeId="0" xr:uid="{212503E7-DFA3-4D93-8404-E2224963BA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Total de itens entregues até 26/12/2025</t>
      </text>
    </comment>
    <comment ref="I16" authorId="2" shapeId="0" xr:uid="{F65F890C-D1A2-407F-BB97-E1441D5558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tc={B73C8E6F-4E5B-4A95-9368-F6479406C713}</author>
    <author>tc={D99E3220-A5BD-4806-840D-CD2379E82147}</author>
    <author>tc={B0ACCE65-3023-4517-890B-D4331BF72589}</author>
  </authors>
  <commentList>
    <comment ref="C14" authorId="0" shapeId="0" xr:uid="{B73C8E6F-4E5B-4A95-9368-F6479406C7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Total de itens R1 e R2</t>
      </text>
    </comment>
    <comment ref="J14" authorId="1" shapeId="0" xr:uid="{D99E3220-A5BD-4806-840D-CD2379E821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Total de itens entregues até 26/12/2025</t>
      </text>
    </comment>
    <comment ref="I16" authorId="2" shapeId="0" xr:uid="{B0ACCE65-3023-4517-890B-D4331BF725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R1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tc={A2952584-22CD-49AA-8D49-483CEC2061AD}</author>
    <author>tc={A4EA5184-C44F-48C4-90AB-6D60F3E962AD}</author>
    <author>tc={A19A9E56-EC89-410D-8227-31582F1CDDC2}</author>
  </authors>
  <commentList>
    <comment ref="C14" authorId="0" shapeId="0" xr:uid="{A2952584-22CD-49AA-8D49-483CEC2061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Total de itens R1 e R2</t>
      </text>
    </comment>
    <comment ref="J14" authorId="1" shapeId="0" xr:uid="{A4EA5184-C44F-48C4-90AB-6D60F3E962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Total de itens entregues até 26/12/2025</t>
      </text>
    </comment>
    <comment ref="I16" authorId="2" shapeId="0" xr:uid="{A19A9E56-EC89-410D-8227-31582F1CDD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R1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tc={C40E043E-44E2-475E-8562-EC12E77B1ADC}</author>
  </authors>
  <commentList>
    <comment ref="G14" authorId="0" shapeId="0" xr:uid="{C40E043E-44E2-475E-8562-EC12E77B1AD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Escopo de Faturamento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tc={728AEA01-B0E3-4AAF-84D5-17A295D5D87B}</author>
  </authors>
  <commentList>
    <comment ref="F14" authorId="0" shapeId="0" xr:uid="{728AEA01-B0E3-4AAF-84D5-17A295D5D87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+2 bugs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66FCC0-3DFB-481A-8950-E1FA216B5D0C}" name="Base Seminovos" type="6" refreshedVersion="8" background="1" saveData="1">
    <textPr codePage="65001" sourceFile="C:\Users\diego.torres\Downloads\Base Jira\Jira Base Seminovos.csv" decimal="," thousands=".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8ACC9598-5783-42AB-908C-EC05351FFD8F}" keepAlive="1" name="Query - BASE CONE" description="Ligação à consulta “BASE CONE” no livro." type="5" refreshedVersion="8" background="1" saveData="1">
    <dbPr connection="Provider=Microsoft.Mashup.OleDb.1;Data Source=$Workbook$;Location=BASE CONE;Extended Properties=&quot;&quot;" command="SELECT * FROM [BASE CON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<sst xmlns="http://schemas.openxmlformats.org/spreadsheetml/2006/main" count="15548" uniqueCount="2611">
  <si>
    <t>Times Locavia</t>
  </si>
  <si>
    <t>Melhor caso</t>
  </si>
  <si>
    <t>Pior caso</t>
  </si>
  <si>
    <t>QA</t>
  </si>
  <si>
    <t>ID.4</t>
  </si>
  <si>
    <t>Scania</t>
  </si>
  <si>
    <t>Produção</t>
  </si>
  <si>
    <t>Fusca</t>
  </si>
  <si>
    <t>Optimus</t>
  </si>
  <si>
    <t>Jetta</t>
  </si>
  <si>
    <t>Brasília</t>
  </si>
  <si>
    <t>Amarok</t>
  </si>
  <si>
    <t>Tiguan</t>
  </si>
  <si>
    <t>Up</t>
  </si>
  <si>
    <t>Gol</t>
  </si>
  <si>
    <t>Taos</t>
  </si>
  <si>
    <t>Santana</t>
  </si>
  <si>
    <t>Arquitetura</t>
  </si>
  <si>
    <t>Amarok (Plano B)</t>
  </si>
  <si>
    <t>Tera</t>
  </si>
  <si>
    <t>Cone: baseado na nossa vazão, chegaremos na data alvo? O que cabe até data alvo?</t>
  </si>
  <si>
    <t>Quantidade de Épicos</t>
  </si>
  <si>
    <t>Épicos</t>
  </si>
  <si>
    <t>considerar apenas os épicos que estão no mapa de release</t>
  </si>
  <si>
    <t>Qtd de Story / Task / Bug / Spike</t>
  </si>
  <si>
    <t>Story / Tarefa / Bug / Spike</t>
  </si>
  <si>
    <t>considerar o trabalho de todos os integrantes do time, inclsuive tasks de dívidas técnicas e automação</t>
  </si>
  <si>
    <t>Data início</t>
  </si>
  <si>
    <t>Primeria sprint da release</t>
  </si>
  <si>
    <t>Data fim esperada</t>
  </si>
  <si>
    <t>Data entregada release</t>
  </si>
  <si>
    <t>Melhor cenário</t>
  </si>
  <si>
    <t>itens por semana</t>
  </si>
  <si>
    <t xml:space="preserve">considerar sempre as ultimas 4 sprints para atualizar os números </t>
  </si>
  <si>
    <t>Pior cenário</t>
  </si>
  <si>
    <t>Velocidade necessária</t>
  </si>
  <si>
    <t>Acompanhar a cada</t>
  </si>
  <si>
    <t>dias</t>
  </si>
  <si>
    <t>Data do Início da Semana</t>
  </si>
  <si>
    <t>Se seguirmos nossa melhor vazão, quando entregamos?</t>
  </si>
  <si>
    <t>Se seguirmos nossa pior vazão, quando entregamos?</t>
  </si>
  <si>
    <t>Vazão ideal para atender à data</t>
  </si>
  <si>
    <t>Itens da sprint anterior que não foram concluídos</t>
  </si>
  <si>
    <t>Itens que entram em sprint pela primeira vez</t>
  </si>
  <si>
    <t>Itens que entraram na Sprint depois do planejamento, mas não são "Fura fila"</t>
  </si>
  <si>
    <t>Itens Fura-Fila que apareceram ao longo da Sprint</t>
  </si>
  <si>
    <t>Itens entregues na Sprint</t>
  </si>
  <si>
    <t>Itens que chegaram no backlog do time ao longo da semana, mas não na sprint</t>
  </si>
  <si>
    <t>Observações adicionais</t>
  </si>
  <si>
    <t>Não editar esses campos</t>
  </si>
  <si>
    <t>Preencher com os dados de cada semana</t>
  </si>
  <si>
    <t>Sprint</t>
  </si>
  <si>
    <t>Semana</t>
  </si>
  <si>
    <t>A fazer 
(melhor cenário)</t>
  </si>
  <si>
    <t>A fazer 
(pior cenário)</t>
  </si>
  <si>
    <t>A fazer
(valocidade necessária)</t>
  </si>
  <si>
    <t>Itens Transbordo</t>
  </si>
  <si>
    <t>Itens Planejados (Planning)</t>
  </si>
  <si>
    <t>Itens não planejados na sprint</t>
  </si>
  <si>
    <t>(+) Expedite</t>
  </si>
  <si>
    <t xml:space="preserve">Realizado </t>
  </si>
  <si>
    <t>(+)(-) Escopo pro time</t>
  </si>
  <si>
    <t>OBSERVAÇÕES</t>
  </si>
  <si>
    <t>Começamos entrega X</t>
  </si>
  <si>
    <t>Times</t>
  </si>
  <si>
    <t>ESCOPO</t>
  </si>
  <si>
    <t>Release</t>
  </si>
  <si>
    <t>UP</t>
  </si>
  <si>
    <t>WHATSAPP</t>
  </si>
  <si>
    <t>O4R</t>
  </si>
  <si>
    <t>NIVUS</t>
  </si>
  <si>
    <t>COMERCIAL</t>
  </si>
  <si>
    <t>O4R1</t>
  </si>
  <si>
    <t>TERA</t>
  </si>
  <si>
    <t>FATURAMENTO</t>
  </si>
  <si>
    <t>O4R2</t>
  </si>
  <si>
    <t>GOL</t>
  </si>
  <si>
    <t>VENDAS_ASSISTIDAS</t>
  </si>
  <si>
    <t>BAF</t>
  </si>
  <si>
    <t>OPTIMUS</t>
  </si>
  <si>
    <t>CONTRATOS</t>
  </si>
  <si>
    <t>BAF-QW</t>
  </si>
  <si>
    <t>AMAROK</t>
  </si>
  <si>
    <t>VENDAS_AUTO-ATENDIMENTO</t>
  </si>
  <si>
    <t>SANTANA</t>
  </si>
  <si>
    <t>RESSARCIMENTO</t>
  </si>
  <si>
    <t>TAOS</t>
  </si>
  <si>
    <t>CREDITO</t>
  </si>
  <si>
    <t>FUSCA</t>
  </si>
  <si>
    <t>SALESFORCE_PÓSVEND</t>
  </si>
  <si>
    <t>PARATI</t>
  </si>
  <si>
    <t>MIGRAÇÃO</t>
  </si>
  <si>
    <t>D.LAKE DOMINIO</t>
  </si>
  <si>
    <t>LAKE-ESTRUTURANTE</t>
  </si>
  <si>
    <t>RISCO</t>
  </si>
  <si>
    <t>COBRANÇA</t>
  </si>
  <si>
    <t>PROPOSTA</t>
  </si>
  <si>
    <t>Tipo de item</t>
  </si>
  <si>
    <t>Chave da item</t>
  </si>
  <si>
    <t>ID da item</t>
  </si>
  <si>
    <t>Resumo</t>
  </si>
  <si>
    <t>Status</t>
  </si>
  <si>
    <t>Campo personalizado (Time)</t>
  </si>
  <si>
    <t>Campo personalizado (Jornada)</t>
  </si>
  <si>
    <t>Campo personalizado (Jornada)_1</t>
  </si>
  <si>
    <t>Campo personalizado (Jornada)_2</t>
  </si>
  <si>
    <t>Criado</t>
  </si>
  <si>
    <t>Campo personalizado (Data de Compromentimento)</t>
  </si>
  <si>
    <t>Campo personalizado (Start date)</t>
  </si>
  <si>
    <t>Resolvido</t>
  </si>
  <si>
    <t>Campo personalizado (Release)</t>
  </si>
  <si>
    <t>Campo personalizado (Release)_3</t>
  </si>
  <si>
    <t>Campo personalizado (Release)_4</t>
  </si>
  <si>
    <t>Pai</t>
  </si>
  <si>
    <t>Chave pai</t>
  </si>
  <si>
    <t>Parent summary</t>
  </si>
  <si>
    <t>time</t>
  </si>
  <si>
    <t>release</t>
  </si>
  <si>
    <t>História</t>
  </si>
  <si>
    <t>WA-747</t>
  </si>
  <si>
    <t>[Blip][AssinsCar.][Pós venda][Abertura de ocorrência] Meu Contrato, Documento - Solicitação de segunda via de contrato</t>
  </si>
  <si>
    <t>1. Backlog</t>
  </si>
  <si>
    <t/>
  </si>
  <si>
    <t>JAC-1528</t>
  </si>
  <si>
    <t>[Blip][AssinsCar.] Pós venda - Abertura de ocorrência por área</t>
  </si>
  <si>
    <t>WHATSAPP;;</t>
  </si>
  <si>
    <t>O4R1;;</t>
  </si>
  <si>
    <t>Tarefa</t>
  </si>
  <si>
    <t>WA-696</t>
  </si>
  <si>
    <t>[Blip][S&amp;D Colab.][Comercial][Tabela de valor] Ajuste na tabela de preço - Lead e Renovação</t>
  </si>
  <si>
    <t>DESENV CONCLUIDO</t>
  </si>
  <si>
    <t>WA-334</t>
  </si>
  <si>
    <t>[Blip][S&amp;D Colab.][R1] Comercial  - Qualificação de Lead</t>
  </si>
  <si>
    <t>WA-676</t>
  </si>
  <si>
    <t>[Blip][S&amp;D Colab.][Pós vendas][Melhoria] Fluxo da FAQ perguntas e resposta</t>
  </si>
  <si>
    <t>WA-642</t>
  </si>
  <si>
    <t>[Blip][S&amp;D Colab.][R3] Pós venda - Abertura de ocorrência por área</t>
  </si>
  <si>
    <t>O4R2;;</t>
  </si>
  <si>
    <t>WA-669</t>
  </si>
  <si>
    <t>[Blip][S&amp;D Colab.][Click-tracker] Implementar studar a documentação da aplicação da Blip - Click Tracker</t>
  </si>
  <si>
    <t>WA-624</t>
  </si>
  <si>
    <t>[Blip][S&amp;D Colab.][R3] [Cross] Estrutura do bot</t>
  </si>
  <si>
    <t>Spike</t>
  </si>
  <si>
    <t>WA-660</t>
  </si>
  <si>
    <t>[Blip][S&amp;D Colaboradores][Comercial][Criação] UX -Desenho da jornada do  no fluxo comercial - Qualificação de lead</t>
  </si>
  <si>
    <t>Comercial</t>
  </si>
  <si>
    <t>WA-661</t>
  </si>
  <si>
    <t>[Blip][S&amp;D Colab.][R3] Comercial  - Qualificação de Lead</t>
  </si>
  <si>
    <t>Comercial;;</t>
  </si>
  <si>
    <t>WA-659</t>
  </si>
  <si>
    <t>[Blip][S&amp;D Colaboradores][Comercial][Discovey] Melhoria no fluxo comercial - Qualificação de lead</t>
  </si>
  <si>
    <t>WA-656</t>
  </si>
  <si>
    <t>[Blip][S&amp;D Colab.][Comercial][Carrossel] Desenvolver o flow do componente do carrossel dentro da meta</t>
  </si>
  <si>
    <t>WA-654</t>
  </si>
  <si>
    <t xml:space="preserve">[Blip][S&amp;D Colab.][Comercial][Carrossel][Flows] Converter a imagem para consumo do carrossel </t>
  </si>
  <si>
    <t>WA-620</t>
  </si>
  <si>
    <t>[Blip][S&amp;D Colab.][Click-tracker][Estudo] Estudar a documentação da aplicação da Blip - Click Tracker</t>
  </si>
  <si>
    <t>WA-618</t>
  </si>
  <si>
    <t>[Blip][S&amp;D Colab.][Pós vendas][Tag] Tagamento do fluxo de pos vendas</t>
  </si>
  <si>
    <t>WA-611</t>
  </si>
  <si>
    <t>WA-608</t>
  </si>
  <si>
    <t>[Blip][S&amp;D Colab.][Pós venda][Abertura de ocorrência] Fim de contrato - Devolução veículo -  Ajuste</t>
  </si>
  <si>
    <t>WA-594</t>
  </si>
  <si>
    <t>[Blip][S&amp;D Colab.][Comercial][Renovação] Ajuste no fluxo - Incluir FAQ</t>
  </si>
  <si>
    <t>WA-593</t>
  </si>
  <si>
    <t>[Blip][S&amp;D Colab.][Comercial][Renovação] Ajuste no fluxo - Renovação de contrato</t>
  </si>
  <si>
    <t>WA-550</t>
  </si>
  <si>
    <t>[Blip][S&amp;D Colab.][Autosserviço] 2º via do boleto Investigação e correção de fluxos causando lentidão no fluxo de boleto (BLiP)</t>
  </si>
  <si>
    <t>WA-348</t>
  </si>
  <si>
    <t>[Blip][S&amp;D Colab.][R1] Autosserviço - Financeiro - Solicitação boleto</t>
  </si>
  <si>
    <t>WA-543</t>
  </si>
  <si>
    <t>[Blip][S&amp;D Colab.] [Pós venda] Saudação inicial cliente sem placa</t>
  </si>
  <si>
    <t>WA-274</t>
  </si>
  <si>
    <t>[Blip][S&amp;D Colab.][R1] Inicio bot</t>
  </si>
  <si>
    <t>WA-537</t>
  </si>
  <si>
    <t>[Blip][S&amp;D Colab.][Pós venda][Abertura de ocorrência] Desenvolvimento jornada Assistência 24h</t>
  </si>
  <si>
    <t>WA-259</t>
  </si>
  <si>
    <t>[Blip][S&amp;D Colab.][R1] Pós venda - Abertura de ocorrência por área</t>
  </si>
  <si>
    <t>WA-534</t>
  </si>
  <si>
    <t>[Blip][S&amp;D Colab.][Pós venda][Abertura de ocorrência] Desenvolvimento jornada de manutenção</t>
  </si>
  <si>
    <t>WA-528</t>
  </si>
  <si>
    <t>[Blip][S&amp;D Colab.][Pós venda][Abertura de ocorrência] UX desenho da jornada - Assistência 24h</t>
  </si>
  <si>
    <t>Pos_venda</t>
  </si>
  <si>
    <t>Pos_venda;;</t>
  </si>
  <si>
    <t>WA-527</t>
  </si>
  <si>
    <t>[Blip][S&amp;D Colab.][Pós venda][Abertura de ocorrência] UX desenho da jornada - Manutenção</t>
  </si>
  <si>
    <t>WA-523</t>
  </si>
  <si>
    <t>[Blip][S&amp;D Colab.][Pós venda][Abertura de ocorrência] Debito técnico - Fluxo de Devolução de veiculo</t>
  </si>
  <si>
    <t>WA-504</t>
  </si>
  <si>
    <t>[Blip][S&amp;D Colab.][Comercial][Renovação] UX desenho da jornada -Renovação de contrato</t>
  </si>
  <si>
    <t>WA-503</t>
  </si>
  <si>
    <t>[Blip][S&amp;D Colab.][Pós venda][Abertura de ocorrência] UX desenho da jornada -Fim de contrato - 2 via de contrato</t>
  </si>
  <si>
    <t>WA-488</t>
  </si>
  <si>
    <t>[S&amp;D Colab.][4] Desenvolvimento arvore de saudação - Não recebeu o veiculo</t>
  </si>
  <si>
    <t>WA-473</t>
  </si>
  <si>
    <t>[Blip][S&amp;D Colab.][Pós venda][Abertura de ocorrência] UX desenho da jornada -Manutenção - Direcionamento para a ticket</t>
  </si>
  <si>
    <t>Release_01</t>
  </si>
  <si>
    <t>O4R1;Release_01;</t>
  </si>
  <si>
    <t>WA-469</t>
  </si>
  <si>
    <t>[Blip][S&amp;D Colab.][HSM][Multas] Disparo endpoint de disparo</t>
  </si>
  <si>
    <t>WA-401</t>
  </si>
  <si>
    <t>[Blip][S&amp;D Colab.][R3] Multas - Disparos de mensagens ativas</t>
  </si>
  <si>
    <t>WA-463</t>
  </si>
  <si>
    <t>[Blip][S&amp;D Colab.][Autosserviço] UX desenho da arvore de Solicitação segunda via da CRLV</t>
  </si>
  <si>
    <t>Migra_Blip</t>
  </si>
  <si>
    <t>WA-362</t>
  </si>
  <si>
    <t>[Blip][S&amp;D Colab.][R1] Autosserviço - Doc. do veículo - CRLV</t>
  </si>
  <si>
    <t>Migra_Blip;Pos_venda;WHATSAPP</t>
  </si>
  <si>
    <t>WA-462</t>
  </si>
  <si>
    <t>[Blip][S&amp;D Colab.][Comercial][Renovação] Renovação de contrato</t>
  </si>
  <si>
    <t>WA-444</t>
  </si>
  <si>
    <t>[Blip][S&amp;D Colab.][Pós venda][Abertura de ocorrência] UX desenho da jornada - Fim de contrato - Devolução veículo</t>
  </si>
  <si>
    <t>WA-435</t>
  </si>
  <si>
    <t>[Blip][S&amp;D Colab.][Pós venda][Abertura de ocorrência] Perguntas frequentes</t>
  </si>
  <si>
    <t>Pos_venda;WHATSAPP;</t>
  </si>
  <si>
    <t>WA-418</t>
  </si>
  <si>
    <t>[Blip][S&amp;D Colab.][Autosserviço][Árvore de decisão] UX desenho da jornada solicitação do boleto</t>
  </si>
  <si>
    <t>WA-416</t>
  </si>
  <si>
    <t>[Blip][S&amp;D Colab.][Árvore de decisão] UX desenho da jornada - Pós venda menu inicial</t>
  </si>
  <si>
    <t>WA-409</t>
  </si>
  <si>
    <t>[Blip][S&amp;D Colab.][HSM][Multas] Disparo de NIC - Responsabilidade Cliente</t>
  </si>
  <si>
    <t>WA-407</t>
  </si>
  <si>
    <t>[Blip][S&amp;D Colab.][HSM][Multas] Disparo de NIP - Responsabilidade Locadora</t>
  </si>
  <si>
    <t>DESCARTADO</t>
  </si>
  <si>
    <t>WA-402</t>
  </si>
  <si>
    <t>[Blip][S&amp;D Colab.][HSM][Multas] Disparo de NAI/NIP BRF</t>
  </si>
  <si>
    <t>WA-383</t>
  </si>
  <si>
    <t>[Blip][S&amp;D Colab.] Pós venda - Cadastro dos agentes de atendimento</t>
  </si>
  <si>
    <t>WA-333</t>
  </si>
  <si>
    <t>[Blip][S&amp;D Colab.][R1][Cross] Estrutura do bot</t>
  </si>
  <si>
    <t>WA-381</t>
  </si>
  <si>
    <t>[Blip][S&amp;D Colab.] Ativação dos números de homologação</t>
  </si>
  <si>
    <t>Migra_Blip;WHATSAPP;</t>
  </si>
  <si>
    <t>WA-365</t>
  </si>
  <si>
    <t>[Blip][S&amp;D Colab.][Autosserviço] 2º via do boleto - Escritório de cobrança</t>
  </si>
  <si>
    <t>WA-364</t>
  </si>
  <si>
    <t>[Blip][S&amp;D Colab.][Autosserviço] Solicitação segunda via da CRLV</t>
  </si>
  <si>
    <t>WA-335</t>
  </si>
  <si>
    <t xml:space="preserve">[Blip][S&amp;D Colab.][Comercial] Novo lead - Qualificação </t>
  </si>
  <si>
    <t>WA-326</t>
  </si>
  <si>
    <t>[Blip][S&amp;D Colab.][Pós venda][Abertura de ocorrência] Manutenção - Direcionamento para a ticket</t>
  </si>
  <si>
    <t>WA-276</t>
  </si>
  <si>
    <t>[Blip][S&amp;D Colab.] Pós venda - Saudação inicial e Identificação do Cliente</t>
  </si>
  <si>
    <t>WA-273</t>
  </si>
  <si>
    <t>[Blip][S&amp;D Colab.][Pós venda][Abertura de ocorrência] Fim de contrato - Devolução veículo</t>
  </si>
  <si>
    <t>WA-265</t>
  </si>
  <si>
    <t>[Blip][S&amp;D Colab.][Pós venda][Abertura de ocorrência] Meu Contrato, Documento - Solicitação de segunda via de contrato</t>
  </si>
  <si>
    <t>VAA-420</t>
  </si>
  <si>
    <t xml:space="preserve">Exibição de ofertas agrupadas na home com “a partir de "Preço” 13 Pontos </t>
  </si>
  <si>
    <t>SPRINT BACKLOG</t>
  </si>
  <si>
    <t>VAA-138</t>
  </si>
  <si>
    <t>Épico 1 — Visualizar Ofertas e Regras de Pricing (Pricing + Locavia (proposta)  + Maestro)) - HOME</t>
  </si>
  <si>
    <t>VENDAS_AUTO-ATENDIMENTO;;</t>
  </si>
  <si>
    <t>Bug</t>
  </si>
  <si>
    <t>VAA-412</t>
  </si>
  <si>
    <t>CLONE - Logotipo Sign and Drive no mobile está distorcido</t>
  </si>
  <si>
    <t>VAA-403</t>
  </si>
  <si>
    <t>CLONE - Carregar Catálogo e Preço Real (Locavia + Maestro)</t>
  </si>
  <si>
    <t>VAA-402</t>
  </si>
  <si>
    <t>CLONE - Validação de Vínculo de Parente via Autorização do Colaborador</t>
  </si>
  <si>
    <t>VAA-1</t>
  </si>
  <si>
    <t>Épico 3 — Autenticação e Validação de Vínculo (Keycloak + Octopus)</t>
  </si>
  <si>
    <t>VAA-401</t>
  </si>
  <si>
    <t>CLONE - Login e Identificação de Perfil</t>
  </si>
  <si>
    <t>VAA-388</t>
  </si>
  <si>
    <t>Validar o Maestro com oferta do princing</t>
  </si>
  <si>
    <t>EM DESENVOLVIMENTO</t>
  </si>
  <si>
    <t>VAA-381</t>
  </si>
  <si>
    <t>Botão Flutuante de Atendimento via WhatsApp ( 2 pontos)</t>
  </si>
  <si>
    <t>VAA-123</t>
  </si>
  <si>
    <t>Épico 2 — Configuração do carro (modelo, cor, km, prazo)</t>
  </si>
  <si>
    <t>VAA-370</t>
  </si>
  <si>
    <t>Pagina Checkout</t>
  </si>
  <si>
    <t>VAA-367</t>
  </si>
  <si>
    <t>Equalização Banner/Carrossel topo da Home 3pts</t>
  </si>
  <si>
    <t>VAA-358</t>
  </si>
  <si>
    <t xml:space="preserve">Endpoint das ofertas por perfil de usuário 8 Pontos </t>
  </si>
  <si>
    <t>VAA-348</t>
  </si>
  <si>
    <t>Gestão de descontos</t>
  </si>
  <si>
    <t>VAA-346</t>
  </si>
  <si>
    <t>Equalização Catálogo/Carrossel seção da home 5 pts</t>
  </si>
  <si>
    <t>VAA-344</t>
  </si>
  <si>
    <t>Equalização Layout Menu Hamburguer/Menu mobile 3 pts</t>
  </si>
  <si>
    <t>VAA-335</t>
  </si>
  <si>
    <t>Validação do Fluxo em DEV</t>
  </si>
  <si>
    <t>VAA-331</t>
  </si>
  <si>
    <t>Equalização layout Mega Menus Desktop (Veículos/Por que Assinar) 8pts</t>
  </si>
  <si>
    <t>VAA-329</t>
  </si>
  <si>
    <t>UX Checkout: Finalização do pedido</t>
  </si>
  <si>
    <t>VAA-327</t>
  </si>
  <si>
    <t xml:space="preserve">Teste integrados Release 1 </t>
  </si>
  <si>
    <t>VAA-324</t>
  </si>
  <si>
    <t xml:space="preserve">Implementação da interações na Home </t>
  </si>
  <si>
    <t>VAA-320</t>
  </si>
  <si>
    <t>Máquina de Estados + Idempotência do Pedido</t>
  </si>
  <si>
    <t>VAA-182</t>
  </si>
  <si>
    <t>Épico 4 — Integrações de Crédito (Neurotech) e Check Out</t>
  </si>
  <si>
    <t>VAA-319</t>
  </si>
  <si>
    <t>Tratamento de falha de autenticação (Keycloak) (5 Pontos )</t>
  </si>
  <si>
    <t>VAA-318</t>
  </si>
  <si>
    <t>Estados formais de vínculo (Octopus)</t>
  </si>
  <si>
    <t>VAA-317</t>
  </si>
  <si>
    <t>Tratamento de CPF/e-mail já existente</t>
  </si>
  <si>
    <t>VAA-316</t>
  </si>
  <si>
    <t>Persistência de contexto e retorno pós-SSO</t>
  </si>
  <si>
    <t>VAA-311</t>
  </si>
  <si>
    <t>Consolidação do Snapshot Final de Configuração</t>
  </si>
  <si>
    <t>VAA-310</t>
  </si>
  <si>
    <t>Tratamento de combinações inválidas</t>
  </si>
  <si>
    <t>VAA-309</t>
  </si>
  <si>
    <t>Padronizar comportamento do CTA “Assine já”</t>
  </si>
  <si>
    <t>VAA-308</t>
  </si>
  <si>
    <t>Implementar fallback e tratamento de exceções na Home dinâmica</t>
  </si>
  <si>
    <t>VAA-306</t>
  </si>
  <si>
    <t>Forçar fluxo obrigatório de confirmação de dados após login 8ptos</t>
  </si>
  <si>
    <t>VAA-304</t>
  </si>
  <si>
    <t>Merge e subida em deploy das entregas até o momento</t>
  </si>
  <si>
    <t>VAA-302</t>
  </si>
  <si>
    <t>Subir o pacote de alteração da Venice</t>
  </si>
  <si>
    <t>VAA-300</t>
  </si>
  <si>
    <t>Estudar implementação do Banner</t>
  </si>
  <si>
    <t>VAA-298</t>
  </si>
  <si>
    <t>Levantamento de informações extras de cadastro das ofertas no portal</t>
  </si>
  <si>
    <t>VAA-296</t>
  </si>
  <si>
    <t>Tela para gerenciar imagens das ofertas do veiculos</t>
  </si>
  <si>
    <t>VAA-294</t>
  </si>
  <si>
    <t>Integração da equalização do checkout</t>
  </si>
  <si>
    <t>VAA-292</t>
  </si>
  <si>
    <t>Equalização do layout do checkout</t>
  </si>
  <si>
    <t>VAA-290</t>
  </si>
  <si>
    <t>Revisar alteração de textos e informativos</t>
  </si>
  <si>
    <t>VAA-267</t>
  </si>
  <si>
    <t>Épico 5 — UX, Conteúdo e Mensagens Transacionais</t>
  </si>
  <si>
    <t>VAA-280</t>
  </si>
  <si>
    <t>Interações da Home</t>
  </si>
  <si>
    <t>VAA-279</t>
  </si>
  <si>
    <t>Integração da equalização do ex funcionário 5pts</t>
  </si>
  <si>
    <t>VAA-278</t>
  </si>
  <si>
    <t>Integração da equalização do parente 5ptos</t>
  </si>
  <si>
    <t>VAA-277</t>
  </si>
  <si>
    <t>Equalização do layout página de veículo 13 pts</t>
  </si>
  <si>
    <t>VAA-276</t>
  </si>
  <si>
    <t>Integração do layout equalizado</t>
  </si>
  <si>
    <t>VAA-275</t>
  </si>
  <si>
    <t xml:space="preserve">Template de email transacional - Parente </t>
  </si>
  <si>
    <t>VAA-274</t>
  </si>
  <si>
    <t>Template de email transacional - Ex - Funcionário</t>
  </si>
  <si>
    <t>VAA-273</t>
  </si>
  <si>
    <t>Equalização do layout da home 13ptos</t>
  </si>
  <si>
    <t>VAA-272</t>
  </si>
  <si>
    <t>Integração da equalização da home - 8 pontos</t>
  </si>
  <si>
    <t>VAA-269</t>
  </si>
  <si>
    <t>Template de email transacional - Funcionário - 5pts</t>
  </si>
  <si>
    <t>VAA-259</t>
  </si>
  <si>
    <t>Equalização de layout - 13 Confirme seus dados (Parente) - 3pts</t>
  </si>
  <si>
    <t>VAA-257</t>
  </si>
  <si>
    <t>Integração 12.1 Confirme seus dados (Funcionário) - 13pts</t>
  </si>
  <si>
    <t>VAA-255</t>
  </si>
  <si>
    <t>Mapeamento tecnico de envio de email e pedidos/proposta</t>
  </si>
  <si>
    <t>VAA-252</t>
  </si>
  <si>
    <t>Configuração para disparo de email (Full)</t>
  </si>
  <si>
    <t>VAA-250</t>
  </si>
  <si>
    <t>[UX] Aquisição: 2. Página do Veículo</t>
  </si>
  <si>
    <t>VAA-248</t>
  </si>
  <si>
    <t>Equalização de layout - 12.2 Confirme seus dados (Ex-funcionário Aposentado)</t>
  </si>
  <si>
    <t>VAA-243</t>
  </si>
  <si>
    <t>Equalização de layout - 12.1 Confirme seus dados (Funcionários) - 3 pontos</t>
  </si>
  <si>
    <t>VAA-240</t>
  </si>
  <si>
    <t>[Pricing] Definião de autenticação pricing</t>
  </si>
  <si>
    <t>VAA-238</t>
  </si>
  <si>
    <t>VENICE TELA DE LOGIN E CADASTRO</t>
  </si>
  <si>
    <t>VAA-236</t>
  </si>
  <si>
    <t xml:space="preserve">Desenho tecnico portal de auto atendimento S&amp;D Colaboradores. </t>
  </si>
  <si>
    <t>VAA-231</t>
  </si>
  <si>
    <t>[UX] Aquisição: 1. Home 2.</t>
  </si>
  <si>
    <t>VAA-212</t>
  </si>
  <si>
    <t>Funcionalidade de Calculadora.</t>
  </si>
  <si>
    <t>VAA-210</t>
  </si>
  <si>
    <t>Criar service de integração de venda Assistida</t>
  </si>
  <si>
    <t>EM REFINAMENTO</t>
  </si>
  <si>
    <t>VAA-186</t>
  </si>
  <si>
    <t>Equalização do layout e Resultados de avaliação de crédito ( 5 pontos)</t>
  </si>
  <si>
    <t>VAA-185</t>
  </si>
  <si>
    <t>Bloqueio de Avanço sem Vínculo Validado</t>
  </si>
  <si>
    <t>VAA-184</t>
  </si>
  <si>
    <t>Validação de Vínculo de Parente via Autorização do Colaborador</t>
  </si>
  <si>
    <t>VAA-168</t>
  </si>
  <si>
    <t>Login e Identificação de Perfil</t>
  </si>
  <si>
    <t>VAA-139</t>
  </si>
  <si>
    <t>Carregar Catálogo e Preço Real (Locavia + Maestro)</t>
  </si>
  <si>
    <t>VAA-133</t>
  </si>
  <si>
    <t>Prosseguir para simulação de crédito a partir da configuração</t>
  </si>
  <si>
    <t>VAA-132</t>
  </si>
  <si>
    <t>Atualizar valor em tempo real ao alterar a configuração</t>
  </si>
  <si>
    <t>VAA-130</t>
  </si>
  <si>
    <t>Visualizar detalhes de assistência e serviços incluídos</t>
  </si>
  <si>
    <t>VAA-118</t>
  </si>
  <si>
    <t>Feature Flag + Estrutura de Configurações do Módulo</t>
  </si>
  <si>
    <t>VAA-45</t>
  </si>
  <si>
    <t>Épico 0A — Desenvolvimento Temporário em Pipe do Portal e Planejamento de Migração</t>
  </si>
  <si>
    <t>VAA-117</t>
  </si>
  <si>
    <t>Setup de Autenticação Simulada (Keycloak Mock)</t>
  </si>
  <si>
    <t>VAA-93</t>
  </si>
  <si>
    <t>Documentação Técnica e Guidelines</t>
  </si>
  <si>
    <t>VAA-92</t>
  </si>
  <si>
    <t>Observabilidade e Logger do Front</t>
  </si>
  <si>
    <t>VAA-91</t>
  </si>
  <si>
    <t xml:space="preserve">Integração com Design System </t>
  </si>
  <si>
    <t>VAA-90</t>
  </si>
  <si>
    <t>Estruturação do Stepper e Persistência Local</t>
  </si>
  <si>
    <t>VAA-79</t>
  </si>
  <si>
    <t>Implementação de Adapters e Mocks de API</t>
  </si>
  <si>
    <t>VAA-64</t>
  </si>
  <si>
    <t>Estruturação da Arquitetura Frontend</t>
  </si>
  <si>
    <t>VAA-49</t>
  </si>
  <si>
    <t>Teste de Migração Simulada</t>
  </si>
  <si>
    <t>VAA-48</t>
  </si>
  <si>
    <t>Criação de Script de Migração Automatizada</t>
  </si>
  <si>
    <t>VAA-47</t>
  </si>
  <si>
    <t>Configuração de Pipeline e Variáveis Temporárias</t>
  </si>
  <si>
    <t>VAA-46</t>
  </si>
  <si>
    <t>Criação do Módulo Autoatendimento no Repositório do Portal</t>
  </si>
  <si>
    <t>PRONTO PRA DESENVOLVER</t>
  </si>
  <si>
    <t>VAA-40</t>
  </si>
  <si>
    <t>Documentação Técnica e Integrações</t>
  </si>
  <si>
    <t>VAA-7</t>
  </si>
  <si>
    <t>Épico 0 — Setup e Arquitetura Definitiva (Infra + Ambientes)</t>
  </si>
  <si>
    <t>VAA-35</t>
  </si>
  <si>
    <t>Estruturação Inicial do Front-End</t>
  </si>
  <si>
    <t>VAA-13</t>
  </si>
  <si>
    <t>Integração com Keycloak (SSO)</t>
  </si>
  <si>
    <t>VAA-12</t>
  </si>
  <si>
    <t>Criação de Domínios e Subdomínios</t>
  </si>
  <si>
    <t>VAA-11</t>
  </si>
  <si>
    <t>Configuração de Ambientes e Pipelines</t>
  </si>
  <si>
    <t>TERA-9</t>
  </si>
  <si>
    <t>Erros Solicitar CRLV</t>
  </si>
  <si>
    <t>CONCLUIDO</t>
  </si>
  <si>
    <t>MOB</t>
  </si>
  <si>
    <t>DESMOB-854</t>
  </si>
  <si>
    <t xml:space="preserve">[MOB] Cadastrar Placas em Lote                                                                          </t>
  </si>
  <si>
    <t>MOB;;</t>
  </si>
  <si>
    <t>TERA-8</t>
  </si>
  <si>
    <t>Erros Etapa Aguardando Coleta - Expedição</t>
  </si>
  <si>
    <t>TERA-7</t>
  </si>
  <si>
    <t>Ajustar Etapa de Aguardando Licenciamento</t>
  </si>
  <si>
    <t>TERA-3</t>
  </si>
  <si>
    <t>Erros planilha Cadastrar Placas em lote - linhas sem chassi na etapa de aguardando licenciamento</t>
  </si>
  <si>
    <t>TERA-2</t>
  </si>
  <si>
    <t>Ajustes Gerenciador de Implantação de Veículos - Mobilização</t>
  </si>
  <si>
    <t>;;</t>
  </si>
  <si>
    <t>SN-1683</t>
  </si>
  <si>
    <t>Chamado CH2510-00296 - Não é possível movimentar placa</t>
  </si>
  <si>
    <t>TIGUAN</t>
  </si>
  <si>
    <t>SEMINOVOS</t>
  </si>
  <si>
    <t>SN-1628</t>
  </si>
  <si>
    <t>[LW &amp; SN] BUGs - Automatizado</t>
  </si>
  <si>
    <t>SEMINOVOS;;</t>
  </si>
  <si>
    <t>SN-1495</t>
  </si>
  <si>
    <t>[SN] Cancelamento de Ficha com Boleto recebido, e crédito na ficha de venda</t>
  </si>
  <si>
    <t>SN-1301</t>
  </si>
  <si>
    <t>Cancelamento de Ficha com Boleto recebido, e crédito na ficha de venda</t>
  </si>
  <si>
    <t>BAF;;</t>
  </si>
  <si>
    <t>SN-1445</t>
  </si>
  <si>
    <t>[SN] Utilizar crédito gerado por cancelamento de ficha de venda</t>
  </si>
  <si>
    <t>ID. BUZZ</t>
  </si>
  <si>
    <t>SN-1292</t>
  </si>
  <si>
    <t>RM-2600</t>
  </si>
  <si>
    <t>Validar arquitetura e planejar desenvolvimento da API de recebimento do contrato</t>
  </si>
  <si>
    <t>RM-98</t>
  </si>
  <si>
    <t>[Locavia/Automático] Abertura de Contrato a partir do Gerenciador de proposta</t>
  </si>
  <si>
    <t>CONTRATOS;;</t>
  </si>
  <si>
    <t>RM-2592</t>
  </si>
  <si>
    <t>[QA] Erro no campo KVGR1 nos faturamentos</t>
  </si>
  <si>
    <t>RM-1869</t>
  </si>
  <si>
    <t>Garantir que todos os desenvolvimentos de faturamento no ECC funcionem no hana</t>
  </si>
  <si>
    <t>FATURAMENTO;;</t>
  </si>
  <si>
    <t>RM-2587</t>
  </si>
  <si>
    <t>Exibir "Dias a expirar" para um pedido</t>
  </si>
  <si>
    <t>RM-121</t>
  </si>
  <si>
    <t>Exibição de pedidos (vendas)</t>
  </si>
  <si>
    <t>VENDAS_ASSISTIDAS;;</t>
  </si>
  <si>
    <t>RM-2583</t>
  </si>
  <si>
    <t>Adicionar em tela valor total da medição</t>
  </si>
  <si>
    <t>RM-2129</t>
  </si>
  <si>
    <t>[Subrental] Quick Win</t>
  </si>
  <si>
    <t>BAF-QW;;</t>
  </si>
  <si>
    <t>RM-2573</t>
  </si>
  <si>
    <t>Adaptar listagem de contratos por produto</t>
  </si>
  <si>
    <t>RM-2270</t>
  </si>
  <si>
    <t>[Locavia/Automático] Adaptar envio de contrato Sign and Drive Colaboradores para Novo formato de impressão</t>
  </si>
  <si>
    <t>RM-2572</t>
  </si>
  <si>
    <t>CLONE - [BUG] Filtro de Tipo Registro para Multas na tela de Faturar</t>
  </si>
  <si>
    <t>RM-1822</t>
  </si>
  <si>
    <t>Teste de Regressão para o pacote S&amp;D Colaboradores</t>
  </si>
  <si>
    <t>RM-2546</t>
  </si>
  <si>
    <t>Implementar a Função de Limpar Filtros</t>
  </si>
  <si>
    <t>SCANIA S 650</t>
  </si>
  <si>
    <t>ESTOQUE</t>
  </si>
  <si>
    <t>CEM</t>
  </si>
  <si>
    <t>RM-2085</t>
  </si>
  <si>
    <t>Adequar Gerenciador de Posição de Frotas</t>
  </si>
  <si>
    <t>ESTOQUE;;</t>
  </si>
  <si>
    <t>CEM;;</t>
  </si>
  <si>
    <t>RM-2542</t>
  </si>
  <si>
    <t>Listagem veículos - Nova Coluna</t>
  </si>
  <si>
    <t>RM-2527</t>
  </si>
  <si>
    <t>Trazer como padrão Empresa -&gt; LM matriz nos faturamentos avulsos</t>
  </si>
  <si>
    <t>QA Em Progresso</t>
  </si>
  <si>
    <t>RM-2525</t>
  </si>
  <si>
    <t>Alterar código de locação (menos apps)</t>
  </si>
  <si>
    <t>RM-2510</t>
  </si>
  <si>
    <t>Desconto não está sendo aplicado no faturamento</t>
  </si>
  <si>
    <t>MULTAS</t>
  </si>
  <si>
    <t>RM-1537</t>
  </si>
  <si>
    <t>Desconto na medição e faturamento de multas</t>
  </si>
  <si>
    <t>FATURAMENTO;MULTAS;</t>
  </si>
  <si>
    <t>RM-2503</t>
  </si>
  <si>
    <t>[MOB] Desvincular o campo “Expedição Concluída” da finalização automática da Implantação</t>
  </si>
  <si>
    <t>Aguardando QA</t>
  </si>
  <si>
    <t>JETTA</t>
  </si>
  <si>
    <t>RM-2499</t>
  </si>
  <si>
    <t xml:space="preserve">[MOB] AJUSTES NA MOBILIZAÇÃO </t>
  </si>
  <si>
    <t>RM-2502</t>
  </si>
  <si>
    <t>[MOB] Bloquear edição da etapa “Aguardando Acessorização” para veículos sem acessórios</t>
  </si>
  <si>
    <t>RM-2500</t>
  </si>
  <si>
    <t>[MOB] Ajustar validação da ação “Solicitar CRLV” no Gerenciador de Implantação</t>
  </si>
  <si>
    <t>RM-2497</t>
  </si>
  <si>
    <t>[QA] Mensagem de erro ao criar recibo</t>
  </si>
  <si>
    <t>RM-2496</t>
  </si>
  <si>
    <t>[QA] Erro ao criar nota de débito</t>
  </si>
  <si>
    <t>RM-2490</t>
  </si>
  <si>
    <t xml:space="preserve">Ao concluir uma multa manualmente o campo de data de conclusão não esta sendo alimentado </t>
  </si>
  <si>
    <t>RM-2460</t>
  </si>
  <si>
    <t>Desenvolvimento Docusign</t>
  </si>
  <si>
    <t>INFO</t>
  </si>
  <si>
    <t>LI-159</t>
  </si>
  <si>
    <t>Integração Docusign</t>
  </si>
  <si>
    <t>RM-2454</t>
  </si>
  <si>
    <t>[BUG] Não está sendo possível cadastrar novo produto</t>
  </si>
  <si>
    <t>MANUTENÇÃO</t>
  </si>
  <si>
    <t>MANUTENÇÃO;MULTAS;</t>
  </si>
  <si>
    <t>RM-2448</t>
  </si>
  <si>
    <t>Adicionar campo segmento (KVGR1) na interface de locacao</t>
  </si>
  <si>
    <t>RM-2435</t>
  </si>
  <si>
    <t>[BUG] Título da popup desalinhado nas pendências da multa</t>
  </si>
  <si>
    <t>MULTAS;;</t>
  </si>
  <si>
    <t>RM-2434</t>
  </si>
  <si>
    <t>[BUG] Não está listando clientes para Restringir veículo no gerenciador</t>
  </si>
  <si>
    <t>RM-2431</t>
  </si>
  <si>
    <t>[BUG] Botões dos filtros no Gerenciador de Multas fixos</t>
  </si>
  <si>
    <t>RM-2430</t>
  </si>
  <si>
    <t>[BUG] Campos repetidos de gestão de multas no cadastro do produto</t>
  </si>
  <si>
    <t>RM-2425</t>
  </si>
  <si>
    <t>Precisa retornar a coluna Índice acumulado dos últimos 12 meses</t>
  </si>
  <si>
    <t>RM-1763</t>
  </si>
  <si>
    <t>[Locavia/Automático] Criar estrutura de índice de reajuste contratual</t>
  </si>
  <si>
    <t>Script Manual</t>
  </si>
  <si>
    <t>RM-2423</t>
  </si>
  <si>
    <t>Rodar script de baixa de boletos</t>
  </si>
  <si>
    <t>RM-2410</t>
  </si>
  <si>
    <t>Replicar programa para atualização dados de Cliente em massa (ECC -&gt; S/4)</t>
  </si>
  <si>
    <t>CADASTRO_DE_USUÁRIO</t>
  </si>
  <si>
    <t>CADASTRO_DE_USUÁRIO;FATURAMENTO;</t>
  </si>
  <si>
    <t>RM-2379</t>
  </si>
  <si>
    <t>[MOB] Validar a etapa Em Transporte</t>
  </si>
  <si>
    <t>RM-2368</t>
  </si>
  <si>
    <t xml:space="preserve">REVALIDAÇÃO DO FLUXO DE MOBILIZAÇÃO NO LOCAVIA </t>
  </si>
  <si>
    <t>RM-2378</t>
  </si>
  <si>
    <t>[MOB] Validar a etapa Aguardando Coleta</t>
  </si>
  <si>
    <t>RM-2377</t>
  </si>
  <si>
    <t xml:space="preserve">[MOB] Validar a etapa Aguardando Acessorização </t>
  </si>
  <si>
    <t>RM-2376</t>
  </si>
  <si>
    <t xml:space="preserve">[MOB] Validar a etapa Aguardando Licenciamento </t>
  </si>
  <si>
    <t>RM-2350</t>
  </si>
  <si>
    <t>Ativar veículo Locavia em contrato</t>
  </si>
  <si>
    <t>RM-2349</t>
  </si>
  <si>
    <t>Veículos distribuídos na mesma rede</t>
  </si>
  <si>
    <t>RM-2084</t>
  </si>
  <si>
    <t>Cadastrar Pátio</t>
  </si>
  <si>
    <t>RM-2348</t>
  </si>
  <si>
    <t>Pátios em diferentes localidades - concessionárias</t>
  </si>
  <si>
    <t>RM-2345</t>
  </si>
  <si>
    <t>[BUG] Horário informado na geração da medição de multas para faturamento</t>
  </si>
  <si>
    <t>RM-2328</t>
  </si>
  <si>
    <t>Editar dados de clientes através do gerenciador de propostas</t>
  </si>
  <si>
    <t>RM-97</t>
  </si>
  <si>
    <t>[Locavia/Automático] Preencher dados do cliente pelo pedido de venda</t>
  </si>
  <si>
    <t>RM-2323</t>
  </si>
  <si>
    <t>Parametrizar aplicação de agravo do KM excedente por produto</t>
  </si>
  <si>
    <t>RM-1984</t>
  </si>
  <si>
    <t>[Locavia/Automático] Parametrizar cobrança de agravo do KM excedente por produto</t>
  </si>
  <si>
    <t>RM-2322</t>
  </si>
  <si>
    <t>Aplicar parametrização de multa de retenção na abetura do contrato</t>
  </si>
  <si>
    <t>RM-1792</t>
  </si>
  <si>
    <t>[Locavia/Automático] Parametrizar multa por retenção do veículo por produto</t>
  </si>
  <si>
    <t>RM-2321</t>
  </si>
  <si>
    <t>Parametrizar cadastro de multa de retenção do veículo por produto</t>
  </si>
  <si>
    <t>RM-2319</t>
  </si>
  <si>
    <t>Inserir alguns filtros no painel de reajuste</t>
  </si>
  <si>
    <t>CODE REVIEW EM PROGRESSO</t>
  </si>
  <si>
    <t>RM-142</t>
  </si>
  <si>
    <t>[Automático/Locavia] Implementar regra para cobrança de multa por retenção de veículo</t>
  </si>
  <si>
    <t>RM-2317</t>
  </si>
  <si>
    <t>Localização pátios cadastrados</t>
  </si>
  <si>
    <t>RM-2501</t>
  </si>
  <si>
    <t>Backlog Futuro</t>
  </si>
  <si>
    <t>RM-2315</t>
  </si>
  <si>
    <t>Cancelamento venda veículo</t>
  </si>
  <si>
    <t>RM-2313</t>
  </si>
  <si>
    <t>Compra veículo associado a produto</t>
  </si>
  <si>
    <t>RM-2312</t>
  </si>
  <si>
    <t>Compra veículo sem produto definido</t>
  </si>
  <si>
    <t>RM-2311</t>
  </si>
  <si>
    <t>Veículo já reservado</t>
  </si>
  <si>
    <t>RM-2093</t>
  </si>
  <si>
    <t>Solicitação de Reserva de Veículo em Estoque</t>
  </si>
  <si>
    <t>RM-2309</t>
  </si>
  <si>
    <t>Veículos elegíveis para venda via Portal</t>
  </si>
  <si>
    <t>RM-2301</t>
  </si>
  <si>
    <t>Controle de Permissionamento - Perfil de acesso</t>
  </si>
  <si>
    <t>RM-2308</t>
  </si>
  <si>
    <t>Consulta disponível veículos via Portal</t>
  </si>
  <si>
    <t>RM-2307</t>
  </si>
  <si>
    <t>Disponibilizar situação do contrato para Gerenciador de propostas</t>
  </si>
  <si>
    <t>RM-1786</t>
  </si>
  <si>
    <t>[Locavia/Automático] Disponibilizar situação do contrato do Locavia para Portais de venda</t>
  </si>
  <si>
    <t>RM-2306</t>
  </si>
  <si>
    <t>Cadastro automático do cliente através do gerenciador de propostas</t>
  </si>
  <si>
    <t>RM-2305</t>
  </si>
  <si>
    <t>Disponibilizar clientes para consulta dos portais de venda</t>
  </si>
  <si>
    <t>RM-2304</t>
  </si>
  <si>
    <t>Usuário permissão multi-filial</t>
  </si>
  <si>
    <t>RM-2303</t>
  </si>
  <si>
    <t>Usuário vinculado Filial/CNPJ</t>
  </si>
  <si>
    <t>RM-2298</t>
  </si>
  <si>
    <t>Movimentação veículo pátio</t>
  </si>
  <si>
    <t>RM-2102</t>
  </si>
  <si>
    <t>Entradas e Saídas</t>
  </si>
  <si>
    <t>RM-2297</t>
  </si>
  <si>
    <t>Entrada física veículo no pátio</t>
  </si>
  <si>
    <t>RM-2295</t>
  </si>
  <si>
    <t>Não permitir movimentar veículo para outro produto sem permissão superior.</t>
  </si>
  <si>
    <t>RM-2287</t>
  </si>
  <si>
    <t>Associar Pátio á Empresa</t>
  </si>
  <si>
    <t>RM-2285</t>
  </si>
  <si>
    <t>Veículo segundo ciclo elegível a vinculação</t>
  </si>
  <si>
    <t>RM-2284</t>
  </si>
  <si>
    <t>Vinculação automática no EURO</t>
  </si>
  <si>
    <t>RM-2579</t>
  </si>
  <si>
    <t>Integração veículos Locavia x EuroIT</t>
  </si>
  <si>
    <t>RM-2283</t>
  </si>
  <si>
    <t>Migração automática Locavia X EURO</t>
  </si>
  <si>
    <t>RM-2282</t>
  </si>
  <si>
    <t>Vinculação automática de veículos</t>
  </si>
  <si>
    <t>RM-2281</t>
  </si>
  <si>
    <t>Reservar veículos em lote</t>
  </si>
  <si>
    <t>RM-2280</t>
  </si>
  <si>
    <t>Permitir Alterar Produto</t>
  </si>
  <si>
    <t>RM-2279</t>
  </si>
  <si>
    <t>Prazo reserva expirado</t>
  </si>
  <si>
    <t>RM-2278</t>
  </si>
  <si>
    <t>Veículo cadastrado Locavia com chassi válido</t>
  </si>
  <si>
    <t>RM-2277</t>
  </si>
  <si>
    <t>Listagem de Veículos - Novos Filtros</t>
  </si>
  <si>
    <t>RM-2275</t>
  </si>
  <si>
    <t>Adaptar envio de contrato Sign and Drive Colaboradores para Novo formato de impressão</t>
  </si>
  <si>
    <t>RM-2268</t>
  </si>
  <si>
    <t>Enviar email automático de faturamento avulso</t>
  </si>
  <si>
    <t>RM-2264</t>
  </si>
  <si>
    <t>RM-2254</t>
  </si>
  <si>
    <t>[SAP] Ajuste JOB de estorno Docs de Faturamento</t>
  </si>
  <si>
    <t>RM-2245</t>
  </si>
  <si>
    <t>Não apresenta o campo Motivo Pedido Compra corretamente</t>
  </si>
  <si>
    <t>COMPRAS</t>
  </si>
  <si>
    <t>COMPRAS;;</t>
  </si>
  <si>
    <t>RM-2244</t>
  </si>
  <si>
    <t>Fluxo de contrato não assinado</t>
  </si>
  <si>
    <t>RM-2221</t>
  </si>
  <si>
    <t>Envio de contrato LM Veículos para Apps</t>
  </si>
  <si>
    <t>RM-2236</t>
  </si>
  <si>
    <t>Registrar assinatura do contrato e salvar documentos assinados</t>
  </si>
  <si>
    <t>RM-2232</t>
  </si>
  <si>
    <t>Apresentar somente frota ativa nos gráficos do Ger. Posição de Frota</t>
  </si>
  <si>
    <t>RM-2227</t>
  </si>
  <si>
    <t>Enviar contrato digital e atualizar situação do contrato master</t>
  </si>
  <si>
    <t>RM-2224</t>
  </si>
  <si>
    <t>[BUG] Mensagens trocadas na autorização ou não do faturamento da multa</t>
  </si>
  <si>
    <t>RM-2223</t>
  </si>
  <si>
    <t>Validação de requisitos para envio do Termo de adesão</t>
  </si>
  <si>
    <t>RM-2219</t>
  </si>
  <si>
    <t>Permitir cancelamento de faturamento no Locavia</t>
  </si>
  <si>
    <t>RM-1805</t>
  </si>
  <si>
    <t>Cancelamento integrado Locavia &lt;&gt; SAP</t>
  </si>
  <si>
    <t>RM-2217</t>
  </si>
  <si>
    <t>Ajustes no Pedido de Compra</t>
  </si>
  <si>
    <t>COMPRAS;ESTOQUE;</t>
  </si>
  <si>
    <t>RM-2207</t>
  </si>
  <si>
    <t>[BUG] Campo não tratado no cadastro e edição de Sinistro</t>
  </si>
  <si>
    <t>ATENDIMENTO</t>
  </si>
  <si>
    <t>ATENDIMENTO;;</t>
  </si>
  <si>
    <t>RM-2206</t>
  </si>
  <si>
    <t xml:space="preserve">Ajustar campo de Inscrição estadual no cadastro de cliente PJ </t>
  </si>
  <si>
    <t>Priorizado</t>
  </si>
  <si>
    <t>RM-2205</t>
  </si>
  <si>
    <t>HANA - Configurar a conta nova do S&amp;D no SAP, para baixa de boletos e validação de extrato</t>
  </si>
  <si>
    <t>RM-2204</t>
  </si>
  <si>
    <t>Configurar a conta nova do S&amp;D no SAP, para baixa de boletos e validação de extrato</t>
  </si>
  <si>
    <t>RM-2192</t>
  </si>
  <si>
    <t>Validar se campos estão sendo salvos a partir do pricing analytics</t>
  </si>
  <si>
    <t>RM-1717</t>
  </si>
  <si>
    <t>[ADICIONAL] Ajustar modal de exibição de itens</t>
  </si>
  <si>
    <t>RM-2183</t>
  </si>
  <si>
    <t>[BUG] Informações erradas no PDF da Medição de Multa</t>
  </si>
  <si>
    <t>RM-2181</t>
  </si>
  <si>
    <t>[ADICIONAL] Retornar acessórios e opcionais na aba de equipamentos do item</t>
  </si>
  <si>
    <t>ADICIONAL</t>
  </si>
  <si>
    <t>ADICIONAL;O4R1;</t>
  </si>
  <si>
    <t>RM-2180</t>
  </si>
  <si>
    <t>[BUG] Emissão do Relatório de Medição com falha interna</t>
  </si>
  <si>
    <t>RM-2179</t>
  </si>
  <si>
    <t>[BUG] Filtro repetido no relatório listagem faturas emitidas por período</t>
  </si>
  <si>
    <t>RM-2173</t>
  </si>
  <si>
    <t>[ADICIONAL] Ajustar Aba principal da modal de item do contrato</t>
  </si>
  <si>
    <t>RM-2159</t>
  </si>
  <si>
    <t>[BUG] Tratamento tamanho campo CC na geração medição Multas</t>
  </si>
  <si>
    <t>RM-2158</t>
  </si>
  <si>
    <t>Disparo de alerta de CNH a vencer</t>
  </si>
  <si>
    <t>RM-2141</t>
  </si>
  <si>
    <t>[APPs] Quick Win</t>
  </si>
  <si>
    <t>RM-2157</t>
  </si>
  <si>
    <t>Desconto promocional 1ª semana</t>
  </si>
  <si>
    <t>RM-2155</t>
  </si>
  <si>
    <t>Renovar o contratinho assim que tiver o vencimento do atual</t>
  </si>
  <si>
    <t>RM-2154</t>
  </si>
  <si>
    <t>Renovação automática de contratinhos (período)</t>
  </si>
  <si>
    <t>RM-2153</t>
  </si>
  <si>
    <t>[Front] Trazer informação completa da desmobilização</t>
  </si>
  <si>
    <t>MOB/DESMOB</t>
  </si>
  <si>
    <t>RM-2133</t>
  </si>
  <si>
    <t>[Mob/Desmob] Quick Win</t>
  </si>
  <si>
    <t>MOB/DESMOB;;</t>
  </si>
  <si>
    <t>RM-2151</t>
  </si>
  <si>
    <t>Criar novo campo para registrar as checklist do veículo</t>
  </si>
  <si>
    <t>RM-2150</t>
  </si>
  <si>
    <t>[BUG] Alerta errado no cancelamento de exclusão de anexo na multa</t>
  </si>
  <si>
    <t>RM-2145</t>
  </si>
  <si>
    <t>Ajustar interface de clientes entre locavia -&gt; SAP</t>
  </si>
  <si>
    <t>RM-2143</t>
  </si>
  <si>
    <t>[BUG] Erro no comportamento do Pesquisar Infrator</t>
  </si>
  <si>
    <t>RM-2142</t>
  </si>
  <si>
    <t>Relatório de Provisão mensal</t>
  </si>
  <si>
    <t>RM-2140</t>
  </si>
  <si>
    <t>[BUG] Erro na data/hora da mensagem apresentada na geração de medição</t>
  </si>
  <si>
    <t>RM-2134</t>
  </si>
  <si>
    <t>[Front] Deixar o endereço como obrigatório para concluir etapa de expedição</t>
  </si>
  <si>
    <t>RM-2132</t>
  </si>
  <si>
    <t>Enviar email para mais de 1 cliente (email de faturamento)</t>
  </si>
  <si>
    <t>RM-2131</t>
  </si>
  <si>
    <t>E-mail clientes: validação de máscara</t>
  </si>
  <si>
    <t>Aguardando deploy prod</t>
  </si>
  <si>
    <t>RM-2118</t>
  </si>
  <si>
    <t>Validar integração Locavia x Soft após correção de vulnerabilidades</t>
  </si>
  <si>
    <t>NOGO</t>
  </si>
  <si>
    <t>RM-1487</t>
  </si>
  <si>
    <t>[ADICIONAL] Abertura automática de contrato no Soft a partir do Locavia</t>
  </si>
  <si>
    <t>ADICIONAL;NOGO;O4R1</t>
  </si>
  <si>
    <t>RM-2107</t>
  </si>
  <si>
    <t>[BUG] Apresentação de anexos salvos no cadastro</t>
  </si>
  <si>
    <t>RM-2105</t>
  </si>
  <si>
    <t>Listagem de Pátios</t>
  </si>
  <si>
    <t>RM-2104</t>
  </si>
  <si>
    <t>Ajuste Filtro Tela de Entradas e Saídas</t>
  </si>
  <si>
    <t>RM-2103</t>
  </si>
  <si>
    <t>Associar Pátio ao Fornecedor</t>
  </si>
  <si>
    <t>RM-2082</t>
  </si>
  <si>
    <t>[BUG] Barra de nível de combustível não funcional</t>
  </si>
  <si>
    <t>RM-2081</t>
  </si>
  <si>
    <t>[BUG] Componente de calendário ausente na data de movimentação</t>
  </si>
  <si>
    <t>RM-2080</t>
  </si>
  <si>
    <t>[BUG] Sinalização errada de campos obrigatórios não preenchidos</t>
  </si>
  <si>
    <t>RM-2078</t>
  </si>
  <si>
    <t>Ajustar lógica de faturamento para considerar valor reajustado</t>
  </si>
  <si>
    <t>RM-2069</t>
  </si>
  <si>
    <t>Dropdown de selecão do índice de reajuste</t>
  </si>
  <si>
    <t>RM-1804</t>
  </si>
  <si>
    <t xml:space="preserve">Implementar reajuste aniversário de contrato </t>
  </si>
  <si>
    <t>RM-2067</t>
  </si>
  <si>
    <t>[BUG] Erro na emissão do relatório da listagem de Entradas e Saídas</t>
  </si>
  <si>
    <t>RM-2066</t>
  </si>
  <si>
    <t>[BUG] Campo parece habilitado para edição na consulta da multa</t>
  </si>
  <si>
    <t>RM-2062</t>
  </si>
  <si>
    <t>Subir no SAP hana os desenvolvimentos de Sign&amp;Drive</t>
  </si>
  <si>
    <t>RM-2059</t>
  </si>
  <si>
    <t>Enviar automaticamente o email do faturamento do encerramento</t>
  </si>
  <si>
    <t>RM-2055</t>
  </si>
  <si>
    <t>Faturamento automático do encerramento do contrato</t>
  </si>
  <si>
    <t>CONTRATOS;FATURAMENTO;</t>
  </si>
  <si>
    <t>RM-2058</t>
  </si>
  <si>
    <t>Configurar faturamento automático do encerramento</t>
  </si>
  <si>
    <t>RM-2042</t>
  </si>
  <si>
    <t>Aplicar parametrização de agravo no cálculo de km excedente no encerramento de contrato</t>
  </si>
  <si>
    <t>RM-2009</t>
  </si>
  <si>
    <t>Ajustar telas para o novo formato proposto</t>
  </si>
  <si>
    <t>RM-1819</t>
  </si>
  <si>
    <t>Reenvio de crédito</t>
  </si>
  <si>
    <t>RM-1994</t>
  </si>
  <si>
    <t>SAP | Aceitar mais de um material na interface de locação</t>
  </si>
  <si>
    <t>RM-1987</t>
  </si>
  <si>
    <t>[BUG] Não sinalização de aba de preenchimento obrigatório</t>
  </si>
  <si>
    <t>RM-1817</t>
  </si>
  <si>
    <t>RM-1979</t>
  </si>
  <si>
    <t>[BUG] Erro na inclusão de item no contrato Fleet</t>
  </si>
  <si>
    <t>RM-1974</t>
  </si>
  <si>
    <t>[QA] VALIDAÇÃO DOS TESTES</t>
  </si>
  <si>
    <t>RM-1972</t>
  </si>
  <si>
    <t>"Falha interna (R)" ao tentar abrir algumas páginas</t>
  </si>
  <si>
    <t>RM-1967</t>
  </si>
  <si>
    <t>Reajuste | Revisar lógica no painel Reajustar valores</t>
  </si>
  <si>
    <t>RM-1966</t>
  </si>
  <si>
    <t>[BUG] Empresas selecionadas no cadastro do Painel de Controle Operação</t>
  </si>
  <si>
    <t>RM-1965</t>
  </si>
  <si>
    <t>[BUG] Erro ao Cadastrar Natureza de Operação</t>
  </si>
  <si>
    <t>RM-1964</t>
  </si>
  <si>
    <t>Aplicar parametrização de índice de reajuste na abertura do contrato</t>
  </si>
  <si>
    <t>AGUARDANDO DEPLOY QA</t>
  </si>
  <si>
    <t>RM-1958</t>
  </si>
  <si>
    <t>[Locavia/Automático] Parametrizar cadastro de índice de reajuste</t>
  </si>
  <si>
    <t>RM-1963</t>
  </si>
  <si>
    <t>Ajuste Email Conclusão NAI para Responsabilidade Indicação Cliente</t>
  </si>
  <si>
    <t>RM-1961</t>
  </si>
  <si>
    <t>[BUG] Erro nas setas de navegação nos Veículos</t>
  </si>
  <si>
    <t>RM-1960</t>
  </si>
  <si>
    <t>Não gera fatura antecipada CaaS-APPs</t>
  </si>
  <si>
    <t>RM-1957</t>
  </si>
  <si>
    <t>RM-1955</t>
  </si>
  <si>
    <t>Parametrizar cadastro de índice principal e reserva de reajuste por produto</t>
  </si>
  <si>
    <t>RM-1954</t>
  </si>
  <si>
    <t>[BUG] Erro no tamanho do campo de Código de Barras</t>
  </si>
  <si>
    <t>RM-1953</t>
  </si>
  <si>
    <t>Permitir adicionar ou editar reajustes em cada índice</t>
  </si>
  <si>
    <t>RM-1952</t>
  </si>
  <si>
    <t>[BUG] Espaço desalinhado na aba de Recurso da Multa</t>
  </si>
  <si>
    <t>RM-1951</t>
  </si>
  <si>
    <t>Criar tela de reajustes nos índices</t>
  </si>
  <si>
    <t>RM-1950</t>
  </si>
  <si>
    <t>Data/Hora Término do contratinho origem deve ser a data/hora up/down</t>
  </si>
  <si>
    <t>RM-750</t>
  </si>
  <si>
    <t>⭐Upgrade/Downgrade - Motorista de Aplicativo</t>
  </si>
  <si>
    <t>Comercial;CONTRATOS;</t>
  </si>
  <si>
    <t>RM-1948</t>
  </si>
  <si>
    <t>Ajustar filtros do painel de Reajuste de contratos</t>
  </si>
  <si>
    <t>RM-1917</t>
  </si>
  <si>
    <t>Na modal de criar contrato, aba cliente não está carregando os dados quando clicar em voltar e depois proximo</t>
  </si>
  <si>
    <t>RM-1890</t>
  </si>
  <si>
    <t>Implementar alçada de aprovação no pedido de compra pra Acessório e implemento</t>
  </si>
  <si>
    <t>RM-586</t>
  </si>
  <si>
    <t>Incluir serviço durante pedido de compra</t>
  </si>
  <si>
    <t>RM-1877</t>
  </si>
  <si>
    <t>Listar contratos Master não vigentes</t>
  </si>
  <si>
    <t>RM-1754</t>
  </si>
  <si>
    <t xml:space="preserve">Data de vencimento automatica </t>
  </si>
  <si>
    <t>RESSARCIMENTO;;</t>
  </si>
  <si>
    <t>RM-1859</t>
  </si>
  <si>
    <t>Disponibilizar Local de retirada para Portais de venda</t>
  </si>
  <si>
    <t>RM-103</t>
  </si>
  <si>
    <t>[Locavia/Automático]  Cadastrar local de retirada pelo pedido de venda</t>
  </si>
  <si>
    <t>RM-1858</t>
  </si>
  <si>
    <t>Ajustar cadastro de Local de retirada</t>
  </si>
  <si>
    <t>RM-1846</t>
  </si>
  <si>
    <t>[BUG] Conclusão da Multa não está destacando a data Conclusão no Histórico</t>
  </si>
  <si>
    <t>RM-1842</t>
  </si>
  <si>
    <t>[QA] VALIDAÇÃO DOS TESTES - MULTAS</t>
  </si>
  <si>
    <t>RM-1841</t>
  </si>
  <si>
    <t>RM-1840</t>
  </si>
  <si>
    <t>[QA] VALIDAÇÃO DOS TESTES - MANUTENÇÃO</t>
  </si>
  <si>
    <t>RM-1838</t>
  </si>
  <si>
    <t>RM-1837</t>
  </si>
  <si>
    <t>[Faturar Multas] Filtro Tipo de Registro “Multa” retorna registros do tipo Notificação</t>
  </si>
  <si>
    <t>RM-1818</t>
  </si>
  <si>
    <t>RM-1836</t>
  </si>
  <si>
    <t>Recibos não carregam na listagem e não salvam após criação</t>
  </si>
  <si>
    <t>RM-1835</t>
  </si>
  <si>
    <t>Falha interna (R) - Notas de Débito não carregam na listagem e não salvam após criação</t>
  </si>
  <si>
    <t>RM-1833</t>
  </si>
  <si>
    <t>RM-1832</t>
  </si>
  <si>
    <t>No cadastro da reserva está faltando por a sinalização do campo "selecionar grupo" como obrigatório, na aba principal não esta mostrando a  bolinha amarela</t>
  </si>
  <si>
    <t>RM-1831</t>
  </si>
  <si>
    <t>[BUG] Campos com preenchimento errado na edição da aba principal da multa</t>
  </si>
  <si>
    <t>RM-1830</t>
  </si>
  <si>
    <t>Erro ao cadastrar um contrato - veículos por app</t>
  </si>
  <si>
    <t>RM-1827</t>
  </si>
  <si>
    <t>RM-1826</t>
  </si>
  <si>
    <t>[BUG] Histórico da Multa no Cadastro de NAI p Subrental</t>
  </si>
  <si>
    <t>RM-1821</t>
  </si>
  <si>
    <t>Habilitar reenvio de crédito</t>
  </si>
  <si>
    <t>RM-1820</t>
  </si>
  <si>
    <t>Verificar recusa de crédito e motivos</t>
  </si>
  <si>
    <t>RM-1812</t>
  </si>
  <si>
    <t>Analisar impacto de retirar obrigatoriedade de cadastro de condutor</t>
  </si>
  <si>
    <t>RM-762</t>
  </si>
  <si>
    <t>[Locavia/Automático] Cadastrar condutor quando adicionar veículo ao contrato</t>
  </si>
  <si>
    <t>RM-1808</t>
  </si>
  <si>
    <t>[ADICIONAL] Não permitir editar / deletar o item quando retornado do pricing</t>
  </si>
  <si>
    <t>RM-1806</t>
  </si>
  <si>
    <t>[Automático] - Data de Vencimento</t>
  </si>
  <si>
    <t>RM-1782</t>
  </si>
  <si>
    <t>Remover do ambiente de QA a opção de parcelamento</t>
  </si>
  <si>
    <t>RM-1779</t>
  </si>
  <si>
    <t>Ajustar tipo de ordem enviada na interface de multas</t>
  </si>
  <si>
    <t>RM-1781</t>
  </si>
  <si>
    <t>RM-1780</t>
  </si>
  <si>
    <t>RM-1772</t>
  </si>
  <si>
    <t>[Automático] - Descrição corpo da ND</t>
  </si>
  <si>
    <t>RM-1753</t>
  </si>
  <si>
    <t>Observação do corpo da nota parametrizavel</t>
  </si>
  <si>
    <t>RM-1771</t>
  </si>
  <si>
    <t>[Automático] - Taxa Adm</t>
  </si>
  <si>
    <t>RM-1752</t>
  </si>
  <si>
    <t>Taxa adminsitrativa automática</t>
  </si>
  <si>
    <t>RM-1770</t>
  </si>
  <si>
    <t>[Automático] - Forma de pagamento</t>
  </si>
  <si>
    <t>RM-1751</t>
  </si>
  <si>
    <t>Forma de pagamento automática</t>
  </si>
  <si>
    <t>RM-1749</t>
  </si>
  <si>
    <t>Ajustes fluxo upgrade/downgrade</t>
  </si>
  <si>
    <t>RM-1748</t>
  </si>
  <si>
    <t xml:space="preserve">Encerrar contratinho com a data do pagamento </t>
  </si>
  <si>
    <t>RM-917</t>
  </si>
  <si>
    <t>5️⃣Cobrança de diárias pro-rata</t>
  </si>
  <si>
    <t>RM-1725</t>
  </si>
  <si>
    <t>[ADICIONAL] Retirar obrigatoriedades em dados de cadastro de cliente</t>
  </si>
  <si>
    <t>RM-1724</t>
  </si>
  <si>
    <t>RM-1723</t>
  </si>
  <si>
    <t>[ADICIONAL] Organizar informações da aba principal do item</t>
  </si>
  <si>
    <t>RM-1721</t>
  </si>
  <si>
    <t>Adicionar campo "Segmento" nas interfaces de Locação e Multas</t>
  </si>
  <si>
    <t>RM-1718</t>
  </si>
  <si>
    <t>[ADICIONAL] Retornar acessórios e opcionais na modal de item do contrato</t>
  </si>
  <si>
    <t>RM-1698</t>
  </si>
  <si>
    <t>Permitir pesquisar local de retirada pela cidade ou bairro</t>
  </si>
  <si>
    <t>RM-1706</t>
  </si>
  <si>
    <t>[ADICIONAL] Ajuste no Wizard de abertura de contrato.</t>
  </si>
  <si>
    <t>RM-1688</t>
  </si>
  <si>
    <t>Retonar Endereço do local de retirada no contrato</t>
  </si>
  <si>
    <t>RM-88</t>
  </si>
  <si>
    <t>[Docusign/Automático] Envio de Assinatura Digital</t>
  </si>
  <si>
    <t>RM-1685</t>
  </si>
  <si>
    <t>Realizar refatoração da tela de pedidos (front)</t>
  </si>
  <si>
    <t>RM-119</t>
  </si>
  <si>
    <t>Criação do pedido</t>
  </si>
  <si>
    <t>RM-1684</t>
  </si>
  <si>
    <t>Implementar comunicação entre frontend e backend</t>
  </si>
  <si>
    <t>RM-111</t>
  </si>
  <si>
    <t>Consulta e exposição de OFERTAS</t>
  </si>
  <si>
    <t>RM-1679</t>
  </si>
  <si>
    <t>Ao cadastrar um contrato a empresa deve ser a Matriz LM</t>
  </si>
  <si>
    <t>RM-1488</t>
  </si>
  <si>
    <t>[ADICIONAL] Criar nova tela para abertura de contrato de CaaS</t>
  </si>
  <si>
    <t>RM-1678</t>
  </si>
  <si>
    <t>Alterar local de busca da conta corrente para emissão de boletos</t>
  </si>
  <si>
    <t>RM-1696</t>
  </si>
  <si>
    <t>RM-1676</t>
  </si>
  <si>
    <t>[LW] Alteração do endereço de origem</t>
  </si>
  <si>
    <t>RM-1597</t>
  </si>
  <si>
    <t>[LW] Controle de Frota no Gerenciador de Distribuição</t>
  </si>
  <si>
    <t>RM-1674</t>
  </si>
  <si>
    <t>[LW] Inclusão de Laudo</t>
  </si>
  <si>
    <t>RM-1645</t>
  </si>
  <si>
    <t>[INTEGRAÇÃO] [PROCESSAMENTO] Handler e Busca de Laudos (Files)</t>
  </si>
  <si>
    <t>POLO</t>
  </si>
  <si>
    <t>RM-1438</t>
  </si>
  <si>
    <t xml:space="preserve">[DESMOB] Criar solução unificada de conexão com as vistoriadoras </t>
  </si>
  <si>
    <t>RM-1643</t>
  </si>
  <si>
    <t>[INTEGRAÇÃO] [WEBHOOK] Recebimento de Vistorias</t>
  </si>
  <si>
    <t>RM-1641</t>
  </si>
  <si>
    <t>[INTEGRAÇÃO] [INTEGRAÇÃO] Wrapper Vistoriadoras</t>
  </si>
  <si>
    <t>RM-1639</t>
  </si>
  <si>
    <t>[INTEGRAÇÃO] [BACKGROUND] Configuração Hangfire Server</t>
  </si>
  <si>
    <t>RM-1637</t>
  </si>
  <si>
    <t>[INTEGRAÇÃO] [MENSAGERIA] Configuração Wolverine</t>
  </si>
  <si>
    <t>RM-1635</t>
  </si>
  <si>
    <t>[INTEGRAÇÃO] [LOGS &amp; AUDITORIA] DynamoDB e Datadog</t>
  </si>
  <si>
    <t>RM-1632</t>
  </si>
  <si>
    <t>[INTEGRAÇÃO] [BANCO SQL] Contexto Relacional (Postgres)</t>
  </si>
  <si>
    <t>RM-1630</t>
  </si>
  <si>
    <t>[INTEGRAÇÃO][API BASE] Setup e Arquitetura</t>
  </si>
  <si>
    <t>RM-1625</t>
  </si>
  <si>
    <t>[LOCAVIA]  Acionar vistorias de desmobilização e visualizar o laudo na etapa de desmobilização</t>
  </si>
  <si>
    <t>RM-1615</t>
  </si>
  <si>
    <t>CLONE - Efetuar configuração do layout</t>
  </si>
  <si>
    <t>RM-1612</t>
  </si>
  <si>
    <t>DT O campo "Período Atual Contrato" ta vindo sempre com 1 Mês onde o esperado é refletir o dado da Aba ITENS do campo "Período Total"</t>
  </si>
  <si>
    <t>RM-1605</t>
  </si>
  <si>
    <t>Cadastrar material de km excedente (SDC)</t>
  </si>
  <si>
    <t>RM-1598</t>
  </si>
  <si>
    <t>[LW] Melhoria na Precificação e distribuição de veículos em Lote - Tela de Distribuição</t>
  </si>
  <si>
    <t>RM-1592</t>
  </si>
  <si>
    <t>Importar ofertas (tarifas), permitir a seleção e decrementar estoque</t>
  </si>
  <si>
    <t>RM-1591</t>
  </si>
  <si>
    <t>Importar e visualizar tarifas</t>
  </si>
  <si>
    <t>RM-1576</t>
  </si>
  <si>
    <t>Atribuição de multa da placa substituta/substituída em contrato</t>
  </si>
  <si>
    <t>apps</t>
  </si>
  <si>
    <t>apps;BAF;</t>
  </si>
  <si>
    <t>RM-1559</t>
  </si>
  <si>
    <t>Cadastrar material de multa rescisória</t>
  </si>
  <si>
    <t>RM-1535</t>
  </si>
  <si>
    <t>RM-1695</t>
  </si>
  <si>
    <t>COBRANÇA;FATURAMENTO;</t>
  </si>
  <si>
    <t>RM-1525</t>
  </si>
  <si>
    <t>Ajustar texto que vai no "Corpo da Nota" nas Notas de Débito</t>
  </si>
  <si>
    <t>RM-1515</t>
  </si>
  <si>
    <t>Implementar nova interface de inclusão de contrato master</t>
  </si>
  <si>
    <t>RM-1510</t>
  </si>
  <si>
    <t>Alterar contrato digital enviado via docusign para SD Colaboradores</t>
  </si>
  <si>
    <t>RM-1505</t>
  </si>
  <si>
    <t>[BUG] Código esta realizando a busca no Banco de Dados, e deveria estar apontado para aplicação Soulog.</t>
  </si>
  <si>
    <t>MANUTENÇÃO;;</t>
  </si>
  <si>
    <t>RM-1504</t>
  </si>
  <si>
    <t>Desenvolvimento de Integração contratos x Soft[Euro]</t>
  </si>
  <si>
    <t>RM-1490</t>
  </si>
  <si>
    <t>Erro ao retornar Data e Hora nos detalhes da Análise de Crédito criada</t>
  </si>
  <si>
    <t>RM-1472</t>
  </si>
  <si>
    <t>Vencimento de NDs - Colocar vencimento em branco quando produto SDC for escolhido</t>
  </si>
  <si>
    <t>RM-1482</t>
  </si>
  <si>
    <t>[Adicional] Vencimentários NDs</t>
  </si>
  <si>
    <t>RM-1470</t>
  </si>
  <si>
    <t>Retornar dados de endereço do local de retirada</t>
  </si>
  <si>
    <t>RM-1544</t>
  </si>
  <si>
    <t>[ADICIONAL] Mostrar dados de Local de retirada ao incluir no item</t>
  </si>
  <si>
    <t>RM-1468</t>
  </si>
  <si>
    <t>Incluir tipo de documento nos anexos do contrato SD Colaboradores</t>
  </si>
  <si>
    <t>RM-1021</t>
  </si>
  <si>
    <t>[Locavia/Manual] Incluir anexos ao Contrato Master</t>
  </si>
  <si>
    <t>RM-1463</t>
  </si>
  <si>
    <t>Erro na integração de materiais</t>
  </si>
  <si>
    <t>RM-373</t>
  </si>
  <si>
    <t>[Automático/Locavia/SAP 4 HANA] Faturamento separado com o SAP conforme o material</t>
  </si>
  <si>
    <t>RM-1450</t>
  </si>
  <si>
    <t>Incluir código S&amp;D no CPI e SAP</t>
  </si>
  <si>
    <t>RM-662</t>
  </si>
  <si>
    <t>[AUTOMÁTICO/LOCAVIA/SOULOG/SAP] Capturar e processar notas ficais de manutenções S&amp;D na Ticketlog</t>
  </si>
  <si>
    <t>RM-1449</t>
  </si>
  <si>
    <t xml:space="preserve">Erro de material no faturamento de locação </t>
  </si>
  <si>
    <t>RM-667</t>
  </si>
  <si>
    <t>[Automático/Locavia/SAP 4 HANA] Incluir faturamento de locação do produto S&amp;D (boleto)</t>
  </si>
  <si>
    <t>RM-1435</t>
  </si>
  <si>
    <t>Aplicar regra de retorno ao negócio por produto ao finalizar a desmobilização</t>
  </si>
  <si>
    <t>RM-1433</t>
  </si>
  <si>
    <t>[DESMOB] Retorno ao negocio - incluir produtos Locavia no fluxo de retorno</t>
  </si>
  <si>
    <t>RM-1427</t>
  </si>
  <si>
    <t>QA | Lista suspensa de materiais de ressarcimento não foi atualizada</t>
  </si>
  <si>
    <t>RM-1425</t>
  </si>
  <si>
    <t>CH2601-01004 Realizar substituição retroativa de placas</t>
  </si>
  <si>
    <t>RM-1421</t>
  </si>
  <si>
    <t>Criar Desmobilização em lote de forma automática</t>
  </si>
  <si>
    <t>RM-1777</t>
  </si>
  <si>
    <t>1️⃣[DESMOB] Criar desmobilização em lote</t>
  </si>
  <si>
    <t>RM-1418</t>
  </si>
  <si>
    <t>Criar Desmobilização Individual de forma automática</t>
  </si>
  <si>
    <t>RM-1416</t>
  </si>
  <si>
    <t>2️⃣[DESMOB] Criar desmobilização  de forma automatica</t>
  </si>
  <si>
    <t>RM-1406</t>
  </si>
  <si>
    <t>Efetuar configuração do layout</t>
  </si>
  <si>
    <t>RM-1383</t>
  </si>
  <si>
    <t>Selecionar produto na abertura de contrato</t>
  </si>
  <si>
    <t>RM-1376</t>
  </si>
  <si>
    <t>Permitir abertura de mais de um contrato por cliente</t>
  </si>
  <si>
    <t>RM-1386</t>
  </si>
  <si>
    <t>[Locavia/Manual] Permitir cadastrar mais de um contrato por cliente</t>
  </si>
  <si>
    <t>RM-1375</t>
  </si>
  <si>
    <t>Incluir regra de abertura de uma reserva por cliente</t>
  </si>
  <si>
    <t>RM-1359</t>
  </si>
  <si>
    <t>Ao consultar CaaS não apresenta campos de segmentação do produto</t>
  </si>
  <si>
    <t>RM-1355</t>
  </si>
  <si>
    <t>Pesquisar melhor forma de enviar email após criação de ND avulsa</t>
  </si>
  <si>
    <t>RM-1349</t>
  </si>
  <si>
    <t>As taxas da parametrização do produto, na aba de operações não esta sendo salva após alteração</t>
  </si>
  <si>
    <t>RM-1292</t>
  </si>
  <si>
    <t>Refatorar telas para novo design system</t>
  </si>
  <si>
    <t>RM-1287</t>
  </si>
  <si>
    <t>[SN] Habilitar Aprovação Comercial em massa</t>
  </si>
  <si>
    <t>RM-1568</t>
  </si>
  <si>
    <t>[SN] Aprovações em Massa - Gerenciador de Ficha de Venda</t>
  </si>
  <si>
    <t>RM-1286</t>
  </si>
  <si>
    <t>[SN] Habilitar Aprovação de desconto em massa</t>
  </si>
  <si>
    <t>RM-1270</t>
  </si>
  <si>
    <t>Envio do termo de adesão no domínio de e-mail do produto S&amp;D</t>
  </si>
  <si>
    <t>RM-1269</t>
  </si>
  <si>
    <t>Termo de adesão no template do produto S&amp;D</t>
  </si>
  <si>
    <t>RM-1265</t>
  </si>
  <si>
    <t>Aplicar parametrização de tipo de documento no upload</t>
  </si>
  <si>
    <t>RM-1264</t>
  </si>
  <si>
    <t>CH2512-00526 Ger. de Posição de Frota não gera relatório em excel e não apresenta erro</t>
  </si>
  <si>
    <t>RM-1260</t>
  </si>
  <si>
    <t>Parametrizar vinculo de cliente como condutor</t>
  </si>
  <si>
    <t>RM-1259</t>
  </si>
  <si>
    <t>Ajustar interface do CPI para atender Locavia com SAP4HANA</t>
  </si>
  <si>
    <t>RM-1258</t>
  </si>
  <si>
    <t>RM-1256</t>
  </si>
  <si>
    <t>Adaptar regra de vinculo de cliente como condutor</t>
  </si>
  <si>
    <t>RM-1218</t>
  </si>
  <si>
    <t>Não permitir alterar o cliente após abertura do contrato.</t>
  </si>
  <si>
    <t>RM-79</t>
  </si>
  <si>
    <t>[Locavia/Manual] Cadastrar cliente na aba de contratos</t>
  </si>
  <si>
    <t>RM-1213</t>
  </si>
  <si>
    <t>Ao selecionar uma reserva na modal deve carregar dados do cliente ao confirmar</t>
  </si>
  <si>
    <t>RM-1384</t>
  </si>
  <si>
    <t>[Locavia/Manual] Selecionar produto na abertura de contrato</t>
  </si>
  <si>
    <t>RM-1212</t>
  </si>
  <si>
    <t>Ao selecionar reserva na modal deve carregar o produto vinculado</t>
  </si>
  <si>
    <t>RM-1191</t>
  </si>
  <si>
    <t>Validação do Processo de Recebimento de NF de Veículo</t>
  </si>
  <si>
    <t>RM-1190</t>
  </si>
  <si>
    <t>Recebimento de Nota Fiscal de Compra de Veículo no Locavia através do SAP</t>
  </si>
  <si>
    <t>RM-1184</t>
  </si>
  <si>
    <t>[BUG - Homologação] E-mail e Telefone não carregado na Multa</t>
  </si>
  <si>
    <t>RM-294</t>
  </si>
  <si>
    <t>Ajustar o contrato CaaS do Locavia para contemplar vários produtos</t>
  </si>
  <si>
    <t>RM-1183</t>
  </si>
  <si>
    <t>Locavia | Alterar interface de materiais</t>
  </si>
  <si>
    <t>RM-1182</t>
  </si>
  <si>
    <t>Parametrização tipo valor fatura por produto e material</t>
  </si>
  <si>
    <t>RM-1178</t>
  </si>
  <si>
    <t>Ajustes novo fluxo de substituição upgrade/downgrade</t>
  </si>
  <si>
    <t>RM-1153</t>
  </si>
  <si>
    <t>Definição de fluxo de contrato não assinado</t>
  </si>
  <si>
    <t>RM-1146</t>
  </si>
  <si>
    <t>Verificar se há emails reais cadastrados nos clientes S&amp;D</t>
  </si>
  <si>
    <t>RM-1140</t>
  </si>
  <si>
    <t>Parametrização de prazos no Produto</t>
  </si>
  <si>
    <t>RM-87</t>
  </si>
  <si>
    <t>[Locavia/Manual] Configurar template de contrato por produto</t>
  </si>
  <si>
    <t>RM-1137</t>
  </si>
  <si>
    <t>Mapeamento de dados do contrato (TAGs)</t>
  </si>
  <si>
    <t>RM-1136</t>
  </si>
  <si>
    <t>Habilitar comunicação com Docusign</t>
  </si>
  <si>
    <t>RM-1123</t>
  </si>
  <si>
    <t>LOCAVIA | Construir tela de cadastro de materiais</t>
  </si>
  <si>
    <t>RM-1115</t>
  </si>
  <si>
    <t>SAP S/4HANA [Automático/Locavia/SAP] Faturamento separado com o SAP conforme o material</t>
  </si>
  <si>
    <t>RM-1116</t>
  </si>
  <si>
    <t>SAP S/4HANA| Adaptar interface SAP para aceitar mais de um material</t>
  </si>
  <si>
    <t>RM-1100</t>
  </si>
  <si>
    <t>Envio de placas na ativação do contrato: Placa nova</t>
  </si>
  <si>
    <t>RM-653</t>
  </si>
  <si>
    <t>[AUTOMÁTICO/LOCAVIA/SOULOG] Envio de placas S&amp;D para a Ticketlog</t>
  </si>
  <si>
    <t>RM-1095</t>
  </si>
  <si>
    <t>Reajuste | Ajustar histórico do master</t>
  </si>
  <si>
    <t>RM-1079</t>
  </si>
  <si>
    <t>Criação de CRUD para consumo de tela</t>
  </si>
  <si>
    <t>RM-651</t>
  </si>
  <si>
    <t>[AUTOMÁTICO/LOCAVIA/SOULOG] Controle de parâmetros Ticketlog por produto LM</t>
  </si>
  <si>
    <t>RM-1077</t>
  </si>
  <si>
    <t>Usar parametrização de clientes ao criar/editar contratos</t>
  </si>
  <si>
    <t>RM-1385</t>
  </si>
  <si>
    <t>[Locavia/Manual] Parametrizar cadastro de cliente por contrato</t>
  </si>
  <si>
    <t>RM-1076</t>
  </si>
  <si>
    <t>Controle de códigos Ticketlog por produto LM</t>
  </si>
  <si>
    <t>RM-1070</t>
  </si>
  <si>
    <t>Incluir tipo de cadastro de cliente na parametrização do produto</t>
  </si>
  <si>
    <t>RM-1064</t>
  </si>
  <si>
    <t>Validação do cadastro de cliente na aba principal</t>
  </si>
  <si>
    <t>RM-1042</t>
  </si>
  <si>
    <t>Manter o fluxo de preenchimento de itens de Veículos para Apps</t>
  </si>
  <si>
    <t>RM-83</t>
  </si>
  <si>
    <t>[Locavia/Manual] Cadastro do item do contrato</t>
  </si>
  <si>
    <t>RM-1041</t>
  </si>
  <si>
    <t>Selecionar final de placa e local de retirada para Sign and Drive Colaboradores</t>
  </si>
  <si>
    <t>RM-1040</t>
  </si>
  <si>
    <t>Selecionar oferta do Pricing</t>
  </si>
  <si>
    <t>RM-1039</t>
  </si>
  <si>
    <t>Validação visual dos anexos de contrato</t>
  </si>
  <si>
    <t>RM-1036</t>
  </si>
  <si>
    <t>Utilizar parametrização de forma de pagamento na abertura de contrato</t>
  </si>
  <si>
    <t>RM-81</t>
  </si>
  <si>
    <t>[Locavia/Manual] Cadastrar dados de forma de pagamento</t>
  </si>
  <si>
    <t>RM-1034</t>
  </si>
  <si>
    <t>Parametrizar regras de anexo por produto</t>
  </si>
  <si>
    <t>RM-1033</t>
  </si>
  <si>
    <t>Parametrizar forma de pagamento por produto</t>
  </si>
  <si>
    <t>RM-1028</t>
  </si>
  <si>
    <t>Comunicar Rejeição de Indicação</t>
  </si>
  <si>
    <t>RM-9</t>
  </si>
  <si>
    <t>Indicar Condutor Multa Locavia automaticamente</t>
  </si>
  <si>
    <t>RM-1027</t>
  </si>
  <si>
    <t>Histórico Indicação de Condutor</t>
  </si>
  <si>
    <t>RM-1026</t>
  </si>
  <si>
    <t>Reenviar Indicação de Condutor Manualmente</t>
  </si>
  <si>
    <t>RM-1020</t>
  </si>
  <si>
    <t>Cadastro de cliente na aba principal</t>
  </si>
  <si>
    <t>RM-1001</t>
  </si>
  <si>
    <t>RM-991</t>
  </si>
  <si>
    <t>Incluir configuração de HTLM no Locavia</t>
  </si>
  <si>
    <t>RM-136</t>
  </si>
  <si>
    <t>[Automático/Locavia] Configurar envio automático da fatura e boleto de locação (com novo layout de email)</t>
  </si>
  <si>
    <t>RM-984</t>
  </si>
  <si>
    <t>Validar desenvolvimento e dados recebidos do Portal de venda para cadastro de um contrato.</t>
  </si>
  <si>
    <t>RM-982</t>
  </si>
  <si>
    <t>Definição de fluxo de contrato assinado com sucesso</t>
  </si>
  <si>
    <t>RM-980</t>
  </si>
  <si>
    <t>Registrar envio do contrato digital no Histórico do contrato master</t>
  </si>
  <si>
    <t>RM-976</t>
  </si>
  <si>
    <t>Aprovação e envio para assinatura digital</t>
  </si>
  <si>
    <t>RM-1803</t>
  </si>
  <si>
    <t>[Locavia/Automático] Gerar pendência comercial de contrato</t>
  </si>
  <si>
    <t>RM-955</t>
  </si>
  <si>
    <t>Validação de cadastro do modelo</t>
  </si>
  <si>
    <t>RM-82</t>
  </si>
  <si>
    <t>[Locavia/Automático] Visualizar Tarifário do S&amp;D Colaborador no contrato Locavia</t>
  </si>
  <si>
    <t>CONTRATOS;VENDAS_ASSISTIDAS;</t>
  </si>
  <si>
    <t>RM-954</t>
  </si>
  <si>
    <t>Buscar e inserir tarifas no contrato</t>
  </si>
  <si>
    <t>RM-953</t>
  </si>
  <si>
    <t>Consultar tarifas no Pricing Analitycs</t>
  </si>
  <si>
    <t>RM-928</t>
  </si>
  <si>
    <t>[Processo Manual] - Nota de Débito Selo de Garantia</t>
  </si>
  <si>
    <t>RM-71</t>
  </si>
  <si>
    <t>[MANUAL/LOCAVIA] Selo de Garantia</t>
  </si>
  <si>
    <t>RM-918</t>
  </si>
  <si>
    <t>Criar categoria superior ou inferior parametrizável</t>
  </si>
  <si>
    <t>RM-900</t>
  </si>
  <si>
    <t>Preencher dados de produto no contrato</t>
  </si>
  <si>
    <t>RM-893</t>
  </si>
  <si>
    <t>[Veiculos app] Permitir substituir e encerrar contrato retroativo para usuário com permissão</t>
  </si>
  <si>
    <t>RM-1903</t>
  </si>
  <si>
    <t>⭐Substituir e encerrar contrato retroativo</t>
  </si>
  <si>
    <t>RM-889</t>
  </si>
  <si>
    <t>RM-888</t>
  </si>
  <si>
    <t>Seleção de produto para preenchimento do contrato master</t>
  </si>
  <si>
    <t>RM-887</t>
  </si>
  <si>
    <t>Listagem e filtros na tela de contrato master</t>
  </si>
  <si>
    <t>RM-879</t>
  </si>
  <si>
    <t>Organizar e unificar migrations</t>
  </si>
  <si>
    <t>RM-76</t>
  </si>
  <si>
    <t>[Locavia/Manual] Cadastro default por produto</t>
  </si>
  <si>
    <t>RM-866</t>
  </si>
  <si>
    <t>Envio de placas movimentadas no Locavia: Atualização de placa</t>
  </si>
  <si>
    <t>RM-865</t>
  </si>
  <si>
    <t>Adicionar na fila de integração com o SAP data de inicio de depreciação</t>
  </si>
  <si>
    <t>RM-864</t>
  </si>
  <si>
    <t>⭐1️⃣[Kovi] [Foco] Atualização de status contábil - SAP (Depreciação de Subrental)</t>
  </si>
  <si>
    <t>RM-863</t>
  </si>
  <si>
    <t>Adicionar filtro de produto no Gerenciador Faturar Multas</t>
  </si>
  <si>
    <t>RM-139</t>
  </si>
  <si>
    <t>[Automático/Locavia/SAP 4 HANA] Configurar faturamento de multas de trânsito para S&amp;D</t>
  </si>
  <si>
    <t>RM-862</t>
  </si>
  <si>
    <t>Configurar rotina de faturamento de multas</t>
  </si>
  <si>
    <t>RM-861</t>
  </si>
  <si>
    <t>Importação planilha Reembolso Ticketlog</t>
  </si>
  <si>
    <t>RM-722</t>
  </si>
  <si>
    <t>[AUTOMÁTICO/LOCAVIA] Carregamento em lote de reembolsos de manutenção</t>
  </si>
  <si>
    <t>RM-858</t>
  </si>
  <si>
    <t xml:space="preserve">Atualização de Status SAP - Enviar requisição do status alugado para o SAP </t>
  </si>
  <si>
    <t>RM-856</t>
  </si>
  <si>
    <t>Atualização de clientes S&amp;D para a Ticketlog</t>
  </si>
  <si>
    <t>RM-655</t>
  </si>
  <si>
    <t xml:space="preserve">[AUTOMÁTICO/LOCAVIA/SOULOG] Envio de clientes S&amp;D para a Ticketlog </t>
  </si>
  <si>
    <t>RM-855</t>
  </si>
  <si>
    <t>Validar anexos para iniciar contratinho</t>
  </si>
  <si>
    <t>RM-89</t>
  </si>
  <si>
    <t>[Locavia/Manual] Ajustar regras para iniciar contratinho</t>
  </si>
  <si>
    <t>RM-845</t>
  </si>
  <si>
    <t xml:space="preserve">Exibir dados adicionais </t>
  </si>
  <si>
    <t>RM-187</t>
  </si>
  <si>
    <t>Completar dados adicionais do cliente</t>
  </si>
  <si>
    <t>RM-844</t>
  </si>
  <si>
    <t>Enviar contrato digital e atualizar status do contato master</t>
  </si>
  <si>
    <t>RM-843</t>
  </si>
  <si>
    <t>Gravar os dados adicionais no cadastro do cliente</t>
  </si>
  <si>
    <t>RM-842</t>
  </si>
  <si>
    <t>Consumir dados adicionais retornados pela Neurotech</t>
  </si>
  <si>
    <t>RM-841</t>
  </si>
  <si>
    <t>Registrar log/histórico do envio de proposta</t>
  </si>
  <si>
    <t>RM-167</t>
  </si>
  <si>
    <t>[Locavia] Abertura de Proposta no Gerenciador</t>
  </si>
  <si>
    <t>RM-840</t>
  </si>
  <si>
    <t>Alterações do status do  pedido</t>
  </si>
  <si>
    <t>RM-839</t>
  </si>
  <si>
    <t>Abrir proposta no Locavia via integração</t>
  </si>
  <si>
    <t>RM-838</t>
  </si>
  <si>
    <t>Validar a completude dos dados</t>
  </si>
  <si>
    <t>RM-837</t>
  </si>
  <si>
    <t>Habilitar o botão de abertura de proposta</t>
  </si>
  <si>
    <t>RM-836</t>
  </si>
  <si>
    <t>Bloqueio de envio do contrato com dados inconsistentes</t>
  </si>
  <si>
    <t>RM-835</t>
  </si>
  <si>
    <t>Selecionar e vincular o local de retirada ao pedido</t>
  </si>
  <si>
    <t>RM-161</t>
  </si>
  <si>
    <t>Local de Retirada</t>
  </si>
  <si>
    <t>RM-834</t>
  </si>
  <si>
    <t>Consultar local de retirada via Locavia</t>
  </si>
  <si>
    <t>RM-833</t>
  </si>
  <si>
    <t>Exportar base de pedidos</t>
  </si>
  <si>
    <t>RM-830</t>
  </si>
  <si>
    <t>Pesquisar pedidos</t>
  </si>
  <si>
    <t>RM-829</t>
  </si>
  <si>
    <t>Salvar preferências de filtros/colunas</t>
  </si>
  <si>
    <t>RM-828</t>
  </si>
  <si>
    <t>Aplicar filtros personalizados à lista de pedidos</t>
  </si>
  <si>
    <t>RM-827</t>
  </si>
  <si>
    <t>Exibir dados principais de cada pedido na lista (visualização padrão)</t>
  </si>
  <si>
    <t>RM-826</t>
  </si>
  <si>
    <t>Listar todos os pedidos do vendedor</t>
  </si>
  <si>
    <t>RM-822</t>
  </si>
  <si>
    <t>Alterar status do pedido conforme etapa</t>
  </si>
  <si>
    <t>RM-821</t>
  </si>
  <si>
    <t>Validar dados obrigatórios antes de envio para análise</t>
  </si>
  <si>
    <t>RM-820</t>
  </si>
  <si>
    <t>Consultar Analytics para precificação em tempo real</t>
  </si>
  <si>
    <t>RM-819</t>
  </si>
  <si>
    <t>Selecionar o veículo e condições contratuais para compor a oferta</t>
  </si>
  <si>
    <t>RM-817</t>
  </si>
  <si>
    <t>Selecionar e vincular o cliente ao pedido</t>
  </si>
  <si>
    <t>RM-816</t>
  </si>
  <si>
    <t>Criar um novo pedido em status “Rascunho”</t>
  </si>
  <si>
    <t>RM-815</t>
  </si>
  <si>
    <t>Editar dados do cliente existente</t>
  </si>
  <si>
    <t>RM-118</t>
  </si>
  <si>
    <t>Cadastro e consulta do cliente</t>
  </si>
  <si>
    <t>RM-814</t>
  </si>
  <si>
    <t>Cadastrar manualmente dados básicos de um novo cliente</t>
  </si>
  <si>
    <t>RM-813</t>
  </si>
  <si>
    <t>Preencher automaticamente dados de cliente existente</t>
  </si>
  <si>
    <t>RM-812</t>
  </si>
  <si>
    <t>Consultar cliente no Locavia</t>
  </si>
  <si>
    <t>RM-808</t>
  </si>
  <si>
    <t>Gestão de notificações - Rascunhos</t>
  </si>
  <si>
    <t>RM-112</t>
  </si>
  <si>
    <t>Implementar rascunhos e notificações</t>
  </si>
  <si>
    <t>RM-807</t>
  </si>
  <si>
    <t>Editar um rascunho (continuar o processo de venda)</t>
  </si>
  <si>
    <t>RM-805</t>
  </si>
  <si>
    <t>Permitir salvar o rascunho manualmente</t>
  </si>
  <si>
    <t>RM-802</t>
  </si>
  <si>
    <t>Exibir lista de ofertas na aba “Ofertas”</t>
  </si>
  <si>
    <t>RM-801</t>
  </si>
  <si>
    <t>Consumir ofertas do Analytics</t>
  </si>
  <si>
    <t>RM-796</t>
  </si>
  <si>
    <t>Sinalização de pendencia comercial</t>
  </si>
  <si>
    <t>RM-795</t>
  </si>
  <si>
    <t>Validação dos dados de contrato</t>
  </si>
  <si>
    <t>RM-794</t>
  </si>
  <si>
    <t>Cadastro automático do contrato no Locavia</t>
  </si>
  <si>
    <t>RM-768</t>
  </si>
  <si>
    <t>SAP ECC | Configurar interface SAP de faturamento de locação (Des. SAP)</t>
  </si>
  <si>
    <t>RM-767</t>
  </si>
  <si>
    <t>Disponibilizar locais de retirada para portais de venda (API)</t>
  </si>
  <si>
    <t>RM-760</t>
  </si>
  <si>
    <t>Realizar testes unitários das histórias desenvolvidas "Produto" BACK</t>
  </si>
  <si>
    <t>RM-759</t>
  </si>
  <si>
    <t>Cadastrar Local de retirada por produto</t>
  </si>
  <si>
    <t>RM-86</t>
  </si>
  <si>
    <t>[Locavia/Manual] Cadastrar e disponibilizar locais de retirada</t>
  </si>
  <si>
    <t>RM-757</t>
  </si>
  <si>
    <t>Envio de novos clientes S&amp;D para a Ticketlog</t>
  </si>
  <si>
    <t>RM-745</t>
  </si>
  <si>
    <t>[SPIKE] Alinhamento entre TLs sobre as rotinas de faturamento</t>
  </si>
  <si>
    <t>RM-734</t>
  </si>
  <si>
    <t>Reenvio de E-mail</t>
  </si>
  <si>
    <t>RM-689</t>
  </si>
  <si>
    <t>Adequar Layout e-mail para o produto</t>
  </si>
  <si>
    <t>RM-730</t>
  </si>
  <si>
    <t>Atualização de condutores S&amp;D para a Ticketlog</t>
  </si>
  <si>
    <t>RM-659</t>
  </si>
  <si>
    <t>[AUTOMÁTICO/LOCAVIA/SOULOG] Envio de condutores S&amp;D para a Ticketlog</t>
  </si>
  <si>
    <t>RM-729</t>
  </si>
  <si>
    <t>Envio de novos condutores S&amp;D para a Ticketlog</t>
  </si>
  <si>
    <t>RM-697</t>
  </si>
  <si>
    <t>Envio de placas movimentadas no Locavia: Placa nova</t>
  </si>
  <si>
    <t>RM-696</t>
  </si>
  <si>
    <t>Envio de placas na ativação do contrato: Atualização de placa</t>
  </si>
  <si>
    <t>RM-695</t>
  </si>
  <si>
    <t>RM-688</t>
  </si>
  <si>
    <t>Validar regras e APIs construídas para envio de contrato</t>
  </si>
  <si>
    <t>RM-686</t>
  </si>
  <si>
    <t>Parametrizar códigos de PROD</t>
  </si>
  <si>
    <t>RM-681</t>
  </si>
  <si>
    <t>Configurar Query para consulta da Frota Ativa por cliente</t>
  </si>
  <si>
    <t>RM-501</t>
  </si>
  <si>
    <t>[AUTOMATICO/LOCAVIA] Alimentar a base de cobrança com os veículos ativos por cliente</t>
  </si>
  <si>
    <t>COBRANÇA;;</t>
  </si>
  <si>
    <t>RM-680</t>
  </si>
  <si>
    <t xml:space="preserve">Configurar acesso da Base de Cobrança QAS para a Base Locavia QAS </t>
  </si>
  <si>
    <t>RM-679</t>
  </si>
  <si>
    <t>Realizar uma carga de saneamento de dados de cobrança de cliente no SAP</t>
  </si>
  <si>
    <t>RM-499</t>
  </si>
  <si>
    <t>[MANUAL/SAP] Atualizar dados de cobrança no SAP para a base de cliente do produto SD</t>
  </si>
  <si>
    <t>RM-678</t>
  </si>
  <si>
    <t>Ativar novo convênio Bradesco para Sign&amp;Drive</t>
  </si>
  <si>
    <t>RM-497</t>
  </si>
  <si>
    <t>[MANUAL/BRADESCO] Ativar novo convênio no Bradesco exclusivo para SD Colaboradores</t>
  </si>
  <si>
    <t>RM-673</t>
  </si>
  <si>
    <t>SAP ECC | Configurar interface SAP de faturamento de locação (Locavia)</t>
  </si>
  <si>
    <t>RM-668</t>
  </si>
  <si>
    <t>[Boleto] Configurar faturamento automático mensal</t>
  </si>
  <si>
    <t>RM-666</t>
  </si>
  <si>
    <t>Bases para controle de códigos Ticketlog por produto LM</t>
  </si>
  <si>
    <t>RM-665</t>
  </si>
  <si>
    <t>Validar impactos no cadastro de tarifário para VW SD Colaboradores</t>
  </si>
  <si>
    <t>RM-612</t>
  </si>
  <si>
    <t>Ajustar campos para análise de crédito (front e back)</t>
  </si>
  <si>
    <t>RM-124</t>
  </si>
  <si>
    <t>Análise de crédito por informações básicas</t>
  </si>
  <si>
    <t>RM-589</t>
  </si>
  <si>
    <t>[LW &amp; SN] BOLEPIX - Atualizar data de recebimento do BOLETO ao SAP após quitação</t>
  </si>
  <si>
    <t>RM-592</t>
  </si>
  <si>
    <t>[Financeiro] Formas de Pagamento</t>
  </si>
  <si>
    <t>RM-588</t>
  </si>
  <si>
    <t>[COMP] POSSIBILITAR INCLUSÃO DE SERVIÇO</t>
  </si>
  <si>
    <t>RM-580</t>
  </si>
  <si>
    <t>[Processo Manual] - Nota de Débito Frete</t>
  </si>
  <si>
    <t>RM-486</t>
  </si>
  <si>
    <t>[MANUAL/LOCAVIA] Frete</t>
  </si>
  <si>
    <t>RM-576</t>
  </si>
  <si>
    <t>[Processo Manual] - Nota de Débito PT/Inviável</t>
  </si>
  <si>
    <t>RM-63</t>
  </si>
  <si>
    <t>[MANUAL/LOCAVIA] PT/Inviável</t>
  </si>
  <si>
    <t>RM-575</t>
  </si>
  <si>
    <t>[Processo Manual] - Nota de Débito Documentação</t>
  </si>
  <si>
    <t>RM-70</t>
  </si>
  <si>
    <t>[MANUAL/LOCAVIA] Documentação</t>
  </si>
  <si>
    <t>RM-574</t>
  </si>
  <si>
    <t>[Processo Manual] - Nota de Débito 2ª via de placa</t>
  </si>
  <si>
    <t>RM-69</t>
  </si>
  <si>
    <t>[MANUAL/LOCAVIA] 2ª via de placa</t>
  </si>
  <si>
    <t>RM-573</t>
  </si>
  <si>
    <t>[Processo Manual] - Nota de Débito Despachante</t>
  </si>
  <si>
    <t>RM-68</t>
  </si>
  <si>
    <t>[MANUAL/LOCAVIA] Despachante</t>
  </si>
  <si>
    <t>RM-572</t>
  </si>
  <si>
    <t>[Processo Manual] - Nota de Débito Guincho</t>
  </si>
  <si>
    <t>RM-66</t>
  </si>
  <si>
    <t>[MANUAL/LOCAVIA] Guincho</t>
  </si>
  <si>
    <t>RM-571</t>
  </si>
  <si>
    <t>[Processo Manual] - Nota de Débito Furto/Roubo</t>
  </si>
  <si>
    <t>RM-65</t>
  </si>
  <si>
    <t>[MANUAL/LOCAVIA] Furto/Roubo</t>
  </si>
  <si>
    <t>RM-570</t>
  </si>
  <si>
    <t>[Processo Manual] - Nota de Débito Sublocação</t>
  </si>
  <si>
    <t>RM-64</t>
  </si>
  <si>
    <t>[MANUAL/LOCAVIA] Sublocação</t>
  </si>
  <si>
    <t>RM-553</t>
  </si>
  <si>
    <t>SAP ECC| Adaptar interface SAP para aceitar mais de um material</t>
  </si>
  <si>
    <t>RM-546</t>
  </si>
  <si>
    <t>Enviar 1ª locação na interface SAP (não enviada)</t>
  </si>
  <si>
    <t>RM-529</t>
  </si>
  <si>
    <t>Validação do Fluxo de Compras End-to-End após Atualização do Angular 20</t>
  </si>
  <si>
    <t>RM-408</t>
  </si>
  <si>
    <t>[LOCAVIA] ENCAMINHAR PEDIDO DE COMPRA PARA MONTADORA</t>
  </si>
  <si>
    <t>RM-522</t>
  </si>
  <si>
    <t>[COM-LOCAVIA]RECEBER OPCIONAIS DO MODELO ATRAVÉS DO ANALYTICS</t>
  </si>
  <si>
    <t>RM-403</t>
  </si>
  <si>
    <t>[LOCAVIA] INCLUIR ACESSÓRIOS (PEDIDOS ADICIONAIS)</t>
  </si>
  <si>
    <t>RM-505</t>
  </si>
  <si>
    <t>Utilizar parametrização da aba "Principal" ao criar/editar contratos</t>
  </si>
  <si>
    <t>RM-504</t>
  </si>
  <si>
    <t>Parametrizar itens a aba “Principal” para produtos existentes</t>
  </si>
  <si>
    <t>RM-502</t>
  </si>
  <si>
    <t>Validar itens de parametrização na criação de contrato</t>
  </si>
  <si>
    <t>RM-496</t>
  </si>
  <si>
    <t>Utilizar parametrização da aba “Operações” ao criar/editar contratos</t>
  </si>
  <si>
    <t>RM-495</t>
  </si>
  <si>
    <t>Parametrizar aba de “Operações” para produtos existentes</t>
  </si>
  <si>
    <t>RM-494</t>
  </si>
  <si>
    <t>Criar parametrização de operações no produto</t>
  </si>
  <si>
    <t>RM-433</t>
  </si>
  <si>
    <t>[LOCAVIA]INTEGRAR INFORMAÇÕES DE MODELOS DE VEÍCULO, ITENS DE SÉRIE E OPCIONAIS À TABELA DE EQUIPAMENTOS</t>
  </si>
  <si>
    <t>RM-430</t>
  </si>
  <si>
    <t xml:space="preserve">[LOCAVIA]ATRELAR OPICIONAIS AO VEÍCULO SELECIONADO NO PEDIDO DE COMPRA </t>
  </si>
  <si>
    <t>RM-397</t>
  </si>
  <si>
    <t>Configurar Layout de fatura de Multas</t>
  </si>
  <si>
    <t>RM-140</t>
  </si>
  <si>
    <t>[Automático/Locavia] Configurar envio automático da fatura e boleto de multas (com novo layout de email)</t>
  </si>
  <si>
    <t>RM-378</t>
  </si>
  <si>
    <t>Criar parametrização dos itens da aba “Principal” no produto</t>
  </si>
  <si>
    <t>RM-374</t>
  </si>
  <si>
    <t>Corrigir falha na geração de boletos nos dias 18-20/10</t>
  </si>
  <si>
    <t>RM-370</t>
  </si>
  <si>
    <t>Utilizar parametrização de faturamento ao criar/editar contratos</t>
  </si>
  <si>
    <t>RM-369</t>
  </si>
  <si>
    <t>Parametrizar aba de faturamento para produtos existentes</t>
  </si>
  <si>
    <t>RM-367</t>
  </si>
  <si>
    <t>Spike -  Regra de comunicação mas falta o pessoal enviar layouts</t>
  </si>
  <si>
    <t>RM-355</t>
  </si>
  <si>
    <t>Ajustar layouts de comunicações de acordo com as regras</t>
  </si>
  <si>
    <t>RM-354</t>
  </si>
  <si>
    <t>Validar as Regras de cada produto (taxas administrativas, regras de preenchimento, dados obrigatórios)</t>
  </si>
  <si>
    <t>RM-353</t>
  </si>
  <si>
    <t>Identificador do produto</t>
  </si>
  <si>
    <t>RM-350</t>
  </si>
  <si>
    <t>Ajustar o faturamento de multas de veículos S&amp;D Colaboradores</t>
  </si>
  <si>
    <t>RM-349</t>
  </si>
  <si>
    <t>RM-275</t>
  </si>
  <si>
    <t>Criar novo fluxo de Substituição com upgrade dentro do contrato ativo</t>
  </si>
  <si>
    <t>RM-273</t>
  </si>
  <si>
    <t>[Backend] Criação de dados básicos da proposta submetida para LM-Maestro</t>
  </si>
  <si>
    <t>RM-272</t>
  </si>
  <si>
    <t>[Backend] Desenvolver integração da API com LM-Maestro</t>
  </si>
  <si>
    <t>RM-260</t>
  </si>
  <si>
    <t>Validar impacto de retirar obrigatoriedade de configurações financeiros no cadastro do cliente</t>
  </si>
  <si>
    <t>RM-78</t>
  </si>
  <si>
    <t>[Locavia/Manual] Cadastrar cliente de assinatura para VW S&amp;D Colaboradores</t>
  </si>
  <si>
    <t>RM-254</t>
  </si>
  <si>
    <t>Receber e exibir o resultado da análise antifraude</t>
  </si>
  <si>
    <t>RM-126</t>
  </si>
  <si>
    <t>Análise de anti-fraude</t>
  </si>
  <si>
    <t>RM-253</t>
  </si>
  <si>
    <t>Disparo automático da análise antifraude após crédito aprovado</t>
  </si>
  <si>
    <t>RM-252</t>
  </si>
  <si>
    <t>Exibição do resultado da análise de crédito</t>
  </si>
  <si>
    <t>RM-251</t>
  </si>
  <si>
    <t>Integração com API LM Maestro</t>
  </si>
  <si>
    <t>RM-250</t>
  </si>
  <si>
    <t>Formulário de preenchimento dos dados de análise</t>
  </si>
  <si>
    <t>RM-249</t>
  </si>
  <si>
    <t>Exibição do botão de análise de crédito</t>
  </si>
  <si>
    <t>RM-245</t>
  </si>
  <si>
    <t>[ESTOQUE]MIGRAR CARRO DEP.2 PARA DISPONÍVEL NO LOCAVIA</t>
  </si>
  <si>
    <t>RM-382</t>
  </si>
  <si>
    <t>Migrar veículo do Euro IT para o estoque do Locavia S&amp;D Colaboradores</t>
  </si>
  <si>
    <t>RM-244</t>
  </si>
  <si>
    <t>[ESTOQUE]Criar filtro de S&amp;D COLABORADORES no gerenciador de frota</t>
  </si>
  <si>
    <t>RM-243</t>
  </si>
  <si>
    <t>Visualizar os veículos S&amp;D colaboradores no Gerenciador de Frota</t>
  </si>
  <si>
    <t>RM-204</t>
  </si>
  <si>
    <t>Incluir filtro de produto nos relatórios de faturas</t>
  </si>
  <si>
    <t>RM-199</t>
  </si>
  <si>
    <t>Incluir dados do cônjuge no cadastro do cliente</t>
  </si>
  <si>
    <t>RM-198</t>
  </si>
  <si>
    <t>Bloqueio de usuários sem permissão ou inativos</t>
  </si>
  <si>
    <t>RM-108</t>
  </si>
  <si>
    <t>Acesso do Concessionário</t>
  </si>
  <si>
    <t>RM-197</t>
  </si>
  <si>
    <t>Recuperação de senha integrada ao keycloak</t>
  </si>
  <si>
    <t>RM-196</t>
  </si>
  <si>
    <t>Incluir dados de emprego no cadastro do cliente</t>
  </si>
  <si>
    <t>RM-195</t>
  </si>
  <si>
    <t>Acesso ao portal com credenciais Keycloak</t>
  </si>
  <si>
    <t>RM-194</t>
  </si>
  <si>
    <t>Ajustar preenchimento de configurações financeiras</t>
  </si>
  <si>
    <t>RM-193</t>
  </si>
  <si>
    <t>Retirar obrigatoriedade da aba contatos no cadastro do Cliente</t>
  </si>
  <si>
    <t>RM-77</t>
  </si>
  <si>
    <t>Criar parametrização de faturamento no produto</t>
  </si>
  <si>
    <t>RM-75</t>
  </si>
  <si>
    <t xml:space="preserve">Erro ao exibir itens de série </t>
  </si>
  <si>
    <t>PRICI-526</t>
  </si>
  <si>
    <t>[Locavia] Consulta de dados de precificação na API de precificação pelo PlanCode</t>
  </si>
  <si>
    <t>BRASILIA</t>
  </si>
  <si>
    <t>PRICING</t>
  </si>
  <si>
    <t>PRICI-505</t>
  </si>
  <si>
    <t>Integrações Locavia</t>
  </si>
  <si>
    <t>PRICING;;</t>
  </si>
  <si>
    <t>PRICI-525</t>
  </si>
  <si>
    <t>Criação de novos campos na API de oferta</t>
  </si>
  <si>
    <t>PRICI-522</t>
  </si>
  <si>
    <t>Tornar campo Grupo de modelo obrigatório no cadastro de modelos</t>
  </si>
  <si>
    <t>PRICI-564</t>
  </si>
  <si>
    <t>Grupo de modelo obrigatório no cadastro de modelos</t>
  </si>
  <si>
    <t>PRICI-513</t>
  </si>
  <si>
    <t>[LOCAVIA] Inclusão de campos API de ofertas</t>
  </si>
  <si>
    <t>MS-562</t>
  </si>
  <si>
    <t xml:space="preserve">Relatório de provisão no Locavia </t>
  </si>
  <si>
    <t>RM-914</t>
  </si>
  <si>
    <t>⚠️4️⃣Gerar relatório de provisão de faturamento</t>
  </si>
  <si>
    <t>MS-503</t>
  </si>
  <si>
    <t>Multas de rodízio para veículos híbridos/elétricos</t>
  </si>
  <si>
    <t>TBD</t>
  </si>
  <si>
    <t>MS-440</t>
  </si>
  <si>
    <t>Buy a Feature</t>
  </si>
  <si>
    <t>MIGRA-114</t>
  </si>
  <si>
    <t>Scripts Pré Go live - S&amp;D Colaboradores</t>
  </si>
  <si>
    <t>MIGRA-3</t>
  </si>
  <si>
    <t>PRD  - Migração de Dados - S&amp;D Colaboradores</t>
  </si>
  <si>
    <t>MIGRAÇÃO;;</t>
  </si>
  <si>
    <t>MIGRA-107</t>
  </si>
  <si>
    <t>Ajustes nos serviços de processamento e envio de payload</t>
  </si>
  <si>
    <t>MIGRA-2</t>
  </si>
  <si>
    <t>Evolução Rotinas Migração</t>
  </si>
  <si>
    <t>MIGRA-100</t>
  </si>
  <si>
    <t>QAS - Reenvio Migração S&amp;D - Colaboradores</t>
  </si>
  <si>
    <t>MIGRA-99</t>
  </si>
  <si>
    <t>CLONE - Automatizar atualização de locais de retirada- Envio</t>
  </si>
  <si>
    <t>MIGRA-96</t>
  </si>
  <si>
    <t>Migração Movida - Carga em PRD</t>
  </si>
  <si>
    <t>MIGRA-98</t>
  </si>
  <si>
    <t>Migração Movida</t>
  </si>
  <si>
    <t>MIGRA-95</t>
  </si>
  <si>
    <t>Migração Movida - Teste Carga QAS</t>
  </si>
  <si>
    <t>MIGRA-93</t>
  </si>
  <si>
    <t>Migração Movida - Envio de Contratinhos</t>
  </si>
  <si>
    <t>MIGRA-92</t>
  </si>
  <si>
    <t>Migração Movida -  Script - De/para Contrato Grupos/Contrato Item do que foi criado na Locavia</t>
  </si>
  <si>
    <t>MIGRA-91</t>
  </si>
  <si>
    <t>Migração Movida - Script Envio de Veículos contrato Movida</t>
  </si>
  <si>
    <t>MIGRA-90</t>
  </si>
  <si>
    <t>Migração Movida - Migração Equipamentos (Euroit/Pricing) - Dependência de Veículos</t>
  </si>
  <si>
    <t>MIGRA-89</t>
  </si>
  <si>
    <t>Migração Movida - Script - De/para Cliente Movida</t>
  </si>
  <si>
    <t>MIGRA-86</t>
  </si>
  <si>
    <t>CLONE - [Pré-Release] Criar Script de Carga para inicio de vigencia de contrato</t>
  </si>
  <si>
    <t>O4R1;O4R2;</t>
  </si>
  <si>
    <t>MIGRA-80</t>
  </si>
  <si>
    <t>Inserção de novos modelos no Locavia em Produção</t>
  </si>
  <si>
    <t>MIGRA-78</t>
  </si>
  <si>
    <t>Automatizar a criação de contatos de e-mails/telefones de CONDUTORES do EuroIT para Locavia</t>
  </si>
  <si>
    <t>MIGRA-76</t>
  </si>
  <si>
    <t xml:space="preserve">Atualizar base de QAS do locavia </t>
  </si>
  <si>
    <t>MIGRA-74</t>
  </si>
  <si>
    <t>MIGRA-68</t>
  </si>
  <si>
    <t>Otimizar retorno de dados do cliente quando há mais de um cadastro para mesma pessoa</t>
  </si>
  <si>
    <t>MIGRA-60</t>
  </si>
  <si>
    <t>[Release] Incluir histórico de migração nos contratos</t>
  </si>
  <si>
    <t>MIGRA-59</t>
  </si>
  <si>
    <t>[Release] Atualizar inicio de vigencia de contrato PÓS migração</t>
  </si>
  <si>
    <t>MIGRA-58</t>
  </si>
  <si>
    <t>[RELEASE] Correção de e-mails de CLIENTES com múltiplos e-mails</t>
  </si>
  <si>
    <t>MIGRA-56</t>
  </si>
  <si>
    <t>[RELEASE] Cargas Prévia para Migração S&amp;D Colaboradores</t>
  </si>
  <si>
    <t>MIGRA-53</t>
  </si>
  <si>
    <t>[Pré-Release] Criar Script de Carga para inicio de vigencia de contrato</t>
  </si>
  <si>
    <t>MIGRA-51</t>
  </si>
  <si>
    <t>[Pré-Release] Criar script de carga de histórico de contratos</t>
  </si>
  <si>
    <t>MIGRA-27</t>
  </si>
  <si>
    <t>Definir escopo de dados a serem migrados</t>
  </si>
  <si>
    <t>MIGRA-19</t>
  </si>
  <si>
    <t xml:space="preserve">[S&amp;D] Definição de Estratégias de Migração </t>
  </si>
  <si>
    <t>MIGRA-23</t>
  </si>
  <si>
    <t>Definição de Estratégia de Migração de Dados</t>
  </si>
  <si>
    <t>MIGRA-18</t>
  </si>
  <si>
    <t>PÓS RELEASE — Estabilização no Novo Ambiente</t>
  </si>
  <si>
    <t>MIGRA-16</t>
  </si>
  <si>
    <t xml:space="preserve">RELEASE - GO Live S&amp;D Colaboradores </t>
  </si>
  <si>
    <t>MIGRA-5</t>
  </si>
  <si>
    <t>[Pré-Release] Homologação S&amp;D Colaboradores - Negócio</t>
  </si>
  <si>
    <t>MIGRA-4</t>
  </si>
  <si>
    <t>PRÉ-RELEASE (Preparação e Segurança)</t>
  </si>
  <si>
    <t>MDD-825</t>
  </si>
  <si>
    <t>Migração de múltiplos emails de contato – considerar apenas o primeiro email na carga principal</t>
  </si>
  <si>
    <t>Homolog em Progresso</t>
  </si>
  <si>
    <t>MDD-745</t>
  </si>
  <si>
    <t>Migração de Clientes S&amp;D Colaboradores</t>
  </si>
  <si>
    <t>MDD-755</t>
  </si>
  <si>
    <t>Ajustar Migração de Contratinhos S&amp;D Colaboradores para o Locavia</t>
  </si>
  <si>
    <t>MDD-759</t>
  </si>
  <si>
    <t>Migração de Contratinhos S&amp;D Colaboradores</t>
  </si>
  <si>
    <t>MDD-754</t>
  </si>
  <si>
    <t>Ajustar Migração de Veículos de S&amp;D Colaboradores para o Locavia</t>
  </si>
  <si>
    <t>MDD-758</t>
  </si>
  <si>
    <t>Migração de Veículos S&amp;D Colaboradores</t>
  </si>
  <si>
    <t>MDD-753</t>
  </si>
  <si>
    <t>Ajustar Migração de Equipamentos de S&amp;D Colaboradores para o Locavia</t>
  </si>
  <si>
    <t>MDD-757</t>
  </si>
  <si>
    <t>Migração de Equipamentos S&amp;D Colaboradores</t>
  </si>
  <si>
    <t>MDD-752</t>
  </si>
  <si>
    <t>Ajustar Migração de Motoristas de S&amp;D Colaboradores para o Locavia</t>
  </si>
  <si>
    <t>MDD-756</t>
  </si>
  <si>
    <t>Migração de Motoristas S&amp;D Colaboradores</t>
  </si>
  <si>
    <t>MDD-746</t>
  </si>
  <si>
    <t>Migrar Contratos Master de S&amp;D Colaboradores para o Locavia</t>
  </si>
  <si>
    <t>MDD-760</t>
  </si>
  <si>
    <t>Migração de Contratos Master S&amp;D Colaboradores</t>
  </si>
  <si>
    <t>LKE-113</t>
  </si>
  <si>
    <t>Alteração nos recursos para mitigar gastos - Glue</t>
  </si>
  <si>
    <t>LKE-17</t>
  </si>
  <si>
    <t>Saneamento das Estruturas Legadas</t>
  </si>
  <si>
    <t>LAKE-ESTRUTURANTE;;</t>
  </si>
  <si>
    <t>LKD-296</t>
  </si>
  <si>
    <t>Homologação dos dados</t>
  </si>
  <si>
    <t>LAKE-DOMINIO</t>
  </si>
  <si>
    <t>LKD-1</t>
  </si>
  <si>
    <t xml:space="preserve">Domínio: Manutenção - V 1.0 </t>
  </si>
  <si>
    <t>LAKE-DOMINIO;;</t>
  </si>
  <si>
    <t>LKD-289</t>
  </si>
  <si>
    <t>Documentar e comunicar nova estrutura por domínio</t>
  </si>
  <si>
    <t>LKD-281</t>
  </si>
  <si>
    <t>Estruturação e Ingestão de Dados por Domínio no Data Lake - Frota Total 2</t>
  </si>
  <si>
    <t>LKD-287</t>
  </si>
  <si>
    <t>Refatorar pipeline de ingestão para modelo por domínio</t>
  </si>
  <si>
    <t>LKD-285</t>
  </si>
  <si>
    <t>Definir estrutura de dados por domínio no Data Lake</t>
  </si>
  <si>
    <t>LKD-283</t>
  </si>
  <si>
    <t>Mapear e categorizar dados por domínio</t>
  </si>
  <si>
    <t>LKD-279</t>
  </si>
  <si>
    <t>Visão Canônica de protocolos de Manutenção (Atualização Hora a Hora)</t>
  </si>
  <si>
    <t>LKD-271</t>
  </si>
  <si>
    <t>Manutenção - Implementação da visão Canônica</t>
  </si>
  <si>
    <t>LKD-278</t>
  </si>
  <si>
    <t>Visão Canônica de Ordens de Serviço (OS) de Manutenção com Atualização Hora a Hora</t>
  </si>
  <si>
    <t>LKD-277</t>
  </si>
  <si>
    <t>Implementar envio para base dynamo(SF)</t>
  </si>
  <si>
    <t>LKD-273</t>
  </si>
  <si>
    <t>Visão Canônica de Agendamentos de Manutenção (Atualização Hora a Hora)</t>
  </si>
  <si>
    <t>LKD-268</t>
  </si>
  <si>
    <t>Mapear ETLs e fluxos de ingestão executados no ambiente atual do Data Lake</t>
  </si>
  <si>
    <t>LKD-234</t>
  </si>
  <si>
    <t>Redefinição do processo de ingestão de dados do Lake - Near Real Time</t>
  </si>
  <si>
    <t>LKD-265</t>
  </si>
  <si>
    <t>Criar processo de ingestão de dados da camada Landing para Bronze no Data Lake</t>
  </si>
  <si>
    <t>LKD-13</t>
  </si>
  <si>
    <t>Mobilização - Fundação de Dados &amp; Camadas Analíticas</t>
  </si>
  <si>
    <t>LKD-263</t>
  </si>
  <si>
    <t>Construção do componente DMS para ingestão Batch</t>
  </si>
  <si>
    <t>LKD-261</t>
  </si>
  <si>
    <t>Estudo de apresentação de grafico "not data found "</t>
  </si>
  <si>
    <t>LKD-258</t>
  </si>
  <si>
    <t>Criar BI de Posição de frota</t>
  </si>
  <si>
    <t>LKD-172</t>
  </si>
  <si>
    <t>Domínio: Manutenção - V 2.0</t>
  </si>
  <si>
    <t>LKD-256</t>
  </si>
  <si>
    <t>Ajustes pós homologação</t>
  </si>
  <si>
    <t>LKD-254</t>
  </si>
  <si>
    <t>SUMARIO EXECUTIVO  - FEVEREIRO</t>
  </si>
  <si>
    <t>LKD-56</t>
  </si>
  <si>
    <t>Refatoração do fluxo de dados da Controladoria (Sumário Executivo/Backlog)</t>
  </si>
  <si>
    <t>LKD-253</t>
  </si>
  <si>
    <t>Criar aba de Informações do BI no Dashboard de Gestão de Performance</t>
  </si>
  <si>
    <t>LKD-150</t>
  </si>
  <si>
    <t>Domínio: Gestão de Performance Operacional - V 2.0</t>
  </si>
  <si>
    <t>LKD-249</t>
  </si>
  <si>
    <t>Inclusão de novos centros de custo no Gestão de Performance</t>
  </si>
  <si>
    <t>LKD-240</t>
  </si>
  <si>
    <t>Erro no agrupamento do grafico % de OS por SLA</t>
  </si>
  <si>
    <t>LKD-236</t>
  </si>
  <si>
    <t>Estudo para Redefinição do Processo de Ingestão de Dados (Batch e Online) no Data Lake</t>
  </si>
  <si>
    <t>LKD-231</t>
  </si>
  <si>
    <t>impedimentos - plano de virada Mobilização</t>
  </si>
  <si>
    <t>LKD-230</t>
  </si>
  <si>
    <t>Processos de time -refinamentos e cerimonias</t>
  </si>
  <si>
    <t>LKD-245</t>
  </si>
  <si>
    <t>BI – Melhoria Contínua</t>
  </si>
  <si>
    <t>LKD-226</t>
  </si>
  <si>
    <t>Fluxo Frota Total  - Processos</t>
  </si>
  <si>
    <t>LKD-225</t>
  </si>
  <si>
    <t>Ajustar retorno do fechamento de nov/dez2025</t>
  </si>
  <si>
    <t>DADOS-PROJETOS</t>
  </si>
  <si>
    <t>LKD-224</t>
  </si>
  <si>
    <t>Mapeamento das Fontes de Dados</t>
  </si>
  <si>
    <t>LKD-222</t>
  </si>
  <si>
    <t>Compras - Fundação de Dados &amp; Camadas Analíticas</t>
  </si>
  <si>
    <t>LKD-218</t>
  </si>
  <si>
    <t>Atualização de históricos anteriores a 11/2025</t>
  </si>
  <si>
    <t>LKD-215</t>
  </si>
  <si>
    <t>Validar extração de dados do portal dealer</t>
  </si>
  <si>
    <t>LKD-213</t>
  </si>
  <si>
    <t>Mobilização: Desenvolvimento do Dashboard - Indicador de SLA</t>
  </si>
  <si>
    <t>LKD-184</t>
  </si>
  <si>
    <t>Mobilização - Construção de Dashboards e Relatórios</t>
  </si>
  <si>
    <t>LKD-211</t>
  </si>
  <si>
    <t>Mobilização: Desenvolvimento do Dashboard - Visão Detalhada por Etapa</t>
  </si>
  <si>
    <t>LKD-209</t>
  </si>
  <si>
    <t>Revisão camadas bronze, silver e gold</t>
  </si>
  <si>
    <t>LKD-207</t>
  </si>
  <si>
    <t>Mobilização - Revisão pós publicação</t>
  </si>
  <si>
    <t>LKD-204</t>
  </si>
  <si>
    <t>Adequar novas colunas de data/hora enviadas pelo ticketlog</t>
  </si>
  <si>
    <t>LKD-197</t>
  </si>
  <si>
    <t>Inclusão de novas colunas na silver e gold</t>
  </si>
  <si>
    <t>LKD-195</t>
  </si>
  <si>
    <t>Verificar ausencia de dados de OS no BI de manutenção</t>
  </si>
  <si>
    <t>LKD-193</t>
  </si>
  <si>
    <t>Criação da camada Bronze (dados brutos) - Ingestão das fontes de dados</t>
  </si>
  <si>
    <t>LKD-191</t>
  </si>
  <si>
    <t>SUMARIO EXECUTIVO  -JANEIRO</t>
  </si>
  <si>
    <t>LKD-189</t>
  </si>
  <si>
    <t>Ajustar regra para veículos no Depósito 21 na camada Silver</t>
  </si>
  <si>
    <t>LKD-95</t>
  </si>
  <si>
    <t>Domínio: Gestão de Performance Operacional  - V 1.0</t>
  </si>
  <si>
    <t>LKD-187</t>
  </si>
  <si>
    <t>Construção de componente Lambda BI para powerBI</t>
  </si>
  <si>
    <t>LKD-165</t>
  </si>
  <si>
    <t>Aba Geral: Cria visão de Status de OS Consolidado</t>
  </si>
  <si>
    <t>LKD-163</t>
  </si>
  <si>
    <t>Ajuste do detalhamento de frota para atualizar juntamente com o filtro.</t>
  </si>
  <si>
    <t>LKD-161</t>
  </si>
  <si>
    <t>Inclusão de visões que contemplem os dados contábeis para aumentar a possibilidade de análise do Dash.</t>
  </si>
  <si>
    <t>LKD-159</t>
  </si>
  <si>
    <t>Melhoria na rotina de atualização de status para que seja automática e não manual.</t>
  </si>
  <si>
    <t>LKD-136</t>
  </si>
  <si>
    <t>Realizar levantamento de campos de datatime de OS da ticket log</t>
  </si>
  <si>
    <t>LKD-134</t>
  </si>
  <si>
    <t>Aba Custo:  Incluir mais opções de filtros para ampliar as possibilidades de análise.</t>
  </si>
  <si>
    <t>LKD-132</t>
  </si>
  <si>
    <t>Criar visão geral de leadtime por tipo de OS</t>
  </si>
  <si>
    <t>LKD-130</t>
  </si>
  <si>
    <t xml:space="preserve">Aba Geral: Total de OS por serviço O tipo de serviço do Euro está incorreto.  </t>
  </si>
  <si>
    <t>LKD-128</t>
  </si>
  <si>
    <t xml:space="preserve">Aba TimeLine: Ajustes e inclusão de novas visões complementares de SLA segmentado.  </t>
  </si>
  <si>
    <t>LKD-126</t>
  </si>
  <si>
    <t>Analise de dados de ordem de serviços e custos - Manutenção</t>
  </si>
  <si>
    <t>LKD-125</t>
  </si>
  <si>
    <t>Atualizar dash com dados históricos</t>
  </si>
  <si>
    <t>LKD-123</t>
  </si>
  <si>
    <t>Ajustar apresentação de dados D-2 para D-1 no dash</t>
  </si>
  <si>
    <t>LKD-121</t>
  </si>
  <si>
    <t xml:space="preserve">Atualizar histórico de dados do relatorios de gestão de performance. </t>
  </si>
  <si>
    <t>LKD-119</t>
  </si>
  <si>
    <t>Aba Geral: Big Numbers ajustar a lógica de no-show.</t>
  </si>
  <si>
    <t>LKD-117</t>
  </si>
  <si>
    <t>Aba Geral: Ajustar OS por finalidade</t>
  </si>
  <si>
    <t>LKD-115</t>
  </si>
  <si>
    <t>Aba Custos: Ajustar a classificação por finalidade</t>
  </si>
  <si>
    <t>LKD-113</t>
  </si>
  <si>
    <t xml:space="preserve">Implementar compenente EMR para consumo na camada Bronze -&gt; Silver </t>
  </si>
  <si>
    <t>LKD-109</t>
  </si>
  <si>
    <t xml:space="preserve">Implementar compenente EMR para consumo na camada Silver -&gt; Gold </t>
  </si>
  <si>
    <t>BI/LAKE</t>
  </si>
  <si>
    <t>BI/LAKE;LAKE-DOMINIO;</t>
  </si>
  <si>
    <t>LKD-105</t>
  </si>
  <si>
    <t>Ajustar regra de status considerados no dash</t>
  </si>
  <si>
    <t>LKD-103</t>
  </si>
  <si>
    <t>Ajustar lake para considerar novas colunas no BI</t>
  </si>
  <si>
    <t>LKD-101</t>
  </si>
  <si>
    <t>Análise de retornos pós-homologação</t>
  </si>
  <si>
    <t>LKD-99</t>
  </si>
  <si>
    <t>Ingestão histórica Gold em um primeiro momento para o ultimo dia de cada mês</t>
  </si>
  <si>
    <t>LKD-98</t>
  </si>
  <si>
    <t>Apresentação Dash de Seminovos para Diretora de TI (Michelle Kakoi)</t>
  </si>
  <si>
    <t>LKD-93</t>
  </si>
  <si>
    <t>Domínio - Seminovos</t>
  </si>
  <si>
    <t>LKD-97</t>
  </si>
  <si>
    <t>Mapeamento de origens de informações "divergentes" apresentadas em reunião com time de seminovos</t>
  </si>
  <si>
    <t>LKD-85</t>
  </si>
  <si>
    <t>Criar Dash Leadtime por planilha</t>
  </si>
  <si>
    <t>LKD-22</t>
  </si>
  <si>
    <t>BI - Performance dos times (Agilidade)</t>
  </si>
  <si>
    <t>LKD-78</t>
  </si>
  <si>
    <t>Correção de Cálculo e Exibição de Datas no Dashboard Frota &amp; Logística</t>
  </si>
  <si>
    <t>DAS-436</t>
  </si>
  <si>
    <t>Ajustes e melhorias pós-entrega - Dashboard Gestão de Performance Operacional</t>
  </si>
  <si>
    <t>LKD-74</t>
  </si>
  <si>
    <t>Assinaturas: Governança de dados</t>
  </si>
  <si>
    <t>LKD-70</t>
  </si>
  <si>
    <t>Domínio: Multas</t>
  </si>
  <si>
    <t>LKD-73</t>
  </si>
  <si>
    <t>Assinaturas: Silver - Tratamento, Modelagem e Qualidade de Dados</t>
  </si>
  <si>
    <t>LKD-72</t>
  </si>
  <si>
    <t>Assinaturas: Gold - Construção e modelagem analítica</t>
  </si>
  <si>
    <t>LKD-71</t>
  </si>
  <si>
    <t>Assinaturas: Desenvolvimento do Dashboard</t>
  </si>
  <si>
    <t>LKD-68</t>
  </si>
  <si>
    <t>LKD-64</t>
  </si>
  <si>
    <t>Domínio: Assinaturas</t>
  </si>
  <si>
    <t>LKD-67</t>
  </si>
  <si>
    <t>LKD-66</t>
  </si>
  <si>
    <t>LKD-65</t>
  </si>
  <si>
    <t>LKD-63</t>
  </si>
  <si>
    <t>LKD-59</t>
  </si>
  <si>
    <t>Domínio: Produtos</t>
  </si>
  <si>
    <t>LKD-62</t>
  </si>
  <si>
    <t>LKD-61</t>
  </si>
  <si>
    <t>LKD-60</t>
  </si>
  <si>
    <t>LKD-47</t>
  </si>
  <si>
    <t>Construção do Rascunho Estrutural do Dashboard (Wireframe Analítico)</t>
  </si>
  <si>
    <t>LKD-18</t>
  </si>
  <si>
    <t>Compras - Construção de Dashboards e Relatórios</t>
  </si>
  <si>
    <t>LKD-46</t>
  </si>
  <si>
    <t>Clientes: Governança de dados</t>
  </si>
  <si>
    <t>LKD-45</t>
  </si>
  <si>
    <t>Clientes: Gold - Construção e modelagem analítica</t>
  </si>
  <si>
    <t>LKD-44</t>
  </si>
  <si>
    <t>Clientes: Silver - Tratamento, Modelagem e Qualidade de Dados</t>
  </si>
  <si>
    <t>LKD-43</t>
  </si>
  <si>
    <t>Contratos: Desenvolvimento do Dashboard</t>
  </si>
  <si>
    <t>LKD-20</t>
  </si>
  <si>
    <t>Domínio: Contratos</t>
  </si>
  <si>
    <t>LKD-42</t>
  </si>
  <si>
    <t>Contratos: Governança de dados</t>
  </si>
  <si>
    <t>LKD-41</t>
  </si>
  <si>
    <t>Contratos: Gold - Construção e modelagem analítica</t>
  </si>
  <si>
    <t>LKD-40</t>
  </si>
  <si>
    <t>Contratos: Silver - Tratamento, Modelagem e Qualidade de Dados</t>
  </si>
  <si>
    <t>LKD-39</t>
  </si>
  <si>
    <t>Produtos: Desenvolvimento do Dashboard</t>
  </si>
  <si>
    <t>LKD-19</t>
  </si>
  <si>
    <t xml:space="preserve">Domínio: Smart Remarketing </t>
  </si>
  <si>
    <t>LKD-38</t>
  </si>
  <si>
    <t>Produtos: Governança de dados</t>
  </si>
  <si>
    <t>LKD-37</t>
  </si>
  <si>
    <t>Produtos: Gold - Construção e modelagem analítica</t>
  </si>
  <si>
    <t>LKD-36</t>
  </si>
  <si>
    <t>Produtos: Silver - Tratamento, Modelagem e Qualidade de Dados</t>
  </si>
  <si>
    <t>LKD-35</t>
  </si>
  <si>
    <t>Compras: Desenvolvimento do Dashboard</t>
  </si>
  <si>
    <t>LKD-34</t>
  </si>
  <si>
    <t>Compras: Governança de dados</t>
  </si>
  <si>
    <t>LKD-33</t>
  </si>
  <si>
    <t>Compras: Gold - Construção e modelagem analítica</t>
  </si>
  <si>
    <t>LKD-32</t>
  </si>
  <si>
    <t>Compras: Silver - Tratamento, Modelagem e Qualidade de Dados</t>
  </si>
  <si>
    <t>LKD-31</t>
  </si>
  <si>
    <t>LKD-23</t>
  </si>
  <si>
    <t>Domínio: Clientes</t>
  </si>
  <si>
    <t>LKD-30</t>
  </si>
  <si>
    <t>LKD-29</t>
  </si>
  <si>
    <t>LKD-28</t>
  </si>
  <si>
    <t>LKD-27</t>
  </si>
  <si>
    <t>Multas: Desenvolvimento do Dashboard</t>
  </si>
  <si>
    <t>LKD-21</t>
  </si>
  <si>
    <t>Domínio: Riscos (InterRisk)</t>
  </si>
  <si>
    <t>LKD-26</t>
  </si>
  <si>
    <t>Multas: Governança de dados</t>
  </si>
  <si>
    <t>LKD-25</t>
  </si>
  <si>
    <t>Multas: Gold - Construção e modelagem analítica</t>
  </si>
  <si>
    <t>LKD-24</t>
  </si>
  <si>
    <t>Multas: Silver - Tratamento, Modelagem e Qualidade de Dados</t>
  </si>
  <si>
    <t>LKD-17</t>
  </si>
  <si>
    <t>Mobilização: Desenvolvimento do Dashboard - Visão Geral</t>
  </si>
  <si>
    <t>Aguardando Homolog</t>
  </si>
  <si>
    <t>LKD-16</t>
  </si>
  <si>
    <t>Mobilização: Governança de dados</t>
  </si>
  <si>
    <t>LKD-15</t>
  </si>
  <si>
    <t>Camada Gold - Construção e modelagem analítica</t>
  </si>
  <si>
    <t>LKD-14</t>
  </si>
  <si>
    <t>Camada Silver - Tratamento, Modelagem e Qualidade de Dados</t>
  </si>
  <si>
    <t>LKD-12</t>
  </si>
  <si>
    <t>Adicionar novas colunas na Silver Manutenção (Euro)</t>
  </si>
  <si>
    <t>LKD-4</t>
  </si>
  <si>
    <t>Criação da Silver Manutenção (Ticketlog)</t>
  </si>
  <si>
    <t>BI/LAKE;LAKE-DOMINIO;MANUTENÇÃO</t>
  </si>
  <si>
    <t>LKD-3</t>
  </si>
  <si>
    <t>Criação da Silver Manutenção (Euro e Soft)</t>
  </si>
  <si>
    <t>LKD-2</t>
  </si>
  <si>
    <t>BI - Indicadores de Manutenção</t>
  </si>
  <si>
    <t>LI-981</t>
  </si>
  <si>
    <t>Realizar ajustes na tela de Ofertas</t>
  </si>
  <si>
    <t>LI-952</t>
  </si>
  <si>
    <t>Reenvio de verificação de identidade através da Único não é efetuado após expiração do link</t>
  </si>
  <si>
    <t>LI-948</t>
  </si>
  <si>
    <t>Melhoria de cobertura de testes</t>
  </si>
  <si>
    <t>LI-943</t>
  </si>
  <si>
    <t>Ajustes no front</t>
  </si>
  <si>
    <t>LI-942</t>
  </si>
  <si>
    <t>Erro que permite acessar sistema com senha antiga apos alteração de senha integrada ao keycloak</t>
  </si>
  <si>
    <t>LI-938</t>
  </si>
  <si>
    <t>Configuração Infraestrutura Portal de Venda Assistida</t>
  </si>
  <si>
    <t>JAC-1565</t>
  </si>
  <si>
    <t>[Blip][Arquitetura] Organizar a estrutura para a subida do S&amp;D Colab.</t>
  </si>
  <si>
    <t>DESMOB-926</t>
  </si>
  <si>
    <t>[Mob] Concluir Etapa de Preparação da Implantação automaticamente</t>
  </si>
  <si>
    <t>DESMOB-883</t>
  </si>
  <si>
    <t xml:space="preserve">[MOB] Atualizar e concluir Acessorização </t>
  </si>
  <si>
    <t>DESMOB-909</t>
  </si>
  <si>
    <t>[MOB] Alterar em Preparação do Veículo a ordem das etapas a serem executadas para mobilização</t>
  </si>
  <si>
    <t>DESMOB-880</t>
  </si>
  <si>
    <t>[MOB] Concluir Implantação automaticamente após entrega confirmada</t>
  </si>
  <si>
    <t>DESMOB-861</t>
  </si>
  <si>
    <t xml:space="preserve">[MOB] Confirmar entrega do veículo concluindo a mobilização </t>
  </si>
  <si>
    <t>DESMOB-877</t>
  </si>
  <si>
    <t>[MOB] Unificar as etapas de acessorização no Locavia</t>
  </si>
  <si>
    <t>DESMOB-873</t>
  </si>
  <si>
    <t>[MOB] Solicitar CRLV a RC via API</t>
  </si>
  <si>
    <t>DESMOB-858</t>
  </si>
  <si>
    <t xml:space="preserve">[MOB] Solicitar CRLV ao Despachante </t>
  </si>
  <si>
    <t>DESMOB-847</t>
  </si>
  <si>
    <t>[MOB] Criar Permissionamentos para Mobilização</t>
  </si>
  <si>
    <t>DESMOB-876</t>
  </si>
  <si>
    <t>[MOB] Criar Permissionamentos para as etapas de Mobilização</t>
  </si>
  <si>
    <t>DESMOB-842</t>
  </si>
  <si>
    <t>[MOB] Criar Nova Etapa Em Transporte no Gerenciador de Implantação</t>
  </si>
  <si>
    <t>DESMOB-860</t>
  </si>
  <si>
    <t xml:space="preserve"> [MOB] Enviar veículo para Acompanhamento de entrega</t>
  </si>
  <si>
    <t>DESMOB-833</t>
  </si>
  <si>
    <t>[MOB] Atualizar Etapas no Gerenciador de Implantação</t>
  </si>
  <si>
    <t>DESMOB-830</t>
  </si>
  <si>
    <t>[MOB] Criar opção no gerenciador de implantação para cadastrar placas em lote</t>
  </si>
  <si>
    <t>CTO-1033</t>
  </si>
  <si>
    <t xml:space="preserve">Ajustes na Substituição </t>
  </si>
  <si>
    <t>CTO-770</t>
  </si>
  <si>
    <t>[VEIC APP] Ajustes e Melhorias - Release 4</t>
  </si>
  <si>
    <t>CTO-1018</t>
  </si>
  <si>
    <t>Flag “Cobrar Km Excedente” padrão no Contrato Master (CaaS) para o produto Veiculos para APP</t>
  </si>
  <si>
    <t>CTO-1004</t>
  </si>
  <si>
    <t>Incluir filtro “Situação/Status do Contrato” na Listagem de Contratos Master (CaaS)</t>
  </si>
  <si>
    <t>CTO-941</t>
  </si>
  <si>
    <t>(2) [Subrental] Ativação em Lote</t>
  </si>
  <si>
    <t>CTO-922</t>
  </si>
  <si>
    <t>[Subrental] Gerenciador de Alocação (Vincular placas em lote)</t>
  </si>
  <si>
    <t>CTO-915</t>
  </si>
  <si>
    <t>[Contratos] Veículos duplicados em Contratos por Placas</t>
  </si>
  <si>
    <t>CTO-911</t>
  </si>
  <si>
    <t>[Contratos] Ajuste da Regra de Expiração de Reservas</t>
  </si>
  <si>
    <t>CTO-906</t>
  </si>
  <si>
    <t>Tornar obrigatória a vinculação de reserva ao contrato</t>
  </si>
  <si>
    <t>CTO-883</t>
  </si>
  <si>
    <t>[Faturamento] Remover campos de dados do cartão da tela de Adicionar Forma de Pagamento [Reserva e Contrato CaaS)</t>
  </si>
  <si>
    <t>CTO-880</t>
  </si>
  <si>
    <t>Ajustar data do Termo de Multas  para refletir a data da substituição do veículo</t>
  </si>
  <si>
    <t>CTO-877</t>
  </si>
  <si>
    <t>Reserva: Vincular Empresa ↔ Local de Retirada (mesmo valor) e refletir na Devolução</t>
  </si>
  <si>
    <t>CTO-859</t>
  </si>
  <si>
    <t>[VEIC APP] Hyper Care Onda 3 Release 4</t>
  </si>
  <si>
    <t>CTO-869</t>
  </si>
  <si>
    <t>[Contratos] Trava ações de Substituir e Encerrar (Histórico de Contratos Caas)</t>
  </si>
  <si>
    <t>CTO-865</t>
  </si>
  <si>
    <t>Cadastro de Motivos de Encerramento de Contrato</t>
  </si>
  <si>
    <t>CTO-858</t>
  </si>
  <si>
    <t>Atualização de versão às 12h para ajuste de disponibilidades dos grupos</t>
  </si>
  <si>
    <t>CTO-857</t>
  </si>
  <si>
    <t>[Contratos] Flag reserva marcada</t>
  </si>
  <si>
    <t>CTO-855</t>
  </si>
  <si>
    <t xml:space="preserve">***Pesquisar por placas para atrelar o modelo do veiculo ao contrato </t>
  </si>
  <si>
    <t>CTO-850</t>
  </si>
  <si>
    <t>[Faturamento] Flag "Fatura Antecipada" desabilitada ao salvar contrato</t>
  </si>
  <si>
    <t>CTO-840</t>
  </si>
  <si>
    <t>***Exibição de dados de Grupo selecionado na reserva → trazer automaticamente para os Itens de contrato.</t>
  </si>
  <si>
    <t>CTO-837</t>
  </si>
  <si>
    <t>***Trazer da Reserva, valores de Caução, condutor adicional e Locação preenchidos</t>
  </si>
  <si>
    <t>CTO-836</t>
  </si>
  <si>
    <t>***Trazer Campos de segmentação de produtos default para Veiculos para App</t>
  </si>
  <si>
    <t>CTO-829</t>
  </si>
  <si>
    <t>Após "Substituir veículo", o veículo vai para situação "Retorno Locação".</t>
  </si>
  <si>
    <t>CTO-828</t>
  </si>
  <si>
    <t>Definir defaults no Contrato Master</t>
  </si>
  <si>
    <t>CTO-825</t>
  </si>
  <si>
    <t>Ajustes no Contrato Master (Condutor Adicional, Assinaturas e 1ª Parcela)</t>
  </si>
  <si>
    <t>CTO-819</t>
  </si>
  <si>
    <t>Ajuste campos de dados bancários na tela de cliente</t>
  </si>
  <si>
    <t>CTO-813</t>
  </si>
  <si>
    <t>Listar grupo de veículos de acordo com a situação do veículo</t>
  </si>
  <si>
    <t>CTO-808</t>
  </si>
  <si>
    <t>Autopreencher “Pagamento” com tarifa mensal da 1ª locação (Contrato CaaS)</t>
  </si>
  <si>
    <t>CTO-805</t>
  </si>
  <si>
    <t>Habilitar bloco Impressões de Documento ao selecionar uma Categoria</t>
  </si>
  <si>
    <t>CTO-804</t>
  </si>
  <si>
    <t>Trocar posição da Aba Forma de Pagamento(Contrato Master Caas)</t>
  </si>
  <si>
    <t>CTO-802</t>
  </si>
  <si>
    <t>Impedir adicionar mais de um condutor sem definir um Principal [Reserva e Contrato Master]</t>
  </si>
  <si>
    <t>CTO-795</t>
  </si>
  <si>
    <t xml:space="preserve">Incluir filtro por Status na tela de Listagem de Reservas </t>
  </si>
  <si>
    <t>CTO-786</t>
  </si>
  <si>
    <t xml:space="preserve">Auto-marcar “Incluído Tarifa” ao selecionar “Condutor Adicional” na Reserva. </t>
  </si>
  <si>
    <t>CTO-779</t>
  </si>
  <si>
    <t>Erro ao criar condutor e preencher forma de pagamento na reserva</t>
  </si>
  <si>
    <t>CTO-776</t>
  </si>
  <si>
    <t>Definir “Por Grupo de Veículo” como default em Tipo de Reserva</t>
  </si>
  <si>
    <t>CTO-773</t>
  </si>
  <si>
    <t>Deixar  Flag de Reservas em Contrato default</t>
  </si>
  <si>
    <t>CTO-771</t>
  </si>
  <si>
    <t>Ajustes Contrato Caas</t>
  </si>
  <si>
    <t>CTO-767</t>
  </si>
  <si>
    <t>Bloquear criação de Contrato com Data Início futura</t>
  </si>
  <si>
    <t>CTO-766</t>
  </si>
  <si>
    <t>Erro ao clicar na aba Contratos pro Placa(Contrato Caas)</t>
  </si>
  <si>
    <t>CTO-761</t>
  </si>
  <si>
    <t>Ajustar o regex erro de sqlInjection</t>
  </si>
  <si>
    <t>CTO-760</t>
  </si>
  <si>
    <t>Melhoria vinculo do condutor cadastrado na reserva para o contatos (em itens...)</t>
  </si>
  <si>
    <t>CTO-757</t>
  </si>
  <si>
    <t>melhoria Incluir o vendedor na reserva (Se possivel, vinculando para o Contrato)</t>
  </si>
  <si>
    <t>CTO-756</t>
  </si>
  <si>
    <t>melhoria inibir a Descrição se possível [Validar e desabilitar campo de Descrição (não obrigatório)]</t>
  </si>
  <si>
    <t>CTO-755</t>
  </si>
  <si>
    <t>melhoria desabilitação do bloco Reajuste, Aba Principal do contrato CaaS</t>
  </si>
  <si>
    <t>CTO-753</t>
  </si>
  <si>
    <t>Definir valores default na tela de Adicionar Condutor (Contrato Master – CaaS e Reserva)</t>
  </si>
  <si>
    <t>CTO-742</t>
  </si>
  <si>
    <t>Default Data Substituição = hoje e bloquear datas futuras</t>
  </si>
  <si>
    <t>CTO-738</t>
  </si>
  <si>
    <t>Sincronizar condutor do Contrato Master com o Contratinho</t>
  </si>
  <si>
    <t>CTO-737</t>
  </si>
  <si>
    <t>Desabilitar aba "Pessoas e Papéis" de Contratos CaaS</t>
  </si>
  <si>
    <t>CTO-664</t>
  </si>
  <si>
    <t>Ajuste Cancelar/Deletar Contrato (cache)</t>
  </si>
  <si>
    <t>CRED-785</t>
  </si>
  <si>
    <t>Criar Estrutura de Banco de Dados para Histórico de Propostas (Ibratan)</t>
  </si>
  <si>
    <t>CRED-632</t>
  </si>
  <si>
    <t>Implementar API do Sentinela para Consulta de Histórico de Propostas (Ibratan)</t>
  </si>
  <si>
    <t>RISCO;;</t>
  </si>
  <si>
    <t>CRED-774</t>
  </si>
  <si>
    <t>Configurar Autenticação via Keycloak e Conexão com Banco de Dados no Sentinela</t>
  </si>
  <si>
    <t>CRED-748</t>
  </si>
  <si>
    <t>Configurar roles e permissões de acesso entre sistemas</t>
  </si>
  <si>
    <t>CRED-653</t>
  </si>
  <si>
    <t>Controle de Acesso e Segurança entre Sistemas</t>
  </si>
  <si>
    <t>PROPOSTA;;</t>
  </si>
  <si>
    <t>CRED-747</t>
  </si>
  <si>
    <t>Configuração de segurança da aplicação</t>
  </si>
  <si>
    <t>CRED-746</t>
  </si>
  <si>
    <t>Integração do Decision Engine com Keycloak para autenticação</t>
  </si>
  <si>
    <t>CRED-745</t>
  </si>
  <si>
    <t>Consumir evento de proposta processada</t>
  </si>
  <si>
    <t>CRED-652</t>
  </si>
  <si>
    <t>Base Central de Propostas</t>
  </si>
  <si>
    <t>CRED-743</t>
  </si>
  <si>
    <t>Retornar resultado de crédito ao canal de venda</t>
  </si>
  <si>
    <t>CRED-741</t>
  </si>
  <si>
    <t xml:space="preserve">Consumir evento de biometria </t>
  </si>
  <si>
    <t>CRED-740</t>
  </si>
  <si>
    <t>Publicar eventos de decisão de crédito (acionar biometria)</t>
  </si>
  <si>
    <t>CRED-738</t>
  </si>
  <si>
    <t>Processar retorno da análise de crédito</t>
  </si>
  <si>
    <t>CRED-736</t>
  </si>
  <si>
    <t>Consultar proposta</t>
  </si>
  <si>
    <t>CRED-734</t>
  </si>
  <si>
    <t>Notificar sistemas que uma nova proposta foi criada</t>
  </si>
  <si>
    <t>CRED-732</t>
  </si>
  <si>
    <t>Registrar proposta recebida do canal de vendas</t>
  </si>
  <si>
    <t>CRED-731</t>
  </si>
  <si>
    <t>Atualização do status da proposta após formalização</t>
  </si>
  <si>
    <t>CRED-651</t>
  </si>
  <si>
    <t>Formalização da Proposta (Integração Locavia)</t>
  </si>
  <si>
    <t>CRED-729</t>
  </si>
  <si>
    <t>Endpoint para envio de dados do contrato</t>
  </si>
  <si>
    <t>CRED-728</t>
  </si>
  <si>
    <t>Cadastro do Cliente no Locavia</t>
  </si>
  <si>
    <t>CRED-727</t>
  </si>
  <si>
    <t>Endpoint de Aprovação do Cliente no Decision</t>
  </si>
  <si>
    <t>CRED-719</t>
  </si>
  <si>
    <t>Modelagem Inicial de Entidades e Domínios</t>
  </si>
  <si>
    <t>CRED-646</t>
  </si>
  <si>
    <t>Fundação técnica do LM Decision Engine</t>
  </si>
  <si>
    <t>CRED-718</t>
  </si>
  <si>
    <t>Configuração da infraestrutura de mensageria (rabbitmq)</t>
  </si>
  <si>
    <t>CRED-716</t>
  </si>
  <si>
    <t>Criação do banco de dados da plataforma</t>
  </si>
  <si>
    <t>CRED-713</t>
  </si>
  <si>
    <t>Criação do Repositório do Projeto no GitLab</t>
  </si>
  <si>
    <t>CRED-690</t>
  </si>
  <si>
    <t>Dentro do Decision Criar endPoint para receber resposta do Maestro</t>
  </si>
  <si>
    <t>CRED-648</t>
  </si>
  <si>
    <t>Integração com Análise de Risco de Crédito/Fraude (LM Maestro)</t>
  </si>
  <si>
    <t>CRED-686</t>
  </si>
  <si>
    <t>Decision Salva Id da Proposta retornado pelo Maestro</t>
  </si>
  <si>
    <t>CRED-685</t>
  </si>
  <si>
    <t>Enviar proposta para análise de risco (crédito/fraude) no Maestro</t>
  </si>
  <si>
    <t>CRED-668</t>
  </si>
  <si>
    <t>Estruturação Projeto</t>
  </si>
  <si>
    <t>CRED-664</t>
  </si>
  <si>
    <t>Configuração de Pacotes e Dependência, Conteinerização</t>
  </si>
  <si>
    <t>CRED-663</t>
  </si>
  <si>
    <t>CRED-642</t>
  </si>
  <si>
    <t>Provisionamento de Repositório</t>
  </si>
  <si>
    <t>CRED-629</t>
  </si>
  <si>
    <t>Modelagem de Base de Dados para Histórico de Propostas Legado (Ibratan)</t>
  </si>
  <si>
    <t>credito</t>
  </si>
  <si>
    <t>credito;;</t>
  </si>
  <si>
    <t>CRED-621</t>
  </si>
  <si>
    <t>Subida em PROD time Crédito</t>
  </si>
  <si>
    <t>CRED-618</t>
  </si>
  <si>
    <t>Atualização de Status de Propostas com Crédito Pendente via Consulta à Neurotech</t>
  </si>
  <si>
    <t>CRED-9</t>
  </si>
  <si>
    <t>Painel de Validação Manual e Consulta de Bureau sob Demanda</t>
  </si>
  <si>
    <t>CRED-617</t>
  </si>
  <si>
    <t>Alteração do Identificador da Proposta para ID Único de Pedido Gerado pelo Canal de Vendas</t>
  </si>
  <si>
    <t>COMP-482</t>
  </si>
  <si>
    <t>Integração de Implementos Não Emplacados com SAP</t>
  </si>
  <si>
    <t>COMP-90</t>
  </si>
  <si>
    <t>[COMP] Realizar pedidos adicionais/Acessórios</t>
  </si>
  <si>
    <t>COMP-481</t>
  </si>
  <si>
    <t>Integração de Serviços com SAP</t>
  </si>
  <si>
    <t>COMP-476</t>
  </si>
  <si>
    <t>[SAP] - Integração de Notas Fiscais de Compras via SAP - STEP 2</t>
  </si>
  <si>
    <t>COMP-89</t>
  </si>
  <si>
    <t>[COMP] Alçada de Aprovação do pedido</t>
  </si>
  <si>
    <t>COMP-475</t>
  </si>
  <si>
    <t>Erro ao Assinar Contrato Master e tentar Gerar Pedido de Compra</t>
  </si>
  <si>
    <t>COMP-474</t>
  </si>
  <si>
    <t>[FRONT] Corrigir listagem de Opcionais por Modelo</t>
  </si>
  <si>
    <t>COMP-472</t>
  </si>
  <si>
    <t>[SAP] - Integração de Notas Fiscais de Compras via SAP - STEP 1</t>
  </si>
  <si>
    <t>COMP-471</t>
  </si>
  <si>
    <t>[BACK ]Corrigir Get de Opcionais por Modelo</t>
  </si>
  <si>
    <t>COMP-466</t>
  </si>
  <si>
    <t xml:space="preserve">Integração de Notas Fiscais de Compras via SAP </t>
  </si>
  <si>
    <t>COMP-462</t>
  </si>
  <si>
    <t>Integração com endpoint de cores por modelo na tela de  (Pedidos de Compras)</t>
  </si>
  <si>
    <t>COMP-461</t>
  </si>
  <si>
    <t>Criação de endpoint para listar cores e validação de opcionais no módulo de pedidos de compras</t>
  </si>
  <si>
    <t>COMP-459</t>
  </si>
  <si>
    <t>Enviar Fornecedores diferentes ao SAP no mesmo Pedido de Compra</t>
  </si>
  <si>
    <t>COMP-457</t>
  </si>
  <si>
    <t>COMPRA | INTEGRAÇÃO SAP4HANA X LOCAVIA</t>
  </si>
  <si>
    <t>COMP-455</t>
  </si>
  <si>
    <t>ADEQUAR MIGRAÇÃO DE VEÍCULO EURO X LOCAVIA</t>
  </si>
  <si>
    <t>COMP-95</t>
  </si>
  <si>
    <t>[COMP] Gerar requisição de Compra</t>
  </si>
  <si>
    <t>COMP-451</t>
  </si>
  <si>
    <t>Ajuste integracao de modelos opcionais Analytics Pricing</t>
  </si>
  <si>
    <t>COMP-445</t>
  </si>
  <si>
    <t>CLONE - [COMP-CANCELAMENTO ] INTEGRAR PEDIDO DE COMPRA LOCAVIA COM O SAP</t>
  </si>
  <si>
    <t>COMP-94</t>
  </si>
  <si>
    <t>[COMP] Encaminhar pedido para Montadora</t>
  </si>
  <si>
    <t>COMP-441</t>
  </si>
  <si>
    <t xml:space="preserve">COMPRA DE SERVIÇO NO LOCAVIA </t>
  </si>
  <si>
    <t>COMP-424</t>
  </si>
  <si>
    <t>[COMP-SAP] INTEGRAR PEDIDO DE COMPRA SAP COM O LOCAVIA</t>
  </si>
  <si>
    <t>COMP-416</t>
  </si>
  <si>
    <t>[COM-LOCAVIA- PARTE 2]RECEBER OPCIONAIS DO MODELO ATRAVÉS DO ANALYTICS</t>
  </si>
  <si>
    <t>COMP-404</t>
  </si>
  <si>
    <t>Pedido de Compra não está salvando MacroProduto e CanalVenda</t>
  </si>
  <si>
    <t>COMP-398</t>
  </si>
  <si>
    <t xml:space="preserve">[COMP]TRAZER ITENS DO CONTRATO PARA O PEDIDO DE COMPRA </t>
  </si>
  <si>
    <t>COMP-397</t>
  </si>
  <si>
    <t xml:space="preserve">[COMP]TORNAR CAMPO DE SEGMENTO DO PRODUTO COMO OBRIGATÓRIO DURANTE O PEDIDO DE COMPRA </t>
  </si>
  <si>
    <t>COMP-394</t>
  </si>
  <si>
    <t>Validar na alçada de aprovação se é possível aprovação em massa</t>
  </si>
  <si>
    <t>COMP-393</t>
  </si>
  <si>
    <t>[COMP]SIMULAR COMPRA DE VEÍCULO ATRAVÉS DE UM CONTRATO  NO LOCAVIA</t>
  </si>
  <si>
    <t>COMP-390</t>
  </si>
  <si>
    <t>[COMP]Mapeamento e Validação das Alçadas de Aprovação de Pedido de Compra no SAP</t>
  </si>
  <si>
    <t>COMP-386</t>
  </si>
  <si>
    <t>Erro na Classe do Imobilizado ao criar um Pedido de Compra</t>
  </si>
  <si>
    <t>COMP-379</t>
  </si>
  <si>
    <t>Falha ao "Exibir Implatanção do veículo" na tela "Gerenciador Informe Faturamento"</t>
  </si>
  <si>
    <t>COMP-96</t>
  </si>
  <si>
    <t>[COMP]Faturamento - Recebimento de Nota Fiscal</t>
  </si>
  <si>
    <t>COMP-375</t>
  </si>
  <si>
    <t>[COMP]Integração de Acessórios com SAP</t>
  </si>
  <si>
    <t>COMP-374</t>
  </si>
  <si>
    <t>[COM]POSSIBILITAR INCLUSÃO DE ACESSÓRIOS, OPCIONAIS E SERVIÇOS DURANTE O PEDIDO</t>
  </si>
  <si>
    <t>COMP-373</t>
  </si>
  <si>
    <t>[COMP]INTEGRAR CADASTRO DE FORNECEDOR SAP X LOCAVIA</t>
  </si>
  <si>
    <t>COMP-372</t>
  </si>
  <si>
    <t>[COM] INTEGRAR PEDIDO DE COMPRA LOCAVIA COM O SAP</t>
  </si>
  <si>
    <t>COMP-371</t>
  </si>
  <si>
    <t>[COMP] IMPLEMENTAR ALÇADA DE APROVAÇÃO NO PEDIDO DE COMPRA</t>
  </si>
  <si>
    <t>COMP-370</t>
  </si>
  <si>
    <t>[COMP] INTEGRAÇÃO CLASSE IMOBILIZADO LOCAVIA X SAP</t>
  </si>
  <si>
    <t>COMP-369</t>
  </si>
  <si>
    <t>[COMP] EXIBIR ITENS DE SÉRIES, OPCIONAIS E ACESSÓRIOS REFERENTE AO MODELO DE COMPRA</t>
  </si>
  <si>
    <t>COMP-316</t>
  </si>
  <si>
    <t>USUÁRIO NÃO CONSEGUE VISUALIZAR OS CAMPOS DA "POSIÇÃO DE FROTA"</t>
  </si>
  <si>
    <t>COMP-257</t>
  </si>
  <si>
    <t>[ESTOQUE-APP]  EXIBIR HISTÓRICO ATUAL DO CARRO</t>
  </si>
  <si>
    <t>COMP-195</t>
  </si>
  <si>
    <t>Tornar o campo Cor como "Obrigatório"</t>
  </si>
  <si>
    <t>COMP-12</t>
  </si>
  <si>
    <t>[COMP]Pedido de compra - Locavia</t>
  </si>
  <si>
    <t>COMP-106</t>
  </si>
  <si>
    <t>[COMP] Exibir o tipo de combustível para efetuar uma compra</t>
  </si>
  <si>
    <t>COMP-105</t>
  </si>
  <si>
    <t xml:space="preserve">[COMP] Preencher o ano/modelo do veículo durante a compra </t>
  </si>
  <si>
    <t>APV-2435</t>
  </si>
  <si>
    <t>[S&amp;D_SUBLOCAÇÃO] Caso escalado para a fila Agendamento precisa poder retornar a fila Sublocação quando agendamento realizado</t>
  </si>
  <si>
    <t>APV-1872</t>
  </si>
  <si>
    <t xml:space="preserve">[S&amp;D] Evoluções Tela de Caso Sublocação de Veículos </t>
  </si>
  <si>
    <t>SALESFORCE_PÓSVEND;;</t>
  </si>
  <si>
    <t>APV-2427</t>
  </si>
  <si>
    <t>[S&amp;D] Criar sessão de Monitoramento no Caso de Veículo Reserva para controle de sublocação</t>
  </si>
  <si>
    <t>APV-2472</t>
  </si>
  <si>
    <t>[S&amp;D] Monitorar Sublocação do Veículo</t>
  </si>
  <si>
    <t>APV-2416</t>
  </si>
  <si>
    <t>[S&amp;D] Ajustar seleção de local no Caso conforme tipo de reserva (LM ou Externa)</t>
  </si>
  <si>
    <t>APV-2375</t>
  </si>
  <si>
    <t>[S&amp;D_UAT] Inclusão de Filtros na tela principal do Cadastro de Locadoras - List View e inclusão de obrigatoriedade de campos</t>
  </si>
  <si>
    <t>APV-2474</t>
  </si>
  <si>
    <t>[S&amp;D] Gestão do Cadastro de Locadoras Externas, Pátios e Lojas LM</t>
  </si>
  <si>
    <t>APV-2373</t>
  </si>
  <si>
    <t>[S&amp;D_UAT] Erro ao salvar -  Ocorreu um erro ao tentar atualizar o registro impedindo o Cadastro da Locadora</t>
  </si>
  <si>
    <t>APV-2365</t>
  </si>
  <si>
    <t>[APPS_S&amp;D] Alterar Tela de Caso para Exibir Motorista Integrado do Novo Objeto</t>
  </si>
  <si>
    <t>APV-1893</t>
  </si>
  <si>
    <t>[APPS_S&amp;D] Disponibilizar dados do Motorista associado ao Contrato</t>
  </si>
  <si>
    <t>APV-2359</t>
  </si>
  <si>
    <t>[APPS_S&amp;D] Implementar Regra de Status do Contrato na Integração de Motoristas</t>
  </si>
  <si>
    <t>APV-2348</t>
  </si>
  <si>
    <t xml:space="preserve"> [S&amp;D-R2] Concluir tela de monitoramento dos Veículos em Manutenção</t>
  </si>
  <si>
    <t>APV-2325</t>
  </si>
  <si>
    <t>[S&amp;D_APPS] Consumir Dados de Monitoramento de Manutenção</t>
  </si>
  <si>
    <t>APV-2337</t>
  </si>
  <si>
    <t xml:space="preserve"> [S&amp;D] Integração de dados de manutenção do veículo ao barramento (Lambda/API) para consumo pelo Salesforce</t>
  </si>
  <si>
    <t>APV-2326</t>
  </si>
  <si>
    <t xml:space="preserve"> [S&amp;D]  Integração de dados de manutenção do veículo no Salesforce</t>
  </si>
  <si>
    <t>APV-2311</t>
  </si>
  <si>
    <t>[S&amp;D] Alterar busca de Filiais da API para o Objeto Locadora</t>
  </si>
  <si>
    <t>APV-2281</t>
  </si>
  <si>
    <t>[S&amp;D] Incluir campo “Tipo Loja” e ajustar comportamento da tela de Locadoras conforme Locadora/Filial/Pátio</t>
  </si>
  <si>
    <t>APV-2274</t>
  </si>
  <si>
    <t>[S&amp;D] Ajustar regras de exibição e roteamento baseado no Status Protocolo (Sessão Ticketlog)</t>
  </si>
  <si>
    <t>APV-2257</t>
  </si>
  <si>
    <t>[S&amp;D] Melhoria Sublocação - Incluir SLA para o Assunto Veículo Reserva</t>
  </si>
  <si>
    <t>APV-2473</t>
  </si>
  <si>
    <t>[S&amp;D] Implantar SLA de Atendimento Sublocação de Veículo</t>
  </si>
  <si>
    <t>APV-2251</t>
  </si>
  <si>
    <t>[S&amp;D] Melhoria Sublocação - Incluir campo na List View</t>
  </si>
  <si>
    <t>APV-2245</t>
  </si>
  <si>
    <t>[S&amp;D] Melhoria tela de Caso Sublocação - Após Caso Salvo a Sessão Aprovação Solicitação Reserva deve ser exibido somente como leitura</t>
  </si>
  <si>
    <t>APV-2239</t>
  </si>
  <si>
    <t>[S&amp;D] Melhoria tela de Caso Sublocação - Incluir Motivo Aprovação na PickList</t>
  </si>
  <si>
    <t>APV-2233</t>
  </si>
  <si>
    <t xml:space="preserve">[S&amp;D] Ajustes tela de Caso Sublocação Requisitos alterados </t>
  </si>
  <si>
    <t>APV-2218</t>
  </si>
  <si>
    <t>[S&amp;D-R1] Cadastro Locadoras (Localiza, Movida) cenários de exceção e correção da edição do Cadastro</t>
  </si>
  <si>
    <t>APV-2187</t>
  </si>
  <si>
    <t xml:space="preserve"> [S&amp;D_QA_UAT] Evoluções na tela de Caso Assunto Sublocação - Criação de campos e ajuste layout</t>
  </si>
  <si>
    <t>APV-2169</t>
  </si>
  <si>
    <t>[S&amp;D_QA_UAT] Ajustes integração de Filiais e DN</t>
  </si>
  <si>
    <t>APV-2161</t>
  </si>
  <si>
    <t>[S&amp;D]  Disparo de E-mail Devolução do Veículo Reserva</t>
  </si>
  <si>
    <t>APV-2465</t>
  </si>
  <si>
    <t>[S&amp;D] Implantar Régua de Comunicação Sublocação de Veículos</t>
  </si>
  <si>
    <t>APV-2155</t>
  </si>
  <si>
    <t>[S&amp;D] Disparo de E-mail Cancelamento do Veículo Reserva</t>
  </si>
  <si>
    <t>APV-2149</t>
  </si>
  <si>
    <t>[S&amp;D] Disparo de E‑mail de Confirmação de Veículo Reserva (Sublocação)</t>
  </si>
  <si>
    <t>APV-2042</t>
  </si>
  <si>
    <t>Ajustar Integração de Motorista: Refatoração e Inclusão da Regra de Status do Contrato</t>
  </si>
  <si>
    <t>APV-2036</t>
  </si>
  <si>
    <t>[S&amp;D] Adequar Classe de Integração para Uso do Novo Objeto Motorista</t>
  </si>
  <si>
    <t>APV-2030</t>
  </si>
  <si>
    <t>[S&amp;D]Criação do Objeto Motorista, Objeto de Junção (motorista para conta), Layout/Campos e Configurações de Permissão</t>
  </si>
  <si>
    <t>APV-2024</t>
  </si>
  <si>
    <t>[S&amp;D-R1] Cadastro das bases de locadoras (Localiza, Movida e Unidas) no Salesforce</t>
  </si>
  <si>
    <t>APV-1973</t>
  </si>
  <si>
    <t>[S&amp;D] Criar campos e reorganizar layout da tela Cadastrar Locadoras</t>
  </si>
  <si>
    <t>APV-1786</t>
  </si>
  <si>
    <t>[S&amp;D] Criação do objeto Locadoras, campo, Layout e Permission Set</t>
  </si>
  <si>
    <t>APV-1034</t>
  </si>
  <si>
    <t>[S&amp;D] Processo Manual de Sublocação de Veículos</t>
  </si>
  <si>
    <t>APV-1783</t>
  </si>
  <si>
    <t>[S&amp;D-UAT] Erros na tela de Caso: Agenda de devolução e Detalhes do Contrato</t>
  </si>
  <si>
    <t>APV-1741</t>
  </si>
  <si>
    <t>[S&amp;D-R1] Ajustes na árvore de serviço de S&amp;D</t>
  </si>
  <si>
    <t>APV-1007</t>
  </si>
  <si>
    <t>[S&amp;D Colaboradores] Tipos de registro de casos e fluxos de atendimento</t>
  </si>
  <si>
    <t>APV-1710</t>
  </si>
  <si>
    <t>[S&amp;D-R1] Correção tela de Caso Motorista</t>
  </si>
  <si>
    <t>APV-1372</t>
  </si>
  <si>
    <t>[S&amp;D] Visualizar dados Motorista</t>
  </si>
  <si>
    <t>APV-1703</t>
  </si>
  <si>
    <t xml:space="preserve">[S&amp;D-R1] Criação de campos e exibição da tela de criação e edição de caso Assunto Sublocação </t>
  </si>
  <si>
    <t>APV-1657</t>
  </si>
  <si>
    <t>[S&amp;D-R1] Exibir canal de venda na tela de Contrato</t>
  </si>
  <si>
    <t>APV-1005</t>
  </si>
  <si>
    <t>[S&amp;D Colaboradores] Visualizar dados Cliente, Veículo e Contrato S&amp;D Colaboradores</t>
  </si>
  <si>
    <t>APV-1654</t>
  </si>
  <si>
    <t>[APP_PROD_Caso] Os Casos estão sendo encerrados mas não estão salvando a descrição solução do Caso</t>
  </si>
  <si>
    <t>APV-1651</t>
  </si>
  <si>
    <t>[S&amp;D-R1] E-mail de Escalonamento de Caso não está sendo disparado a partir da tela de Criação do Caso</t>
  </si>
  <si>
    <t>APV-1645</t>
  </si>
  <si>
    <t>[S&amp;D-R1] Ajustes árvore de serviço S&amp;D Colaboradores</t>
  </si>
  <si>
    <t>APV-1554</t>
  </si>
  <si>
    <t>[S&amp;D-R1] Casos abertos pelo canal WhatsApp estão sendo direcionados para a fila Casos Pendentes de Atribuição</t>
  </si>
  <si>
    <t>APV-1318</t>
  </si>
  <si>
    <t>[S&amp;D] Integração do Canal WhatsApp para Produtos S&amp;D Colaboradas</t>
  </si>
  <si>
    <t>APV-1526</t>
  </si>
  <si>
    <t>[Link de Vistoria] Caso não está sendo escalado quando o Status é alterado após a criação do Caso</t>
  </si>
  <si>
    <t>APV-1514</t>
  </si>
  <si>
    <t xml:space="preserve">[S&amp;D] Integrar Campo Canal de Venda </t>
  </si>
  <si>
    <t>APV-1505</t>
  </si>
  <si>
    <t>[S&amp;D-R1] Erros Disparo de e-mail Encerramento do Caso</t>
  </si>
  <si>
    <t>APV-1466</t>
  </si>
  <si>
    <t xml:space="preserve">[S&amp;D-R1] Texto e-mail Escalonamento de Caso divergente da US </t>
  </si>
  <si>
    <t>APV-1459</t>
  </si>
  <si>
    <t>[S&amp;D] Disparo de e-mail Encerramento do Caso não está sendo realizado</t>
  </si>
  <si>
    <t>APV-1441</t>
  </si>
  <si>
    <t>[CROSS] [Integração] Redução do tempo base das integrações - 2hrs</t>
  </si>
  <si>
    <t>APV-909</t>
  </si>
  <si>
    <t>[Roadmap Cross] Evolução Contínua – Abertura de Casos na Plataforma Salesforce (Parte 2)</t>
  </si>
  <si>
    <t>APV-1435</t>
  </si>
  <si>
    <t>[CROSS] [Integração] Realizar Testes Unitários do Barramento</t>
  </si>
  <si>
    <t>APV-833</t>
  </si>
  <si>
    <t>[Cross] Automatizar agendamento de devolução do veículo</t>
  </si>
  <si>
    <t>APV-1422</t>
  </si>
  <si>
    <t>[S&amp;D-R1] Exibir a Categoria Improdutiva para os produtos S&amp;D Colaboradores e Veículos para APPs sem vínculo com o veículo</t>
  </si>
  <si>
    <t>APV-1418</t>
  </si>
  <si>
    <t>[APP_PROD_2ª via de Placa] Campo Endereço e dados Cliente não estão sendo exibido na tela de Edição do Caso</t>
  </si>
  <si>
    <t>APV-1417</t>
  </si>
  <si>
    <t>[DEPLOY PROD] Sprint 32</t>
  </si>
  <si>
    <t>APV-1411</t>
  </si>
  <si>
    <t>[CRLV] 2ª via CRLV não esta sendo gerada</t>
  </si>
  <si>
    <t>APV-1401</t>
  </si>
  <si>
    <t>[CROSS] [Integração] Refatoração das Classes de Integração</t>
  </si>
  <si>
    <t>APV-1392</t>
  </si>
  <si>
    <t>[S&amp;D] Adequação do HTML do Template de E-mail para Produto S&amp;D Colaboradores</t>
  </si>
  <si>
    <t>APV-1011</t>
  </si>
  <si>
    <t>[S&amp;D Colaboradores] Comunicar o cliente a abertura e o encerramento do caso</t>
  </si>
  <si>
    <t>APV-1365</t>
  </si>
  <si>
    <t>[S&amp;D] Ajustar apontamento de integração para ambiente de QA/UAT para realização de testes Cliente, Veículo e Contratos Produto S&amp;D</t>
  </si>
  <si>
    <t>APV-1359</t>
  </si>
  <si>
    <t>[S&amp;D] Alterar integração Lambda/Barramento para receber informações do novo produto S&amp;D Colaboradores</t>
  </si>
  <si>
    <t>APV-1353</t>
  </si>
  <si>
    <t>[S&amp;D] Criar grupos específicos para produtos associados ao objeto Veículo</t>
  </si>
  <si>
    <t>APV-1352</t>
  </si>
  <si>
    <t>[Integração WhatsApp] Erro na integração canal WA x SF para abertura de Caso</t>
  </si>
  <si>
    <t>APV-1351</t>
  </si>
  <si>
    <t>[Sprint 29] DEPLOY PROD</t>
  </si>
  <si>
    <t>APV-1345</t>
  </si>
  <si>
    <t>[Árvore de Serviço] Criar novos assuntos para Motivo Reclamação e Reclame Aqui conforme planilha definida pelo negócio</t>
  </si>
  <si>
    <t>APV-1339</t>
  </si>
  <si>
    <t>[S&amp;D] Exibir botão de ação Gerar Boleto para casos de Solicitação → Financeiro → 2ª via de fatura/boleto</t>
  </si>
  <si>
    <t>APV-1333</t>
  </si>
  <si>
    <t>[S&amp;D] Criar campos especiais para assuntos específicos na árvore de serviços S&amp;D Colaboradores</t>
  </si>
  <si>
    <t>APV-1327</t>
  </si>
  <si>
    <t xml:space="preserve">[S&amp;D] Ajuste de Filas de Atendimento por Segmento de Produto </t>
  </si>
  <si>
    <t>APV-1006</t>
  </si>
  <si>
    <t>[S&amp;D Colaboradores] Perfis de usuário, filas de atendimento e regras de atribuição de casos</t>
  </si>
  <si>
    <t>APV-1326</t>
  </si>
  <si>
    <t>[Furto e Roubo] Campo Status do Bloqueio sendo exibido indevidamente no Assunto Furto e Roubo</t>
  </si>
  <si>
    <t>APV-1312</t>
  </si>
  <si>
    <t>[S&amp;D] Abertura de caso no Salesforce a partir do canal WhatsApp</t>
  </si>
  <si>
    <t>APV-1306</t>
  </si>
  <si>
    <t>[Manutenção]  Criação de Campos e Assuntos (Parte 2)</t>
  </si>
  <si>
    <t>APV-1300</t>
  </si>
  <si>
    <t>[SSO] Implementar Login Único (SSO)</t>
  </si>
  <si>
    <t>APV-1024</t>
  </si>
  <si>
    <t>[APPS_S&amp;D] Implementação do Login Único (SSO)</t>
  </si>
  <si>
    <t>APV-1281</t>
  </si>
  <si>
    <t>[S&amp;D-R2] Integração e Seleção de Motoristas no Objeto Motorista</t>
  </si>
  <si>
    <t>APV-1266</t>
  </si>
  <si>
    <t>[SLA] Correção do Horário Default para Horário Oficial para calculo do SLA</t>
  </si>
  <si>
    <t>APV-1254</t>
  </si>
  <si>
    <t>[S&amp;D] Integração motorista no lambida para consumo SF</t>
  </si>
  <si>
    <t>APV-1248</t>
  </si>
  <si>
    <t>[Devolução] Integração do valor do contrato do Locavia com o Barramento para Consumo no Salesforce</t>
  </si>
  <si>
    <t>APV-1241</t>
  </si>
  <si>
    <t>[Sprint 27] DEPLOY PROD</t>
  </si>
  <si>
    <t>APV-1215</t>
  </si>
  <si>
    <t>[Dados/Power BI] Disponibilização dos campos do Salesforce via API para integração com Power BI</t>
  </si>
  <si>
    <t>APV-1948</t>
  </si>
  <si>
    <t>[APPS_S&amp;D] Disponibilização de Dados do Salesforce por API</t>
  </si>
  <si>
    <t>APV-1207</t>
  </si>
  <si>
    <t>[WhatsApp] US complementar - Ajuste de status para casos escalados automaticamente via WhatsApp – Devolução e Substituição</t>
  </si>
  <si>
    <t>O3R4</t>
  </si>
  <si>
    <t>O3R4;O4R1;</t>
  </si>
  <si>
    <t>APV-1206</t>
  </si>
  <si>
    <t>[Fatura] Homologação</t>
  </si>
  <si>
    <t>APV-1198</t>
  </si>
  <si>
    <t>[Substituição/Devolução] Remover obrigatoriedade dos campos data/hora</t>
  </si>
  <si>
    <t>APV-1191</t>
  </si>
  <si>
    <t>[APPS_Devolução] Criação e Integração do Campo "Período atual do contrato"</t>
  </si>
  <si>
    <t>APV-1173</t>
  </si>
  <si>
    <t xml:space="preserve">[Financeiro] Exibição PDF boleto </t>
  </si>
  <si>
    <t>APV-954</t>
  </si>
  <si>
    <t>[Roadmap Cross] Listar Fatura, Boleto e Contrato com filtros</t>
  </si>
  <si>
    <t>APV-1172</t>
  </si>
  <si>
    <t>[E-mail] Disparo de e-mail de encerramento de caso duplicado</t>
  </si>
  <si>
    <t>APV-1165</t>
  </si>
  <si>
    <t>[WhatsApp] Encaminhamento automático de casos de substituição e devolução oriundos do WhatsApp para filas N2 no Salesforce</t>
  </si>
  <si>
    <t>APV-1158</t>
  </si>
  <si>
    <t>[Devolução] Integração Lambda/Barramento para consulta do período contratual no Locavia</t>
  </si>
  <si>
    <t>APV-1151</t>
  </si>
  <si>
    <t>[SSO] Estudo de Autenticação via SSO no Service Cloud</t>
  </si>
  <si>
    <t>APV-1139</t>
  </si>
  <si>
    <t>[S&amp;D] Adequação do HTML dos Templates de E-mail para Produto S&amp;D Colaboradores</t>
  </si>
  <si>
    <t>APV-1133</t>
  </si>
  <si>
    <t>[Veículos para APPs] Disparo de e-mail de encerramento de caso com template personalizado</t>
  </si>
  <si>
    <t>APV-1127</t>
  </si>
  <si>
    <t>[Veículos para APPs] Disparo de e-mail ao cliente em caso de escalonamento para N2/N3 com registro e template adaptável</t>
  </si>
  <si>
    <t>APV-1109</t>
  </si>
  <si>
    <t>[S&amp;D-R1] Alteração da árvore de serviço</t>
  </si>
  <si>
    <t>APV-1103</t>
  </si>
  <si>
    <t>[S&amp;D] Criação de Regras de Atribuição Atendimento</t>
  </si>
  <si>
    <t>APV-1097</t>
  </si>
  <si>
    <t>[S&amp;D] Criação de Filas de Atendimento</t>
  </si>
  <si>
    <t>APV-1091</t>
  </si>
  <si>
    <t>[S&amp;D] Criação de Perfis de Atendimento</t>
  </si>
  <si>
    <t>APV-1085</t>
  </si>
  <si>
    <t>[Manutenção] Criação de campos, categoria e assunto</t>
  </si>
  <si>
    <t>APV-1012</t>
  </si>
  <si>
    <t>[APPS_S&amp;D] Visualização da Tela de Caso de Monitoramento de Manutenção</t>
  </si>
  <si>
    <t>APV-1073</t>
  </si>
  <si>
    <t>[S&amp;D-R1] Regra de distribuição de casos de Manutenção + Exibição da Árvore de Serviço por Produto</t>
  </si>
  <si>
    <t>APV-1067</t>
  </si>
  <si>
    <t>[Integração] Melhoria nos testes do barramento Octopus da V2</t>
  </si>
  <si>
    <t>APV-1061</t>
  </si>
  <si>
    <t>[APPS] Disparo automático de e‑mail de agendamento na criação de caso de devolução</t>
  </si>
  <si>
    <t>APV-1862</t>
  </si>
  <si>
    <t>[APPS] Comunicação do Agendamento de Devolução</t>
  </si>
  <si>
    <t>APV-1055</t>
  </si>
  <si>
    <t>[Devolução Veículo] Criação de agenda fictícia para agendamento de devoluções de veículos por filial</t>
  </si>
  <si>
    <t>APV-1049</t>
  </si>
  <si>
    <t>[CROSS][Contrato] Exibir informações financeiras do contrato nas telas de Caso e Contrato</t>
  </si>
  <si>
    <t>APV-1037</t>
  </si>
  <si>
    <t>[E-mail] Reenvio de e-mails a partir da tela de Conta (Histórico de Atividades)</t>
  </si>
  <si>
    <t>APV-1026</t>
  </si>
  <si>
    <t xml:space="preserve">[Documentação] Evolução contínua Abertura de Casos Categoria Documentação </t>
  </si>
  <si>
    <t>APV-1016</t>
  </si>
  <si>
    <t>[Canal de Atendimento] Criar novo canal de atendimento - Atendimento Filiais</t>
  </si>
  <si>
    <t>APV-999</t>
  </si>
  <si>
    <t>[APP_S&amp;D_Caso]  Seleção de Cliente/Contrato por Placa (com alteração) na Abertura de Caso</t>
  </si>
  <si>
    <t>APV-974</t>
  </si>
  <si>
    <t>[Financeiro] Visualização e Filtro de Faturas, Boletos e Contratos</t>
  </si>
  <si>
    <t>APV-962</t>
  </si>
  <si>
    <t>[Financeiro] Integração dos Dados Financeiros do Locavia com o Barramento para Consumo no Salesforce</t>
  </si>
  <si>
    <t>APV-943</t>
  </si>
  <si>
    <t>[Bloqueio de Veículo] Configuração de Campos e Regras na Edição de Caso para o Assunto Bloqueio de Veículo</t>
  </si>
  <si>
    <t>APV-916</t>
  </si>
  <si>
    <t>[Duplicidade de Casos] Impedir abertura de casos duplicados</t>
  </si>
  <si>
    <t>APV-883</t>
  </si>
  <si>
    <t xml:space="preserve">[Financeiro] Construção da classe de integração </t>
  </si>
  <si>
    <t>APV-853</t>
  </si>
  <si>
    <t>[S&amp;D-R2] Criar tela de monitoramento dos Veículos em Manutenção</t>
  </si>
  <si>
    <t>APV-835</t>
  </si>
  <si>
    <t>[Financeiro] Criação da Tela de Visualização de dados Fatura, Boleto e Contrato</t>
  </si>
  <si>
    <t>APV-953</t>
  </si>
  <si>
    <t xml:space="preserve">[Roadmap Cross] Visualizar tela de Gestão Financeira do Cliente </t>
  </si>
  <si>
    <t>APV-818</t>
  </si>
  <si>
    <t>[2ª Via de Boleto] Ajustar mensagem exibida na tela de 2ª via de boletos quando não houver boletos disponíveis</t>
  </si>
  <si>
    <t>M</t>
  </si>
  <si>
    <t>P</t>
  </si>
  <si>
    <t>Features</t>
  </si>
  <si>
    <t>A fazer (melhor cenário)</t>
  </si>
  <si>
    <t>A fazer (pior cenário)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</si>
  <si>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</si>
  <si>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</si>
  <si>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</si>
  <si>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</si>
  <si>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</si>
  <si>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</si>
  <si>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</si>
  <si>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</si>
  <si>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</si>
  <si>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</si>
  <si>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Sprint 21</t>
  </si>
  <si>
    <t>Sprint 22</t>
  </si>
  <si>
    <t>Sprint 23</t>
  </si>
  <si>
    <t>Sprint 24</t>
  </si>
  <si>
    <t>Sprint 25</t>
  </si>
  <si>
    <t>Sprint 26</t>
  </si>
  <si>
    <t>Refinamentos</t>
  </si>
  <si>
    <t>Sprint 1</t>
  </si>
  <si>
    <t xml:space="preserve">Sprint 2 </t>
  </si>
  <si>
    <t>Liberação de ambiente QA</t>
  </si>
  <si>
    <t xml:space="preserve">Sprint 3 </t>
  </si>
  <si>
    <t>Liberação de ambiente QA evento WS</t>
  </si>
  <si>
    <t xml:space="preserve">Sprint 4 </t>
  </si>
  <si>
    <t>Liberação do S3 (bastante entregas que estavam represadas)</t>
  </si>
  <si>
    <t>Sprint 5</t>
  </si>
  <si>
    <t>1 dia de feriado</t>
  </si>
  <si>
    <t xml:space="preserve">Sprint 6 </t>
  </si>
  <si>
    <t>Finalizar as homologações e definições de escopo</t>
  </si>
  <si>
    <t>Sprint 7</t>
  </si>
  <si>
    <t>Sprint 8</t>
  </si>
  <si>
    <t>Bug encontrado em ambiente DEV, dependendo do TAOS para resolver</t>
  </si>
  <si>
    <t>Sprint 9</t>
  </si>
  <si>
    <t>Ainda aguardando solução do BUG L!-952</t>
  </si>
  <si>
    <t>Sprint 10</t>
  </si>
  <si>
    <t>Cone: baseado na nossa vazão, chegaremos na data alvo? 
O que cabe até data alvo?</t>
  </si>
  <si>
    <t>MS-SPRINT Sprint 24</t>
  </si>
  <si>
    <t>Adição de uma Spike para visibilidade</t>
  </si>
  <si>
    <t>MS-SPRINT Sprint 25</t>
  </si>
  <si>
    <t>Estimativa de todo o escopo para R1</t>
  </si>
  <si>
    <t>MS-SPRINT Sprint 26</t>
  </si>
  <si>
    <t>MS-SPRINT Sprint 27</t>
  </si>
  <si>
    <t>MS-SPRINT Sprint 28</t>
  </si>
  <si>
    <t>MS-SPRINT Sprint 29</t>
  </si>
  <si>
    <t>MS-SPRINT Sprint 30</t>
  </si>
  <si>
    <t>MS-SPRINT Sprint 31</t>
  </si>
  <si>
    <t>TIME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</si>
  <si>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</si>
  <si>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</si>
  <si>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</si>
  <si>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</si>
  <si>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</si>
  <si>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</si>
  <si>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</si>
  <si>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</si>
  <si>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</si>
  <si>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</si>
  <si>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</si>
  <si>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</si>
  <si>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</si>
  <si>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</si>
  <si>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</si>
  <si>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</si>
  <si>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</si>
  <si>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</si>
  <si>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Bugs</t>
  </si>
  <si>
    <t>Descartado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</si>
  <si>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</si>
  <si>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</si>
  <si>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</si>
  <si>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</si>
  <si>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</si>
  <si>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</si>
  <si>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</si>
  <si>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</si>
  <si>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</si>
  <si>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</si>
  <si>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</si>
  <si>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</si>
  <si>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</si>
  <si>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</si>
  <si>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</si>
  <si>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</si>
  <si>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</si>
  <si>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</si>
  <si>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</si>
  <si>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</si>
  <si>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</si>
  <si>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Qtde até a data início</t>
  </si>
  <si>
    <t>TOTAL por time</t>
  </si>
  <si>
    <t>Desenv Concluído</t>
  </si>
  <si>
    <t>Novos</t>
  </si>
  <si>
    <t>Dados referentes à semana  (não à Sprint)</t>
  </si>
  <si>
    <t>Problema no ambiente (arquitetura - semana)</t>
  </si>
  <si>
    <t>itens dependendo de correção de bugs time jeta, impacto devido vulnerabilidade, hana</t>
  </si>
  <si>
    <t>Time com Teck Lead Emprestado para atividade de mobilização (Danielle - PO LOGISTICA), Alem de atividades de testes serem impacatadas por demandas dependentes (Tiguan) e problemas SAP HANNA ambiente de QA</t>
  </si>
  <si>
    <t>Muitos impedimentos impactando evolução das entegas (vulnerabilidade,S4hana), 1 dev emprestado para demandas mobilização, 1 dev de ferias</t>
  </si>
  <si>
    <t>Muitos impedimentos impactando evolução das entegas (vulnerabilidade,S4hana)</t>
  </si>
  <si>
    <t>identificado erros nos ambientes de QA SAPHana, imposssibilitando os testes das atividades , nao trouxemos mais itens para o board ate resolvermos o cenario</t>
  </si>
  <si>
    <t>Primeria semana mapeada</t>
  </si>
  <si>
    <t>Data esperada de entrega da release</t>
  </si>
  <si>
    <t>Itens da semana anterior que não foram concluídos</t>
  </si>
  <si>
    <t>MOB/DESMOB -SP 45</t>
  </si>
  <si>
    <t>MS-SPRIN Sprint 26</t>
  </si>
  <si>
    <t>SPRIN Sprint 27</t>
  </si>
  <si>
    <t>MOB/DESMOB -SP 48</t>
  </si>
  <si>
    <t>MOB/DESMOB -SP 49</t>
  </si>
  <si>
    <t>MOB/DESMOB -SP 50</t>
  </si>
  <si>
    <t>MOB/DESMOB -SP 51</t>
  </si>
  <si>
    <t>MOB/DESMOB -SP 52</t>
  </si>
  <si>
    <t>MOB/DESMOB -SP 53</t>
  </si>
  <si>
    <t>Qtd inicial de itens</t>
  </si>
  <si>
    <t>Qtd atual total blk + wip</t>
  </si>
  <si>
    <t>A fazer (necessário)</t>
  </si>
  <si>
    <t>(+)(-) Escopo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</si>
</sst>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;@"/>
  </numFmts>
  <fonts count="37" x14ac:knownFonts="1">
    <font>
      <sz val="12"/>
      <color theme="1"/>
      <name val="Aptos Narrow"/>
      <family val="2"/>
      <scheme val="minor"/>
    </font>
    <font>
      <sz val="10"/>
      <color theme="1"/>
      <name val="Courier New"/>
      <family val="1"/>
    </font>
    <font>
      <b/>
      <sz val="10"/>
      <color theme="1"/>
      <name val="Courier New"/>
      <family val="1"/>
    </font>
    <font>
      <b/>
      <sz val="10"/>
      <color theme="0"/>
      <name val="Courier New"/>
      <family val="1"/>
    </font>
    <font>
      <b/>
      <sz val="10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sz val="10"/>
      <color theme="1"/>
      <name val="Meiryo"/>
      <family val="2"/>
      <charset val="128"/>
    </font>
    <font>
      <b/>
      <sz val="9"/>
      <color theme="0"/>
      <name val="Meiryo"/>
      <family val="2"/>
      <charset val="128"/>
    </font>
    <font>
      <b/>
      <sz val="8"/>
      <color theme="0"/>
      <name val="Meiryo"/>
      <family val="2"/>
      <charset val="128"/>
    </font>
    <font>
      <i/>
      <sz val="10"/>
      <color theme="1" tint="0.499984740745262"/>
      <name val="Meiryo"/>
      <family val="2"/>
      <charset val="128"/>
    </font>
    <font>
      <sz val="12"/>
      <color theme="1"/>
      <name val="Meiryo"/>
      <charset val="128"/>
    </font>
    <font>
      <b/>
      <sz val="9"/>
      <color theme="1"/>
      <name val="Meiryo"/>
      <charset val="128"/>
    </font>
    <font>
      <i/>
      <sz val="10"/>
      <color theme="1" tint="0.499984740745262"/>
      <name val="Meiryo"/>
      <charset val="128"/>
    </font>
    <font>
      <b/>
      <sz val="9"/>
      <color theme="0"/>
      <name val="Meiryo"/>
      <charset val="128"/>
    </font>
    <font>
      <sz val="10"/>
      <color theme="1"/>
      <name val="Meiryo"/>
      <charset val="128"/>
    </font>
    <font>
      <sz val="9"/>
      <color theme="1" tint="0.499984740745262"/>
      <name val="Meiryo"/>
      <charset val="128"/>
    </font>
    <font>
      <b/>
      <sz val="10"/>
      <color theme="1"/>
      <name val="Meiryo"/>
      <charset val="128"/>
    </font>
    <font>
      <b/>
      <sz val="8"/>
      <color theme="0"/>
      <name val="Meiryo"/>
      <charset val="128"/>
    </font>
    <font>
      <b/>
      <sz val="10"/>
      <color theme="9" tint="-0.249977111117893"/>
      <name val="Meiryo"/>
      <charset val="128"/>
    </font>
    <font>
      <sz val="12"/>
      <color rgb="FF000000"/>
      <name val="Aptos Narrow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</font>
    <font>
      <u/>
      <sz val="12"/>
      <color theme="10"/>
      <name val="Aptos Narrow"/>
      <family val="2"/>
      <scheme val="minor"/>
    </font>
    <font>
      <b/>
      <sz val="12"/>
      <color theme="1"/>
      <name val="Meiryo"/>
      <family val="2"/>
      <charset val="128"/>
    </font>
    <font>
      <b/>
      <sz val="8"/>
      <color rgb="FFC00000"/>
      <name val="Meiryo"/>
      <charset val="128"/>
    </font>
    <font>
      <b/>
      <sz val="10"/>
      <color rgb="FFC00000"/>
      <name val="Meiryo"/>
      <charset val="128"/>
    </font>
    <font>
      <b/>
      <sz val="10"/>
      <color theme="8" tint="0.39997558519241921"/>
      <name val="Meiryo"/>
      <charset val="128"/>
    </font>
    <font>
      <i/>
      <sz val="8"/>
      <color theme="1" tint="0.499984740745262"/>
      <name val="Meiryo"/>
      <charset val="128"/>
    </font>
    <font>
      <b/>
      <sz val="12"/>
      <color theme="1"/>
      <name val="Meiryo"/>
      <charset val="128"/>
    </font>
    <font>
      <sz val="9"/>
      <color theme="1"/>
      <name val="Meiryo"/>
      <charset val="128"/>
    </font>
    <font>
      <sz val="10"/>
      <color theme="0"/>
      <name val="Meiryo"/>
      <charset val="128"/>
    </font>
    <font>
      <b/>
      <sz val="10"/>
      <color theme="3"/>
      <name val="Meiryo"/>
      <charset val="128"/>
    </font>
    <font>
      <b/>
      <sz val="11"/>
      <color theme="3"/>
      <name val="Meiryo"/>
      <charset val="128"/>
    </font>
    <font>
      <b/>
      <sz val="11"/>
      <color theme="1"/>
      <name val="Meiryo"/>
      <charset val="128"/>
    </font>
    <font>
      <sz val="12"/>
      <color rgb="FFFF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5"/>
      <name val="Meiryo"/>
      <charset val="128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DA74"/>
        <bgColor indexed="64"/>
      </patternFill>
    </fill>
    <fill>
      <patternFill patternType="solid">
        <fgColor rgb="FFFFFAB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/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thin">
        <color theme="1" tint="0.249977111117893"/>
      </right>
      <top/>
      <bottom style="medium">
        <color theme="1" tint="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73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0" fontId="2" fillId="0" borderId="0" xfId="0" applyFont="1"/>
    <xf numFmtId="0" fontId="1" fillId="2" borderId="0" xfId="0" applyFont="1" applyFill="1"/>
    <xf numFmtId="1" fontId="1" fillId="2" borderId="0" xfId="0" applyNumberFormat="1" applyFont="1" applyFill="1"/>
    <xf numFmtId="0" fontId="1" fillId="3" borderId="0" xfId="0" applyFont="1" applyFill="1"/>
    <xf numFmtId="165" fontId="2" fillId="0" borderId="0" xfId="0" applyNumberFormat="1" applyFont="1"/>
    <xf numFmtId="164" fontId="1" fillId="2" borderId="0" xfId="0" applyNumberFormat="1" applyFont="1" applyFill="1"/>
    <xf numFmtId="0" fontId="2" fillId="3" borderId="0" xfId="0" applyFont="1" applyFill="1"/>
    <xf numFmtId="0" fontId="1" fillId="2" borderId="1" xfId="0" applyFont="1" applyFill="1" applyBorder="1"/>
    <xf numFmtId="0" fontId="2" fillId="3" borderId="2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65" fontId="2" fillId="0" borderId="4" xfId="0" applyNumberFormat="1" applyFont="1" applyBorder="1"/>
    <xf numFmtId="0" fontId="2" fillId="3" borderId="4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165" fontId="2" fillId="0" borderId="2" xfId="0" applyNumberFormat="1" applyFont="1" applyBorder="1"/>
    <xf numFmtId="0" fontId="3" fillId="4" borderId="6" xfId="0" applyFont="1" applyFill="1" applyBorder="1"/>
    <xf numFmtId="165" fontId="2" fillId="7" borderId="2" xfId="0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1" fontId="6" fillId="0" borderId="0" xfId="0" applyNumberFormat="1" applyFont="1"/>
    <xf numFmtId="0" fontId="7" fillId="4" borderId="10" xfId="0" applyFont="1" applyFill="1" applyBorder="1" applyAlignment="1">
      <alignment horizontal="center" vertical="center" wrapText="1"/>
    </xf>
    <xf numFmtId="0" fontId="6" fillId="2" borderId="7" xfId="0" applyFont="1" applyFill="1" applyBorder="1"/>
    <xf numFmtId="165" fontId="6" fillId="0" borderId="0" xfId="0" applyNumberFormat="1" applyFont="1"/>
    <xf numFmtId="164" fontId="6" fillId="0" borderId="0" xfId="0" applyNumberFormat="1" applyFont="1"/>
    <xf numFmtId="0" fontId="8" fillId="4" borderId="10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164" fontId="6" fillId="2" borderId="7" xfId="0" applyNumberFormat="1" applyFont="1" applyFill="1" applyBorder="1"/>
    <xf numFmtId="0" fontId="6" fillId="3" borderId="7" xfId="0" applyFont="1" applyFill="1" applyBorder="1"/>
    <xf numFmtId="1" fontId="6" fillId="2" borderId="8" xfId="0" applyNumberFormat="1" applyFont="1" applyFill="1" applyBorder="1"/>
    <xf numFmtId="0" fontId="9" fillId="0" borderId="0" xfId="0" applyFont="1"/>
    <xf numFmtId="0" fontId="8" fillId="10" borderId="10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6" fillId="5" borderId="9" xfId="0" applyFont="1" applyFill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5" fillId="9" borderId="0" xfId="0" applyFont="1" applyFill="1"/>
    <xf numFmtId="0" fontId="14" fillId="0" borderId="0" xfId="0" applyFont="1"/>
    <xf numFmtId="0" fontId="13" fillId="10" borderId="1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10" borderId="10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14" fontId="0" fillId="0" borderId="0" xfId="0" applyNumberFormat="1"/>
    <xf numFmtId="0" fontId="17" fillId="11" borderId="10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23" fillId="0" borderId="11" xfId="0" applyFont="1" applyBorder="1"/>
    <xf numFmtId="0" fontId="8" fillId="12" borderId="10" xfId="0" applyFont="1" applyFill="1" applyBorder="1" applyAlignment="1">
      <alignment horizontal="center" vertical="center" wrapText="1"/>
    </xf>
    <xf numFmtId="0" fontId="24" fillId="13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7" fillId="0" borderId="0" xfId="0" applyFont="1" applyAlignment="1">
      <alignment wrapText="1"/>
    </xf>
    <xf numFmtId="0" fontId="27" fillId="0" borderId="0" xfId="0" applyFont="1" applyAlignment="1">
      <alignment horizontal="center" wrapText="1"/>
    </xf>
    <xf numFmtId="0" fontId="13" fillId="10" borderId="9" xfId="0" applyFont="1" applyFill="1" applyBorder="1" applyAlignment="1">
      <alignment vertical="center"/>
    </xf>
    <xf numFmtId="0" fontId="13" fillId="10" borderId="7" xfId="0" applyFont="1" applyFill="1" applyBorder="1" applyAlignment="1">
      <alignment vertical="center"/>
    </xf>
    <xf numFmtId="0" fontId="13" fillId="8" borderId="7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165" fontId="16" fillId="3" borderId="7" xfId="0" applyNumberFormat="1" applyFont="1" applyFill="1" applyBorder="1" applyAlignment="1">
      <alignment vertical="center"/>
    </xf>
    <xf numFmtId="164" fontId="14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0" fontId="14" fillId="5" borderId="9" xfId="0" applyFont="1" applyFill="1" applyBorder="1" applyAlignment="1">
      <alignment vertical="center"/>
    </xf>
    <xf numFmtId="0" fontId="15" fillId="9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2" borderId="7" xfId="0" applyFont="1" applyFill="1" applyBorder="1" applyAlignment="1">
      <alignment vertical="center"/>
    </xf>
    <xf numFmtId="14" fontId="14" fillId="3" borderId="7" xfId="0" applyNumberFormat="1" applyFont="1" applyFill="1" applyBorder="1" applyAlignment="1">
      <alignment vertical="center"/>
    </xf>
    <xf numFmtId="0" fontId="14" fillId="3" borderId="7" xfId="0" applyFont="1" applyFill="1" applyBorder="1" applyAlignment="1">
      <alignment vertical="center"/>
    </xf>
    <xf numFmtId="1" fontId="14" fillId="0" borderId="0" xfId="0" applyNumberFormat="1" applyFont="1" applyAlignment="1">
      <alignment vertical="center"/>
    </xf>
    <xf numFmtId="0" fontId="30" fillId="1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14" borderId="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left" vertical="center"/>
    </xf>
    <xf numFmtId="0" fontId="17" fillId="12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13" fillId="10" borderId="7" xfId="0" applyFont="1" applyFill="1" applyBorder="1" applyAlignment="1">
      <alignment vertical="center" wrapText="1"/>
    </xf>
    <xf numFmtId="0" fontId="29" fillId="0" borderId="0" xfId="0" applyFont="1" applyAlignment="1">
      <alignment wrapText="1"/>
    </xf>
    <xf numFmtId="0" fontId="29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5" borderId="9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2" borderId="7" xfId="0" applyFont="1" applyFill="1" applyBorder="1" applyAlignment="1">
      <alignment vertical="center"/>
    </xf>
    <xf numFmtId="164" fontId="6" fillId="2" borderId="7" xfId="0" applyNumberFormat="1" applyFont="1" applyFill="1" applyBorder="1" applyAlignment="1">
      <alignment vertical="center"/>
    </xf>
    <xf numFmtId="1" fontId="6" fillId="2" borderId="8" xfId="0" applyNumberFormat="1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1" fontId="6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10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14" fillId="5" borderId="11" xfId="0" applyFont="1" applyFill="1" applyBorder="1" applyAlignment="1">
      <alignment vertical="center"/>
    </xf>
    <xf numFmtId="0" fontId="14" fillId="2" borderId="11" xfId="0" applyFont="1" applyFill="1" applyBorder="1" applyAlignment="1">
      <alignment vertical="center"/>
    </xf>
    <xf numFmtId="164" fontId="14" fillId="2" borderId="11" xfId="0" applyNumberFormat="1" applyFont="1" applyFill="1" applyBorder="1" applyAlignment="1">
      <alignment vertical="center"/>
    </xf>
    <xf numFmtId="1" fontId="14" fillId="2" borderId="11" xfId="0" applyNumberFormat="1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6" fillId="2" borderId="11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" fontId="16" fillId="3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10" fillId="17" borderId="0" xfId="0" applyFont="1" applyFill="1"/>
    <xf numFmtId="14" fontId="34" fillId="5" borderId="0" xfId="0" applyNumberFormat="1" applyFont="1" applyFill="1"/>
    <xf numFmtId="0" fontId="16" fillId="2" borderId="7" xfId="0" applyFont="1" applyFill="1" applyBorder="1" applyAlignment="1">
      <alignment horizontal="center" vertical="center" wrapText="1"/>
    </xf>
    <xf numFmtId="0" fontId="13" fillId="10" borderId="11" xfId="0" applyFont="1" applyFill="1" applyBorder="1" applyAlignment="1">
      <alignment vertical="center"/>
    </xf>
    <xf numFmtId="0" fontId="14" fillId="2" borderId="11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vertical="center" wrapText="1"/>
    </xf>
    <xf numFmtId="0" fontId="13" fillId="8" borderId="11" xfId="0" applyFont="1" applyFill="1" applyBorder="1" applyAlignment="1">
      <alignment vertical="center"/>
    </xf>
    <xf numFmtId="0" fontId="35" fillId="18" borderId="20" xfId="0" applyFont="1" applyFill="1" applyBorder="1"/>
    <xf numFmtId="0" fontId="14" fillId="2" borderId="11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22" fontId="0" fillId="0" borderId="0" xfId="0" applyNumberFormat="1"/>
    <xf numFmtId="0" fontId="8" fillId="4" borderId="21" xfId="0" applyFont="1" applyFill="1" applyBorder="1" applyAlignment="1">
      <alignment horizontal="center" vertical="center" wrapText="1"/>
    </xf>
    <xf numFmtId="0" fontId="13" fillId="10" borderId="22" xfId="0" applyFont="1" applyFill="1" applyBorder="1" applyAlignment="1">
      <alignment horizontal="center" vertical="center" wrapText="1"/>
    </xf>
    <xf numFmtId="14" fontId="14" fillId="2" borderId="22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14" fillId="5" borderId="7" xfId="0" applyFont="1" applyFill="1" applyBorder="1" applyAlignment="1">
      <alignment vertical="center"/>
    </xf>
    <xf numFmtId="165" fontId="16" fillId="5" borderId="7" xfId="0" applyNumberFormat="1" applyFont="1" applyFill="1" applyBorder="1" applyAlignment="1">
      <alignment vertical="center"/>
    </xf>
    <xf numFmtId="0" fontId="16" fillId="5" borderId="7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/>
    </xf>
    <xf numFmtId="0" fontId="25" fillId="5" borderId="7" xfId="0" applyFont="1" applyFill="1" applyBorder="1" applyAlignment="1">
      <alignment horizontal="center" vertical="center"/>
    </xf>
    <xf numFmtId="0" fontId="26" fillId="5" borderId="7" xfId="0" applyFont="1" applyFill="1" applyBorder="1" applyAlignment="1">
      <alignment horizontal="center" vertical="center"/>
    </xf>
    <xf numFmtId="0" fontId="31" fillId="5" borderId="7" xfId="0" applyFont="1" applyFill="1" applyBorder="1" applyAlignment="1">
      <alignment horizontal="left" vertical="center"/>
    </xf>
    <xf numFmtId="0" fontId="10" fillId="5" borderId="0" xfId="0" applyFont="1" applyFill="1" applyAlignment="1">
      <alignment vertical="center"/>
    </xf>
    <xf numFmtId="0" fontId="28" fillId="15" borderId="0" xfId="0" applyFont="1" applyFill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  <xf numFmtId="0" fontId="17" fillId="19" borderId="10" xfId="0" applyFont="1" applyFill="1" applyBorder="1" applyAlignment="1">
      <alignment horizontal="center" vertical="center" wrapText="1"/>
    </xf>
    <xf numFmtId="0" fontId="36" fillId="2" borderId="7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 wrapText="1"/>
    </xf>
    <xf numFmtId="0" fontId="36" fillId="5" borderId="7" xfId="0" applyFont="1" applyFill="1" applyBorder="1" applyAlignment="1">
      <alignment horizontal="center" vertical="center"/>
    </xf>
    <xf numFmtId="14" fontId="14" fillId="5" borderId="22" xfId="0" applyNumberFormat="1" applyFont="1" applyFill="1" applyBorder="1" applyAlignment="1">
      <alignment horizontal="center" vertical="center"/>
    </xf>
    <xf numFmtId="0" fontId="10" fillId="5" borderId="0" xfId="0" applyFont="1" applyFill="1"/>
    <xf numFmtId="0" fontId="14" fillId="5" borderId="0" xfId="0" applyFont="1" applyFill="1"/>
    <xf numFmtId="1" fontId="16" fillId="5" borderId="0" xfId="0" applyNumberFormat="1" applyFont="1" applyFill="1" applyAlignment="1">
      <alignment horizontal="center" vertical="center"/>
    </xf>
    <xf numFmtId="1" fontId="16" fillId="3" borderId="7" xfId="0" applyNumberFormat="1" applyFont="1" applyFill="1" applyBorder="1" applyAlignment="1">
      <alignment horizontal="center" vertical="center"/>
    </xf>
    <xf numFmtId="1" fontId="16" fillId="3" borderId="7" xfId="0" applyNumberFormat="1" applyFont="1" applyFill="1" applyBorder="1" applyAlignment="1">
      <alignment horizontal="center" vertical="center" wrapText="1"/>
    </xf>
    <xf numFmtId="0" fontId="32" fillId="5" borderId="0" xfId="0" applyFont="1" applyFill="1" applyAlignment="1">
      <alignment horizontal="center" wrapText="1"/>
    </xf>
    <xf numFmtId="0" fontId="32" fillId="5" borderId="0" xfId="0" applyFont="1" applyFill="1" applyAlignment="1">
      <alignment horizontal="center" vertical="center" wrapText="1"/>
    </xf>
    <xf numFmtId="0" fontId="28" fillId="15" borderId="13" xfId="0" applyFont="1" applyFill="1" applyBorder="1" applyAlignment="1">
      <alignment horizontal="center" vertical="center" wrapText="1"/>
    </xf>
    <xf numFmtId="0" fontId="28" fillId="15" borderId="14" xfId="0" applyFont="1" applyFill="1" applyBorder="1" applyAlignment="1">
      <alignment horizontal="center" vertical="center" wrapText="1"/>
    </xf>
    <xf numFmtId="0" fontId="28" fillId="15" borderId="15" xfId="0" applyFont="1" applyFill="1" applyBorder="1" applyAlignment="1">
      <alignment horizontal="center" vertical="center" wrapText="1"/>
    </xf>
    <xf numFmtId="0" fontId="32" fillId="5" borderId="16" xfId="0" applyFont="1" applyFill="1" applyBorder="1" applyAlignment="1">
      <alignment horizontal="center" wrapText="1"/>
    </xf>
    <xf numFmtId="0" fontId="32" fillId="5" borderId="12" xfId="0" applyFont="1" applyFill="1" applyBorder="1" applyAlignment="1">
      <alignment horizontal="center" wrapText="1"/>
    </xf>
    <xf numFmtId="0" fontId="32" fillId="5" borderId="17" xfId="0" applyFont="1" applyFill="1" applyBorder="1" applyAlignment="1">
      <alignment horizontal="center" wrapText="1"/>
    </xf>
    <xf numFmtId="0" fontId="33" fillId="2" borderId="18" xfId="0" applyFont="1" applyFill="1" applyBorder="1" applyAlignment="1">
      <alignment horizontal="center" wrapText="1"/>
    </xf>
    <xf numFmtId="0" fontId="33" fillId="2" borderId="0" xfId="0" applyFont="1" applyFill="1" applyAlignment="1">
      <alignment horizontal="center" wrapText="1"/>
    </xf>
    <xf numFmtId="0" fontId="32" fillId="5" borderId="16" xfId="0" applyFont="1" applyFill="1" applyBorder="1" applyAlignment="1">
      <alignment horizontal="center" vertical="center" wrapText="1"/>
    </xf>
    <xf numFmtId="0" fontId="32" fillId="5" borderId="12" xfId="0" applyFont="1" applyFill="1" applyBorder="1" applyAlignment="1">
      <alignment horizontal="center" vertical="center" wrapText="1"/>
    </xf>
    <xf numFmtId="0" fontId="32" fillId="5" borderId="17" xfId="0" applyFont="1" applyFill="1" applyBorder="1" applyAlignment="1">
      <alignment horizontal="center" vertical="center" wrapText="1"/>
    </xf>
    <xf numFmtId="0" fontId="33" fillId="2" borderId="18" xfId="0" applyFont="1" applyFill="1" applyBorder="1" applyAlignment="1">
      <alignment horizontal="center" vertical="center" wrapText="1"/>
    </xf>
    <xf numFmtId="0" fontId="33" fillId="2" borderId="0" xfId="0" applyFont="1" applyFill="1" applyAlignment="1">
      <alignment horizontal="center" vertical="center" wrapText="1"/>
    </xf>
    <xf numFmtId="0" fontId="28" fillId="15" borderId="19" xfId="0" applyFont="1" applyFill="1" applyBorder="1" applyAlignment="1">
      <alignment horizontal="center" vertical="center" wrapText="1"/>
    </xf>
    <xf numFmtId="0" fontId="32" fillId="5" borderId="16" xfId="0" applyFont="1" applyFill="1" applyBorder="1" applyAlignment="1">
      <alignment horizontal="center" vertical="center"/>
    </xf>
    <xf numFmtId="0" fontId="32" fillId="5" borderId="12" xfId="0" applyFont="1" applyFill="1" applyBorder="1" applyAlignment="1">
      <alignment horizontal="center" vertical="center"/>
    </xf>
    <xf numFmtId="0" fontId="32" fillId="5" borderId="17" xfId="0" applyFont="1" applyFill="1" applyBorder="1" applyAlignment="1">
      <alignment horizontal="center" vertical="center"/>
    </xf>
    <xf numFmtId="0" fontId="33" fillId="2" borderId="18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175"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rgb="FFFF6464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3C7D22"/>
      </font>
      <fill>
        <patternFill patternType="solid">
          <bgColor theme="9" tint="-0.249977111117893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3C7D22"/>
      </font>
      <fill>
        <patternFill patternType="solid">
          <bgColor theme="9" tint="-0.249977111117893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3C7D22"/>
      </font>
      <fill>
        <patternFill patternType="solid">
          <bgColor rgb="FF3C7D22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3C7D22"/>
      </font>
      <fill>
        <patternFill patternType="solid">
          <bgColor rgb="FF3C7D22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3C7D22"/>
      </font>
      <fill>
        <patternFill patternType="solid">
          <bgColor theme="9" tint="-0.249977111117893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3C7D22"/>
      </font>
      <fill>
        <patternFill patternType="solid">
          <bgColor rgb="FF3C7D22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3C7D22"/>
      </font>
      <fill>
        <patternFill patternType="solid">
          <bgColor rgb="FF3C7D22"/>
        </patternFill>
      </fill>
    </dxf>
    <dxf>
      <font>
        <color rgb="FF9C0006"/>
      </font>
    </dxf>
    <dxf>
      <font>
        <color theme="5"/>
      </font>
      <fill>
        <patternFill patternType="solid">
          <bgColor theme="5" tint="0.79998168889431442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C7D22"/>
      <color rgb="FFFF6464"/>
      <color rgb="FF595959"/>
      <color rgb="FF659DF2"/>
      <color rgb="FF305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Times Locavia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'Visão Geral'!$K$2</c:f>
              <c:strCache>
                <c:ptCount val="1"/>
                <c:pt idx="0">
                  <c:v>Melhor caso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19050" cap="flat" cmpd="sng" algn="ctr">
                <a:solidFill>
                  <a:srgbClr val="215C98"/>
                </a:solidFill>
                <a:prstDash val="solid"/>
                <a:round/>
              </a:ln>
              <a:effectLst/>
            </c:spPr>
          </c:errBars>
          <c:xVal>
            <c:numRef>
              <c:f>'Visão Geral'!$K$3:$K$15</c:f>
              <c:numCache>
                <c:formatCode>m/d/yyyy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'Visão Geral'!$L$3:$L$15</c:f>
              <c:numCache>
                <c:formatCode>General</c:formatCode>
                <c:ptCount val="13"/>
                <c:pt idx="0">
                  <c:v>7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6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71-4395-BABC-7519ED52897F}"/>
            </c:ext>
          </c:extLst>
        </c:ser>
        <c:ser>
          <c:idx val="1"/>
          <c:order val="1"/>
          <c:tx>
            <c:v>Pior caso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19050" cap="flat" cmpd="sng" algn="ctr">
                <a:solidFill>
                  <a:srgbClr val="FF0000"/>
                </a:solidFill>
                <a:prstDash val="solid"/>
                <a:round/>
              </a:ln>
              <a:effectLst/>
            </c:spPr>
          </c:errBars>
          <c:xVal>
            <c:numRef>
              <c:f>'Visão Geral'!$M$3:$M$15</c:f>
              <c:numCache>
                <c:formatCode>m/d/yyyy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'Visão Geral'!$N$3:$N$15</c:f>
              <c:numCache>
                <c:formatCode>General</c:formatCode>
                <c:ptCount val="13"/>
                <c:pt idx="0">
                  <c:v>7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6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71-4395-BABC-7519ED52897F}"/>
            </c:ext>
          </c:extLst>
        </c:ser>
        <c:ser>
          <c:idx val="2"/>
          <c:order val="2"/>
          <c:tx>
            <c:strRef>
              <c:f>'Visão Geral'!$O$2</c:f>
              <c:strCache>
                <c:ptCount val="1"/>
                <c:pt idx="0">
                  <c:v>QA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rgbClr val="E97132"/>
              </a:solid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38100" cap="flat" cmpd="sng" algn="ctr">
                <a:solidFill>
                  <a:srgbClr val="E97132"/>
                </a:solidFill>
                <a:prstDash val="solid"/>
                <a:round/>
              </a:ln>
              <a:effectLst/>
            </c:spPr>
          </c:errBars>
          <c:xVal>
            <c:numRef>
              <c:f>'Visão Geral'!$O$3</c:f>
              <c:numCache>
                <c:formatCode>m/d/yyyy</c:formatCode>
                <c:ptCount val="1"/>
                <c:pt idx="0">
                  <c:v>46066</c:v>
                </c:pt>
              </c:numCache>
            </c:numRef>
          </c:xVal>
          <c:yVal>
            <c:numRef>
              <c:f>'Visão Geral'!$P$3</c:f>
              <c:numCache>
                <c:formatCode>General</c:formatCode>
                <c:ptCount val="1"/>
                <c:pt idx="0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E0-4D41-A54E-8A6823129BF5}"/>
            </c:ext>
          </c:extLst>
        </c:ser>
        <c:ser>
          <c:idx val="3"/>
          <c:order val="3"/>
          <c:tx>
            <c:strRef>
              <c:f>'Visão Geral'!$O$4</c:f>
              <c:strCache>
                <c:ptCount val="1"/>
                <c:pt idx="0">
                  <c:v>Produção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Produção; 03/12/2025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A06-47F3-B03B-86155DBC19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38100" cap="flat" cmpd="sng" algn="ctr">
                <a:solidFill>
                  <a:srgbClr val="00B050"/>
                </a:solidFill>
                <a:prstDash val="solid"/>
                <a:round/>
              </a:ln>
              <a:effectLst/>
            </c:spPr>
          </c:errBars>
          <c:xVal>
            <c:numRef>
              <c:f>'Visão Geral'!$O$5</c:f>
              <c:numCache>
                <c:formatCode>m/d/yyyy</c:formatCode>
                <c:ptCount val="1"/>
                <c:pt idx="0">
                  <c:v>46092</c:v>
                </c:pt>
              </c:numCache>
            </c:numRef>
          </c:xVal>
          <c:yVal>
            <c:numRef>
              <c:f>'Visão Geral'!$P$5</c:f>
              <c:numCache>
                <c:formatCode>General</c:formatCode>
                <c:ptCount val="1"/>
                <c:pt idx="0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E0-4D41-A54E-8A6823129BF5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axId val="629373960"/>
        <c:axId val="1399001095"/>
      </c:scatterChart>
      <c:valAx>
        <c:axId val="629373960"/>
        <c:scaling>
          <c:orientation val="minMax"/>
          <c:max val="46199"/>
          <c:min val="45929"/>
        </c:scaling>
        <c:delete val="0"/>
        <c:axPos val="b"/>
        <c:numFmt formatCode="dd/mm" sourceLinked="0"/>
        <c:majorTickMark val="none"/>
        <c:minorTickMark val="none"/>
        <c:tickLblPos val="none"/>
        <c:spPr>
          <a:noFill/>
          <a:ln w="762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01095"/>
        <c:crosses val="autoZero"/>
        <c:crossBetween val="midCat"/>
      </c:valAx>
      <c:valAx>
        <c:axId val="1399001095"/>
        <c:scaling>
          <c:orientation val="minMax"/>
          <c:max val="15"/>
        </c:scaling>
        <c:delete val="1"/>
        <c:axPos val="l"/>
        <c:numFmt formatCode="General" sourceLinked="1"/>
        <c:majorTickMark val="none"/>
        <c:minorTickMark val="none"/>
        <c:tickLblPos val="nextTo"/>
        <c:crossAx val="629373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Times Locavia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'Visão O4R1'!$K$2</c:f>
              <c:strCache>
                <c:ptCount val="1"/>
                <c:pt idx="0">
                  <c:v>Melhor caso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19050" cap="flat" cmpd="sng" algn="ctr">
                <a:solidFill>
                  <a:srgbClr val="215C98"/>
                </a:solidFill>
                <a:prstDash val="solid"/>
                <a:round/>
              </a:ln>
              <a:effectLst/>
            </c:spPr>
          </c:errBars>
          <c:xVal>
            <c:numRef>
              <c:f>'Visão O4R1'!$K$3:$K$16</c:f>
              <c:numCache>
                <c:formatCode>m/d/yyyy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xVal>
          <c:yVal>
            <c:numRef>
              <c:f>'Visão O4R1'!$L$3:$L$16</c:f>
              <c:numCache>
                <c:formatCode>General</c:formatCode>
                <c:ptCount val="14"/>
                <c:pt idx="0">
                  <c:v>7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6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4-4125-8C31-6C392A7C93D6}"/>
            </c:ext>
          </c:extLst>
        </c:ser>
        <c:ser>
          <c:idx val="1"/>
          <c:order val="1"/>
          <c:tx>
            <c:v>Pior caso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19050" cap="flat" cmpd="sng" algn="ctr">
                <a:solidFill>
                  <a:srgbClr val="FF0000"/>
                </a:solidFill>
                <a:prstDash val="solid"/>
                <a:round/>
              </a:ln>
              <a:effectLst/>
            </c:spPr>
          </c:errBars>
          <c:xVal>
            <c:numRef>
              <c:f>'Visão O4R1'!$M$3:$M$16</c:f>
              <c:numCache>
                <c:formatCode>m/d/yyyy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xVal>
          <c:yVal>
            <c:numRef>
              <c:f>'Visão O4R1'!$N$3:$N$16</c:f>
              <c:numCache>
                <c:formatCode>General</c:formatCode>
                <c:ptCount val="14"/>
                <c:pt idx="0">
                  <c:v>7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6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04-4125-8C31-6C392A7C93D6}"/>
            </c:ext>
          </c:extLst>
        </c:ser>
        <c:ser>
          <c:idx val="2"/>
          <c:order val="2"/>
          <c:tx>
            <c:strRef>
              <c:f>'Visão O4R1'!$O$2</c:f>
              <c:strCache>
                <c:ptCount val="1"/>
                <c:pt idx="0">
                  <c:v>QA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rgbClr val="E97132"/>
              </a:solid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1"/>
            <c:showSerName val="1"/>
            <c:showPercent val="0"/>
            <c:showBubbleSize val="0"/>
            <c:separator>: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38100" cap="flat" cmpd="sng" algn="ctr">
                <a:solidFill>
                  <a:srgbClr val="E97132"/>
                </a:solidFill>
                <a:prstDash val="solid"/>
                <a:round/>
              </a:ln>
              <a:effectLst/>
            </c:spPr>
          </c:errBars>
          <c:xVal>
            <c:numRef>
              <c:f>'Visão O4R1'!$O$3</c:f>
              <c:numCache>
                <c:formatCode>m/d/yyyy</c:formatCode>
                <c:ptCount val="1"/>
                <c:pt idx="0">
                  <c:v>46020</c:v>
                </c:pt>
              </c:numCache>
            </c:numRef>
          </c:xVal>
          <c:yVal>
            <c:numRef>
              <c:f>'Visão O4R1'!$P$3</c:f>
              <c:numCache>
                <c:formatCode>General</c:formatCode>
                <c:ptCount val="1"/>
                <c:pt idx="0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04-4125-8C31-6C392A7C93D6}"/>
            </c:ext>
          </c:extLst>
        </c:ser>
        <c:ser>
          <c:idx val="3"/>
          <c:order val="3"/>
          <c:tx>
            <c:strRef>
              <c:f>'Visão O4R1'!$O$4</c:f>
              <c:strCache>
                <c:ptCount val="1"/>
                <c:pt idx="0">
                  <c:v>Produção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1"/>
            <c:showPercent val="0"/>
            <c:showBubbleSize val="0"/>
            <c:separator>: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38100" cap="flat" cmpd="sng" algn="ctr">
                <a:solidFill>
                  <a:srgbClr val="00B050"/>
                </a:solidFill>
                <a:prstDash val="solid"/>
                <a:round/>
              </a:ln>
              <a:effectLst/>
            </c:spPr>
          </c:errBars>
          <c:xVal>
            <c:numRef>
              <c:f>'Visão O4R1'!$O$5</c:f>
              <c:numCache>
                <c:formatCode>m/d/yyyy</c:formatCode>
                <c:ptCount val="1"/>
                <c:pt idx="0">
                  <c:v>46034</c:v>
                </c:pt>
              </c:numCache>
            </c:numRef>
          </c:xVal>
          <c:yVal>
            <c:numRef>
              <c:f>'Visão O4R1'!$P$5</c:f>
              <c:numCache>
                <c:formatCode>General</c:formatCode>
                <c:ptCount val="1"/>
                <c:pt idx="0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04-4125-8C31-6C392A7C93D6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axId val="629373960"/>
        <c:axId val="1399001095"/>
      </c:scatterChart>
      <c:valAx>
        <c:axId val="629373960"/>
        <c:scaling>
          <c:orientation val="minMax"/>
          <c:max val="46199"/>
          <c:min val="45929"/>
        </c:scaling>
        <c:delete val="0"/>
        <c:axPos val="b"/>
        <c:numFmt formatCode="dd/mm" sourceLinked="0"/>
        <c:majorTickMark val="none"/>
        <c:minorTickMark val="none"/>
        <c:tickLblPos val="none"/>
        <c:spPr>
          <a:noFill/>
          <a:ln w="762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01095"/>
        <c:crosses val="autoZero"/>
        <c:crossBetween val="midCat"/>
      </c:valAx>
      <c:valAx>
        <c:axId val="1399001095"/>
        <c:scaling>
          <c:orientation val="minMax"/>
          <c:max val="15"/>
        </c:scaling>
        <c:delete val="1"/>
        <c:axPos val="l"/>
        <c:numFmt formatCode="General" sourceLinked="1"/>
        <c:majorTickMark val="none"/>
        <c:minorTickMark val="none"/>
        <c:tickLblPos val="nextTo"/>
        <c:crossAx val="629373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701765749718302E-2"/>
          <c:y val="8.0577964564245416E-2"/>
          <c:w val="0.90301353718959942"/>
          <c:h val="0.65235946733652161"/>
        </c:manualLayout>
      </c:layout>
      <c:lineChart>
        <c:grouping val="standard"/>
        <c:varyColors val="1"/>
        <c:ser>
          <c:idx val="0"/>
          <c:order val="0"/>
          <c:tx>
            <c:strRef>
              <c:f>'Modelo Estrutura'!$C$13</c:f>
              <c:strCache>
                <c:ptCount val="1"/>
                <c:pt idx="0">
                  <c:v>A fazer 
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'Modelo Estrutura'!$B$14:$B$55</c:f>
              <c:numCache>
                <c:formatCode>dd/mm/yy;@</c:formatCode>
                <c:ptCount val="42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'Modelo Estrutura'!$C$14:$C$55</c:f>
              <c:numCache>
                <c:formatCode>General</c:formatCode>
                <c:ptCount val="42"/>
                <c:pt idx="0">
                  <c:v>13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24</c:v>
                </c:pt>
                <c:pt idx="5">
                  <c:v>23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7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15-4CEC-BA41-C33447F46CD3}"/>
            </c:ext>
          </c:extLst>
        </c:ser>
        <c:ser>
          <c:idx val="1"/>
          <c:order val="1"/>
          <c:tx>
            <c:strRef>
              <c:f>'Modelo Estrutura'!$D$13</c:f>
              <c:strCache>
                <c:ptCount val="1"/>
                <c:pt idx="0">
                  <c:v>A fazer 
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'Modelo Estrutura'!$B$14:$B$55</c:f>
              <c:numCache>
                <c:formatCode>dd/mm/yy;@</c:formatCode>
                <c:ptCount val="42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'Modelo Estrutura'!$D$14:$D$55</c:f>
              <c:numCache>
                <c:formatCode>General</c:formatCode>
                <c:ptCount val="42"/>
                <c:pt idx="0">
                  <c:v>13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24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20</c:v>
                </c:pt>
                <c:pt idx="9">
                  <c:v>19</c:v>
                </c:pt>
                <c:pt idx="10">
                  <c:v>18</c:v>
                </c:pt>
                <c:pt idx="11">
                  <c:v>17</c:v>
                </c:pt>
                <c:pt idx="12">
                  <c:v>16</c:v>
                </c:pt>
                <c:pt idx="13">
                  <c:v>15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11</c:v>
                </c:pt>
                <c:pt idx="18">
                  <c:v>10</c:v>
                </c:pt>
                <c:pt idx="19">
                  <c:v>9</c:v>
                </c:pt>
                <c:pt idx="20">
                  <c:v>8</c:v>
                </c:pt>
                <c:pt idx="21">
                  <c:v>7</c:v>
                </c:pt>
                <c:pt idx="22">
                  <c:v>6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15-4CEC-BA41-C33447F46CD3}"/>
            </c:ext>
          </c:extLst>
        </c:ser>
        <c:ser>
          <c:idx val="2"/>
          <c:order val="2"/>
          <c:tx>
            <c:strRef>
              <c:f>'Modelo Estrutura'!$E$13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'Modelo Estrutura'!$B$14:$B$55</c:f>
              <c:numCache>
                <c:formatCode>dd/mm/yy;@</c:formatCode>
                <c:ptCount val="42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'Modelo Estrutura'!$E$14:$E$55</c:f>
              <c:numCache>
                <c:formatCode>General</c:formatCode>
                <c:ptCount val="42"/>
                <c:pt idx="0">
                  <c:v>13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24</c:v>
                </c:pt>
                <c:pt idx="5">
                  <c:v>23</c:v>
                </c:pt>
                <c:pt idx="6">
                  <c:v>20</c:v>
                </c:pt>
                <c:pt idx="7">
                  <c:v>17</c:v>
                </c:pt>
                <c:pt idx="8">
                  <c:v>14</c:v>
                </c:pt>
                <c:pt idx="9">
                  <c:v>11</c:v>
                </c:pt>
                <c:pt idx="10">
                  <c:v>8</c:v>
                </c:pt>
                <c:pt idx="11">
                  <c:v>5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15-4CEC-BA41-C33447F46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anchor="t" anchorCtr="0"/>
          <a:lstStyle/>
          <a:p>
            <a:pPr lvl="0">
              <a:defRPr b="0" i="0">
                <a:ln>
                  <a:solidFill>
                    <a:schemeClr val="bg2"/>
                  </a:solidFill>
                </a:ln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  <a:ln>
          <a:noFill/>
        </a:ln>
      </c:spPr>
    </c:plotArea>
    <c:legend>
      <c:legendPos val="b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'GOL - TESTE'!$C$13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'GOL - TESTE'!$B$14:$B$54</c:f>
              <c:numCache>
                <c:formatCode>dd/mm/yy;@</c:formatCode>
                <c:ptCount val="4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  <c:pt idx="21">
                  <c:v>46209</c:v>
                </c:pt>
                <c:pt idx="22">
                  <c:v>46216</c:v>
                </c:pt>
                <c:pt idx="23">
                  <c:v>46223</c:v>
                </c:pt>
                <c:pt idx="24">
                  <c:v>46230</c:v>
                </c:pt>
                <c:pt idx="25">
                  <c:v>46237</c:v>
                </c:pt>
                <c:pt idx="26">
                  <c:v>46244</c:v>
                </c:pt>
                <c:pt idx="27">
                  <c:v>46251</c:v>
                </c:pt>
                <c:pt idx="28">
                  <c:v>46258</c:v>
                </c:pt>
                <c:pt idx="29">
                  <c:v>46265</c:v>
                </c:pt>
                <c:pt idx="30">
                  <c:v>46272</c:v>
                </c:pt>
                <c:pt idx="31">
                  <c:v>46279</c:v>
                </c:pt>
                <c:pt idx="32">
                  <c:v>46286</c:v>
                </c:pt>
                <c:pt idx="33">
                  <c:v>46293</c:v>
                </c:pt>
                <c:pt idx="34">
                  <c:v>46300</c:v>
                </c:pt>
                <c:pt idx="35">
                  <c:v>46307</c:v>
                </c:pt>
                <c:pt idx="36">
                  <c:v>46314</c:v>
                </c:pt>
                <c:pt idx="37">
                  <c:v>46321</c:v>
                </c:pt>
                <c:pt idx="38">
                  <c:v>46328</c:v>
                </c:pt>
                <c:pt idx="39">
                  <c:v>46335</c:v>
                </c:pt>
                <c:pt idx="40">
                  <c:v>46342</c:v>
                </c:pt>
              </c:numCache>
            </c:numRef>
          </c:cat>
          <c:val>
            <c:numRef>
              <c:f>'GOL - TESTE'!$C$14:$C$54</c:f>
              <c:numCache>
                <c:formatCode>General</c:formatCode>
                <c:ptCount val="41"/>
                <c:pt idx="0">
                  <c:v>15</c:v>
                </c:pt>
                <c:pt idx="1">
                  <c:v>11</c:v>
                </c:pt>
                <c:pt idx="2">
                  <c:v>7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3-41FB-88FC-C89065222045}"/>
            </c:ext>
          </c:extLst>
        </c:ser>
        <c:ser>
          <c:idx val="1"/>
          <c:order val="1"/>
          <c:tx>
            <c:strRef>
              <c:f>'GOL - TESTE'!$D$13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'GOL - TESTE'!$B$14:$B$54</c:f>
              <c:numCache>
                <c:formatCode>dd/mm/yy;@</c:formatCode>
                <c:ptCount val="4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  <c:pt idx="21">
                  <c:v>46209</c:v>
                </c:pt>
                <c:pt idx="22">
                  <c:v>46216</c:v>
                </c:pt>
                <c:pt idx="23">
                  <c:v>46223</c:v>
                </c:pt>
                <c:pt idx="24">
                  <c:v>46230</c:v>
                </c:pt>
                <c:pt idx="25">
                  <c:v>46237</c:v>
                </c:pt>
                <c:pt idx="26">
                  <c:v>46244</c:v>
                </c:pt>
                <c:pt idx="27">
                  <c:v>46251</c:v>
                </c:pt>
                <c:pt idx="28">
                  <c:v>46258</c:v>
                </c:pt>
                <c:pt idx="29">
                  <c:v>46265</c:v>
                </c:pt>
                <c:pt idx="30">
                  <c:v>46272</c:v>
                </c:pt>
                <c:pt idx="31">
                  <c:v>46279</c:v>
                </c:pt>
                <c:pt idx="32">
                  <c:v>46286</c:v>
                </c:pt>
                <c:pt idx="33">
                  <c:v>46293</c:v>
                </c:pt>
                <c:pt idx="34">
                  <c:v>46300</c:v>
                </c:pt>
                <c:pt idx="35">
                  <c:v>46307</c:v>
                </c:pt>
                <c:pt idx="36">
                  <c:v>46314</c:v>
                </c:pt>
                <c:pt idx="37">
                  <c:v>46321</c:v>
                </c:pt>
                <c:pt idx="38">
                  <c:v>46328</c:v>
                </c:pt>
                <c:pt idx="39">
                  <c:v>46335</c:v>
                </c:pt>
                <c:pt idx="40">
                  <c:v>46342</c:v>
                </c:pt>
              </c:numCache>
            </c:numRef>
          </c:cat>
          <c:val>
            <c:numRef>
              <c:f>'GOL - TESTE'!$D$14:$D$54</c:f>
              <c:numCache>
                <c:formatCode>General</c:formatCode>
                <c:ptCount val="4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3-41FB-88FC-C89065222045}"/>
            </c:ext>
          </c:extLst>
        </c:ser>
        <c:ser>
          <c:idx val="2"/>
          <c:order val="2"/>
          <c:tx>
            <c:strRef>
              <c:f>'GOL - TESTE'!$E$13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'GOL - TESTE'!$B$14:$B$54</c:f>
              <c:numCache>
                <c:formatCode>dd/mm/yy;@</c:formatCode>
                <c:ptCount val="4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  <c:pt idx="21">
                  <c:v>46209</c:v>
                </c:pt>
                <c:pt idx="22">
                  <c:v>46216</c:v>
                </c:pt>
                <c:pt idx="23">
                  <c:v>46223</c:v>
                </c:pt>
                <c:pt idx="24">
                  <c:v>46230</c:v>
                </c:pt>
                <c:pt idx="25">
                  <c:v>46237</c:v>
                </c:pt>
                <c:pt idx="26">
                  <c:v>46244</c:v>
                </c:pt>
                <c:pt idx="27">
                  <c:v>46251</c:v>
                </c:pt>
                <c:pt idx="28">
                  <c:v>46258</c:v>
                </c:pt>
                <c:pt idx="29">
                  <c:v>46265</c:v>
                </c:pt>
                <c:pt idx="30">
                  <c:v>46272</c:v>
                </c:pt>
                <c:pt idx="31">
                  <c:v>46279</c:v>
                </c:pt>
                <c:pt idx="32">
                  <c:v>46286</c:v>
                </c:pt>
                <c:pt idx="33">
                  <c:v>46293</c:v>
                </c:pt>
                <c:pt idx="34">
                  <c:v>46300</c:v>
                </c:pt>
                <c:pt idx="35">
                  <c:v>46307</c:v>
                </c:pt>
                <c:pt idx="36">
                  <c:v>46314</c:v>
                </c:pt>
                <c:pt idx="37">
                  <c:v>46321</c:v>
                </c:pt>
                <c:pt idx="38">
                  <c:v>46328</c:v>
                </c:pt>
                <c:pt idx="39">
                  <c:v>46335</c:v>
                </c:pt>
                <c:pt idx="40">
                  <c:v>46342</c:v>
                </c:pt>
              </c:numCache>
            </c:numRef>
          </c:cat>
          <c:val>
            <c:numRef>
              <c:f>'GOL - TESTE'!$E$14:$E$54</c:f>
              <c:numCache>
                <c:formatCode>General</c:formatCode>
                <c:ptCount val="41"/>
                <c:pt idx="0">
                  <c:v>15</c:v>
                </c:pt>
                <c:pt idx="1">
                  <c:v>9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3-41FB-88FC-C89065222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'GOL - TESTE'!$B$14:$B$24</c:f>
              <c:numCache>
                <c:formatCode>dd/mm/yy;@</c:formatCode>
                <c:ptCount val="1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</c:numCache>
            </c:numRef>
          </c:cat>
          <c:val>
            <c:numRef>
              <c:f>'GOL - TESTE'!$J$14:$J$24</c:f>
              <c:numCache>
                <c:formatCode>General</c:formatCode>
                <c:ptCount val="1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D9E-47B3-9959-23CCF3FA0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'TERA - TESTE'!$C$13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'TERA - TESTE'!$B$14:$B$54</c:f>
              <c:numCache>
                <c:formatCode>dd/mm/yy;@</c:formatCode>
                <c:ptCount val="4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  <c:pt idx="21">
                  <c:v>46209</c:v>
                </c:pt>
                <c:pt idx="22">
                  <c:v>46216</c:v>
                </c:pt>
                <c:pt idx="23">
                  <c:v>46223</c:v>
                </c:pt>
                <c:pt idx="24">
                  <c:v>46230</c:v>
                </c:pt>
                <c:pt idx="25">
                  <c:v>46237</c:v>
                </c:pt>
                <c:pt idx="26">
                  <c:v>46244</c:v>
                </c:pt>
                <c:pt idx="27">
                  <c:v>46251</c:v>
                </c:pt>
                <c:pt idx="28">
                  <c:v>46258</c:v>
                </c:pt>
                <c:pt idx="29">
                  <c:v>46265</c:v>
                </c:pt>
                <c:pt idx="30">
                  <c:v>46272</c:v>
                </c:pt>
                <c:pt idx="31">
                  <c:v>46279</c:v>
                </c:pt>
                <c:pt idx="32">
                  <c:v>46286</c:v>
                </c:pt>
                <c:pt idx="33">
                  <c:v>46293</c:v>
                </c:pt>
                <c:pt idx="34">
                  <c:v>46300</c:v>
                </c:pt>
                <c:pt idx="35">
                  <c:v>46307</c:v>
                </c:pt>
                <c:pt idx="36">
                  <c:v>46314</c:v>
                </c:pt>
                <c:pt idx="37">
                  <c:v>46321</c:v>
                </c:pt>
                <c:pt idx="38">
                  <c:v>46328</c:v>
                </c:pt>
                <c:pt idx="39">
                  <c:v>46335</c:v>
                </c:pt>
                <c:pt idx="40">
                  <c:v>46342</c:v>
                </c:pt>
              </c:numCache>
            </c:numRef>
          </c:cat>
          <c:val>
            <c:numRef>
              <c:f>'TERA - TESTE'!$C$14:$C$54</c:f>
              <c:numCache>
                <c:formatCode>General</c:formatCode>
                <c:ptCount val="41"/>
                <c:pt idx="0">
                  <c:v>20</c:v>
                </c:pt>
                <c:pt idx="1">
                  <c:v>16</c:v>
                </c:pt>
                <c:pt idx="2">
                  <c:v>12</c:v>
                </c:pt>
                <c:pt idx="3">
                  <c:v>8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0-4C12-AACB-E8BCD1C7EF38}"/>
            </c:ext>
          </c:extLst>
        </c:ser>
        <c:ser>
          <c:idx val="1"/>
          <c:order val="1"/>
          <c:tx>
            <c:strRef>
              <c:f>'TERA - TESTE'!$D$13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'TERA - TESTE'!$B$14:$B$54</c:f>
              <c:numCache>
                <c:formatCode>dd/mm/yy;@</c:formatCode>
                <c:ptCount val="4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  <c:pt idx="21">
                  <c:v>46209</c:v>
                </c:pt>
                <c:pt idx="22">
                  <c:v>46216</c:v>
                </c:pt>
                <c:pt idx="23">
                  <c:v>46223</c:v>
                </c:pt>
                <c:pt idx="24">
                  <c:v>46230</c:v>
                </c:pt>
                <c:pt idx="25">
                  <c:v>46237</c:v>
                </c:pt>
                <c:pt idx="26">
                  <c:v>46244</c:v>
                </c:pt>
                <c:pt idx="27">
                  <c:v>46251</c:v>
                </c:pt>
                <c:pt idx="28">
                  <c:v>46258</c:v>
                </c:pt>
                <c:pt idx="29">
                  <c:v>46265</c:v>
                </c:pt>
                <c:pt idx="30">
                  <c:v>46272</c:v>
                </c:pt>
                <c:pt idx="31">
                  <c:v>46279</c:v>
                </c:pt>
                <c:pt idx="32">
                  <c:v>46286</c:v>
                </c:pt>
                <c:pt idx="33">
                  <c:v>46293</c:v>
                </c:pt>
                <c:pt idx="34">
                  <c:v>46300</c:v>
                </c:pt>
                <c:pt idx="35">
                  <c:v>46307</c:v>
                </c:pt>
                <c:pt idx="36">
                  <c:v>46314</c:v>
                </c:pt>
                <c:pt idx="37">
                  <c:v>46321</c:v>
                </c:pt>
                <c:pt idx="38">
                  <c:v>46328</c:v>
                </c:pt>
                <c:pt idx="39">
                  <c:v>46335</c:v>
                </c:pt>
                <c:pt idx="40">
                  <c:v>46342</c:v>
                </c:pt>
              </c:numCache>
            </c:numRef>
          </c:cat>
          <c:val>
            <c:numRef>
              <c:f>'TERA - TESTE'!$D$14:$D$54</c:f>
              <c:numCache>
                <c:formatCode>General</c:formatCode>
                <c:ptCount val="4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5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00-4C12-AACB-E8BCD1C7EF38}"/>
            </c:ext>
          </c:extLst>
        </c:ser>
        <c:ser>
          <c:idx val="2"/>
          <c:order val="2"/>
          <c:tx>
            <c:strRef>
              <c:f>'TERA - TESTE'!$E$13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'TERA - TESTE'!$B$14:$B$54</c:f>
              <c:numCache>
                <c:formatCode>dd/mm/yy;@</c:formatCode>
                <c:ptCount val="4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  <c:pt idx="21">
                  <c:v>46209</c:v>
                </c:pt>
                <c:pt idx="22">
                  <c:v>46216</c:v>
                </c:pt>
                <c:pt idx="23">
                  <c:v>46223</c:v>
                </c:pt>
                <c:pt idx="24">
                  <c:v>46230</c:v>
                </c:pt>
                <c:pt idx="25">
                  <c:v>46237</c:v>
                </c:pt>
                <c:pt idx="26">
                  <c:v>46244</c:v>
                </c:pt>
                <c:pt idx="27">
                  <c:v>46251</c:v>
                </c:pt>
                <c:pt idx="28">
                  <c:v>46258</c:v>
                </c:pt>
                <c:pt idx="29">
                  <c:v>46265</c:v>
                </c:pt>
                <c:pt idx="30">
                  <c:v>46272</c:v>
                </c:pt>
                <c:pt idx="31">
                  <c:v>46279</c:v>
                </c:pt>
                <c:pt idx="32">
                  <c:v>46286</c:v>
                </c:pt>
                <c:pt idx="33">
                  <c:v>46293</c:v>
                </c:pt>
                <c:pt idx="34">
                  <c:v>46300</c:v>
                </c:pt>
                <c:pt idx="35">
                  <c:v>46307</c:v>
                </c:pt>
                <c:pt idx="36">
                  <c:v>46314</c:v>
                </c:pt>
                <c:pt idx="37">
                  <c:v>46321</c:v>
                </c:pt>
                <c:pt idx="38">
                  <c:v>46328</c:v>
                </c:pt>
                <c:pt idx="39">
                  <c:v>46335</c:v>
                </c:pt>
                <c:pt idx="40">
                  <c:v>46342</c:v>
                </c:pt>
              </c:numCache>
            </c:numRef>
          </c:cat>
          <c:val>
            <c:numRef>
              <c:f>'TERA - TESTE'!$E$14:$E$54</c:f>
              <c:numCache>
                <c:formatCode>General</c:formatCode>
                <c:ptCount val="41"/>
                <c:pt idx="0">
                  <c:v>20</c:v>
                </c:pt>
                <c:pt idx="1">
                  <c:v>14</c:v>
                </c:pt>
                <c:pt idx="2">
                  <c:v>8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00-4C12-AACB-E8BCD1C7E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'TERA - TESTE'!$B$14:$B$24</c:f>
              <c:numCache>
                <c:formatCode>dd/mm/yy;@</c:formatCode>
                <c:ptCount val="1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</c:numCache>
            </c:numRef>
          </c:cat>
          <c:val>
            <c:numRef>
              <c:f>'TERA - TESTE'!$J$14:$J$24</c:f>
              <c:numCache>
                <c:formatCode>General</c:formatCode>
                <c:ptCount val="1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C04-413E-80B1-CAF22A9D6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'OPTMIUS - TESTE'!$C$13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'OPTMIUS - TESTE'!$B$14:$B$54</c:f>
              <c:numCache>
                <c:formatCode>dd/mm/yy;@</c:formatCode>
                <c:ptCount val="4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  <c:pt idx="21">
                  <c:v>46209</c:v>
                </c:pt>
                <c:pt idx="22">
                  <c:v>46216</c:v>
                </c:pt>
                <c:pt idx="23">
                  <c:v>46223</c:v>
                </c:pt>
                <c:pt idx="24">
                  <c:v>46230</c:v>
                </c:pt>
                <c:pt idx="25">
                  <c:v>46237</c:v>
                </c:pt>
                <c:pt idx="26">
                  <c:v>46244</c:v>
                </c:pt>
                <c:pt idx="27">
                  <c:v>46251</c:v>
                </c:pt>
                <c:pt idx="28">
                  <c:v>46258</c:v>
                </c:pt>
                <c:pt idx="29">
                  <c:v>46265</c:v>
                </c:pt>
                <c:pt idx="30">
                  <c:v>46272</c:v>
                </c:pt>
                <c:pt idx="31">
                  <c:v>46279</c:v>
                </c:pt>
                <c:pt idx="32">
                  <c:v>46286</c:v>
                </c:pt>
                <c:pt idx="33">
                  <c:v>46293</c:v>
                </c:pt>
                <c:pt idx="34">
                  <c:v>46300</c:v>
                </c:pt>
                <c:pt idx="35">
                  <c:v>46307</c:v>
                </c:pt>
                <c:pt idx="36">
                  <c:v>46314</c:v>
                </c:pt>
                <c:pt idx="37">
                  <c:v>46321</c:v>
                </c:pt>
                <c:pt idx="38">
                  <c:v>46328</c:v>
                </c:pt>
                <c:pt idx="39">
                  <c:v>46335</c:v>
                </c:pt>
                <c:pt idx="40">
                  <c:v>46342</c:v>
                </c:pt>
              </c:numCache>
            </c:numRef>
          </c:cat>
          <c:val>
            <c:numRef>
              <c:f>'OPTMIUS - TESTE'!$C$14:$C$54</c:f>
              <c:numCache>
                <c:formatCode>General</c:formatCode>
                <c:ptCount val="41"/>
                <c:pt idx="0">
                  <c:v>53</c:v>
                </c:pt>
                <c:pt idx="1">
                  <c:v>49</c:v>
                </c:pt>
                <c:pt idx="2">
                  <c:v>45</c:v>
                </c:pt>
                <c:pt idx="3">
                  <c:v>41</c:v>
                </c:pt>
                <c:pt idx="4">
                  <c:v>37</c:v>
                </c:pt>
                <c:pt idx="5">
                  <c:v>33</c:v>
                </c:pt>
                <c:pt idx="6">
                  <c:v>29</c:v>
                </c:pt>
                <c:pt idx="7">
                  <c:v>25</c:v>
                </c:pt>
                <c:pt idx="8">
                  <c:v>21</c:v>
                </c:pt>
                <c:pt idx="9">
                  <c:v>17</c:v>
                </c:pt>
                <c:pt idx="10">
                  <c:v>13</c:v>
                </c:pt>
                <c:pt idx="11">
                  <c:v>9</c:v>
                </c:pt>
                <c:pt idx="12">
                  <c:v>5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9-4DD4-8BDA-81764B9A4E0A}"/>
            </c:ext>
          </c:extLst>
        </c:ser>
        <c:ser>
          <c:idx val="1"/>
          <c:order val="1"/>
          <c:tx>
            <c:strRef>
              <c:f>'OPTMIUS - TESTE'!$D$13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'OPTMIUS - TESTE'!$B$14:$B$54</c:f>
              <c:numCache>
                <c:formatCode>dd/mm/yy;@</c:formatCode>
                <c:ptCount val="4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  <c:pt idx="21">
                  <c:v>46209</c:v>
                </c:pt>
                <c:pt idx="22">
                  <c:v>46216</c:v>
                </c:pt>
                <c:pt idx="23">
                  <c:v>46223</c:v>
                </c:pt>
                <c:pt idx="24">
                  <c:v>46230</c:v>
                </c:pt>
                <c:pt idx="25">
                  <c:v>46237</c:v>
                </c:pt>
                <c:pt idx="26">
                  <c:v>46244</c:v>
                </c:pt>
                <c:pt idx="27">
                  <c:v>46251</c:v>
                </c:pt>
                <c:pt idx="28">
                  <c:v>46258</c:v>
                </c:pt>
                <c:pt idx="29">
                  <c:v>46265</c:v>
                </c:pt>
                <c:pt idx="30">
                  <c:v>46272</c:v>
                </c:pt>
                <c:pt idx="31">
                  <c:v>46279</c:v>
                </c:pt>
                <c:pt idx="32">
                  <c:v>46286</c:v>
                </c:pt>
                <c:pt idx="33">
                  <c:v>46293</c:v>
                </c:pt>
                <c:pt idx="34">
                  <c:v>46300</c:v>
                </c:pt>
                <c:pt idx="35">
                  <c:v>46307</c:v>
                </c:pt>
                <c:pt idx="36">
                  <c:v>46314</c:v>
                </c:pt>
                <c:pt idx="37">
                  <c:v>46321</c:v>
                </c:pt>
                <c:pt idx="38">
                  <c:v>46328</c:v>
                </c:pt>
                <c:pt idx="39">
                  <c:v>46335</c:v>
                </c:pt>
                <c:pt idx="40">
                  <c:v>46342</c:v>
                </c:pt>
              </c:numCache>
            </c:numRef>
          </c:cat>
          <c:val>
            <c:numRef>
              <c:f>'OPTMIUS - TESTE'!$D$14:$D$54</c:f>
              <c:numCache>
                <c:formatCode>General</c:formatCode>
                <c:ptCount val="41"/>
                <c:pt idx="0">
                  <c:v>53</c:v>
                </c:pt>
                <c:pt idx="1">
                  <c:v>52</c:v>
                </c:pt>
                <c:pt idx="2">
                  <c:v>51</c:v>
                </c:pt>
                <c:pt idx="3">
                  <c:v>50</c:v>
                </c:pt>
                <c:pt idx="4">
                  <c:v>49</c:v>
                </c:pt>
                <c:pt idx="5">
                  <c:v>48</c:v>
                </c:pt>
                <c:pt idx="6">
                  <c:v>47</c:v>
                </c:pt>
                <c:pt idx="7">
                  <c:v>46</c:v>
                </c:pt>
                <c:pt idx="8">
                  <c:v>45</c:v>
                </c:pt>
                <c:pt idx="9">
                  <c:v>44</c:v>
                </c:pt>
                <c:pt idx="10">
                  <c:v>43</c:v>
                </c:pt>
                <c:pt idx="11">
                  <c:v>42</c:v>
                </c:pt>
                <c:pt idx="12">
                  <c:v>41</c:v>
                </c:pt>
                <c:pt idx="13">
                  <c:v>40</c:v>
                </c:pt>
                <c:pt idx="14">
                  <c:v>39</c:v>
                </c:pt>
                <c:pt idx="15">
                  <c:v>38</c:v>
                </c:pt>
                <c:pt idx="16">
                  <c:v>37</c:v>
                </c:pt>
                <c:pt idx="17">
                  <c:v>36</c:v>
                </c:pt>
                <c:pt idx="18">
                  <c:v>35</c:v>
                </c:pt>
                <c:pt idx="19">
                  <c:v>34</c:v>
                </c:pt>
                <c:pt idx="20">
                  <c:v>33</c:v>
                </c:pt>
                <c:pt idx="21">
                  <c:v>32</c:v>
                </c:pt>
                <c:pt idx="22">
                  <c:v>31</c:v>
                </c:pt>
                <c:pt idx="23">
                  <c:v>30</c:v>
                </c:pt>
                <c:pt idx="24">
                  <c:v>29</c:v>
                </c:pt>
                <c:pt idx="25">
                  <c:v>28</c:v>
                </c:pt>
                <c:pt idx="26">
                  <c:v>27</c:v>
                </c:pt>
                <c:pt idx="27">
                  <c:v>26</c:v>
                </c:pt>
                <c:pt idx="28">
                  <c:v>25</c:v>
                </c:pt>
                <c:pt idx="29">
                  <c:v>24</c:v>
                </c:pt>
                <c:pt idx="30">
                  <c:v>23</c:v>
                </c:pt>
                <c:pt idx="31">
                  <c:v>22</c:v>
                </c:pt>
                <c:pt idx="32">
                  <c:v>21</c:v>
                </c:pt>
                <c:pt idx="33">
                  <c:v>20</c:v>
                </c:pt>
                <c:pt idx="34">
                  <c:v>19</c:v>
                </c:pt>
                <c:pt idx="35">
                  <c:v>18</c:v>
                </c:pt>
                <c:pt idx="36">
                  <c:v>17</c:v>
                </c:pt>
                <c:pt idx="37">
                  <c:v>16</c:v>
                </c:pt>
                <c:pt idx="38">
                  <c:v>15</c:v>
                </c:pt>
                <c:pt idx="39">
                  <c:v>14</c:v>
                </c:pt>
                <c:pt idx="4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09-4DD4-8BDA-81764B9A4E0A}"/>
            </c:ext>
          </c:extLst>
        </c:ser>
        <c:ser>
          <c:idx val="2"/>
          <c:order val="2"/>
          <c:tx>
            <c:strRef>
              <c:f>'OPTMIUS - TESTE'!$E$13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'OPTMIUS - TESTE'!$B$14:$B$54</c:f>
              <c:numCache>
                <c:formatCode>dd/mm/yy;@</c:formatCode>
                <c:ptCount val="4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  <c:pt idx="21">
                  <c:v>46209</c:v>
                </c:pt>
                <c:pt idx="22">
                  <c:v>46216</c:v>
                </c:pt>
                <c:pt idx="23">
                  <c:v>46223</c:v>
                </c:pt>
                <c:pt idx="24">
                  <c:v>46230</c:v>
                </c:pt>
                <c:pt idx="25">
                  <c:v>46237</c:v>
                </c:pt>
                <c:pt idx="26">
                  <c:v>46244</c:v>
                </c:pt>
                <c:pt idx="27">
                  <c:v>46251</c:v>
                </c:pt>
                <c:pt idx="28">
                  <c:v>46258</c:v>
                </c:pt>
                <c:pt idx="29">
                  <c:v>46265</c:v>
                </c:pt>
                <c:pt idx="30">
                  <c:v>46272</c:v>
                </c:pt>
                <c:pt idx="31">
                  <c:v>46279</c:v>
                </c:pt>
                <c:pt idx="32">
                  <c:v>46286</c:v>
                </c:pt>
                <c:pt idx="33">
                  <c:v>46293</c:v>
                </c:pt>
                <c:pt idx="34">
                  <c:v>46300</c:v>
                </c:pt>
                <c:pt idx="35">
                  <c:v>46307</c:v>
                </c:pt>
                <c:pt idx="36">
                  <c:v>46314</c:v>
                </c:pt>
                <c:pt idx="37">
                  <c:v>46321</c:v>
                </c:pt>
                <c:pt idx="38">
                  <c:v>46328</c:v>
                </c:pt>
                <c:pt idx="39">
                  <c:v>46335</c:v>
                </c:pt>
                <c:pt idx="40">
                  <c:v>46342</c:v>
                </c:pt>
              </c:numCache>
            </c:numRef>
          </c:cat>
          <c:val>
            <c:numRef>
              <c:f>'OPTMIUS - TESTE'!$E$14:$E$54</c:f>
              <c:numCache>
                <c:formatCode>General</c:formatCode>
                <c:ptCount val="41"/>
                <c:pt idx="0">
                  <c:v>53</c:v>
                </c:pt>
                <c:pt idx="1">
                  <c:v>47</c:v>
                </c:pt>
                <c:pt idx="2">
                  <c:v>41</c:v>
                </c:pt>
                <c:pt idx="3">
                  <c:v>35</c:v>
                </c:pt>
                <c:pt idx="4">
                  <c:v>29</c:v>
                </c:pt>
                <c:pt idx="5">
                  <c:v>23</c:v>
                </c:pt>
                <c:pt idx="6">
                  <c:v>17</c:v>
                </c:pt>
                <c:pt idx="7">
                  <c:v>11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09-4DD4-8BDA-81764B9A4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'OPTMIUS - TESTE'!$B$14:$B$24</c:f>
              <c:numCache>
                <c:formatCode>dd/mm/yy;@</c:formatCode>
                <c:ptCount val="11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</c:numCache>
            </c:numRef>
          </c:cat>
          <c:val>
            <c:numRef>
              <c:f>'OPTMIUS - TESTE'!$J$14:$J$24</c:f>
              <c:numCache>
                <c:formatCode>General</c:formatCode>
                <c:ptCount val="1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B57-4E36-80F1-683B1FF4E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'GOL (R1.5)'!$C$13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'GOL (R1.5)'!$B$14:$B$54</c:f>
              <c:numCache>
                <c:formatCode>dd/mm/yy;@</c:formatCode>
                <c:ptCount val="41"/>
                <c:pt idx="0">
                  <c:v>45943</c:v>
                </c:pt>
                <c:pt idx="1">
                  <c:v>45950</c:v>
                </c:pt>
                <c:pt idx="2">
                  <c:v>45957</c:v>
                </c:pt>
                <c:pt idx="3">
                  <c:v>45964</c:v>
                </c:pt>
                <c:pt idx="4">
                  <c:v>45971</c:v>
                </c:pt>
                <c:pt idx="5">
                  <c:v>45978</c:v>
                </c:pt>
                <c:pt idx="6">
                  <c:v>45985</c:v>
                </c:pt>
                <c:pt idx="7">
                  <c:v>45992</c:v>
                </c:pt>
                <c:pt idx="8">
                  <c:v>45999</c:v>
                </c:pt>
                <c:pt idx="9">
                  <c:v>46006</c:v>
                </c:pt>
                <c:pt idx="10">
                  <c:v>46013</c:v>
                </c:pt>
                <c:pt idx="11">
                  <c:v>46020</c:v>
                </c:pt>
                <c:pt idx="12">
                  <c:v>46027</c:v>
                </c:pt>
                <c:pt idx="13">
                  <c:v>46034</c:v>
                </c:pt>
                <c:pt idx="14">
                  <c:v>46041</c:v>
                </c:pt>
                <c:pt idx="15">
                  <c:v>46048</c:v>
                </c:pt>
                <c:pt idx="16">
                  <c:v>46055</c:v>
                </c:pt>
                <c:pt idx="17">
                  <c:v>46062</c:v>
                </c:pt>
                <c:pt idx="18">
                  <c:v>46069</c:v>
                </c:pt>
                <c:pt idx="19">
                  <c:v>46076</c:v>
                </c:pt>
                <c:pt idx="20">
                  <c:v>46083</c:v>
                </c:pt>
                <c:pt idx="21">
                  <c:v>46090</c:v>
                </c:pt>
                <c:pt idx="22">
                  <c:v>46097</c:v>
                </c:pt>
                <c:pt idx="23">
                  <c:v>46104</c:v>
                </c:pt>
                <c:pt idx="24">
                  <c:v>46111</c:v>
                </c:pt>
                <c:pt idx="25">
                  <c:v>46118</c:v>
                </c:pt>
                <c:pt idx="26">
                  <c:v>46125</c:v>
                </c:pt>
                <c:pt idx="27">
                  <c:v>46132</c:v>
                </c:pt>
                <c:pt idx="28">
                  <c:v>46139</c:v>
                </c:pt>
                <c:pt idx="29">
                  <c:v>46146</c:v>
                </c:pt>
                <c:pt idx="30">
                  <c:v>46153</c:v>
                </c:pt>
                <c:pt idx="31">
                  <c:v>46160</c:v>
                </c:pt>
                <c:pt idx="32">
                  <c:v>46167</c:v>
                </c:pt>
                <c:pt idx="33">
                  <c:v>46174</c:v>
                </c:pt>
                <c:pt idx="34">
                  <c:v>46181</c:v>
                </c:pt>
                <c:pt idx="35">
                  <c:v>46188</c:v>
                </c:pt>
                <c:pt idx="36">
                  <c:v>46195</c:v>
                </c:pt>
                <c:pt idx="37">
                  <c:v>46202</c:v>
                </c:pt>
                <c:pt idx="38">
                  <c:v>46209</c:v>
                </c:pt>
                <c:pt idx="39">
                  <c:v>46216</c:v>
                </c:pt>
                <c:pt idx="40">
                  <c:v>46223</c:v>
                </c:pt>
              </c:numCache>
            </c:numRef>
          </c:cat>
          <c:val>
            <c:numRef>
              <c:f>'GOL (R1.5)'!$C$14:$C$54</c:f>
              <c:numCache>
                <c:formatCode>General</c:formatCode>
                <c:ptCount val="41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56</c:v>
                </c:pt>
                <c:pt idx="6">
                  <c:v>83</c:v>
                </c:pt>
                <c:pt idx="7">
                  <c:v>79</c:v>
                </c:pt>
                <c:pt idx="8">
                  <c:v>77</c:v>
                </c:pt>
                <c:pt idx="9">
                  <c:v>74</c:v>
                </c:pt>
                <c:pt idx="10">
                  <c:v>72</c:v>
                </c:pt>
                <c:pt idx="11">
                  <c:v>71</c:v>
                </c:pt>
                <c:pt idx="12">
                  <c:v>71</c:v>
                </c:pt>
                <c:pt idx="13">
                  <c:v>69</c:v>
                </c:pt>
                <c:pt idx="14">
                  <c:v>67</c:v>
                </c:pt>
                <c:pt idx="15">
                  <c:v>65</c:v>
                </c:pt>
                <c:pt idx="16">
                  <c:v>63</c:v>
                </c:pt>
                <c:pt idx="17">
                  <c:v>61</c:v>
                </c:pt>
                <c:pt idx="18">
                  <c:v>59</c:v>
                </c:pt>
                <c:pt idx="19">
                  <c:v>57</c:v>
                </c:pt>
                <c:pt idx="20">
                  <c:v>55</c:v>
                </c:pt>
                <c:pt idx="21">
                  <c:v>53</c:v>
                </c:pt>
                <c:pt idx="22">
                  <c:v>51</c:v>
                </c:pt>
                <c:pt idx="23">
                  <c:v>49</c:v>
                </c:pt>
                <c:pt idx="24">
                  <c:v>47</c:v>
                </c:pt>
                <c:pt idx="25">
                  <c:v>45</c:v>
                </c:pt>
                <c:pt idx="26">
                  <c:v>43</c:v>
                </c:pt>
                <c:pt idx="27">
                  <c:v>41</c:v>
                </c:pt>
                <c:pt idx="28">
                  <c:v>39</c:v>
                </c:pt>
                <c:pt idx="29">
                  <c:v>37</c:v>
                </c:pt>
                <c:pt idx="30">
                  <c:v>35</c:v>
                </c:pt>
                <c:pt idx="31">
                  <c:v>33</c:v>
                </c:pt>
                <c:pt idx="32">
                  <c:v>31</c:v>
                </c:pt>
                <c:pt idx="33">
                  <c:v>29</c:v>
                </c:pt>
                <c:pt idx="34">
                  <c:v>27</c:v>
                </c:pt>
                <c:pt idx="35">
                  <c:v>25</c:v>
                </c:pt>
                <c:pt idx="36">
                  <c:v>23</c:v>
                </c:pt>
                <c:pt idx="37">
                  <c:v>21</c:v>
                </c:pt>
                <c:pt idx="38">
                  <c:v>19</c:v>
                </c:pt>
                <c:pt idx="39">
                  <c:v>17</c:v>
                </c:pt>
                <c:pt idx="4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D-4B9D-90FD-C7C8C3C82056}"/>
            </c:ext>
          </c:extLst>
        </c:ser>
        <c:ser>
          <c:idx val="1"/>
          <c:order val="1"/>
          <c:tx>
            <c:strRef>
              <c:f>'GOL (R1.5)'!$D$13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'GOL (R1.5)'!$B$14:$B$54</c:f>
              <c:numCache>
                <c:formatCode>dd/mm/yy;@</c:formatCode>
                <c:ptCount val="41"/>
                <c:pt idx="0">
                  <c:v>45943</c:v>
                </c:pt>
                <c:pt idx="1">
                  <c:v>45950</c:v>
                </c:pt>
                <c:pt idx="2">
                  <c:v>45957</c:v>
                </c:pt>
                <c:pt idx="3">
                  <c:v>45964</c:v>
                </c:pt>
                <c:pt idx="4">
                  <c:v>45971</c:v>
                </c:pt>
                <c:pt idx="5">
                  <c:v>45978</c:v>
                </c:pt>
                <c:pt idx="6">
                  <c:v>45985</c:v>
                </c:pt>
                <c:pt idx="7">
                  <c:v>45992</c:v>
                </c:pt>
                <c:pt idx="8">
                  <c:v>45999</c:v>
                </c:pt>
                <c:pt idx="9">
                  <c:v>46006</c:v>
                </c:pt>
                <c:pt idx="10">
                  <c:v>46013</c:v>
                </c:pt>
                <c:pt idx="11">
                  <c:v>46020</c:v>
                </c:pt>
                <c:pt idx="12">
                  <c:v>46027</c:v>
                </c:pt>
                <c:pt idx="13">
                  <c:v>46034</c:v>
                </c:pt>
                <c:pt idx="14">
                  <c:v>46041</c:v>
                </c:pt>
                <c:pt idx="15">
                  <c:v>46048</c:v>
                </c:pt>
                <c:pt idx="16">
                  <c:v>46055</c:v>
                </c:pt>
                <c:pt idx="17">
                  <c:v>46062</c:v>
                </c:pt>
                <c:pt idx="18">
                  <c:v>46069</c:v>
                </c:pt>
                <c:pt idx="19">
                  <c:v>46076</c:v>
                </c:pt>
                <c:pt idx="20">
                  <c:v>46083</c:v>
                </c:pt>
                <c:pt idx="21">
                  <c:v>46090</c:v>
                </c:pt>
                <c:pt idx="22">
                  <c:v>46097</c:v>
                </c:pt>
                <c:pt idx="23">
                  <c:v>46104</c:v>
                </c:pt>
                <c:pt idx="24">
                  <c:v>46111</c:v>
                </c:pt>
                <c:pt idx="25">
                  <c:v>46118</c:v>
                </c:pt>
                <c:pt idx="26">
                  <c:v>46125</c:v>
                </c:pt>
                <c:pt idx="27">
                  <c:v>46132</c:v>
                </c:pt>
                <c:pt idx="28">
                  <c:v>46139</c:v>
                </c:pt>
                <c:pt idx="29">
                  <c:v>46146</c:v>
                </c:pt>
                <c:pt idx="30">
                  <c:v>46153</c:v>
                </c:pt>
                <c:pt idx="31">
                  <c:v>46160</c:v>
                </c:pt>
                <c:pt idx="32">
                  <c:v>46167</c:v>
                </c:pt>
                <c:pt idx="33">
                  <c:v>46174</c:v>
                </c:pt>
                <c:pt idx="34">
                  <c:v>46181</c:v>
                </c:pt>
                <c:pt idx="35">
                  <c:v>46188</c:v>
                </c:pt>
                <c:pt idx="36">
                  <c:v>46195</c:v>
                </c:pt>
                <c:pt idx="37">
                  <c:v>46202</c:v>
                </c:pt>
                <c:pt idx="38">
                  <c:v>46209</c:v>
                </c:pt>
                <c:pt idx="39">
                  <c:v>46216</c:v>
                </c:pt>
                <c:pt idx="40">
                  <c:v>46223</c:v>
                </c:pt>
              </c:numCache>
            </c:numRef>
          </c:cat>
          <c:val>
            <c:numRef>
              <c:f>'GOL (R1.5)'!$D$14:$D$54</c:f>
              <c:numCache>
                <c:formatCode>General</c:formatCode>
                <c:ptCount val="41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56</c:v>
                </c:pt>
                <c:pt idx="6">
                  <c:v>83</c:v>
                </c:pt>
                <c:pt idx="7">
                  <c:v>79</c:v>
                </c:pt>
                <c:pt idx="8">
                  <c:v>77</c:v>
                </c:pt>
                <c:pt idx="9">
                  <c:v>74</c:v>
                </c:pt>
                <c:pt idx="10">
                  <c:v>72</c:v>
                </c:pt>
                <c:pt idx="11">
                  <c:v>71</c:v>
                </c:pt>
                <c:pt idx="12">
                  <c:v>71</c:v>
                </c:pt>
                <c:pt idx="13">
                  <c:v>69</c:v>
                </c:pt>
                <c:pt idx="14">
                  <c:v>68</c:v>
                </c:pt>
                <c:pt idx="15">
                  <c:v>67</c:v>
                </c:pt>
                <c:pt idx="16">
                  <c:v>66</c:v>
                </c:pt>
                <c:pt idx="17">
                  <c:v>65</c:v>
                </c:pt>
                <c:pt idx="18">
                  <c:v>64</c:v>
                </c:pt>
                <c:pt idx="19">
                  <c:v>63</c:v>
                </c:pt>
                <c:pt idx="20">
                  <c:v>62</c:v>
                </c:pt>
                <c:pt idx="21">
                  <c:v>61</c:v>
                </c:pt>
                <c:pt idx="22">
                  <c:v>60</c:v>
                </c:pt>
                <c:pt idx="23">
                  <c:v>59</c:v>
                </c:pt>
                <c:pt idx="24">
                  <c:v>58</c:v>
                </c:pt>
                <c:pt idx="25">
                  <c:v>57</c:v>
                </c:pt>
                <c:pt idx="26">
                  <c:v>56</c:v>
                </c:pt>
                <c:pt idx="27">
                  <c:v>55</c:v>
                </c:pt>
                <c:pt idx="28">
                  <c:v>54</c:v>
                </c:pt>
                <c:pt idx="29">
                  <c:v>53</c:v>
                </c:pt>
                <c:pt idx="30">
                  <c:v>52</c:v>
                </c:pt>
                <c:pt idx="31">
                  <c:v>51</c:v>
                </c:pt>
                <c:pt idx="32">
                  <c:v>50</c:v>
                </c:pt>
                <c:pt idx="33">
                  <c:v>49</c:v>
                </c:pt>
                <c:pt idx="34">
                  <c:v>48</c:v>
                </c:pt>
                <c:pt idx="35">
                  <c:v>47</c:v>
                </c:pt>
                <c:pt idx="36">
                  <c:v>46</c:v>
                </c:pt>
                <c:pt idx="37">
                  <c:v>45</c:v>
                </c:pt>
                <c:pt idx="38">
                  <c:v>44</c:v>
                </c:pt>
                <c:pt idx="39">
                  <c:v>43</c:v>
                </c:pt>
                <c:pt idx="4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1D-4B9D-90FD-C7C8C3C82056}"/>
            </c:ext>
          </c:extLst>
        </c:ser>
        <c:ser>
          <c:idx val="2"/>
          <c:order val="2"/>
          <c:tx>
            <c:strRef>
              <c:f>'GOL (R1.5)'!$E$13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'GOL (R1.5)'!$B$14:$B$54</c:f>
              <c:numCache>
                <c:formatCode>dd/mm/yy;@</c:formatCode>
                <c:ptCount val="41"/>
                <c:pt idx="0">
                  <c:v>45943</c:v>
                </c:pt>
                <c:pt idx="1">
                  <c:v>45950</c:v>
                </c:pt>
                <c:pt idx="2">
                  <c:v>45957</c:v>
                </c:pt>
                <c:pt idx="3">
                  <c:v>45964</c:v>
                </c:pt>
                <c:pt idx="4">
                  <c:v>45971</c:v>
                </c:pt>
                <c:pt idx="5">
                  <c:v>45978</c:v>
                </c:pt>
                <c:pt idx="6">
                  <c:v>45985</c:v>
                </c:pt>
                <c:pt idx="7">
                  <c:v>45992</c:v>
                </c:pt>
                <c:pt idx="8">
                  <c:v>45999</c:v>
                </c:pt>
                <c:pt idx="9">
                  <c:v>46006</c:v>
                </c:pt>
                <c:pt idx="10">
                  <c:v>46013</c:v>
                </c:pt>
                <c:pt idx="11">
                  <c:v>46020</c:v>
                </c:pt>
                <c:pt idx="12">
                  <c:v>46027</c:v>
                </c:pt>
                <c:pt idx="13">
                  <c:v>46034</c:v>
                </c:pt>
                <c:pt idx="14">
                  <c:v>46041</c:v>
                </c:pt>
                <c:pt idx="15">
                  <c:v>46048</c:v>
                </c:pt>
                <c:pt idx="16">
                  <c:v>46055</c:v>
                </c:pt>
                <c:pt idx="17">
                  <c:v>46062</c:v>
                </c:pt>
                <c:pt idx="18">
                  <c:v>46069</c:v>
                </c:pt>
                <c:pt idx="19">
                  <c:v>46076</c:v>
                </c:pt>
                <c:pt idx="20">
                  <c:v>46083</c:v>
                </c:pt>
                <c:pt idx="21">
                  <c:v>46090</c:v>
                </c:pt>
                <c:pt idx="22">
                  <c:v>46097</c:v>
                </c:pt>
                <c:pt idx="23">
                  <c:v>46104</c:v>
                </c:pt>
                <c:pt idx="24">
                  <c:v>46111</c:v>
                </c:pt>
                <c:pt idx="25">
                  <c:v>46118</c:v>
                </c:pt>
                <c:pt idx="26">
                  <c:v>46125</c:v>
                </c:pt>
                <c:pt idx="27">
                  <c:v>46132</c:v>
                </c:pt>
                <c:pt idx="28">
                  <c:v>46139</c:v>
                </c:pt>
                <c:pt idx="29">
                  <c:v>46146</c:v>
                </c:pt>
                <c:pt idx="30">
                  <c:v>46153</c:v>
                </c:pt>
                <c:pt idx="31">
                  <c:v>46160</c:v>
                </c:pt>
                <c:pt idx="32">
                  <c:v>46167</c:v>
                </c:pt>
                <c:pt idx="33">
                  <c:v>46174</c:v>
                </c:pt>
                <c:pt idx="34">
                  <c:v>46181</c:v>
                </c:pt>
                <c:pt idx="35">
                  <c:v>46188</c:v>
                </c:pt>
                <c:pt idx="36">
                  <c:v>46195</c:v>
                </c:pt>
                <c:pt idx="37">
                  <c:v>46202</c:v>
                </c:pt>
                <c:pt idx="38">
                  <c:v>46209</c:v>
                </c:pt>
                <c:pt idx="39">
                  <c:v>46216</c:v>
                </c:pt>
                <c:pt idx="40">
                  <c:v>46223</c:v>
                </c:pt>
              </c:numCache>
            </c:numRef>
          </c:cat>
          <c:val>
            <c:numRef>
              <c:f>'GOL (R1.5)'!$E$14:$E$54</c:f>
              <c:numCache>
                <c:formatCode>General</c:formatCode>
                <c:ptCount val="41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56</c:v>
                </c:pt>
                <c:pt idx="6">
                  <c:v>83</c:v>
                </c:pt>
                <c:pt idx="7">
                  <c:v>79</c:v>
                </c:pt>
                <c:pt idx="8">
                  <c:v>77</c:v>
                </c:pt>
                <c:pt idx="9">
                  <c:v>74</c:v>
                </c:pt>
                <c:pt idx="10">
                  <c:v>72</c:v>
                </c:pt>
                <c:pt idx="11">
                  <c:v>71</c:v>
                </c:pt>
                <c:pt idx="12">
                  <c:v>71</c:v>
                </c:pt>
                <c:pt idx="13">
                  <c:v>69</c:v>
                </c:pt>
                <c:pt idx="14">
                  <c:v>63</c:v>
                </c:pt>
                <c:pt idx="15">
                  <c:v>57</c:v>
                </c:pt>
                <c:pt idx="16">
                  <c:v>51</c:v>
                </c:pt>
                <c:pt idx="17">
                  <c:v>45</c:v>
                </c:pt>
                <c:pt idx="18">
                  <c:v>39</c:v>
                </c:pt>
                <c:pt idx="19">
                  <c:v>33</c:v>
                </c:pt>
                <c:pt idx="20">
                  <c:v>27</c:v>
                </c:pt>
                <c:pt idx="21">
                  <c:v>21</c:v>
                </c:pt>
                <c:pt idx="22">
                  <c:v>15</c:v>
                </c:pt>
                <c:pt idx="23">
                  <c:v>9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1D-4B9D-90FD-C7C8C3C82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'GOL (R1.5)'!$B$14:$B$24</c:f>
              <c:numCache>
                <c:formatCode>dd/mm/yy;@</c:formatCode>
                <c:ptCount val="11"/>
                <c:pt idx="0">
                  <c:v>45943</c:v>
                </c:pt>
                <c:pt idx="1">
                  <c:v>45950</c:v>
                </c:pt>
                <c:pt idx="2">
                  <c:v>45957</c:v>
                </c:pt>
                <c:pt idx="3">
                  <c:v>45964</c:v>
                </c:pt>
                <c:pt idx="4">
                  <c:v>45971</c:v>
                </c:pt>
                <c:pt idx="5">
                  <c:v>45978</c:v>
                </c:pt>
                <c:pt idx="6">
                  <c:v>45985</c:v>
                </c:pt>
                <c:pt idx="7">
                  <c:v>45992</c:v>
                </c:pt>
                <c:pt idx="8">
                  <c:v>45999</c:v>
                </c:pt>
                <c:pt idx="9">
                  <c:v>46006</c:v>
                </c:pt>
                <c:pt idx="10">
                  <c:v>46013</c:v>
                </c:pt>
              </c:numCache>
            </c:numRef>
          </c:cat>
          <c:val>
            <c:numRef>
              <c:f>'GOL (R1.5)'!$J$14:$J$24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9355-402A-B892-C425EF5CE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Tera!$C$13</c:f>
              <c:strCache>
                <c:ptCount val="1"/>
                <c:pt idx="0">
                  <c:v>A fazer 
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Tera!$B$14:$B$55</c:f>
              <c:numCache>
                <c:formatCode>dd/mm/yy;@</c:formatCode>
                <c:ptCount val="42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</c:numCache>
            </c:numRef>
          </c:cat>
          <c:val>
            <c:numRef>
              <c:f>Tera!$C$14:$C$55</c:f>
              <c:numCache>
                <c:formatCode>General</c:formatCode>
                <c:ptCount val="42"/>
                <c:pt idx="0">
                  <c:v>3</c:v>
                </c:pt>
                <c:pt idx="1">
                  <c:v>4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5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8C-4FE6-9C31-6625627BB577}"/>
            </c:ext>
          </c:extLst>
        </c:ser>
        <c:ser>
          <c:idx val="1"/>
          <c:order val="1"/>
          <c:tx>
            <c:strRef>
              <c:f>Tera!$D$13</c:f>
              <c:strCache>
                <c:ptCount val="1"/>
                <c:pt idx="0">
                  <c:v>A fazer 
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Tera!$B$14:$B$55</c:f>
              <c:numCache>
                <c:formatCode>dd/mm/yy;@</c:formatCode>
                <c:ptCount val="42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</c:numCache>
            </c:numRef>
          </c:cat>
          <c:val>
            <c:numRef>
              <c:f>Tera!$D$14:$D$55</c:f>
              <c:numCache>
                <c:formatCode>General</c:formatCode>
                <c:ptCount val="42"/>
                <c:pt idx="0">
                  <c:v>3</c:v>
                </c:pt>
                <c:pt idx="1">
                  <c:v>4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5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8C-4FE6-9C31-6625627BB577}"/>
            </c:ext>
          </c:extLst>
        </c:ser>
        <c:ser>
          <c:idx val="2"/>
          <c:order val="2"/>
          <c:tx>
            <c:strRef>
              <c:f>Tera!$E$13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Tera!$B$14:$B$55</c:f>
              <c:numCache>
                <c:formatCode>dd/mm/yy;@</c:formatCode>
                <c:ptCount val="42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</c:numCache>
            </c:numRef>
          </c:cat>
          <c:val>
            <c:numRef>
              <c:f>Tera!$E$14:$E$55</c:f>
              <c:numCache>
                <c:formatCode>General</c:formatCode>
                <c:ptCount val="42"/>
                <c:pt idx="0">
                  <c:v>3</c:v>
                </c:pt>
                <c:pt idx="1">
                  <c:v>4</c:v>
                </c:pt>
                <c:pt idx="2">
                  <c:v>17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8C-4FE6-9C31-6625627BB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Tera!$B$14:$B$20</c:f>
              <c:numCache>
                <c:formatCode>dd/mm/yy;@</c:formatCode>
                <c:ptCount val="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</c:numCache>
            </c:numRef>
          </c:cat>
          <c:val>
            <c:numRef>
              <c:f>Tera!$J$14:$J$20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 - Tera"}</c15:sqref>
                        </c15:formulaRef>
                      </c:ext>
                    </c:extLst>
                    <c:strCache>
                      <c:ptCount val="1"/>
                      <c:pt idx="0">
                        <c:v>Itens Entregues - Tera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1-C598-46DE-8EF2-B2707BA45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40230152"/>
        <c:axId val="140233224"/>
      </c:barChart>
      <c:dateAx>
        <c:axId val="140230152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33224"/>
        <c:crosses val="autoZero"/>
        <c:auto val="1"/>
        <c:lblOffset val="100"/>
        <c:baseTimeUnit val="days"/>
        <c:majorUnit val="7"/>
      </c:dateAx>
      <c:valAx>
        <c:axId val="140233224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30152"/>
        <c:crosses val="autoZero"/>
        <c:crossBetween val="between"/>
        <c:majorUnit val="2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'MATRIZ TIME - excluir'!$C$13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'MATRIZ TIME - excluir'!$B$14:$B$54</c:f>
              <c:numCache>
                <c:formatCode>dd/mm/yy;@</c:formatCode>
                <c:ptCount val="41"/>
                <c:pt idx="0">
                  <c:v>45987</c:v>
                </c:pt>
                <c:pt idx="1">
                  <c:v>45994</c:v>
                </c:pt>
                <c:pt idx="2">
                  <c:v>46001</c:v>
                </c:pt>
                <c:pt idx="3">
                  <c:v>46008</c:v>
                </c:pt>
                <c:pt idx="4">
                  <c:v>46015</c:v>
                </c:pt>
                <c:pt idx="5">
                  <c:v>46022</c:v>
                </c:pt>
                <c:pt idx="6">
                  <c:v>46029</c:v>
                </c:pt>
                <c:pt idx="7">
                  <c:v>46036</c:v>
                </c:pt>
                <c:pt idx="8">
                  <c:v>46043</c:v>
                </c:pt>
                <c:pt idx="9">
                  <c:v>46050</c:v>
                </c:pt>
                <c:pt idx="10">
                  <c:v>46057</c:v>
                </c:pt>
                <c:pt idx="11">
                  <c:v>46064</c:v>
                </c:pt>
                <c:pt idx="12">
                  <c:v>46071</c:v>
                </c:pt>
                <c:pt idx="13">
                  <c:v>46078</c:v>
                </c:pt>
                <c:pt idx="14">
                  <c:v>46085</c:v>
                </c:pt>
                <c:pt idx="15">
                  <c:v>46092</c:v>
                </c:pt>
                <c:pt idx="16">
                  <c:v>46099</c:v>
                </c:pt>
                <c:pt idx="17">
                  <c:v>46106</c:v>
                </c:pt>
                <c:pt idx="18">
                  <c:v>46113</c:v>
                </c:pt>
                <c:pt idx="19">
                  <c:v>46120</c:v>
                </c:pt>
                <c:pt idx="20">
                  <c:v>46127</c:v>
                </c:pt>
                <c:pt idx="21">
                  <c:v>46134</c:v>
                </c:pt>
                <c:pt idx="22">
                  <c:v>46141</c:v>
                </c:pt>
                <c:pt idx="23">
                  <c:v>46148</c:v>
                </c:pt>
                <c:pt idx="24">
                  <c:v>46155</c:v>
                </c:pt>
                <c:pt idx="25">
                  <c:v>46162</c:v>
                </c:pt>
                <c:pt idx="26">
                  <c:v>46169</c:v>
                </c:pt>
                <c:pt idx="27">
                  <c:v>46176</c:v>
                </c:pt>
                <c:pt idx="28">
                  <c:v>46183</c:v>
                </c:pt>
                <c:pt idx="29">
                  <c:v>46190</c:v>
                </c:pt>
                <c:pt idx="30">
                  <c:v>46197</c:v>
                </c:pt>
                <c:pt idx="31">
                  <c:v>46204</c:v>
                </c:pt>
                <c:pt idx="32">
                  <c:v>46211</c:v>
                </c:pt>
                <c:pt idx="33">
                  <c:v>46218</c:v>
                </c:pt>
                <c:pt idx="34">
                  <c:v>46225</c:v>
                </c:pt>
                <c:pt idx="35">
                  <c:v>46232</c:v>
                </c:pt>
                <c:pt idx="36">
                  <c:v>46239</c:v>
                </c:pt>
                <c:pt idx="37">
                  <c:v>46246</c:v>
                </c:pt>
                <c:pt idx="38">
                  <c:v>46253</c:v>
                </c:pt>
                <c:pt idx="39">
                  <c:v>46260</c:v>
                </c:pt>
                <c:pt idx="40">
                  <c:v>46267</c:v>
                </c:pt>
              </c:numCache>
            </c:numRef>
          </c:cat>
          <c:val>
            <c:numRef>
              <c:f>'MATRIZ TIME - excluir'!$C$14:$C$54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ED-423C-8F39-72B148F9CCD8}"/>
            </c:ext>
          </c:extLst>
        </c:ser>
        <c:ser>
          <c:idx val="1"/>
          <c:order val="1"/>
          <c:tx>
            <c:strRef>
              <c:f>'MATRIZ TIME - excluir'!$D$13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'MATRIZ TIME - excluir'!$B$14:$B$54</c:f>
              <c:numCache>
                <c:formatCode>dd/mm/yy;@</c:formatCode>
                <c:ptCount val="41"/>
                <c:pt idx="0">
                  <c:v>45987</c:v>
                </c:pt>
                <c:pt idx="1">
                  <c:v>45994</c:v>
                </c:pt>
                <c:pt idx="2">
                  <c:v>46001</c:v>
                </c:pt>
                <c:pt idx="3">
                  <c:v>46008</c:v>
                </c:pt>
                <c:pt idx="4">
                  <c:v>46015</c:v>
                </c:pt>
                <c:pt idx="5">
                  <c:v>46022</c:v>
                </c:pt>
                <c:pt idx="6">
                  <c:v>46029</c:v>
                </c:pt>
                <c:pt idx="7">
                  <c:v>46036</c:v>
                </c:pt>
                <c:pt idx="8">
                  <c:v>46043</c:v>
                </c:pt>
                <c:pt idx="9">
                  <c:v>46050</c:v>
                </c:pt>
                <c:pt idx="10">
                  <c:v>46057</c:v>
                </c:pt>
                <c:pt idx="11">
                  <c:v>46064</c:v>
                </c:pt>
                <c:pt idx="12">
                  <c:v>46071</c:v>
                </c:pt>
                <c:pt idx="13">
                  <c:v>46078</c:v>
                </c:pt>
                <c:pt idx="14">
                  <c:v>46085</c:v>
                </c:pt>
                <c:pt idx="15">
                  <c:v>46092</c:v>
                </c:pt>
                <c:pt idx="16">
                  <c:v>46099</c:v>
                </c:pt>
                <c:pt idx="17">
                  <c:v>46106</c:v>
                </c:pt>
                <c:pt idx="18">
                  <c:v>46113</c:v>
                </c:pt>
                <c:pt idx="19">
                  <c:v>46120</c:v>
                </c:pt>
                <c:pt idx="20">
                  <c:v>46127</c:v>
                </c:pt>
                <c:pt idx="21">
                  <c:v>46134</c:v>
                </c:pt>
                <c:pt idx="22">
                  <c:v>46141</c:v>
                </c:pt>
                <c:pt idx="23">
                  <c:v>46148</c:v>
                </c:pt>
                <c:pt idx="24">
                  <c:v>46155</c:v>
                </c:pt>
                <c:pt idx="25">
                  <c:v>46162</c:v>
                </c:pt>
                <c:pt idx="26">
                  <c:v>46169</c:v>
                </c:pt>
                <c:pt idx="27">
                  <c:v>46176</c:v>
                </c:pt>
                <c:pt idx="28">
                  <c:v>46183</c:v>
                </c:pt>
                <c:pt idx="29">
                  <c:v>46190</c:v>
                </c:pt>
                <c:pt idx="30">
                  <c:v>46197</c:v>
                </c:pt>
                <c:pt idx="31">
                  <c:v>46204</c:v>
                </c:pt>
                <c:pt idx="32">
                  <c:v>46211</c:v>
                </c:pt>
                <c:pt idx="33">
                  <c:v>46218</c:v>
                </c:pt>
                <c:pt idx="34">
                  <c:v>46225</c:v>
                </c:pt>
                <c:pt idx="35">
                  <c:v>46232</c:v>
                </c:pt>
                <c:pt idx="36">
                  <c:v>46239</c:v>
                </c:pt>
                <c:pt idx="37">
                  <c:v>46246</c:v>
                </c:pt>
                <c:pt idx="38">
                  <c:v>46253</c:v>
                </c:pt>
                <c:pt idx="39">
                  <c:v>46260</c:v>
                </c:pt>
                <c:pt idx="40">
                  <c:v>46267</c:v>
                </c:pt>
              </c:numCache>
            </c:numRef>
          </c:cat>
          <c:val>
            <c:numRef>
              <c:f>'MATRIZ TIME - excluir'!$D$14:$D$54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ED-423C-8F39-72B148F9CCD8}"/>
            </c:ext>
          </c:extLst>
        </c:ser>
        <c:ser>
          <c:idx val="2"/>
          <c:order val="2"/>
          <c:tx>
            <c:strRef>
              <c:f>'MATRIZ TIME - excluir'!$E$13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'MATRIZ TIME - excluir'!$B$14:$B$54</c:f>
              <c:numCache>
                <c:formatCode>dd/mm/yy;@</c:formatCode>
                <c:ptCount val="41"/>
                <c:pt idx="0">
                  <c:v>45987</c:v>
                </c:pt>
                <c:pt idx="1">
                  <c:v>45994</c:v>
                </c:pt>
                <c:pt idx="2">
                  <c:v>46001</c:v>
                </c:pt>
                <c:pt idx="3">
                  <c:v>46008</c:v>
                </c:pt>
                <c:pt idx="4">
                  <c:v>46015</c:v>
                </c:pt>
                <c:pt idx="5">
                  <c:v>46022</c:v>
                </c:pt>
                <c:pt idx="6">
                  <c:v>46029</c:v>
                </c:pt>
                <c:pt idx="7">
                  <c:v>46036</c:v>
                </c:pt>
                <c:pt idx="8">
                  <c:v>46043</c:v>
                </c:pt>
                <c:pt idx="9">
                  <c:v>46050</c:v>
                </c:pt>
                <c:pt idx="10">
                  <c:v>46057</c:v>
                </c:pt>
                <c:pt idx="11">
                  <c:v>46064</c:v>
                </c:pt>
                <c:pt idx="12">
                  <c:v>46071</c:v>
                </c:pt>
                <c:pt idx="13">
                  <c:v>46078</c:v>
                </c:pt>
                <c:pt idx="14">
                  <c:v>46085</c:v>
                </c:pt>
                <c:pt idx="15">
                  <c:v>46092</c:v>
                </c:pt>
                <c:pt idx="16">
                  <c:v>46099</c:v>
                </c:pt>
                <c:pt idx="17">
                  <c:v>46106</c:v>
                </c:pt>
                <c:pt idx="18">
                  <c:v>46113</c:v>
                </c:pt>
                <c:pt idx="19">
                  <c:v>46120</c:v>
                </c:pt>
                <c:pt idx="20">
                  <c:v>46127</c:v>
                </c:pt>
                <c:pt idx="21">
                  <c:v>46134</c:v>
                </c:pt>
                <c:pt idx="22">
                  <c:v>46141</c:v>
                </c:pt>
                <c:pt idx="23">
                  <c:v>46148</c:v>
                </c:pt>
                <c:pt idx="24">
                  <c:v>46155</c:v>
                </c:pt>
                <c:pt idx="25">
                  <c:v>46162</c:v>
                </c:pt>
                <c:pt idx="26">
                  <c:v>46169</c:v>
                </c:pt>
                <c:pt idx="27">
                  <c:v>46176</c:v>
                </c:pt>
                <c:pt idx="28">
                  <c:v>46183</c:v>
                </c:pt>
                <c:pt idx="29">
                  <c:v>46190</c:v>
                </c:pt>
                <c:pt idx="30">
                  <c:v>46197</c:v>
                </c:pt>
                <c:pt idx="31">
                  <c:v>46204</c:v>
                </c:pt>
                <c:pt idx="32">
                  <c:v>46211</c:v>
                </c:pt>
                <c:pt idx="33">
                  <c:v>46218</c:v>
                </c:pt>
                <c:pt idx="34">
                  <c:v>46225</c:v>
                </c:pt>
                <c:pt idx="35">
                  <c:v>46232</c:v>
                </c:pt>
                <c:pt idx="36">
                  <c:v>46239</c:v>
                </c:pt>
                <c:pt idx="37">
                  <c:v>46246</c:v>
                </c:pt>
                <c:pt idx="38">
                  <c:v>46253</c:v>
                </c:pt>
                <c:pt idx="39">
                  <c:v>46260</c:v>
                </c:pt>
                <c:pt idx="40">
                  <c:v>46267</c:v>
                </c:pt>
              </c:numCache>
            </c:numRef>
          </c:cat>
          <c:val>
            <c:numRef>
              <c:f>'MATRIZ TIME - excluir'!$E$14:$E$54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ED-423C-8F39-72B148F9C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'MATRIZ TIME - excluir'!$B$14:$B$24</c:f>
              <c:numCache>
                <c:formatCode>dd/mm/yy;@</c:formatCode>
                <c:ptCount val="11"/>
                <c:pt idx="0">
                  <c:v>45987</c:v>
                </c:pt>
                <c:pt idx="1">
                  <c:v>45994</c:v>
                </c:pt>
                <c:pt idx="2">
                  <c:v>46001</c:v>
                </c:pt>
                <c:pt idx="3">
                  <c:v>46008</c:v>
                </c:pt>
                <c:pt idx="4">
                  <c:v>46015</c:v>
                </c:pt>
                <c:pt idx="5">
                  <c:v>46022</c:v>
                </c:pt>
                <c:pt idx="6">
                  <c:v>46029</c:v>
                </c:pt>
                <c:pt idx="7">
                  <c:v>46036</c:v>
                </c:pt>
                <c:pt idx="8">
                  <c:v>46043</c:v>
                </c:pt>
                <c:pt idx="9">
                  <c:v>46050</c:v>
                </c:pt>
                <c:pt idx="10">
                  <c:v>46057</c:v>
                </c:pt>
              </c:numCache>
            </c:numRef>
          </c:cat>
          <c:val>
            <c:numRef>
              <c:f>'MATRIZ TIME - excluir'!$J$14:$J$24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A60-41BC-ACC3-706E0100C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'ESCOPO CRÉDITO'!$C$14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'ESCOPO CRÉDITO'!$B$15:$B$55</c:f>
              <c:numCache>
                <c:formatCode>dd/mm/yy;@</c:formatCode>
                <c:ptCount val="4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</c:numCache>
            </c:numRef>
          </c:cat>
          <c:val>
            <c:numRef>
              <c:f>'ESCOPO CRÉDITO'!$C$15:$C$55</c:f>
              <c:numCache>
                <c:formatCode>General</c:formatCode>
                <c:ptCount val="4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2-49BB-9C6E-34955256F8D7}"/>
            </c:ext>
          </c:extLst>
        </c:ser>
        <c:ser>
          <c:idx val="1"/>
          <c:order val="1"/>
          <c:tx>
            <c:strRef>
              <c:f>'ESCOPO CRÉDITO'!$D$14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'ESCOPO CRÉDITO'!$B$15:$B$55</c:f>
              <c:numCache>
                <c:formatCode>dd/mm/yy;@</c:formatCode>
                <c:ptCount val="4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</c:numCache>
            </c:numRef>
          </c:cat>
          <c:val>
            <c:numRef>
              <c:f>'ESCOPO CRÉDITO'!$D$15:$D$55</c:f>
              <c:numCache>
                <c:formatCode>General</c:formatCode>
                <c:ptCount val="4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32-49BB-9C6E-34955256F8D7}"/>
            </c:ext>
          </c:extLst>
        </c:ser>
        <c:ser>
          <c:idx val="2"/>
          <c:order val="2"/>
          <c:tx>
            <c:strRef>
              <c:f>'ESCOPO CRÉDITO'!$E$14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'ESCOPO CRÉDITO'!$B$15:$B$55</c:f>
              <c:numCache>
                <c:formatCode>dd/mm/yy;@</c:formatCode>
                <c:ptCount val="4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</c:numCache>
            </c:numRef>
          </c:cat>
          <c:val>
            <c:numRef>
              <c:f>'ESCOPO CRÉDITO'!$E$15:$E$55</c:f>
              <c:numCache>
                <c:formatCode>General</c:formatCode>
                <c:ptCount val="4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32-49BB-9C6E-34955256F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'ESCOPO CRÉDITO'!$B$15:$B$25</c:f>
              <c:numCache>
                <c:formatCode>dd/mm/yy;@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</c:numCache>
            </c:numRef>
          </c:cat>
          <c:val>
            <c:numRef>
              <c:f>'ESCOPO CRÉDITO'!$J$15:$J$25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003-4F63-AF70-4213F1CBF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'ESCOPO PROPOSTA'!$C$14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'ESCOPO PROPOSTA'!$B$15:$B$55</c:f>
              <c:numCache>
                <c:formatCode>dd/mm/yy;@</c:formatCode>
                <c:ptCount val="41"/>
                <c:pt idx="0">
                  <c:v>46083</c:v>
                </c:pt>
                <c:pt idx="1">
                  <c:v>46090</c:v>
                </c:pt>
                <c:pt idx="2">
                  <c:v>46097</c:v>
                </c:pt>
                <c:pt idx="3">
                  <c:v>46104</c:v>
                </c:pt>
                <c:pt idx="4">
                  <c:v>46111</c:v>
                </c:pt>
                <c:pt idx="5">
                  <c:v>46118</c:v>
                </c:pt>
                <c:pt idx="6">
                  <c:v>46125</c:v>
                </c:pt>
                <c:pt idx="7">
                  <c:v>46132</c:v>
                </c:pt>
                <c:pt idx="8">
                  <c:v>46139</c:v>
                </c:pt>
                <c:pt idx="9">
                  <c:v>46146</c:v>
                </c:pt>
                <c:pt idx="10">
                  <c:v>46153</c:v>
                </c:pt>
                <c:pt idx="11">
                  <c:v>46160</c:v>
                </c:pt>
                <c:pt idx="12">
                  <c:v>46167</c:v>
                </c:pt>
                <c:pt idx="13">
                  <c:v>46174</c:v>
                </c:pt>
                <c:pt idx="14">
                  <c:v>46181</c:v>
                </c:pt>
                <c:pt idx="15">
                  <c:v>46188</c:v>
                </c:pt>
                <c:pt idx="16">
                  <c:v>46195</c:v>
                </c:pt>
                <c:pt idx="17">
                  <c:v>46202</c:v>
                </c:pt>
                <c:pt idx="18">
                  <c:v>46209</c:v>
                </c:pt>
                <c:pt idx="19">
                  <c:v>46216</c:v>
                </c:pt>
                <c:pt idx="20">
                  <c:v>46223</c:v>
                </c:pt>
                <c:pt idx="21">
                  <c:v>46230</c:v>
                </c:pt>
                <c:pt idx="22">
                  <c:v>46237</c:v>
                </c:pt>
                <c:pt idx="23">
                  <c:v>46244</c:v>
                </c:pt>
                <c:pt idx="24">
                  <c:v>46251</c:v>
                </c:pt>
                <c:pt idx="25">
                  <c:v>46258</c:v>
                </c:pt>
                <c:pt idx="26">
                  <c:v>46265</c:v>
                </c:pt>
                <c:pt idx="27">
                  <c:v>46272</c:v>
                </c:pt>
                <c:pt idx="28">
                  <c:v>46279</c:v>
                </c:pt>
                <c:pt idx="29">
                  <c:v>46286</c:v>
                </c:pt>
                <c:pt idx="30">
                  <c:v>46293</c:v>
                </c:pt>
                <c:pt idx="31">
                  <c:v>46300</c:v>
                </c:pt>
                <c:pt idx="32">
                  <c:v>46307</c:v>
                </c:pt>
                <c:pt idx="33">
                  <c:v>46314</c:v>
                </c:pt>
                <c:pt idx="34">
                  <c:v>46321</c:v>
                </c:pt>
                <c:pt idx="35">
                  <c:v>46328</c:v>
                </c:pt>
                <c:pt idx="36">
                  <c:v>46335</c:v>
                </c:pt>
                <c:pt idx="37">
                  <c:v>46342</c:v>
                </c:pt>
                <c:pt idx="38">
                  <c:v>46349</c:v>
                </c:pt>
                <c:pt idx="39">
                  <c:v>46356</c:v>
                </c:pt>
                <c:pt idx="40">
                  <c:v>46363</c:v>
                </c:pt>
              </c:numCache>
            </c:numRef>
          </c:cat>
          <c:val>
            <c:numRef>
              <c:f>'ESCOPO PROPOSTA'!$C$15:$C$55</c:f>
              <c:numCache>
                <c:formatCode>General</c:formatCode>
                <c:ptCount val="41"/>
                <c:pt idx="0">
                  <c:v>24</c:v>
                </c:pt>
                <c:pt idx="1">
                  <c:v>22</c:v>
                </c:pt>
                <c:pt idx="2">
                  <c:v>20</c:v>
                </c:pt>
                <c:pt idx="3">
                  <c:v>19</c:v>
                </c:pt>
                <c:pt idx="4">
                  <c:v>17</c:v>
                </c:pt>
                <c:pt idx="5">
                  <c:v>15</c:v>
                </c:pt>
                <c:pt idx="6">
                  <c:v>13</c:v>
                </c:pt>
                <c:pt idx="7">
                  <c:v>11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8-4B34-8FE1-3AC68CF35DCE}"/>
            </c:ext>
          </c:extLst>
        </c:ser>
        <c:ser>
          <c:idx val="1"/>
          <c:order val="1"/>
          <c:tx>
            <c:strRef>
              <c:f>'ESCOPO PROPOSTA'!$D$14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'ESCOPO PROPOSTA'!$B$15:$B$55</c:f>
              <c:numCache>
                <c:formatCode>dd/mm/yy;@</c:formatCode>
                <c:ptCount val="41"/>
                <c:pt idx="0">
                  <c:v>46083</c:v>
                </c:pt>
                <c:pt idx="1">
                  <c:v>46090</c:v>
                </c:pt>
                <c:pt idx="2">
                  <c:v>46097</c:v>
                </c:pt>
                <c:pt idx="3">
                  <c:v>46104</c:v>
                </c:pt>
                <c:pt idx="4">
                  <c:v>46111</c:v>
                </c:pt>
                <c:pt idx="5">
                  <c:v>46118</c:v>
                </c:pt>
                <c:pt idx="6">
                  <c:v>46125</c:v>
                </c:pt>
                <c:pt idx="7">
                  <c:v>46132</c:v>
                </c:pt>
                <c:pt idx="8">
                  <c:v>46139</c:v>
                </c:pt>
                <c:pt idx="9">
                  <c:v>46146</c:v>
                </c:pt>
                <c:pt idx="10">
                  <c:v>46153</c:v>
                </c:pt>
                <c:pt idx="11">
                  <c:v>46160</c:v>
                </c:pt>
                <c:pt idx="12">
                  <c:v>46167</c:v>
                </c:pt>
                <c:pt idx="13">
                  <c:v>46174</c:v>
                </c:pt>
                <c:pt idx="14">
                  <c:v>46181</c:v>
                </c:pt>
                <c:pt idx="15">
                  <c:v>46188</c:v>
                </c:pt>
                <c:pt idx="16">
                  <c:v>46195</c:v>
                </c:pt>
                <c:pt idx="17">
                  <c:v>46202</c:v>
                </c:pt>
                <c:pt idx="18">
                  <c:v>46209</c:v>
                </c:pt>
                <c:pt idx="19">
                  <c:v>46216</c:v>
                </c:pt>
                <c:pt idx="20">
                  <c:v>46223</c:v>
                </c:pt>
                <c:pt idx="21">
                  <c:v>46230</c:v>
                </c:pt>
                <c:pt idx="22">
                  <c:v>46237</c:v>
                </c:pt>
                <c:pt idx="23">
                  <c:v>46244</c:v>
                </c:pt>
                <c:pt idx="24">
                  <c:v>46251</c:v>
                </c:pt>
                <c:pt idx="25">
                  <c:v>46258</c:v>
                </c:pt>
                <c:pt idx="26">
                  <c:v>46265</c:v>
                </c:pt>
                <c:pt idx="27">
                  <c:v>46272</c:v>
                </c:pt>
                <c:pt idx="28">
                  <c:v>46279</c:v>
                </c:pt>
                <c:pt idx="29">
                  <c:v>46286</c:v>
                </c:pt>
                <c:pt idx="30">
                  <c:v>46293</c:v>
                </c:pt>
                <c:pt idx="31">
                  <c:v>46300</c:v>
                </c:pt>
                <c:pt idx="32">
                  <c:v>46307</c:v>
                </c:pt>
                <c:pt idx="33">
                  <c:v>46314</c:v>
                </c:pt>
                <c:pt idx="34">
                  <c:v>46321</c:v>
                </c:pt>
                <c:pt idx="35">
                  <c:v>46328</c:v>
                </c:pt>
                <c:pt idx="36">
                  <c:v>46335</c:v>
                </c:pt>
                <c:pt idx="37">
                  <c:v>46342</c:v>
                </c:pt>
                <c:pt idx="38">
                  <c:v>46349</c:v>
                </c:pt>
                <c:pt idx="39">
                  <c:v>46356</c:v>
                </c:pt>
                <c:pt idx="40">
                  <c:v>46363</c:v>
                </c:pt>
              </c:numCache>
            </c:numRef>
          </c:cat>
          <c:val>
            <c:numRef>
              <c:f>'ESCOPO PROPOSTA'!$D$15:$D$55</c:f>
              <c:numCache>
                <c:formatCode>General</c:formatCode>
                <c:ptCount val="41"/>
                <c:pt idx="0">
                  <c:v>24</c:v>
                </c:pt>
                <c:pt idx="1">
                  <c:v>22</c:v>
                </c:pt>
                <c:pt idx="2">
                  <c:v>20</c:v>
                </c:pt>
                <c:pt idx="3">
                  <c:v>19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12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8-4B34-8FE1-3AC68CF35DCE}"/>
            </c:ext>
          </c:extLst>
        </c:ser>
        <c:ser>
          <c:idx val="2"/>
          <c:order val="2"/>
          <c:tx>
            <c:strRef>
              <c:f>'ESCOPO PROPOSTA'!$E$14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'ESCOPO PROPOSTA'!$B$15:$B$55</c:f>
              <c:numCache>
                <c:formatCode>dd/mm/yy;@</c:formatCode>
                <c:ptCount val="41"/>
                <c:pt idx="0">
                  <c:v>46083</c:v>
                </c:pt>
                <c:pt idx="1">
                  <c:v>46090</c:v>
                </c:pt>
                <c:pt idx="2">
                  <c:v>46097</c:v>
                </c:pt>
                <c:pt idx="3">
                  <c:v>46104</c:v>
                </c:pt>
                <c:pt idx="4">
                  <c:v>46111</c:v>
                </c:pt>
                <c:pt idx="5">
                  <c:v>46118</c:v>
                </c:pt>
                <c:pt idx="6">
                  <c:v>46125</c:v>
                </c:pt>
                <c:pt idx="7">
                  <c:v>46132</c:v>
                </c:pt>
                <c:pt idx="8">
                  <c:v>46139</c:v>
                </c:pt>
                <c:pt idx="9">
                  <c:v>46146</c:v>
                </c:pt>
                <c:pt idx="10">
                  <c:v>46153</c:v>
                </c:pt>
                <c:pt idx="11">
                  <c:v>46160</c:v>
                </c:pt>
                <c:pt idx="12">
                  <c:v>46167</c:v>
                </c:pt>
                <c:pt idx="13">
                  <c:v>46174</c:v>
                </c:pt>
                <c:pt idx="14">
                  <c:v>46181</c:v>
                </c:pt>
                <c:pt idx="15">
                  <c:v>46188</c:v>
                </c:pt>
                <c:pt idx="16">
                  <c:v>46195</c:v>
                </c:pt>
                <c:pt idx="17">
                  <c:v>46202</c:v>
                </c:pt>
                <c:pt idx="18">
                  <c:v>46209</c:v>
                </c:pt>
                <c:pt idx="19">
                  <c:v>46216</c:v>
                </c:pt>
                <c:pt idx="20">
                  <c:v>46223</c:v>
                </c:pt>
                <c:pt idx="21">
                  <c:v>46230</c:v>
                </c:pt>
                <c:pt idx="22">
                  <c:v>46237</c:v>
                </c:pt>
                <c:pt idx="23">
                  <c:v>46244</c:v>
                </c:pt>
                <c:pt idx="24">
                  <c:v>46251</c:v>
                </c:pt>
                <c:pt idx="25">
                  <c:v>46258</c:v>
                </c:pt>
                <c:pt idx="26">
                  <c:v>46265</c:v>
                </c:pt>
                <c:pt idx="27">
                  <c:v>46272</c:v>
                </c:pt>
                <c:pt idx="28">
                  <c:v>46279</c:v>
                </c:pt>
                <c:pt idx="29">
                  <c:v>46286</c:v>
                </c:pt>
                <c:pt idx="30">
                  <c:v>46293</c:v>
                </c:pt>
                <c:pt idx="31">
                  <c:v>46300</c:v>
                </c:pt>
                <c:pt idx="32">
                  <c:v>46307</c:v>
                </c:pt>
                <c:pt idx="33">
                  <c:v>46314</c:v>
                </c:pt>
                <c:pt idx="34">
                  <c:v>46321</c:v>
                </c:pt>
                <c:pt idx="35">
                  <c:v>46328</c:v>
                </c:pt>
                <c:pt idx="36">
                  <c:v>46335</c:v>
                </c:pt>
                <c:pt idx="37">
                  <c:v>46342</c:v>
                </c:pt>
                <c:pt idx="38">
                  <c:v>46349</c:v>
                </c:pt>
                <c:pt idx="39">
                  <c:v>46356</c:v>
                </c:pt>
                <c:pt idx="40">
                  <c:v>46363</c:v>
                </c:pt>
              </c:numCache>
            </c:numRef>
          </c:cat>
          <c:val>
            <c:numRef>
              <c:f>'ESCOPO PROPOSTA'!$E$15:$E$55</c:f>
              <c:numCache>
                <c:formatCode>General</c:formatCode>
                <c:ptCount val="41"/>
                <c:pt idx="0">
                  <c:v>24</c:v>
                </c:pt>
                <c:pt idx="1">
                  <c:v>22</c:v>
                </c:pt>
                <c:pt idx="2">
                  <c:v>20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78-4B34-8FE1-3AC68CF35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'ESCOPO PROPOSTA'!$B$15:$B$25</c:f>
              <c:numCache>
                <c:formatCode>dd/mm/yy;@</c:formatCode>
                <c:ptCount val="11"/>
                <c:pt idx="0">
                  <c:v>46083</c:v>
                </c:pt>
                <c:pt idx="1">
                  <c:v>46090</c:v>
                </c:pt>
                <c:pt idx="2">
                  <c:v>46097</c:v>
                </c:pt>
                <c:pt idx="3">
                  <c:v>46104</c:v>
                </c:pt>
                <c:pt idx="4">
                  <c:v>46111</c:v>
                </c:pt>
                <c:pt idx="5">
                  <c:v>46118</c:v>
                </c:pt>
                <c:pt idx="6">
                  <c:v>46125</c:v>
                </c:pt>
                <c:pt idx="7">
                  <c:v>46132</c:v>
                </c:pt>
                <c:pt idx="8">
                  <c:v>46139</c:v>
                </c:pt>
                <c:pt idx="9">
                  <c:v>46146</c:v>
                </c:pt>
                <c:pt idx="10">
                  <c:v>46153</c:v>
                </c:pt>
              </c:numCache>
            </c:numRef>
          </c:cat>
          <c:val>
            <c:numRef>
              <c:f>'ESCOPO PROPOSTA'!$J$15:$J$25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01A-4DA5-B6BC-931154DD4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'MATRIZ ESCOPO'!$C$14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'MATRIZ ESCOPO'!$B$15:$B$55</c:f>
              <c:numCache>
                <c:formatCode>dd/mm/yy;@</c:formatCode>
                <c:ptCount val="41"/>
                <c:pt idx="0">
                  <c:v>45985</c:v>
                </c:pt>
                <c:pt idx="1">
                  <c:v>45992</c:v>
                </c:pt>
                <c:pt idx="2">
                  <c:v>45999</c:v>
                </c:pt>
                <c:pt idx="3">
                  <c:v>46006</c:v>
                </c:pt>
                <c:pt idx="4">
                  <c:v>46013</c:v>
                </c:pt>
                <c:pt idx="5">
                  <c:v>46020</c:v>
                </c:pt>
                <c:pt idx="6">
                  <c:v>46027</c:v>
                </c:pt>
                <c:pt idx="7">
                  <c:v>46034</c:v>
                </c:pt>
                <c:pt idx="8">
                  <c:v>46041</c:v>
                </c:pt>
                <c:pt idx="9">
                  <c:v>46048</c:v>
                </c:pt>
                <c:pt idx="10">
                  <c:v>46055</c:v>
                </c:pt>
                <c:pt idx="11">
                  <c:v>46062</c:v>
                </c:pt>
                <c:pt idx="12">
                  <c:v>46069</c:v>
                </c:pt>
                <c:pt idx="13">
                  <c:v>46076</c:v>
                </c:pt>
                <c:pt idx="14">
                  <c:v>46083</c:v>
                </c:pt>
                <c:pt idx="15">
                  <c:v>46090</c:v>
                </c:pt>
                <c:pt idx="16">
                  <c:v>46097</c:v>
                </c:pt>
                <c:pt idx="17">
                  <c:v>46104</c:v>
                </c:pt>
                <c:pt idx="18">
                  <c:v>46111</c:v>
                </c:pt>
                <c:pt idx="19">
                  <c:v>46118</c:v>
                </c:pt>
                <c:pt idx="20">
                  <c:v>46125</c:v>
                </c:pt>
                <c:pt idx="21">
                  <c:v>46132</c:v>
                </c:pt>
                <c:pt idx="22">
                  <c:v>46139</c:v>
                </c:pt>
                <c:pt idx="23">
                  <c:v>46146</c:v>
                </c:pt>
                <c:pt idx="24">
                  <c:v>46153</c:v>
                </c:pt>
                <c:pt idx="25">
                  <c:v>46160</c:v>
                </c:pt>
                <c:pt idx="26">
                  <c:v>46167</c:v>
                </c:pt>
                <c:pt idx="27">
                  <c:v>46174</c:v>
                </c:pt>
                <c:pt idx="28">
                  <c:v>46181</c:v>
                </c:pt>
                <c:pt idx="29">
                  <c:v>46188</c:v>
                </c:pt>
                <c:pt idx="30">
                  <c:v>46195</c:v>
                </c:pt>
                <c:pt idx="31">
                  <c:v>46202</c:v>
                </c:pt>
                <c:pt idx="32">
                  <c:v>46209</c:v>
                </c:pt>
                <c:pt idx="33">
                  <c:v>46216</c:v>
                </c:pt>
                <c:pt idx="34">
                  <c:v>46223</c:v>
                </c:pt>
                <c:pt idx="35">
                  <c:v>46230</c:v>
                </c:pt>
                <c:pt idx="36">
                  <c:v>46237</c:v>
                </c:pt>
                <c:pt idx="37">
                  <c:v>46244</c:v>
                </c:pt>
                <c:pt idx="38">
                  <c:v>46251</c:v>
                </c:pt>
                <c:pt idx="39">
                  <c:v>46258</c:v>
                </c:pt>
                <c:pt idx="40">
                  <c:v>46265</c:v>
                </c:pt>
              </c:numCache>
            </c:numRef>
          </c:cat>
          <c:val>
            <c:numRef>
              <c:f>'MATRIZ ESCOPO'!$C$15:$C$55</c:f>
              <c:numCache>
                <c:formatCode>General</c:formatCode>
                <c:ptCount val="4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DE-49FE-B632-C165F91FC33F}"/>
            </c:ext>
          </c:extLst>
        </c:ser>
        <c:ser>
          <c:idx val="1"/>
          <c:order val="1"/>
          <c:tx>
            <c:strRef>
              <c:f>'MATRIZ ESCOPO'!$D$14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'MATRIZ ESCOPO'!$B$15:$B$55</c:f>
              <c:numCache>
                <c:formatCode>dd/mm/yy;@</c:formatCode>
                <c:ptCount val="41"/>
                <c:pt idx="0">
                  <c:v>45985</c:v>
                </c:pt>
                <c:pt idx="1">
                  <c:v>45992</c:v>
                </c:pt>
                <c:pt idx="2">
                  <c:v>45999</c:v>
                </c:pt>
                <c:pt idx="3">
                  <c:v>46006</c:v>
                </c:pt>
                <c:pt idx="4">
                  <c:v>46013</c:v>
                </c:pt>
                <c:pt idx="5">
                  <c:v>46020</c:v>
                </c:pt>
                <c:pt idx="6">
                  <c:v>46027</c:v>
                </c:pt>
                <c:pt idx="7">
                  <c:v>46034</c:v>
                </c:pt>
                <c:pt idx="8">
                  <c:v>46041</c:v>
                </c:pt>
                <c:pt idx="9">
                  <c:v>46048</c:v>
                </c:pt>
                <c:pt idx="10">
                  <c:v>46055</c:v>
                </c:pt>
                <c:pt idx="11">
                  <c:v>46062</c:v>
                </c:pt>
                <c:pt idx="12">
                  <c:v>46069</c:v>
                </c:pt>
                <c:pt idx="13">
                  <c:v>46076</c:v>
                </c:pt>
                <c:pt idx="14">
                  <c:v>46083</c:v>
                </c:pt>
                <c:pt idx="15">
                  <c:v>46090</c:v>
                </c:pt>
                <c:pt idx="16">
                  <c:v>46097</c:v>
                </c:pt>
                <c:pt idx="17">
                  <c:v>46104</c:v>
                </c:pt>
                <c:pt idx="18">
                  <c:v>46111</c:v>
                </c:pt>
                <c:pt idx="19">
                  <c:v>46118</c:v>
                </c:pt>
                <c:pt idx="20">
                  <c:v>46125</c:v>
                </c:pt>
                <c:pt idx="21">
                  <c:v>46132</c:v>
                </c:pt>
                <c:pt idx="22">
                  <c:v>46139</c:v>
                </c:pt>
                <c:pt idx="23">
                  <c:v>46146</c:v>
                </c:pt>
                <c:pt idx="24">
                  <c:v>46153</c:v>
                </c:pt>
                <c:pt idx="25">
                  <c:v>46160</c:v>
                </c:pt>
                <c:pt idx="26">
                  <c:v>46167</c:v>
                </c:pt>
                <c:pt idx="27">
                  <c:v>46174</c:v>
                </c:pt>
                <c:pt idx="28">
                  <c:v>46181</c:v>
                </c:pt>
                <c:pt idx="29">
                  <c:v>46188</c:v>
                </c:pt>
                <c:pt idx="30">
                  <c:v>46195</c:v>
                </c:pt>
                <c:pt idx="31">
                  <c:v>46202</c:v>
                </c:pt>
                <c:pt idx="32">
                  <c:v>46209</c:v>
                </c:pt>
                <c:pt idx="33">
                  <c:v>46216</c:v>
                </c:pt>
                <c:pt idx="34">
                  <c:v>46223</c:v>
                </c:pt>
                <c:pt idx="35">
                  <c:v>46230</c:v>
                </c:pt>
                <c:pt idx="36">
                  <c:v>46237</c:v>
                </c:pt>
                <c:pt idx="37">
                  <c:v>46244</c:v>
                </c:pt>
                <c:pt idx="38">
                  <c:v>46251</c:v>
                </c:pt>
                <c:pt idx="39">
                  <c:v>46258</c:v>
                </c:pt>
                <c:pt idx="40">
                  <c:v>46265</c:v>
                </c:pt>
              </c:numCache>
            </c:numRef>
          </c:cat>
          <c:val>
            <c:numRef>
              <c:f>'MATRIZ ESCOPO'!$D$15:$D$55</c:f>
              <c:numCache>
                <c:formatCode>General</c:formatCode>
                <c:ptCount val="4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DE-49FE-B632-C165F91FC33F}"/>
            </c:ext>
          </c:extLst>
        </c:ser>
        <c:ser>
          <c:idx val="2"/>
          <c:order val="2"/>
          <c:tx>
            <c:strRef>
              <c:f>'MATRIZ ESCOPO'!$E$14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'MATRIZ ESCOPO'!$B$15:$B$55</c:f>
              <c:numCache>
                <c:formatCode>dd/mm/yy;@</c:formatCode>
                <c:ptCount val="41"/>
                <c:pt idx="0">
                  <c:v>45985</c:v>
                </c:pt>
                <c:pt idx="1">
                  <c:v>45992</c:v>
                </c:pt>
                <c:pt idx="2">
                  <c:v>45999</c:v>
                </c:pt>
                <c:pt idx="3">
                  <c:v>46006</c:v>
                </c:pt>
                <c:pt idx="4">
                  <c:v>46013</c:v>
                </c:pt>
                <c:pt idx="5">
                  <c:v>46020</c:v>
                </c:pt>
                <c:pt idx="6">
                  <c:v>46027</c:v>
                </c:pt>
                <c:pt idx="7">
                  <c:v>46034</c:v>
                </c:pt>
                <c:pt idx="8">
                  <c:v>46041</c:v>
                </c:pt>
                <c:pt idx="9">
                  <c:v>46048</c:v>
                </c:pt>
                <c:pt idx="10">
                  <c:v>46055</c:v>
                </c:pt>
                <c:pt idx="11">
                  <c:v>46062</c:v>
                </c:pt>
                <c:pt idx="12">
                  <c:v>46069</c:v>
                </c:pt>
                <c:pt idx="13">
                  <c:v>46076</c:v>
                </c:pt>
                <c:pt idx="14">
                  <c:v>46083</c:v>
                </c:pt>
                <c:pt idx="15">
                  <c:v>46090</c:v>
                </c:pt>
                <c:pt idx="16">
                  <c:v>46097</c:v>
                </c:pt>
                <c:pt idx="17">
                  <c:v>46104</c:v>
                </c:pt>
                <c:pt idx="18">
                  <c:v>46111</c:v>
                </c:pt>
                <c:pt idx="19">
                  <c:v>46118</c:v>
                </c:pt>
                <c:pt idx="20">
                  <c:v>46125</c:v>
                </c:pt>
                <c:pt idx="21">
                  <c:v>46132</c:v>
                </c:pt>
                <c:pt idx="22">
                  <c:v>46139</c:v>
                </c:pt>
                <c:pt idx="23">
                  <c:v>46146</c:v>
                </c:pt>
                <c:pt idx="24">
                  <c:v>46153</c:v>
                </c:pt>
                <c:pt idx="25">
                  <c:v>46160</c:v>
                </c:pt>
                <c:pt idx="26">
                  <c:v>46167</c:v>
                </c:pt>
                <c:pt idx="27">
                  <c:v>46174</c:v>
                </c:pt>
                <c:pt idx="28">
                  <c:v>46181</c:v>
                </c:pt>
                <c:pt idx="29">
                  <c:v>46188</c:v>
                </c:pt>
                <c:pt idx="30">
                  <c:v>46195</c:v>
                </c:pt>
                <c:pt idx="31">
                  <c:v>46202</c:v>
                </c:pt>
                <c:pt idx="32">
                  <c:v>46209</c:v>
                </c:pt>
                <c:pt idx="33">
                  <c:v>46216</c:v>
                </c:pt>
                <c:pt idx="34">
                  <c:v>46223</c:v>
                </c:pt>
                <c:pt idx="35">
                  <c:v>46230</c:v>
                </c:pt>
                <c:pt idx="36">
                  <c:v>46237</c:v>
                </c:pt>
                <c:pt idx="37">
                  <c:v>46244</c:v>
                </c:pt>
                <c:pt idx="38">
                  <c:v>46251</c:v>
                </c:pt>
                <c:pt idx="39">
                  <c:v>46258</c:v>
                </c:pt>
                <c:pt idx="40">
                  <c:v>46265</c:v>
                </c:pt>
              </c:numCache>
            </c:numRef>
          </c:cat>
          <c:val>
            <c:numRef>
              <c:f>'MATRIZ ESCOPO'!$E$15:$E$55</c:f>
              <c:numCache>
                <c:formatCode>General</c:formatCode>
                <c:ptCount val="4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DE-49FE-B632-C165F91FC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'MATRIZ ESCOPO'!$B$15:$B$25</c:f>
              <c:numCache>
                <c:formatCode>dd/mm/yy;@</c:formatCode>
                <c:ptCount val="11"/>
                <c:pt idx="0">
                  <c:v>45985</c:v>
                </c:pt>
                <c:pt idx="1">
                  <c:v>45992</c:v>
                </c:pt>
                <c:pt idx="2">
                  <c:v>45999</c:v>
                </c:pt>
                <c:pt idx="3">
                  <c:v>46006</c:v>
                </c:pt>
                <c:pt idx="4">
                  <c:v>46013</c:v>
                </c:pt>
                <c:pt idx="5">
                  <c:v>46020</c:v>
                </c:pt>
                <c:pt idx="6">
                  <c:v>46027</c:v>
                </c:pt>
                <c:pt idx="7">
                  <c:v>46034</c:v>
                </c:pt>
                <c:pt idx="8">
                  <c:v>46041</c:v>
                </c:pt>
                <c:pt idx="9">
                  <c:v>46048</c:v>
                </c:pt>
                <c:pt idx="10">
                  <c:v>46055</c:v>
                </c:pt>
              </c:numCache>
            </c:numRef>
          </c:cat>
          <c:val>
            <c:numRef>
              <c:f>'MATRIZ ESCOPO'!$J$15:$J$25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164-443B-9E1B-374D4961B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'MATRIZ TIMES TESTE'!$C$15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'MATRIZ TIMES TESTE'!$B$16:$B$56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'MATRIZ TIMES TESTE'!$C$16:$C$56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7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11</c:v>
                </c:pt>
                <c:pt idx="18">
                  <c:v>11</c:v>
                </c:pt>
                <c:pt idx="19">
                  <c:v>8</c:v>
                </c:pt>
                <c:pt idx="20">
                  <c:v>6</c:v>
                </c:pt>
                <c:pt idx="21">
                  <c:v>7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7C-46D9-B2EC-96286DE1F59A}"/>
            </c:ext>
          </c:extLst>
        </c:ser>
        <c:ser>
          <c:idx val="1"/>
          <c:order val="1"/>
          <c:tx>
            <c:strRef>
              <c:f>'MATRIZ TIMES TESTE'!$D$15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'MATRIZ TIMES TESTE'!$B$16:$B$56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'MATRIZ TIMES TESTE'!$D$16:$D$56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7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11</c:v>
                </c:pt>
                <c:pt idx="18">
                  <c:v>11</c:v>
                </c:pt>
                <c:pt idx="19">
                  <c:v>8</c:v>
                </c:pt>
                <c:pt idx="20">
                  <c:v>6</c:v>
                </c:pt>
                <c:pt idx="21">
                  <c:v>7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7C-46D9-B2EC-96286DE1F59A}"/>
            </c:ext>
          </c:extLst>
        </c:ser>
        <c:ser>
          <c:idx val="2"/>
          <c:order val="2"/>
          <c:tx>
            <c:strRef>
              <c:f>'MATRIZ TIMES TESTE'!$E$15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'MATRIZ TIMES TESTE'!$B$16:$B$56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'MATRIZ TIMES TESTE'!$E$16:$E$56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7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11</c:v>
                </c:pt>
                <c:pt idx="18">
                  <c:v>11</c:v>
                </c:pt>
                <c:pt idx="19">
                  <c:v>8</c:v>
                </c:pt>
                <c:pt idx="20">
                  <c:v>6</c:v>
                </c:pt>
                <c:pt idx="21">
                  <c:v>7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7C-46D9-B2EC-96286DE1F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'MATRIZ TIMES TESTE'!$B$16:$B$26</c:f>
              <c:numCache>
                <c:formatCode>dd/mm/yy;@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'MATRIZ TIMES TESTE'!$J$16:$J$26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82B-47EF-B87B-19CFAB0DA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'MATRIZ TIME'!$C$14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'MATRIZ TIME'!$B$15:$B$55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'MATRIZ TIME'!$C$15:$C$55</c:f>
              <c:numCache>
                <c:formatCode>General</c:formatCode>
                <c:ptCount val="41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53</c:v>
                </c:pt>
                <c:pt idx="7">
                  <c:v>53</c:v>
                </c:pt>
                <c:pt idx="8">
                  <c:v>53</c:v>
                </c:pt>
                <c:pt idx="9">
                  <c:v>53</c:v>
                </c:pt>
                <c:pt idx="10">
                  <c:v>53</c:v>
                </c:pt>
                <c:pt idx="11">
                  <c:v>53</c:v>
                </c:pt>
                <c:pt idx="12">
                  <c:v>53</c:v>
                </c:pt>
                <c:pt idx="13">
                  <c:v>53</c:v>
                </c:pt>
                <c:pt idx="14">
                  <c:v>53</c:v>
                </c:pt>
                <c:pt idx="15">
                  <c:v>53</c:v>
                </c:pt>
                <c:pt idx="16">
                  <c:v>53</c:v>
                </c:pt>
                <c:pt idx="17">
                  <c:v>47</c:v>
                </c:pt>
                <c:pt idx="18">
                  <c:v>46</c:v>
                </c:pt>
                <c:pt idx="19">
                  <c:v>38</c:v>
                </c:pt>
                <c:pt idx="20">
                  <c:v>35</c:v>
                </c:pt>
                <c:pt idx="21">
                  <c:v>34</c:v>
                </c:pt>
                <c:pt idx="22">
                  <c:v>28</c:v>
                </c:pt>
                <c:pt idx="23">
                  <c:v>23</c:v>
                </c:pt>
                <c:pt idx="24">
                  <c:v>19</c:v>
                </c:pt>
                <c:pt idx="25">
                  <c:v>11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4-43D3-8C19-5AA070178DC9}"/>
            </c:ext>
          </c:extLst>
        </c:ser>
        <c:ser>
          <c:idx val="1"/>
          <c:order val="1"/>
          <c:tx>
            <c:strRef>
              <c:f>'MATRIZ TIME'!$D$14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'MATRIZ TIME'!$B$15:$B$55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'MATRIZ TIME'!$D$15:$D$55</c:f>
              <c:numCache>
                <c:formatCode>General</c:formatCode>
                <c:ptCount val="41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53</c:v>
                </c:pt>
                <c:pt idx="7">
                  <c:v>53</c:v>
                </c:pt>
                <c:pt idx="8">
                  <c:v>53</c:v>
                </c:pt>
                <c:pt idx="9">
                  <c:v>53</c:v>
                </c:pt>
                <c:pt idx="10">
                  <c:v>53</c:v>
                </c:pt>
                <c:pt idx="11">
                  <c:v>53</c:v>
                </c:pt>
                <c:pt idx="12">
                  <c:v>53</c:v>
                </c:pt>
                <c:pt idx="13">
                  <c:v>53</c:v>
                </c:pt>
                <c:pt idx="14">
                  <c:v>53</c:v>
                </c:pt>
                <c:pt idx="15">
                  <c:v>53</c:v>
                </c:pt>
                <c:pt idx="16">
                  <c:v>53</c:v>
                </c:pt>
                <c:pt idx="17">
                  <c:v>47</c:v>
                </c:pt>
                <c:pt idx="18">
                  <c:v>46</c:v>
                </c:pt>
                <c:pt idx="19">
                  <c:v>38</c:v>
                </c:pt>
                <c:pt idx="20">
                  <c:v>35</c:v>
                </c:pt>
                <c:pt idx="21">
                  <c:v>34</c:v>
                </c:pt>
                <c:pt idx="22">
                  <c:v>28</c:v>
                </c:pt>
                <c:pt idx="23">
                  <c:v>23</c:v>
                </c:pt>
                <c:pt idx="24">
                  <c:v>19</c:v>
                </c:pt>
                <c:pt idx="25">
                  <c:v>18</c:v>
                </c:pt>
                <c:pt idx="26">
                  <c:v>17</c:v>
                </c:pt>
                <c:pt idx="27">
                  <c:v>16</c:v>
                </c:pt>
                <c:pt idx="28">
                  <c:v>15</c:v>
                </c:pt>
                <c:pt idx="29">
                  <c:v>14</c:v>
                </c:pt>
                <c:pt idx="30">
                  <c:v>13</c:v>
                </c:pt>
                <c:pt idx="31">
                  <c:v>12</c:v>
                </c:pt>
                <c:pt idx="32">
                  <c:v>11</c:v>
                </c:pt>
                <c:pt idx="33">
                  <c:v>10</c:v>
                </c:pt>
                <c:pt idx="34">
                  <c:v>9</c:v>
                </c:pt>
                <c:pt idx="35">
                  <c:v>8</c:v>
                </c:pt>
                <c:pt idx="36">
                  <c:v>7</c:v>
                </c:pt>
                <c:pt idx="37">
                  <c:v>6</c:v>
                </c:pt>
                <c:pt idx="38">
                  <c:v>5</c:v>
                </c:pt>
                <c:pt idx="39">
                  <c:v>4</c:v>
                </c:pt>
                <c:pt idx="4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34-43D3-8C19-5AA070178DC9}"/>
            </c:ext>
          </c:extLst>
        </c:ser>
        <c:ser>
          <c:idx val="2"/>
          <c:order val="2"/>
          <c:tx>
            <c:strRef>
              <c:f>'MATRIZ TIME'!$E$14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'MATRIZ TIME'!$B$15:$B$55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'MATRIZ TIME'!$E$15:$E$55</c:f>
              <c:numCache>
                <c:formatCode>General</c:formatCode>
                <c:ptCount val="41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53</c:v>
                </c:pt>
                <c:pt idx="7">
                  <c:v>53</c:v>
                </c:pt>
                <c:pt idx="8">
                  <c:v>53</c:v>
                </c:pt>
                <c:pt idx="9">
                  <c:v>53</c:v>
                </c:pt>
                <c:pt idx="10">
                  <c:v>53</c:v>
                </c:pt>
                <c:pt idx="11">
                  <c:v>53</c:v>
                </c:pt>
                <c:pt idx="12">
                  <c:v>53</c:v>
                </c:pt>
                <c:pt idx="13">
                  <c:v>53</c:v>
                </c:pt>
                <c:pt idx="14">
                  <c:v>53</c:v>
                </c:pt>
                <c:pt idx="15">
                  <c:v>53</c:v>
                </c:pt>
                <c:pt idx="16">
                  <c:v>53</c:v>
                </c:pt>
                <c:pt idx="17">
                  <c:v>47</c:v>
                </c:pt>
                <c:pt idx="18">
                  <c:v>46</c:v>
                </c:pt>
                <c:pt idx="19">
                  <c:v>38</c:v>
                </c:pt>
                <c:pt idx="20">
                  <c:v>35</c:v>
                </c:pt>
                <c:pt idx="21">
                  <c:v>34</c:v>
                </c:pt>
                <c:pt idx="22">
                  <c:v>27</c:v>
                </c:pt>
                <c:pt idx="23">
                  <c:v>21</c:v>
                </c:pt>
                <c:pt idx="24">
                  <c:v>17</c:v>
                </c:pt>
                <c:pt idx="25">
                  <c:v>15</c:v>
                </c:pt>
                <c:pt idx="26">
                  <c:v>13</c:v>
                </c:pt>
                <c:pt idx="27">
                  <c:v>11</c:v>
                </c:pt>
                <c:pt idx="28">
                  <c:v>9</c:v>
                </c:pt>
                <c:pt idx="29">
                  <c:v>7</c:v>
                </c:pt>
                <c:pt idx="30">
                  <c:v>5</c:v>
                </c:pt>
                <c:pt idx="31">
                  <c:v>3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34-43D3-8C19-5AA070178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'MATRIZ TIME'!$B$15:$B$25</c:f>
              <c:numCache>
                <c:formatCode>dd/mm/yy;@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'MATRIZ TIME'!$J$15:$J$25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56E-4CFC-80B8-59ACB4FE4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'GOL O4R2'!$C$14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'GOL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'GOL O4R2'!$C$15:$C$55</c:f>
              <c:numCache>
                <c:formatCode>General</c:formatCode>
                <c:ptCount val="41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63</c:v>
                </c:pt>
                <c:pt idx="4">
                  <c:v>63</c:v>
                </c:pt>
                <c:pt idx="5">
                  <c:v>62</c:v>
                </c:pt>
                <c:pt idx="6">
                  <c:v>57</c:v>
                </c:pt>
                <c:pt idx="7">
                  <c:v>55</c:v>
                </c:pt>
                <c:pt idx="8">
                  <c:v>51</c:v>
                </c:pt>
                <c:pt idx="9">
                  <c:v>49</c:v>
                </c:pt>
                <c:pt idx="10">
                  <c:v>46</c:v>
                </c:pt>
                <c:pt idx="11">
                  <c:v>44</c:v>
                </c:pt>
                <c:pt idx="12">
                  <c:v>43</c:v>
                </c:pt>
                <c:pt idx="13">
                  <c:v>43</c:v>
                </c:pt>
                <c:pt idx="14">
                  <c:v>41</c:v>
                </c:pt>
                <c:pt idx="15">
                  <c:v>38</c:v>
                </c:pt>
                <c:pt idx="16">
                  <c:v>34</c:v>
                </c:pt>
                <c:pt idx="17">
                  <c:v>33</c:v>
                </c:pt>
                <c:pt idx="18">
                  <c:v>32</c:v>
                </c:pt>
                <c:pt idx="19">
                  <c:v>31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21</c:v>
                </c:pt>
                <c:pt idx="25">
                  <c:v>21</c:v>
                </c:pt>
                <c:pt idx="26">
                  <c:v>14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F-427B-8FBF-C7559AEBA242}"/>
            </c:ext>
          </c:extLst>
        </c:ser>
        <c:ser>
          <c:idx val="1"/>
          <c:order val="1"/>
          <c:tx>
            <c:strRef>
              <c:f>'GOL O4R2'!$D$14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'GOL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'GOL O4R2'!$D$15:$D$55</c:f>
              <c:numCache>
                <c:formatCode>General</c:formatCode>
                <c:ptCount val="41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63</c:v>
                </c:pt>
                <c:pt idx="4">
                  <c:v>63</c:v>
                </c:pt>
                <c:pt idx="5">
                  <c:v>62</c:v>
                </c:pt>
                <c:pt idx="6">
                  <c:v>57</c:v>
                </c:pt>
                <c:pt idx="7">
                  <c:v>55</c:v>
                </c:pt>
                <c:pt idx="8">
                  <c:v>51</c:v>
                </c:pt>
                <c:pt idx="9">
                  <c:v>49</c:v>
                </c:pt>
                <c:pt idx="10">
                  <c:v>46</c:v>
                </c:pt>
                <c:pt idx="11">
                  <c:v>44</c:v>
                </c:pt>
                <c:pt idx="12">
                  <c:v>43</c:v>
                </c:pt>
                <c:pt idx="13">
                  <c:v>43</c:v>
                </c:pt>
                <c:pt idx="14">
                  <c:v>41</c:v>
                </c:pt>
                <c:pt idx="15">
                  <c:v>38</c:v>
                </c:pt>
                <c:pt idx="16">
                  <c:v>34</c:v>
                </c:pt>
                <c:pt idx="17">
                  <c:v>33</c:v>
                </c:pt>
                <c:pt idx="18">
                  <c:v>32</c:v>
                </c:pt>
                <c:pt idx="19">
                  <c:v>31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21</c:v>
                </c:pt>
                <c:pt idx="25">
                  <c:v>21</c:v>
                </c:pt>
                <c:pt idx="26">
                  <c:v>20</c:v>
                </c:pt>
                <c:pt idx="27">
                  <c:v>19</c:v>
                </c:pt>
                <c:pt idx="28">
                  <c:v>18</c:v>
                </c:pt>
                <c:pt idx="29">
                  <c:v>17</c:v>
                </c:pt>
                <c:pt idx="30">
                  <c:v>16</c:v>
                </c:pt>
                <c:pt idx="31">
                  <c:v>15</c:v>
                </c:pt>
                <c:pt idx="32">
                  <c:v>14</c:v>
                </c:pt>
                <c:pt idx="33">
                  <c:v>13</c:v>
                </c:pt>
                <c:pt idx="34">
                  <c:v>12</c:v>
                </c:pt>
                <c:pt idx="35">
                  <c:v>11</c:v>
                </c:pt>
                <c:pt idx="36">
                  <c:v>10</c:v>
                </c:pt>
                <c:pt idx="37">
                  <c:v>9</c:v>
                </c:pt>
                <c:pt idx="38">
                  <c:v>8</c:v>
                </c:pt>
                <c:pt idx="39">
                  <c:v>7</c:v>
                </c:pt>
                <c:pt idx="4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F-427B-8FBF-C7559AEBA242}"/>
            </c:ext>
          </c:extLst>
        </c:ser>
        <c:ser>
          <c:idx val="2"/>
          <c:order val="2"/>
          <c:tx>
            <c:strRef>
              <c:f>'GOL O4R2'!$E$14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'GOL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'GOL O4R2'!$E$15:$E$55</c:f>
              <c:numCache>
                <c:formatCode>General</c:formatCode>
                <c:ptCount val="41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63</c:v>
                </c:pt>
                <c:pt idx="4">
                  <c:v>63</c:v>
                </c:pt>
                <c:pt idx="5">
                  <c:v>62</c:v>
                </c:pt>
                <c:pt idx="6">
                  <c:v>57</c:v>
                </c:pt>
                <c:pt idx="7">
                  <c:v>55</c:v>
                </c:pt>
                <c:pt idx="8">
                  <c:v>51</c:v>
                </c:pt>
                <c:pt idx="9">
                  <c:v>49</c:v>
                </c:pt>
                <c:pt idx="10">
                  <c:v>46</c:v>
                </c:pt>
                <c:pt idx="11">
                  <c:v>44</c:v>
                </c:pt>
                <c:pt idx="12">
                  <c:v>43</c:v>
                </c:pt>
                <c:pt idx="13">
                  <c:v>43</c:v>
                </c:pt>
                <c:pt idx="14">
                  <c:v>41</c:v>
                </c:pt>
                <c:pt idx="15">
                  <c:v>38</c:v>
                </c:pt>
                <c:pt idx="16">
                  <c:v>34</c:v>
                </c:pt>
                <c:pt idx="17">
                  <c:v>33</c:v>
                </c:pt>
                <c:pt idx="18">
                  <c:v>32</c:v>
                </c:pt>
                <c:pt idx="19">
                  <c:v>31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21</c:v>
                </c:pt>
                <c:pt idx="25">
                  <c:v>21</c:v>
                </c:pt>
                <c:pt idx="26">
                  <c:v>13</c:v>
                </c:pt>
                <c:pt idx="27">
                  <c:v>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6F-427B-8FBF-C7559AEBA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'GOL O4R2'!$B$15:$B$25</c:f>
              <c:numCache>
                <c:formatCode>dd/mm/yy;@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'GOL O4R2'!$J$15:$J$25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C6E-4FA0-B6BE-050C2F9B0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'TERA O4R2'!$C$14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'TERA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'TERA O4R2'!$C$15:$C$55</c:f>
              <c:numCache>
                <c:formatCode>General</c:formatCode>
                <c:ptCount val="41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30</c:v>
                </c:pt>
                <c:pt idx="18">
                  <c:v>29</c:v>
                </c:pt>
                <c:pt idx="19">
                  <c:v>26</c:v>
                </c:pt>
                <c:pt idx="20">
                  <c:v>26</c:v>
                </c:pt>
                <c:pt idx="21">
                  <c:v>23</c:v>
                </c:pt>
                <c:pt idx="22">
                  <c:v>17</c:v>
                </c:pt>
                <c:pt idx="23">
                  <c:v>14</c:v>
                </c:pt>
                <c:pt idx="24">
                  <c:v>10</c:v>
                </c:pt>
                <c:pt idx="25">
                  <c:v>10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C-43D5-B856-DD16763BCC26}"/>
            </c:ext>
          </c:extLst>
        </c:ser>
        <c:ser>
          <c:idx val="1"/>
          <c:order val="1"/>
          <c:tx>
            <c:strRef>
              <c:f>'TERA O4R2'!$D$14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'TERA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'TERA O4R2'!$D$15:$D$55</c:f>
              <c:numCache>
                <c:formatCode>General</c:formatCode>
                <c:ptCount val="41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30</c:v>
                </c:pt>
                <c:pt idx="18">
                  <c:v>29</c:v>
                </c:pt>
                <c:pt idx="19">
                  <c:v>26</c:v>
                </c:pt>
                <c:pt idx="20">
                  <c:v>26</c:v>
                </c:pt>
                <c:pt idx="21">
                  <c:v>23</c:v>
                </c:pt>
                <c:pt idx="22">
                  <c:v>17</c:v>
                </c:pt>
                <c:pt idx="23">
                  <c:v>14</c:v>
                </c:pt>
                <c:pt idx="24">
                  <c:v>10</c:v>
                </c:pt>
                <c:pt idx="25">
                  <c:v>10</c:v>
                </c:pt>
                <c:pt idx="26">
                  <c:v>9</c:v>
                </c:pt>
                <c:pt idx="27">
                  <c:v>8</c:v>
                </c:pt>
                <c:pt idx="28">
                  <c:v>7</c:v>
                </c:pt>
                <c:pt idx="29">
                  <c:v>6</c:v>
                </c:pt>
                <c:pt idx="30">
                  <c:v>5</c:v>
                </c:pt>
                <c:pt idx="31">
                  <c:v>4</c:v>
                </c:pt>
                <c:pt idx="32">
                  <c:v>3</c:v>
                </c:pt>
                <c:pt idx="33">
                  <c:v>2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AC-43D5-B856-DD16763BCC26}"/>
            </c:ext>
          </c:extLst>
        </c:ser>
        <c:ser>
          <c:idx val="2"/>
          <c:order val="2"/>
          <c:tx>
            <c:strRef>
              <c:f>'TERA O4R2'!$E$14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'TERA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'TERA O4R2'!$E$15:$E$55</c:f>
              <c:numCache>
                <c:formatCode>General</c:formatCode>
                <c:ptCount val="41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30</c:v>
                </c:pt>
                <c:pt idx="18">
                  <c:v>29</c:v>
                </c:pt>
                <c:pt idx="19">
                  <c:v>26</c:v>
                </c:pt>
                <c:pt idx="20">
                  <c:v>26</c:v>
                </c:pt>
                <c:pt idx="21">
                  <c:v>23</c:v>
                </c:pt>
                <c:pt idx="22">
                  <c:v>17</c:v>
                </c:pt>
                <c:pt idx="23">
                  <c:v>14</c:v>
                </c:pt>
                <c:pt idx="24">
                  <c:v>10</c:v>
                </c:pt>
                <c:pt idx="25">
                  <c:v>10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AC-43D5-B856-DD16763BC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'TERA O4R2'!$B$15:$B$38</c:f>
              <c:numCache>
                <c:formatCode>dd/mm/yy;@</c:formatCode>
                <c:ptCount val="24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</c:numCache>
            </c:numRef>
          </c:cat>
          <c:val>
            <c:numRef>
              <c:f>'TERA O4R2'!$J$15:$J$38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0</c:v>
                </c:pt>
                <c:pt idx="20">
                  <c:v>3</c:v>
                </c:pt>
                <c:pt idx="21">
                  <c:v>5</c:v>
                </c:pt>
                <c:pt idx="22">
                  <c:v>3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0-4D0F-98A2-276C61B9B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'OPTIMUS O4R2'!$C$14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'OPTIMUS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'OPTIMUS O4R2'!$C$15:$C$55</c:f>
              <c:numCache>
                <c:formatCode>General</c:formatCode>
                <c:ptCount val="41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70</c:v>
                </c:pt>
                <c:pt idx="4">
                  <c:v>69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67</c:v>
                </c:pt>
                <c:pt idx="9">
                  <c:v>65</c:v>
                </c:pt>
                <c:pt idx="10">
                  <c:v>59</c:v>
                </c:pt>
                <c:pt idx="11">
                  <c:v>56</c:v>
                </c:pt>
                <c:pt idx="12">
                  <c:v>54</c:v>
                </c:pt>
                <c:pt idx="13">
                  <c:v>53</c:v>
                </c:pt>
                <c:pt idx="14">
                  <c:v>53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44</c:v>
                </c:pt>
                <c:pt idx="19">
                  <c:v>40</c:v>
                </c:pt>
                <c:pt idx="20">
                  <c:v>33</c:v>
                </c:pt>
                <c:pt idx="21">
                  <c:v>26</c:v>
                </c:pt>
                <c:pt idx="22">
                  <c:v>18</c:v>
                </c:pt>
                <c:pt idx="23">
                  <c:v>16</c:v>
                </c:pt>
                <c:pt idx="24">
                  <c:v>9</c:v>
                </c:pt>
                <c:pt idx="25">
                  <c:v>9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AC-4138-BF87-68316918B39B}"/>
            </c:ext>
          </c:extLst>
        </c:ser>
        <c:ser>
          <c:idx val="1"/>
          <c:order val="1"/>
          <c:tx>
            <c:strRef>
              <c:f>'OPTIMUS O4R2'!$D$14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'OPTIMUS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'OPTIMUS O4R2'!$D$15:$D$55</c:f>
              <c:numCache>
                <c:formatCode>General</c:formatCode>
                <c:ptCount val="41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70</c:v>
                </c:pt>
                <c:pt idx="4">
                  <c:v>69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67</c:v>
                </c:pt>
                <c:pt idx="9">
                  <c:v>65</c:v>
                </c:pt>
                <c:pt idx="10">
                  <c:v>59</c:v>
                </c:pt>
                <c:pt idx="11">
                  <c:v>56</c:v>
                </c:pt>
                <c:pt idx="12">
                  <c:v>54</c:v>
                </c:pt>
                <c:pt idx="13">
                  <c:v>53</c:v>
                </c:pt>
                <c:pt idx="14">
                  <c:v>53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44</c:v>
                </c:pt>
                <c:pt idx="19">
                  <c:v>40</c:v>
                </c:pt>
                <c:pt idx="20">
                  <c:v>33</c:v>
                </c:pt>
                <c:pt idx="21">
                  <c:v>26</c:v>
                </c:pt>
                <c:pt idx="22">
                  <c:v>18</c:v>
                </c:pt>
                <c:pt idx="23">
                  <c:v>16</c:v>
                </c:pt>
                <c:pt idx="24">
                  <c:v>9</c:v>
                </c:pt>
                <c:pt idx="25">
                  <c:v>9</c:v>
                </c:pt>
                <c:pt idx="26">
                  <c:v>8</c:v>
                </c:pt>
                <c:pt idx="27">
                  <c:v>7</c:v>
                </c:pt>
                <c:pt idx="28">
                  <c:v>6</c:v>
                </c:pt>
                <c:pt idx="29">
                  <c:v>5</c:v>
                </c:pt>
                <c:pt idx="30">
                  <c:v>4</c:v>
                </c:pt>
                <c:pt idx="31">
                  <c:v>3</c:v>
                </c:pt>
                <c:pt idx="32">
                  <c:v>2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AC-4138-BF87-68316918B39B}"/>
            </c:ext>
          </c:extLst>
        </c:ser>
        <c:ser>
          <c:idx val="2"/>
          <c:order val="2"/>
          <c:tx>
            <c:strRef>
              <c:f>'OPTIMUS O4R2'!$E$14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'OPTIMUS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'OPTIMUS O4R2'!$E$15:$E$55</c:f>
              <c:numCache>
                <c:formatCode>General</c:formatCode>
                <c:ptCount val="41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70</c:v>
                </c:pt>
                <c:pt idx="4">
                  <c:v>69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67</c:v>
                </c:pt>
                <c:pt idx="9">
                  <c:v>65</c:v>
                </c:pt>
                <c:pt idx="10">
                  <c:v>59</c:v>
                </c:pt>
                <c:pt idx="11">
                  <c:v>56</c:v>
                </c:pt>
                <c:pt idx="12">
                  <c:v>54</c:v>
                </c:pt>
                <c:pt idx="13">
                  <c:v>53</c:v>
                </c:pt>
                <c:pt idx="14">
                  <c:v>53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44</c:v>
                </c:pt>
                <c:pt idx="19">
                  <c:v>40</c:v>
                </c:pt>
                <c:pt idx="20">
                  <c:v>33</c:v>
                </c:pt>
                <c:pt idx="21">
                  <c:v>26</c:v>
                </c:pt>
                <c:pt idx="22">
                  <c:v>18</c:v>
                </c:pt>
                <c:pt idx="23">
                  <c:v>16</c:v>
                </c:pt>
                <c:pt idx="24">
                  <c:v>9</c:v>
                </c:pt>
                <c:pt idx="25">
                  <c:v>9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AC-4138-BF87-68316918B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'OPTIMUS O4R2'!$B$15:$B$25</c:f>
              <c:numCache>
                <c:formatCode>dd/mm/yy;@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'OPTIMUS O4R2'!$J$15:$J$25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779-4005-B6FF-206AFAF34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'NIVUS O4R2'!$C$14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'NIVUS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'NIVUS O4R2'!$C$15:$C$55</c:f>
              <c:numCache>
                <c:formatCode>General</c:formatCode>
                <c:ptCount val="41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53</c:v>
                </c:pt>
                <c:pt idx="7">
                  <c:v>53</c:v>
                </c:pt>
                <c:pt idx="8">
                  <c:v>53</c:v>
                </c:pt>
                <c:pt idx="9">
                  <c:v>53</c:v>
                </c:pt>
                <c:pt idx="10">
                  <c:v>53</c:v>
                </c:pt>
                <c:pt idx="11">
                  <c:v>53</c:v>
                </c:pt>
                <c:pt idx="12">
                  <c:v>53</c:v>
                </c:pt>
                <c:pt idx="13">
                  <c:v>53</c:v>
                </c:pt>
                <c:pt idx="14">
                  <c:v>53</c:v>
                </c:pt>
                <c:pt idx="15">
                  <c:v>53</c:v>
                </c:pt>
                <c:pt idx="16">
                  <c:v>53</c:v>
                </c:pt>
                <c:pt idx="17">
                  <c:v>47</c:v>
                </c:pt>
                <c:pt idx="18">
                  <c:v>46</c:v>
                </c:pt>
                <c:pt idx="19">
                  <c:v>38</c:v>
                </c:pt>
                <c:pt idx="20">
                  <c:v>35</c:v>
                </c:pt>
                <c:pt idx="21">
                  <c:v>34</c:v>
                </c:pt>
                <c:pt idx="22">
                  <c:v>27</c:v>
                </c:pt>
                <c:pt idx="23">
                  <c:v>21</c:v>
                </c:pt>
                <c:pt idx="24">
                  <c:v>17</c:v>
                </c:pt>
                <c:pt idx="25">
                  <c:v>13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0B-42EE-BBC3-8D99D544A861}"/>
            </c:ext>
          </c:extLst>
        </c:ser>
        <c:ser>
          <c:idx val="1"/>
          <c:order val="1"/>
          <c:tx>
            <c:strRef>
              <c:f>'NIVUS O4R2'!$D$14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'NIVUS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'NIVUS O4R2'!$D$15:$D$55</c:f>
              <c:numCache>
                <c:formatCode>General</c:formatCode>
                <c:ptCount val="41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53</c:v>
                </c:pt>
                <c:pt idx="7">
                  <c:v>53</c:v>
                </c:pt>
                <c:pt idx="8">
                  <c:v>53</c:v>
                </c:pt>
                <c:pt idx="9">
                  <c:v>53</c:v>
                </c:pt>
                <c:pt idx="10">
                  <c:v>53</c:v>
                </c:pt>
                <c:pt idx="11">
                  <c:v>53</c:v>
                </c:pt>
                <c:pt idx="12">
                  <c:v>53</c:v>
                </c:pt>
                <c:pt idx="13">
                  <c:v>53</c:v>
                </c:pt>
                <c:pt idx="14">
                  <c:v>53</c:v>
                </c:pt>
                <c:pt idx="15">
                  <c:v>53</c:v>
                </c:pt>
                <c:pt idx="16">
                  <c:v>53</c:v>
                </c:pt>
                <c:pt idx="17">
                  <c:v>47</c:v>
                </c:pt>
                <c:pt idx="18">
                  <c:v>46</c:v>
                </c:pt>
                <c:pt idx="19">
                  <c:v>38</c:v>
                </c:pt>
                <c:pt idx="20">
                  <c:v>35</c:v>
                </c:pt>
                <c:pt idx="21">
                  <c:v>34</c:v>
                </c:pt>
                <c:pt idx="22">
                  <c:v>27</c:v>
                </c:pt>
                <c:pt idx="23">
                  <c:v>21</c:v>
                </c:pt>
                <c:pt idx="24">
                  <c:v>17</c:v>
                </c:pt>
                <c:pt idx="25">
                  <c:v>13</c:v>
                </c:pt>
                <c:pt idx="26">
                  <c:v>12</c:v>
                </c:pt>
                <c:pt idx="27">
                  <c:v>11</c:v>
                </c:pt>
                <c:pt idx="28">
                  <c:v>10</c:v>
                </c:pt>
                <c:pt idx="29">
                  <c:v>9</c:v>
                </c:pt>
                <c:pt idx="30">
                  <c:v>8</c:v>
                </c:pt>
                <c:pt idx="31">
                  <c:v>7</c:v>
                </c:pt>
                <c:pt idx="32">
                  <c:v>6</c:v>
                </c:pt>
                <c:pt idx="33">
                  <c:v>5</c:v>
                </c:pt>
                <c:pt idx="34">
                  <c:v>4</c:v>
                </c:pt>
                <c:pt idx="35">
                  <c:v>3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0B-42EE-BBC3-8D99D544A861}"/>
            </c:ext>
          </c:extLst>
        </c:ser>
        <c:ser>
          <c:idx val="2"/>
          <c:order val="2"/>
          <c:tx>
            <c:strRef>
              <c:f>'NIVUS O4R2'!$E$14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'NIVUS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'NIVUS O4R2'!$E$15:$E$55</c:f>
              <c:numCache>
                <c:formatCode>General</c:formatCode>
                <c:ptCount val="41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53</c:v>
                </c:pt>
                <c:pt idx="7">
                  <c:v>53</c:v>
                </c:pt>
                <c:pt idx="8">
                  <c:v>53</c:v>
                </c:pt>
                <c:pt idx="9">
                  <c:v>53</c:v>
                </c:pt>
                <c:pt idx="10">
                  <c:v>53</c:v>
                </c:pt>
                <c:pt idx="11">
                  <c:v>53</c:v>
                </c:pt>
                <c:pt idx="12">
                  <c:v>53</c:v>
                </c:pt>
                <c:pt idx="13">
                  <c:v>53</c:v>
                </c:pt>
                <c:pt idx="14">
                  <c:v>53</c:v>
                </c:pt>
                <c:pt idx="15">
                  <c:v>53</c:v>
                </c:pt>
                <c:pt idx="16">
                  <c:v>53</c:v>
                </c:pt>
                <c:pt idx="17">
                  <c:v>47</c:v>
                </c:pt>
                <c:pt idx="18">
                  <c:v>46</c:v>
                </c:pt>
                <c:pt idx="19">
                  <c:v>38</c:v>
                </c:pt>
                <c:pt idx="20">
                  <c:v>35</c:v>
                </c:pt>
                <c:pt idx="21">
                  <c:v>34</c:v>
                </c:pt>
                <c:pt idx="22">
                  <c:v>27</c:v>
                </c:pt>
                <c:pt idx="23">
                  <c:v>21</c:v>
                </c:pt>
                <c:pt idx="24">
                  <c:v>17</c:v>
                </c:pt>
                <c:pt idx="25">
                  <c:v>13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0B-42EE-BBC3-8D99D544A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'NIVUS O4R2'!$B$15:$B$25</c:f>
              <c:numCache>
                <c:formatCode>dd/mm/yy;@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'NIVUS O4R2'!$J$15:$J$25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A19-44C1-B962-0C1E0F506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'TAOS O4R2'!$C$14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'TAOS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'TAOS O4R2'!$C$15:$C$55</c:f>
              <c:numCache>
                <c:formatCode>General</c:formatCode>
                <c:ptCount val="41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14</c:v>
                </c:pt>
                <c:pt idx="15">
                  <c:v>14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11</c:v>
                </c:pt>
                <c:pt idx="22">
                  <c:v>9</c:v>
                </c:pt>
                <c:pt idx="23">
                  <c:v>6</c:v>
                </c:pt>
                <c:pt idx="24">
                  <c:v>5</c:v>
                </c:pt>
                <c:pt idx="25">
                  <c:v>5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E-455F-8BDC-F9377083AA45}"/>
            </c:ext>
          </c:extLst>
        </c:ser>
        <c:ser>
          <c:idx val="1"/>
          <c:order val="1"/>
          <c:tx>
            <c:strRef>
              <c:f>'TAOS O4R2'!$D$14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'TAOS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'TAOS O4R2'!$D$15:$D$55</c:f>
              <c:numCache>
                <c:formatCode>General</c:formatCode>
                <c:ptCount val="41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14</c:v>
                </c:pt>
                <c:pt idx="15">
                  <c:v>14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11</c:v>
                </c:pt>
                <c:pt idx="22">
                  <c:v>9</c:v>
                </c:pt>
                <c:pt idx="23">
                  <c:v>6</c:v>
                </c:pt>
                <c:pt idx="24">
                  <c:v>5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EE-455F-8BDC-F9377083AA45}"/>
            </c:ext>
          </c:extLst>
        </c:ser>
        <c:ser>
          <c:idx val="2"/>
          <c:order val="2"/>
          <c:tx>
            <c:strRef>
              <c:f>'TAOS O4R2'!$E$14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'TAOS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'TAOS O4R2'!$E$15:$E$55</c:f>
              <c:numCache>
                <c:formatCode>General</c:formatCode>
                <c:ptCount val="41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14</c:v>
                </c:pt>
                <c:pt idx="15">
                  <c:v>14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11</c:v>
                </c:pt>
                <c:pt idx="22">
                  <c:v>9</c:v>
                </c:pt>
                <c:pt idx="23">
                  <c:v>6</c:v>
                </c:pt>
                <c:pt idx="24">
                  <c:v>5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EE-455F-8BDC-F9377083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'TAOS O4R2'!$B$15:$B$25</c:f>
              <c:numCache>
                <c:formatCode>dd/mm/yy;@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'TAOS O4R2'!$J$15:$J$25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496-4F80-9964-C063E9B77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'FUSCA O4R2'!$C$14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'FUSCA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'FUSCA O4R2'!$C$15:$C$55</c:f>
              <c:numCache>
                <c:formatCode>General</c:formatCode>
                <c:ptCount val="41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20</c:v>
                </c:pt>
                <c:pt idx="19">
                  <c:v>20</c:v>
                </c:pt>
                <c:pt idx="20">
                  <c:v>16</c:v>
                </c:pt>
                <c:pt idx="21">
                  <c:v>16</c:v>
                </c:pt>
                <c:pt idx="22">
                  <c:v>11</c:v>
                </c:pt>
                <c:pt idx="23">
                  <c:v>10</c:v>
                </c:pt>
                <c:pt idx="24">
                  <c:v>7</c:v>
                </c:pt>
                <c:pt idx="25">
                  <c:v>7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2-42F6-AE85-C40F75641B68}"/>
            </c:ext>
          </c:extLst>
        </c:ser>
        <c:ser>
          <c:idx val="1"/>
          <c:order val="1"/>
          <c:tx>
            <c:strRef>
              <c:f>'FUSCA O4R2'!$D$14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'FUSCA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'FUSCA O4R2'!$D$15:$D$55</c:f>
              <c:numCache>
                <c:formatCode>General</c:formatCode>
                <c:ptCount val="41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20</c:v>
                </c:pt>
                <c:pt idx="19">
                  <c:v>20</c:v>
                </c:pt>
                <c:pt idx="20">
                  <c:v>16</c:v>
                </c:pt>
                <c:pt idx="21">
                  <c:v>16</c:v>
                </c:pt>
                <c:pt idx="22">
                  <c:v>11</c:v>
                </c:pt>
                <c:pt idx="23">
                  <c:v>10</c:v>
                </c:pt>
                <c:pt idx="24">
                  <c:v>7</c:v>
                </c:pt>
                <c:pt idx="25">
                  <c:v>7</c:v>
                </c:pt>
                <c:pt idx="26">
                  <c:v>6</c:v>
                </c:pt>
                <c:pt idx="27">
                  <c:v>5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C2-42F6-AE85-C40F75641B68}"/>
            </c:ext>
          </c:extLst>
        </c:ser>
        <c:ser>
          <c:idx val="2"/>
          <c:order val="2"/>
          <c:tx>
            <c:strRef>
              <c:f>'FUSCA O4R2'!$E$14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'FUSCA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'FUSCA O4R2'!$E$15:$E$55</c:f>
              <c:numCache>
                <c:formatCode>General</c:formatCode>
                <c:ptCount val="41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20</c:v>
                </c:pt>
                <c:pt idx="19">
                  <c:v>20</c:v>
                </c:pt>
                <c:pt idx="20">
                  <c:v>16</c:v>
                </c:pt>
                <c:pt idx="21">
                  <c:v>16</c:v>
                </c:pt>
                <c:pt idx="22">
                  <c:v>11</c:v>
                </c:pt>
                <c:pt idx="23">
                  <c:v>10</c:v>
                </c:pt>
                <c:pt idx="24">
                  <c:v>7</c:v>
                </c:pt>
                <c:pt idx="25">
                  <c:v>7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C2-42F6-AE85-C40F75641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'FUSCA O4R2'!$B$15:$B$25</c:f>
              <c:numCache>
                <c:formatCode>dd/mm/yy;@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'FUSCA O4R2'!$J$15:$J$25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9BE-40A8-B144-E68F6D82A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'UP O4R2'!$C$14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'UP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'UP O4R2'!$C$15:$C$55</c:f>
              <c:numCache>
                <c:formatCode>General</c:formatCode>
                <c:ptCount val="41"/>
                <c:pt idx="0">
                  <c:v>39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  <c:pt idx="4">
                  <c:v>39</c:v>
                </c:pt>
                <c:pt idx="5">
                  <c:v>38</c:v>
                </c:pt>
                <c:pt idx="6">
                  <c:v>37</c:v>
                </c:pt>
                <c:pt idx="7">
                  <c:v>35</c:v>
                </c:pt>
                <c:pt idx="8">
                  <c:v>25</c:v>
                </c:pt>
                <c:pt idx="9">
                  <c:v>25</c:v>
                </c:pt>
                <c:pt idx="10">
                  <c:v>20</c:v>
                </c:pt>
                <c:pt idx="11">
                  <c:v>17</c:v>
                </c:pt>
                <c:pt idx="12">
                  <c:v>16</c:v>
                </c:pt>
                <c:pt idx="13">
                  <c:v>14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2-4BDC-9BE9-513D73A8158A}"/>
            </c:ext>
          </c:extLst>
        </c:ser>
        <c:ser>
          <c:idx val="1"/>
          <c:order val="1"/>
          <c:tx>
            <c:strRef>
              <c:f>'UP O4R2'!$D$14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'UP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'UP O4R2'!$D$15:$D$55</c:f>
              <c:numCache>
                <c:formatCode>General</c:formatCode>
                <c:ptCount val="41"/>
                <c:pt idx="0">
                  <c:v>39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  <c:pt idx="4">
                  <c:v>39</c:v>
                </c:pt>
                <c:pt idx="5">
                  <c:v>38</c:v>
                </c:pt>
                <c:pt idx="6">
                  <c:v>37</c:v>
                </c:pt>
                <c:pt idx="7">
                  <c:v>35</c:v>
                </c:pt>
                <c:pt idx="8">
                  <c:v>25</c:v>
                </c:pt>
                <c:pt idx="9">
                  <c:v>25</c:v>
                </c:pt>
                <c:pt idx="10">
                  <c:v>20</c:v>
                </c:pt>
                <c:pt idx="11">
                  <c:v>17</c:v>
                </c:pt>
                <c:pt idx="12">
                  <c:v>16</c:v>
                </c:pt>
                <c:pt idx="13">
                  <c:v>14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2-4BDC-9BE9-513D73A8158A}"/>
            </c:ext>
          </c:extLst>
        </c:ser>
        <c:ser>
          <c:idx val="2"/>
          <c:order val="2"/>
          <c:tx>
            <c:strRef>
              <c:f>'UP O4R2'!$E$14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'UP O4R2'!$B$15:$B$55</c:f>
              <c:numCache>
                <c:formatCode>dd/mm/yy;@</c:formatCode>
                <c:ptCount val="4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'UP O4R2'!$E$15:$E$55</c:f>
              <c:numCache>
                <c:formatCode>General</c:formatCode>
                <c:ptCount val="41"/>
                <c:pt idx="0">
                  <c:v>39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  <c:pt idx="4">
                  <c:v>39</c:v>
                </c:pt>
                <c:pt idx="5">
                  <c:v>38</c:v>
                </c:pt>
                <c:pt idx="6">
                  <c:v>37</c:v>
                </c:pt>
                <c:pt idx="7">
                  <c:v>35</c:v>
                </c:pt>
                <c:pt idx="8">
                  <c:v>25</c:v>
                </c:pt>
                <c:pt idx="9">
                  <c:v>25</c:v>
                </c:pt>
                <c:pt idx="10">
                  <c:v>20</c:v>
                </c:pt>
                <c:pt idx="11">
                  <c:v>17</c:v>
                </c:pt>
                <c:pt idx="12">
                  <c:v>16</c:v>
                </c:pt>
                <c:pt idx="13">
                  <c:v>14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2-4BDC-9BE9-513D73A81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Itens Entregues - GOL  (R1.5)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'UP O4R2'!$B$15:$B$25</c:f>
              <c:numCache>
                <c:formatCode>dd/mm/yy;@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'UP O4R2'!$J$15:$J$25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10</c:v>
                </c:pt>
                <c:pt idx="8">
                  <c:v>0</c:v>
                </c:pt>
                <c:pt idx="9">
                  <c:v>5</c:v>
                </c:pt>
                <c:pt idx="10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{"Itens Entregues"}</c15:sqref>
                        </c15:formulaRef>
                      </c:ext>
                    </c:extLst>
                    <c:strCache>
                      <c:ptCount val="1"/>
                      <c:pt idx="0">
                        <c:v>Itens Entregues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220-4A48-9B88-F6013C0EC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1625864"/>
        <c:axId val="140181512"/>
      </c:barChart>
      <c:dateAx>
        <c:axId val="581625864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1512"/>
        <c:crosses val="autoZero"/>
        <c:auto val="1"/>
        <c:lblOffset val="100"/>
        <c:baseTimeUnit val="days"/>
        <c:majorUnit val="7"/>
      </c:dateAx>
      <c:valAx>
        <c:axId val="1401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258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'Amarok (via JIRA)'!$C$13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'Amarok (via JIRA)'!$B$14:$B$55</c:f>
              <c:numCache>
                <c:formatCode>dd/mm/yy;@</c:formatCode>
                <c:ptCount val="42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'Amarok (via JIRA)'!$C$14:$C$55</c:f>
              <c:numCache>
                <c:formatCode>General</c:formatCode>
                <c:ptCount val="42"/>
                <c:pt idx="0">
                  <c:v>17</c:v>
                </c:pt>
                <c:pt idx="1">
                  <c:v>14</c:v>
                </c:pt>
                <c:pt idx="2">
                  <c:v>19</c:v>
                </c:pt>
                <c:pt idx="3">
                  <c:v>10</c:v>
                </c:pt>
                <c:pt idx="4">
                  <c:v>10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BC-4E67-BD3B-41400C994BB9}"/>
            </c:ext>
          </c:extLst>
        </c:ser>
        <c:ser>
          <c:idx val="1"/>
          <c:order val="1"/>
          <c:tx>
            <c:strRef>
              <c:f>'Amarok (via JIRA)'!$D$13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'Amarok (via JIRA)'!$B$14:$B$55</c:f>
              <c:numCache>
                <c:formatCode>dd/mm/yy;@</c:formatCode>
                <c:ptCount val="42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'Amarok (via JIRA)'!$D$14:$D$55</c:f>
              <c:numCache>
                <c:formatCode>General</c:formatCode>
                <c:ptCount val="42"/>
                <c:pt idx="0">
                  <c:v>17</c:v>
                </c:pt>
                <c:pt idx="1">
                  <c:v>14</c:v>
                </c:pt>
                <c:pt idx="2">
                  <c:v>19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BC-4E67-BD3B-41400C994BB9}"/>
            </c:ext>
          </c:extLst>
        </c:ser>
        <c:ser>
          <c:idx val="2"/>
          <c:order val="2"/>
          <c:tx>
            <c:strRef>
              <c:f>'Amarok (via JIRA)'!$E$13</c:f>
              <c:strCache>
                <c:ptCount val="1"/>
                <c:pt idx="0">
                  <c:v>A fazer
(valocidade necessária)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'Amarok (via JIRA)'!$B$14:$B$55</c:f>
              <c:numCache>
                <c:formatCode>dd/mm/yy;@</c:formatCode>
                <c:ptCount val="42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  <c:pt idx="11">
                  <c:v>46013</c:v>
                </c:pt>
                <c:pt idx="12">
                  <c:v>46020</c:v>
                </c:pt>
                <c:pt idx="13">
                  <c:v>46027</c:v>
                </c:pt>
                <c:pt idx="14">
                  <c:v>46034</c:v>
                </c:pt>
                <c:pt idx="15">
                  <c:v>46041</c:v>
                </c:pt>
                <c:pt idx="16">
                  <c:v>46048</c:v>
                </c:pt>
                <c:pt idx="17">
                  <c:v>46055</c:v>
                </c:pt>
                <c:pt idx="18">
                  <c:v>46062</c:v>
                </c:pt>
                <c:pt idx="19">
                  <c:v>46069</c:v>
                </c:pt>
                <c:pt idx="20">
                  <c:v>46076</c:v>
                </c:pt>
                <c:pt idx="21">
                  <c:v>46083</c:v>
                </c:pt>
                <c:pt idx="22">
                  <c:v>46090</c:v>
                </c:pt>
                <c:pt idx="23">
                  <c:v>46097</c:v>
                </c:pt>
                <c:pt idx="24">
                  <c:v>46104</c:v>
                </c:pt>
                <c:pt idx="25">
                  <c:v>46111</c:v>
                </c:pt>
                <c:pt idx="26">
                  <c:v>46118</c:v>
                </c:pt>
                <c:pt idx="27">
                  <c:v>46125</c:v>
                </c:pt>
                <c:pt idx="28">
                  <c:v>46132</c:v>
                </c:pt>
                <c:pt idx="29">
                  <c:v>46139</c:v>
                </c:pt>
                <c:pt idx="30">
                  <c:v>46146</c:v>
                </c:pt>
                <c:pt idx="31">
                  <c:v>46153</c:v>
                </c:pt>
                <c:pt idx="32">
                  <c:v>46160</c:v>
                </c:pt>
                <c:pt idx="33">
                  <c:v>46167</c:v>
                </c:pt>
                <c:pt idx="34">
                  <c:v>46174</c:v>
                </c:pt>
                <c:pt idx="35">
                  <c:v>46181</c:v>
                </c:pt>
                <c:pt idx="36">
                  <c:v>46188</c:v>
                </c:pt>
                <c:pt idx="37">
                  <c:v>46195</c:v>
                </c:pt>
                <c:pt idx="38">
                  <c:v>46202</c:v>
                </c:pt>
                <c:pt idx="39">
                  <c:v>46209</c:v>
                </c:pt>
                <c:pt idx="40">
                  <c:v>46216</c:v>
                </c:pt>
              </c:numCache>
            </c:numRef>
          </c:cat>
          <c:val>
            <c:numRef>
              <c:f>'Amarok (via JIRA)'!$E$14:$E$55</c:f>
              <c:numCache>
                <c:formatCode>General</c:formatCode>
                <c:ptCount val="42"/>
                <c:pt idx="0">
                  <c:v>17</c:v>
                </c:pt>
                <c:pt idx="1">
                  <c:v>14</c:v>
                </c:pt>
                <c:pt idx="2">
                  <c:v>19</c:v>
                </c:pt>
                <c:pt idx="3">
                  <c:v>10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BC-4E67-BD3B-41400C99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9811827956989229E-2"/>
          <c:y val="6.4218009478672969E-2"/>
          <c:w val="0.90228203485889524"/>
          <c:h val="0.69052132701421809"/>
        </c:manualLayout>
      </c:layout>
      <c:lineChart>
        <c:grouping val="standard"/>
        <c:varyColors val="1"/>
        <c:ser>
          <c:idx val="0"/>
          <c:order val="0"/>
          <c:tx>
            <c:strRef>
              <c:f>'Gol (Release 3)'!$B$11</c:f>
              <c:strCache>
                <c:ptCount val="1"/>
                <c:pt idx="0">
                  <c:v>A fazer (melhor cenário)</c:v>
                </c:pt>
              </c:strCache>
            </c:strRef>
          </c:tx>
          <c:spPr>
            <a:ln cmpd="sng">
              <a:solidFill>
                <a:schemeClr val="tx2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'Gol (Release 3)'!$A$12:$A$52</c:f>
              <c:numCache>
                <c:formatCode>dd/mm/yy;@</c:formatCode>
                <c:ptCount val="41"/>
                <c:pt idx="0">
                  <c:v>45642</c:v>
                </c:pt>
                <c:pt idx="1">
                  <c:v>45649</c:v>
                </c:pt>
                <c:pt idx="2">
                  <c:v>45656</c:v>
                </c:pt>
                <c:pt idx="3">
                  <c:v>45663</c:v>
                </c:pt>
                <c:pt idx="4">
                  <c:v>45670</c:v>
                </c:pt>
                <c:pt idx="5">
                  <c:v>45677</c:v>
                </c:pt>
                <c:pt idx="6">
                  <c:v>45684</c:v>
                </c:pt>
                <c:pt idx="7">
                  <c:v>45691</c:v>
                </c:pt>
                <c:pt idx="8">
                  <c:v>45698</c:v>
                </c:pt>
                <c:pt idx="9">
                  <c:v>45705</c:v>
                </c:pt>
                <c:pt idx="10">
                  <c:v>45712</c:v>
                </c:pt>
                <c:pt idx="11">
                  <c:v>45719</c:v>
                </c:pt>
                <c:pt idx="12">
                  <c:v>45726</c:v>
                </c:pt>
                <c:pt idx="13">
                  <c:v>45733</c:v>
                </c:pt>
                <c:pt idx="14">
                  <c:v>45740</c:v>
                </c:pt>
                <c:pt idx="15">
                  <c:v>45747</c:v>
                </c:pt>
                <c:pt idx="16">
                  <c:v>45754</c:v>
                </c:pt>
                <c:pt idx="17">
                  <c:v>45761</c:v>
                </c:pt>
                <c:pt idx="18">
                  <c:v>45768</c:v>
                </c:pt>
                <c:pt idx="19">
                  <c:v>45775</c:v>
                </c:pt>
                <c:pt idx="20">
                  <c:v>45782</c:v>
                </c:pt>
                <c:pt idx="21">
                  <c:v>45789</c:v>
                </c:pt>
                <c:pt idx="22">
                  <c:v>45796</c:v>
                </c:pt>
                <c:pt idx="23">
                  <c:v>45803</c:v>
                </c:pt>
                <c:pt idx="24">
                  <c:v>45810</c:v>
                </c:pt>
                <c:pt idx="25">
                  <c:v>45817</c:v>
                </c:pt>
                <c:pt idx="26">
                  <c:v>45824</c:v>
                </c:pt>
                <c:pt idx="27">
                  <c:v>45831</c:v>
                </c:pt>
                <c:pt idx="28">
                  <c:v>45838</c:v>
                </c:pt>
                <c:pt idx="29">
                  <c:v>45845</c:v>
                </c:pt>
                <c:pt idx="30">
                  <c:v>45852</c:v>
                </c:pt>
                <c:pt idx="31">
                  <c:v>45859</c:v>
                </c:pt>
                <c:pt idx="32">
                  <c:v>45866</c:v>
                </c:pt>
                <c:pt idx="33">
                  <c:v>45873</c:v>
                </c:pt>
                <c:pt idx="34">
                  <c:v>45880</c:v>
                </c:pt>
                <c:pt idx="35">
                  <c:v>45887</c:v>
                </c:pt>
                <c:pt idx="36">
                  <c:v>45894</c:v>
                </c:pt>
                <c:pt idx="37">
                  <c:v>45901</c:v>
                </c:pt>
                <c:pt idx="38">
                  <c:v>45908</c:v>
                </c:pt>
                <c:pt idx="39">
                  <c:v>45915</c:v>
                </c:pt>
                <c:pt idx="40">
                  <c:v>45922</c:v>
                </c:pt>
              </c:numCache>
            </c:numRef>
          </c:cat>
          <c:val>
            <c:numRef>
              <c:f>'Gol (Release 3)'!$B$12:$B$52</c:f>
              <c:numCache>
                <c:formatCode>General</c:formatCode>
                <c:ptCount val="4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99-4879-AA84-CAE326649235}"/>
            </c:ext>
          </c:extLst>
        </c:ser>
        <c:ser>
          <c:idx val="1"/>
          <c:order val="1"/>
          <c:tx>
            <c:strRef>
              <c:f>'Gol (Release 3)'!$C$11</c:f>
              <c:strCache>
                <c:ptCount val="1"/>
                <c:pt idx="0">
                  <c:v>A fazer (pior cenário)</c:v>
                </c:pt>
              </c:strCache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'Gol (Release 3)'!$A$12:$A$52</c:f>
              <c:numCache>
                <c:formatCode>dd/mm/yy;@</c:formatCode>
                <c:ptCount val="41"/>
                <c:pt idx="0">
                  <c:v>45642</c:v>
                </c:pt>
                <c:pt idx="1">
                  <c:v>45649</c:v>
                </c:pt>
                <c:pt idx="2">
                  <c:v>45656</c:v>
                </c:pt>
                <c:pt idx="3">
                  <c:v>45663</c:v>
                </c:pt>
                <c:pt idx="4">
                  <c:v>45670</c:v>
                </c:pt>
                <c:pt idx="5">
                  <c:v>45677</c:v>
                </c:pt>
                <c:pt idx="6">
                  <c:v>45684</c:v>
                </c:pt>
                <c:pt idx="7">
                  <c:v>45691</c:v>
                </c:pt>
                <c:pt idx="8">
                  <c:v>45698</c:v>
                </c:pt>
                <c:pt idx="9">
                  <c:v>45705</c:v>
                </c:pt>
                <c:pt idx="10">
                  <c:v>45712</c:v>
                </c:pt>
                <c:pt idx="11">
                  <c:v>45719</c:v>
                </c:pt>
                <c:pt idx="12">
                  <c:v>45726</c:v>
                </c:pt>
                <c:pt idx="13">
                  <c:v>45733</c:v>
                </c:pt>
                <c:pt idx="14">
                  <c:v>45740</c:v>
                </c:pt>
                <c:pt idx="15">
                  <c:v>45747</c:v>
                </c:pt>
                <c:pt idx="16">
                  <c:v>45754</c:v>
                </c:pt>
                <c:pt idx="17">
                  <c:v>45761</c:v>
                </c:pt>
                <c:pt idx="18">
                  <c:v>45768</c:v>
                </c:pt>
                <c:pt idx="19">
                  <c:v>45775</c:v>
                </c:pt>
                <c:pt idx="20">
                  <c:v>45782</c:v>
                </c:pt>
                <c:pt idx="21">
                  <c:v>45789</c:v>
                </c:pt>
                <c:pt idx="22">
                  <c:v>45796</c:v>
                </c:pt>
                <c:pt idx="23">
                  <c:v>45803</c:v>
                </c:pt>
                <c:pt idx="24">
                  <c:v>45810</c:v>
                </c:pt>
                <c:pt idx="25">
                  <c:v>45817</c:v>
                </c:pt>
                <c:pt idx="26">
                  <c:v>45824</c:v>
                </c:pt>
                <c:pt idx="27">
                  <c:v>45831</c:v>
                </c:pt>
                <c:pt idx="28">
                  <c:v>45838</c:v>
                </c:pt>
                <c:pt idx="29">
                  <c:v>45845</c:v>
                </c:pt>
                <c:pt idx="30">
                  <c:v>45852</c:v>
                </c:pt>
                <c:pt idx="31">
                  <c:v>45859</c:v>
                </c:pt>
                <c:pt idx="32">
                  <c:v>45866</c:v>
                </c:pt>
                <c:pt idx="33">
                  <c:v>45873</c:v>
                </c:pt>
                <c:pt idx="34">
                  <c:v>45880</c:v>
                </c:pt>
                <c:pt idx="35">
                  <c:v>45887</c:v>
                </c:pt>
                <c:pt idx="36">
                  <c:v>45894</c:v>
                </c:pt>
                <c:pt idx="37">
                  <c:v>45901</c:v>
                </c:pt>
                <c:pt idx="38">
                  <c:v>45908</c:v>
                </c:pt>
                <c:pt idx="39">
                  <c:v>45915</c:v>
                </c:pt>
                <c:pt idx="40">
                  <c:v>45922</c:v>
                </c:pt>
              </c:numCache>
            </c:numRef>
          </c:cat>
          <c:val>
            <c:numRef>
              <c:f>'Gol (Release 3)'!$C$12:$C$52</c:f>
              <c:numCache>
                <c:formatCode>General</c:formatCode>
                <c:ptCount val="41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99-4879-AA84-CAE326649235}"/>
            </c:ext>
          </c:extLst>
        </c:ser>
        <c:ser>
          <c:idx val="2"/>
          <c:order val="2"/>
          <c:tx>
            <c:strRef>
              <c:f>'Gol (Release 3)'!$D$11</c:f>
              <c:strCache>
                <c:ptCount val="1"/>
                <c:pt idx="0">
                  <c:v>A fazer (necessário)</c:v>
                </c:pt>
              </c:strCache>
            </c:strRef>
          </c:tx>
          <c:spPr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'Gol (Release 3)'!$A$12:$A$52</c:f>
              <c:numCache>
                <c:formatCode>dd/mm/yy;@</c:formatCode>
                <c:ptCount val="41"/>
                <c:pt idx="0">
                  <c:v>45642</c:v>
                </c:pt>
                <c:pt idx="1">
                  <c:v>45649</c:v>
                </c:pt>
                <c:pt idx="2">
                  <c:v>45656</c:v>
                </c:pt>
                <c:pt idx="3">
                  <c:v>45663</c:v>
                </c:pt>
                <c:pt idx="4">
                  <c:v>45670</c:v>
                </c:pt>
                <c:pt idx="5">
                  <c:v>45677</c:v>
                </c:pt>
                <c:pt idx="6">
                  <c:v>45684</c:v>
                </c:pt>
                <c:pt idx="7">
                  <c:v>45691</c:v>
                </c:pt>
                <c:pt idx="8">
                  <c:v>45698</c:v>
                </c:pt>
                <c:pt idx="9">
                  <c:v>45705</c:v>
                </c:pt>
                <c:pt idx="10">
                  <c:v>45712</c:v>
                </c:pt>
                <c:pt idx="11">
                  <c:v>45719</c:v>
                </c:pt>
                <c:pt idx="12">
                  <c:v>45726</c:v>
                </c:pt>
                <c:pt idx="13">
                  <c:v>45733</c:v>
                </c:pt>
                <c:pt idx="14">
                  <c:v>45740</c:v>
                </c:pt>
                <c:pt idx="15">
                  <c:v>45747</c:v>
                </c:pt>
                <c:pt idx="16">
                  <c:v>45754</c:v>
                </c:pt>
                <c:pt idx="17">
                  <c:v>45761</c:v>
                </c:pt>
                <c:pt idx="18">
                  <c:v>45768</c:v>
                </c:pt>
                <c:pt idx="19">
                  <c:v>45775</c:v>
                </c:pt>
                <c:pt idx="20">
                  <c:v>45782</c:v>
                </c:pt>
                <c:pt idx="21">
                  <c:v>45789</c:v>
                </c:pt>
                <c:pt idx="22">
                  <c:v>45796</c:v>
                </c:pt>
                <c:pt idx="23">
                  <c:v>45803</c:v>
                </c:pt>
                <c:pt idx="24">
                  <c:v>45810</c:v>
                </c:pt>
                <c:pt idx="25">
                  <c:v>45817</c:v>
                </c:pt>
                <c:pt idx="26">
                  <c:v>45824</c:v>
                </c:pt>
                <c:pt idx="27">
                  <c:v>45831</c:v>
                </c:pt>
                <c:pt idx="28">
                  <c:v>45838</c:v>
                </c:pt>
                <c:pt idx="29">
                  <c:v>45845</c:v>
                </c:pt>
                <c:pt idx="30">
                  <c:v>45852</c:v>
                </c:pt>
                <c:pt idx="31">
                  <c:v>45859</c:v>
                </c:pt>
                <c:pt idx="32">
                  <c:v>45866</c:v>
                </c:pt>
                <c:pt idx="33">
                  <c:v>45873</c:v>
                </c:pt>
                <c:pt idx="34">
                  <c:v>45880</c:v>
                </c:pt>
                <c:pt idx="35">
                  <c:v>45887</c:v>
                </c:pt>
                <c:pt idx="36">
                  <c:v>45894</c:v>
                </c:pt>
                <c:pt idx="37">
                  <c:v>45901</c:v>
                </c:pt>
                <c:pt idx="38">
                  <c:v>45908</c:v>
                </c:pt>
                <c:pt idx="39">
                  <c:v>45915</c:v>
                </c:pt>
                <c:pt idx="40">
                  <c:v>45922</c:v>
                </c:pt>
              </c:numCache>
            </c:numRef>
          </c:cat>
          <c:val>
            <c:numRef>
              <c:f>'Gol (Release 3)'!$D$12:$D$52</c:f>
              <c:numCache>
                <c:formatCode>General</c:formatCode>
                <c:ptCount val="4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99-4879-AA84-CAE326649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591303"/>
        <c:axId val="1302113514"/>
      </c:lineChart>
      <c:catAx>
        <c:axId val="1148591303"/>
        <c:scaling>
          <c:orientation val="minMax"/>
          <c:min val="1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dd/mm/yy;@" sourceLinked="0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1"/>
                </a:solidFill>
                <a:latin typeface="Roboto"/>
              </a:defRPr>
            </a:pPr>
            <a:endParaRPr lang="pt-BR"/>
          </a:p>
        </c:txPr>
        <c:crossAx val="1302113514"/>
        <c:crosses val="autoZero"/>
        <c:auto val="0"/>
        <c:lblAlgn val="ctr"/>
        <c:lblOffset val="100"/>
        <c:noMultiLvlLbl val="0"/>
      </c:catAx>
      <c:valAx>
        <c:axId val="1302113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solidFill>
              <a:schemeClr val="bg2"/>
            </a:solidFill>
          </a:ln>
        </c:spPr>
        <c:txPr>
          <a:bodyPr/>
          <a:lstStyle/>
          <a:p>
            <a:pPr lvl="0">
              <a:defRPr b="0" i="0">
                <a:solidFill>
                  <a:schemeClr val="bg2"/>
                </a:solidFill>
                <a:latin typeface="Roboto"/>
              </a:defRPr>
            </a:pPr>
            <a:endParaRPr lang="pt-BR"/>
          </a:p>
        </c:txPr>
        <c:crossAx val="1148591303"/>
        <c:crossesAt val="45566"/>
        <c:crossBetween val="between"/>
      </c:valAx>
      <c:spPr>
        <a:solidFill>
          <a:schemeClr val="tx2"/>
        </a:solidFill>
      </c:spPr>
    </c:plotArea>
    <c:legend>
      <c:legendPos val="t"/>
      <c:overlay val="0"/>
      <c:txPr>
        <a:bodyPr/>
        <a:lstStyle/>
        <a:p>
          <a:pPr lvl="0" rtl="0">
            <a:defRPr b="0" i="0">
              <a:solidFill>
                <a:schemeClr val="bg2"/>
              </a:solidFill>
              <a:latin typeface="Roboto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tx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57149</xdr:rowOff>
    </xdr:from>
    <xdr:to>
      <xdr:col>8</xdr:col>
      <xdr:colOff>476250</xdr:colOff>
      <xdr:row>30</xdr:row>
      <xdr:rowOff>28574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9C6A32AC-2FA9-9B8D-9ABC-4EF963CB0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57149</xdr:rowOff>
    </xdr:from>
    <xdr:to>
      <xdr:col>8</xdr:col>
      <xdr:colOff>476250</xdr:colOff>
      <xdr:row>30</xdr:row>
      <xdr:rowOff>28574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B33C9D15-1CC2-4F20-8A76-239A35823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142874</xdr:colOff>
      <xdr:row>0</xdr:row>
      <xdr:rowOff>119063</xdr:rowOff>
    </xdr:from>
    <xdr:ext cx="7177089" cy="4867276"/>
    <xdr:graphicFrame macro="">
      <xdr:nvGraphicFramePr>
        <xdr:cNvPr id="3" name="Chart 1" title="Gráfico">
          <a:extLst>
            <a:ext uri="{FF2B5EF4-FFF2-40B4-BE49-F238E27FC236}">
              <a16:creationId xmlns:a16="http://schemas.microsoft.com/office/drawing/2014/main" id="{6C050BEA-7D47-4090-B948-850550AA032B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10</xdr:row>
      <xdr:rowOff>571500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8412DF1D-2224-4A6B-8538-0A49C2992894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180975</xdr:colOff>
      <xdr:row>28</xdr:row>
      <xdr:rowOff>133350</xdr:rowOff>
    </xdr:from>
    <xdr:to>
      <xdr:col>18</xdr:col>
      <xdr:colOff>352425</xdr:colOff>
      <xdr:row>46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193D1D-E58F-4871-B1EC-B8E9E35C7C8C}"/>
            </a:ext>
            <a:ext uri="{147F2762-F138-4A5C-976F-8EAC2B608ADB}">
              <a16:predDERef xmlns:a16="http://schemas.microsoft.com/office/drawing/2014/main" pred="{8412DF1D-2224-4A6B-8538-0A49C2992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10</xdr:row>
      <xdr:rowOff>571500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66D085AF-037E-427C-A151-1790AB841ACE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180975</xdr:colOff>
      <xdr:row>28</xdr:row>
      <xdr:rowOff>133350</xdr:rowOff>
    </xdr:from>
    <xdr:to>
      <xdr:col>18</xdr:col>
      <xdr:colOff>352425</xdr:colOff>
      <xdr:row>46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DCB868-0090-48A0-958B-7C182E4094A8}"/>
            </a:ext>
            <a:ext uri="{147F2762-F138-4A5C-976F-8EAC2B608ADB}">
              <a16:predDERef xmlns:a16="http://schemas.microsoft.com/office/drawing/2014/main" pred="{66D085AF-037E-427C-A151-1790AB841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10</xdr:row>
      <xdr:rowOff>571500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B495B3B2-7CF5-4A51-BAA6-27DEF74A07E9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180975</xdr:colOff>
      <xdr:row>28</xdr:row>
      <xdr:rowOff>133350</xdr:rowOff>
    </xdr:from>
    <xdr:to>
      <xdr:col>18</xdr:col>
      <xdr:colOff>352425</xdr:colOff>
      <xdr:row>46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CDFF66-C975-44E8-9AFC-04FA5051D386}"/>
            </a:ext>
            <a:ext uri="{147F2762-F138-4A5C-976F-8EAC2B608ADB}">
              <a16:predDERef xmlns:a16="http://schemas.microsoft.com/office/drawing/2014/main" pred="{B495B3B2-7CF5-4A51-BAA6-27DEF74A0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10</xdr:row>
      <xdr:rowOff>571500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C18DC612-6023-42C8-92DA-C18F145E7CD5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180975</xdr:colOff>
      <xdr:row>28</xdr:row>
      <xdr:rowOff>133350</xdr:rowOff>
    </xdr:from>
    <xdr:to>
      <xdr:col>18</xdr:col>
      <xdr:colOff>352425</xdr:colOff>
      <xdr:row>46</xdr:row>
      <xdr:rowOff>190500</xdr:rowOff>
    </xdr:to>
    <xdr:graphicFrame macro="">
      <xdr:nvGraphicFramePr>
        <xdr:cNvPr id="31" name="Gráfico 2">
          <a:extLst>
            <a:ext uri="{FF2B5EF4-FFF2-40B4-BE49-F238E27FC236}">
              <a16:creationId xmlns:a16="http://schemas.microsoft.com/office/drawing/2014/main" id="{7DFA3F85-DDC4-4723-B5B4-21526D664A90}"/>
            </a:ext>
            <a:ext uri="{147F2762-F138-4A5C-976F-8EAC2B608ADB}">
              <a16:predDERef xmlns:a16="http://schemas.microsoft.com/office/drawing/2014/main" pred="{C18DC612-6023-42C8-92DA-C18F145E7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565150</xdr:colOff>
      <xdr:row>0</xdr:row>
      <xdr:rowOff>95250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575E137-E4BA-4973-9FDB-3BD447240E47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16</xdr:col>
      <xdr:colOff>523875</xdr:colOff>
      <xdr:row>20</xdr:row>
      <xdr:rowOff>9525</xdr:rowOff>
    </xdr:from>
    <xdr:to>
      <xdr:col>21</xdr:col>
      <xdr:colOff>285750</xdr:colOff>
      <xdr:row>33</xdr:row>
      <xdr:rowOff>152400</xdr:rowOff>
    </xdr:to>
    <xdr:graphicFrame macro="">
      <xdr:nvGraphicFramePr>
        <xdr:cNvPr id="27" name="Gráfico 2">
          <a:extLst>
            <a:ext uri="{FF2B5EF4-FFF2-40B4-BE49-F238E27FC236}">
              <a16:creationId xmlns:a16="http://schemas.microsoft.com/office/drawing/2014/main" id="{FA6A429C-0355-8A38-2F91-CE247373F5C4}"/>
            </a:ext>
            <a:ext uri="{147F2762-F138-4A5C-976F-8EAC2B608ADB}">
              <a16:predDERef xmlns:a16="http://schemas.microsoft.com/office/drawing/2014/main" pred="{0575E137-E4BA-4973-9FDB-3BD447240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10</xdr:row>
      <xdr:rowOff>571500</xdr:rowOff>
    </xdr:from>
    <xdr:ext cx="7915275" cy="4019550"/>
    <xdr:graphicFrame macro="">
      <xdr:nvGraphicFramePr>
        <xdr:cNvPr id="9" name="Chart 1" title="Gráfico">
          <a:extLst>
            <a:ext uri="{FF2B5EF4-FFF2-40B4-BE49-F238E27FC236}">
              <a16:creationId xmlns:a16="http://schemas.microsoft.com/office/drawing/2014/main" id="{FB1905F3-A3E8-4C28-9B48-0CBBF20B7D2F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180975</xdr:colOff>
      <xdr:row>28</xdr:row>
      <xdr:rowOff>133350</xdr:rowOff>
    </xdr:from>
    <xdr:to>
      <xdr:col>18</xdr:col>
      <xdr:colOff>352425</xdr:colOff>
      <xdr:row>46</xdr:row>
      <xdr:rowOff>190500</xdr:rowOff>
    </xdr:to>
    <xdr:graphicFrame macro="">
      <xdr:nvGraphicFramePr>
        <xdr:cNvPr id="8" name="Gráfico 2">
          <a:extLst>
            <a:ext uri="{FF2B5EF4-FFF2-40B4-BE49-F238E27FC236}">
              <a16:creationId xmlns:a16="http://schemas.microsoft.com/office/drawing/2014/main" id="{CBEE9F43-9035-4C95-8A5B-2CFBF819B88A}"/>
            </a:ext>
            <a:ext uri="{147F2762-F138-4A5C-976F-8EAC2B608ADB}">
              <a16:predDERef xmlns:a16="http://schemas.microsoft.com/office/drawing/2014/main" pred="{FB1905F3-A3E8-4C28-9B48-0CBBF20B7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11</xdr:row>
      <xdr:rowOff>571500</xdr:rowOff>
    </xdr:from>
    <xdr:ext cx="7915275" cy="4019550"/>
    <xdr:graphicFrame macro="">
      <xdr:nvGraphicFramePr>
        <xdr:cNvPr id="6" name="Chart 1" title="Gráfico">
          <a:extLst>
            <a:ext uri="{FF2B5EF4-FFF2-40B4-BE49-F238E27FC236}">
              <a16:creationId xmlns:a16="http://schemas.microsoft.com/office/drawing/2014/main" id="{37E42169-08A6-4B02-959A-C822FFC2BACD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180975</xdr:colOff>
      <xdr:row>29</xdr:row>
      <xdr:rowOff>133350</xdr:rowOff>
    </xdr:from>
    <xdr:to>
      <xdr:col>18</xdr:col>
      <xdr:colOff>352425</xdr:colOff>
      <xdr:row>47</xdr:row>
      <xdr:rowOff>190500</xdr:rowOff>
    </xdr:to>
    <xdr:graphicFrame macro="">
      <xdr:nvGraphicFramePr>
        <xdr:cNvPr id="7" name="Gráfico 2">
          <a:extLst>
            <a:ext uri="{FF2B5EF4-FFF2-40B4-BE49-F238E27FC236}">
              <a16:creationId xmlns:a16="http://schemas.microsoft.com/office/drawing/2014/main" id="{DCAA4F05-6F66-4E10-88CA-E35031ACA2BF}"/>
            </a:ext>
            <a:ext uri="{147F2762-F138-4A5C-976F-8EAC2B608ADB}">
              <a16:predDERef xmlns:a16="http://schemas.microsoft.com/office/drawing/2014/main" pred="{37E42169-08A6-4B02-959A-C822FFC2B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11</xdr:row>
      <xdr:rowOff>571500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9DC7FC83-0ECD-4B97-A6C1-96CAEFE319AF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180975</xdr:colOff>
      <xdr:row>29</xdr:row>
      <xdr:rowOff>133350</xdr:rowOff>
    </xdr:from>
    <xdr:to>
      <xdr:col>18</xdr:col>
      <xdr:colOff>352425</xdr:colOff>
      <xdr:row>47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D36F01-24F6-4F58-8A74-5931BB6BC344}"/>
            </a:ext>
            <a:ext uri="{147F2762-F138-4A5C-976F-8EAC2B608ADB}">
              <a16:predDERef xmlns:a16="http://schemas.microsoft.com/office/drawing/2014/main" pred="{9DC7FC83-0ECD-4B97-A6C1-96CAEFE31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11</xdr:row>
      <xdr:rowOff>571500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4016ADFE-BB23-47A1-9FAD-75BBEA287C23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180975</xdr:colOff>
      <xdr:row>29</xdr:row>
      <xdr:rowOff>133350</xdr:rowOff>
    </xdr:from>
    <xdr:to>
      <xdr:col>18</xdr:col>
      <xdr:colOff>352425</xdr:colOff>
      <xdr:row>47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CE49AF-00C8-423A-B9D5-7EB2671ACA16}"/>
            </a:ext>
            <a:ext uri="{147F2762-F138-4A5C-976F-8EAC2B608ADB}">
              <a16:predDERef xmlns:a16="http://schemas.microsoft.com/office/drawing/2014/main" pred="{4016ADFE-BB23-47A1-9FAD-75BBEA287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165100</xdr:colOff>
      <xdr:row>12</xdr:row>
      <xdr:rowOff>571500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D6C4907C-C379-4EE8-A3E4-614261A33F87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13</xdr:col>
      <xdr:colOff>180975</xdr:colOff>
      <xdr:row>30</xdr:row>
      <xdr:rowOff>133350</xdr:rowOff>
    </xdr:from>
    <xdr:to>
      <xdr:col>19</xdr:col>
      <xdr:colOff>352425</xdr:colOff>
      <xdr:row>48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143533-07F7-4D07-A96F-BF606B902283}"/>
            </a:ext>
            <a:ext uri="{147F2762-F138-4A5C-976F-8EAC2B608ADB}">
              <a16:predDERef xmlns:a16="http://schemas.microsoft.com/office/drawing/2014/main" pred="{D6C4907C-C379-4EE8-A3E4-614261A33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11</xdr:row>
      <xdr:rowOff>571500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1D411B63-A7E2-4C9C-B95A-464C1562FE5A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180975</xdr:colOff>
      <xdr:row>29</xdr:row>
      <xdr:rowOff>133350</xdr:rowOff>
    </xdr:from>
    <xdr:to>
      <xdr:col>18</xdr:col>
      <xdr:colOff>352425</xdr:colOff>
      <xdr:row>47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FD10B6-5649-4A6D-AC2C-733EDF2F01B5}"/>
            </a:ext>
            <a:ext uri="{147F2762-F138-4A5C-976F-8EAC2B608ADB}">
              <a16:predDERef xmlns:a16="http://schemas.microsoft.com/office/drawing/2014/main" pred="{1D411B63-A7E2-4C9C-B95A-464C1562F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11</xdr:row>
      <xdr:rowOff>571500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50C98BAD-72B8-4E3E-B8F0-CE6B57DCA0A2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180975</xdr:colOff>
      <xdr:row>29</xdr:row>
      <xdr:rowOff>133350</xdr:rowOff>
    </xdr:from>
    <xdr:to>
      <xdr:col>18</xdr:col>
      <xdr:colOff>352425</xdr:colOff>
      <xdr:row>47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2D99F1-554F-45B2-ACA1-CBD2775A9C4E}"/>
            </a:ext>
            <a:ext uri="{147F2762-F138-4A5C-976F-8EAC2B608ADB}">
              <a16:predDERef xmlns:a16="http://schemas.microsoft.com/office/drawing/2014/main" pred="{50C98BAD-72B8-4E3E-B8F0-CE6B57DCA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11</xdr:row>
      <xdr:rowOff>571500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46E6DC0E-483B-4FEC-8CBB-00FD37DFF862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342900</xdr:colOff>
      <xdr:row>38</xdr:row>
      <xdr:rowOff>161925</xdr:rowOff>
    </xdr:from>
    <xdr:to>
      <xdr:col>18</xdr:col>
      <xdr:colOff>514350</xdr:colOff>
      <xdr:row>57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0359AC-E93D-4E25-94C4-1DB352EE2F45}"/>
            </a:ext>
            <a:ext uri="{147F2762-F138-4A5C-976F-8EAC2B608ADB}">
              <a16:predDERef xmlns:a16="http://schemas.microsoft.com/office/drawing/2014/main" pred="{46E6DC0E-483B-4FEC-8CBB-00FD37DFF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11</xdr:row>
      <xdr:rowOff>571500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130B43-BA02-48B6-9E0F-292A31D99339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180975</xdr:colOff>
      <xdr:row>29</xdr:row>
      <xdr:rowOff>133350</xdr:rowOff>
    </xdr:from>
    <xdr:to>
      <xdr:col>18</xdr:col>
      <xdr:colOff>352425</xdr:colOff>
      <xdr:row>47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D74CA3-9490-4338-9074-68B5E09279A9}"/>
            </a:ext>
            <a:ext uri="{147F2762-F138-4A5C-976F-8EAC2B608ADB}">
              <a16:predDERef xmlns:a16="http://schemas.microsoft.com/office/drawing/2014/main" pred="{00130B43-BA02-48B6-9E0F-292A31D99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11</xdr:row>
      <xdr:rowOff>571500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3BD477B6-C560-44A2-9D43-783770087879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180975</xdr:colOff>
      <xdr:row>29</xdr:row>
      <xdr:rowOff>133350</xdr:rowOff>
    </xdr:from>
    <xdr:to>
      <xdr:col>18</xdr:col>
      <xdr:colOff>352425</xdr:colOff>
      <xdr:row>47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F9FDC0-CA17-4B86-98AD-A0BC9D77703D}"/>
            </a:ext>
            <a:ext uri="{147F2762-F138-4A5C-976F-8EAC2B608ADB}">
              <a16:predDERef xmlns:a16="http://schemas.microsoft.com/office/drawing/2014/main" pred="{3BD477B6-C560-44A2-9D43-783770087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11</xdr:row>
      <xdr:rowOff>571500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8C641DE3-3556-4B93-AAE8-D8849840661A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180975</xdr:colOff>
      <xdr:row>29</xdr:row>
      <xdr:rowOff>133350</xdr:rowOff>
    </xdr:from>
    <xdr:to>
      <xdr:col>18</xdr:col>
      <xdr:colOff>352425</xdr:colOff>
      <xdr:row>47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3039EF-3D9B-49B6-97DE-008C9E1A2E34}"/>
            </a:ext>
            <a:ext uri="{147F2762-F138-4A5C-976F-8EAC2B608ADB}">
              <a16:predDERef xmlns:a16="http://schemas.microsoft.com/office/drawing/2014/main" pred="{8C641DE3-3556-4B93-AAE8-D88498406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11</xdr:row>
      <xdr:rowOff>571500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1A8D27B-3EA4-47A5-9624-D1951BB9D73E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180975</xdr:colOff>
      <xdr:row>29</xdr:row>
      <xdr:rowOff>133350</xdr:rowOff>
    </xdr:from>
    <xdr:to>
      <xdr:col>18</xdr:col>
      <xdr:colOff>352425</xdr:colOff>
      <xdr:row>47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A3AB82-2E1C-4CF9-B6B9-D7087A8A6843}"/>
            </a:ext>
            <a:ext uri="{147F2762-F138-4A5C-976F-8EAC2B608ADB}">
              <a16:predDERef xmlns:a16="http://schemas.microsoft.com/office/drawing/2014/main" pred="{01A8D27B-3EA4-47A5-9624-D1951BB9D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11</xdr:row>
      <xdr:rowOff>571500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59539D3-0627-4A3B-BC31-DFE6D4D18BBD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180975</xdr:colOff>
      <xdr:row>29</xdr:row>
      <xdr:rowOff>133350</xdr:rowOff>
    </xdr:from>
    <xdr:to>
      <xdr:col>18</xdr:col>
      <xdr:colOff>352425</xdr:colOff>
      <xdr:row>47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5597D9-4744-4AF2-BAC3-E71A0720B621}"/>
            </a:ext>
            <a:ext uri="{147F2762-F138-4A5C-976F-8EAC2B608ADB}">
              <a16:predDERef xmlns:a16="http://schemas.microsoft.com/office/drawing/2014/main" pred="{059539D3-0627-4A3B-BC31-DFE6D4D18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889000</xdr:colOff>
      <xdr:row>11</xdr:row>
      <xdr:rowOff>76200</xdr:rowOff>
    </xdr:from>
    <xdr:ext cx="7915275" cy="4019550"/>
    <xdr:graphicFrame macro="">
      <xdr:nvGraphicFramePr>
        <xdr:cNvPr id="3" name="Chart 1" title="Gráfico">
          <a:extLst>
            <a:ext uri="{FF2B5EF4-FFF2-40B4-BE49-F238E27FC236}">
              <a16:creationId xmlns:a16="http://schemas.microsoft.com/office/drawing/2014/main" id="{0AE73EF6-907A-4EC5-AE27-E565A08A2B0B}"/>
            </a:ext>
            <a:ext uri="{147F2762-F138-4A5C-976F-8EAC2B608ADB}">
              <a16:predDERef xmlns:a16="http://schemas.microsoft.com/office/drawing/2014/main" pred="{9333FB31-28FE-83D0-5088-958BB9A4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193675</xdr:colOff>
      <xdr:row>9</xdr:row>
      <xdr:rowOff>76200</xdr:rowOff>
    </xdr:from>
    <xdr:ext cx="7915275" cy="40195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FE896C01-E597-4D32-9715-54BAFDFF9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ego Torres Teixeira" id="{EF354967-D23A-4CCF-829F-683236EE4CE3}" userId="S::diego.torres@lmmobilidade.com.br::5f86d7dc-70f1-4d38-8ba4-28f9d468f9a3" providerId="AD"/>
  <person displayName="Arthur Henrique da Silva" id="{4643F330-020F-43AA-9076-E44345AB494B}" userId="S::ext.arthur.silva@lmmobilidade.com.br::d24bf440-8361-4fde-a434-3f0c4b07fde2" providerId="AD"/>
  <person displayName="Natasha Ribeiro" id="{DF531A2E-8DE2-4FA9-B6E1-D9E86067F1C9}" userId="S::ext.natasha.ribeiro@lmmobilidade.com.br::d7a9d4cc-97de-4be4-a1e7-518bd9fbe023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956F80D-17E0-4718-AF9A-0C1FF89FE2D2}" autoFormatId="16" applyNumberFormats="0" applyBorderFormats="0" applyFontFormats="0" applyPatternFormats="0" applyAlignmentFormats="0" applyWidthHeightFormats="0">
  <queryTableRefresh nextId="45">
    <queryTableFields count="21">
      <queryTableField id="1" name="Tipo de item" tableColumnId="1"/>
      <queryTableField id="2" name="Chave da item" tableColumnId="2"/>
      <queryTableField id="3" name="ID da item" tableColumnId="3"/>
      <queryTableField id="4" name="Resumo" tableColumnId="4"/>
      <queryTableField id="5" name="Status" tableColumnId="5"/>
      <queryTableField id="6" name="Campo personalizado (Time)" tableColumnId="6"/>
      <queryTableField id="7" name="Campo personalizado (Jornada)" tableColumnId="7"/>
      <queryTableField id="8" name="Campo personalizado (Jornada)_1" tableColumnId="8"/>
      <queryTableField id="9" name="Campo personalizado (Jornada)_2" tableColumnId="9"/>
      <queryTableField id="10" name="Criado" tableColumnId="10"/>
      <queryTableField id="11" name="Campo personalizado (Data de Compromentimento)" tableColumnId="11"/>
      <queryTableField id="12" name="Campo personalizado (Start date)" tableColumnId="12"/>
      <queryTableField id="13" name="Resolvido" tableColumnId="13"/>
      <queryTableField id="14" name="Campo personalizado (Release)" tableColumnId="14"/>
      <queryTableField id="15" name="Campo personalizado (Release)_3" tableColumnId="15"/>
      <queryTableField id="16" name="Campo personalizado (Release)_4" tableColumnId="16"/>
      <queryTableField id="17" name="Pai" tableColumnId="17"/>
      <queryTableField id="18" name="Chave pai" tableColumnId="18"/>
      <queryTableField id="19" name="Parent summary" tableColumnId="19"/>
      <queryTableField id="20" name="time" tableColumnId="20"/>
      <queryTableField id="21" name="releas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735C8-C059-46E1-A7D1-6B281EAAC0A2}" name="BASE_CONE" displayName="BASE_CONE" ref="A1:U929" tableType="queryTable" totalsRowShown="0">
  <autoFilter ref="A1:U929" xr:uid="{8FD735C8-C059-46E1-A7D1-6B281EAAC0A2}"/>
  <tableColumns count="21">
    <tableColumn id="1" xr3:uid="{74758A23-7CE4-44F3-B771-271384E54B67}" uniqueName="1" name="Tipo de item" queryTableFieldId="1" dataDxfId="174"/>
    <tableColumn id="2" xr3:uid="{BDE997CD-C4B5-4818-AAF7-3B3688A9FB70}" uniqueName="2" name="Chave da item" queryTableFieldId="2" dataDxfId="173"/>
    <tableColumn id="3" xr3:uid="{52971848-8AA4-4874-91A0-7E8CAF102D1F}" uniqueName="3" name="ID da item" queryTableFieldId="3"/>
    <tableColumn id="4" xr3:uid="{578EDE45-98EB-4149-9931-ADB55BD44104}" uniqueName="4" name="Resumo" queryTableFieldId="4" dataDxfId="172"/>
    <tableColumn id="5" xr3:uid="{846E6F8D-68FE-4997-A472-AE077CB977DC}" uniqueName="5" name="Status" queryTableFieldId="5" dataDxfId="171"/>
    <tableColumn id="6" xr3:uid="{9642812D-1656-4D0F-BF68-16333BB48811}" uniqueName="6" name="Campo personalizado (Time)" queryTableFieldId="6" dataDxfId="170"/>
    <tableColumn id="7" xr3:uid="{DE47199C-5017-4D62-8854-E2F70228055F}" uniqueName="7" name="Campo personalizado (Jornada)" queryTableFieldId="7" dataDxfId="169"/>
    <tableColumn id="8" xr3:uid="{EA281ACE-FDD6-403E-AFD3-8B4B51DF6A57}" uniqueName="8" name="Campo personalizado (Jornada)_1" queryTableFieldId="8" dataDxfId="168"/>
    <tableColumn id="9" xr3:uid="{C37EF4DE-B5CA-47FD-ABB7-AA733FDE0312}" uniqueName="9" name="Campo personalizado (Jornada)_2" queryTableFieldId="9" dataDxfId="167"/>
    <tableColumn id="10" xr3:uid="{EE9D9B20-01FE-4D1B-9438-126635203020}" uniqueName="10" name="Criado" queryTableFieldId="10" dataDxfId="166"/>
    <tableColumn id="11" xr3:uid="{DABBE428-A370-4869-8022-6E07F244B331}" uniqueName="11" name="Campo personalizado (Data de Compromentimento)" queryTableFieldId="11" dataDxfId="165"/>
    <tableColumn id="12" xr3:uid="{6C8D7503-B323-4D91-83BB-5CC8B5AB904A}" uniqueName="12" name="Campo personalizado (Start date)" queryTableFieldId="12" dataDxfId="164"/>
    <tableColumn id="13" xr3:uid="{9DAD4292-99EB-4676-9D0A-2458A34C24C9}" uniqueName="13" name="Resolvido" queryTableFieldId="13" dataDxfId="163"/>
    <tableColumn id="14" xr3:uid="{8CFADCD0-0C78-4211-9B57-14901283CAF4}" uniqueName="14" name="Campo personalizado (Release)" queryTableFieldId="14" dataDxfId="162"/>
    <tableColumn id="15" xr3:uid="{92944757-17E4-4E8E-849E-715E99F56555}" uniqueName="15" name="Campo personalizado (Release)_3" queryTableFieldId="15" dataDxfId="161"/>
    <tableColumn id="16" xr3:uid="{1567F1CF-1B30-49A2-BCC9-E89AC210350F}" uniqueName="16" name="Campo personalizado (Release)_4" queryTableFieldId="16" dataDxfId="160"/>
    <tableColumn id="17" xr3:uid="{6C75CD93-05B4-4069-9164-7BED789468E6}" uniqueName="17" name="Pai" queryTableFieldId="17"/>
    <tableColumn id="18" xr3:uid="{16478513-60C9-4936-97F7-E02F727B955A}" uniqueName="18" name="Chave pai" queryTableFieldId="18" dataDxfId="159"/>
    <tableColumn id="19" xr3:uid="{67B230CC-B9F7-435F-865F-CF6B6793842D}" uniqueName="19" name="Parent summary" queryTableFieldId="19" dataDxfId="158"/>
    <tableColumn id="20" xr3:uid="{ABF99B8A-36C4-4340-A23A-5AB6AB5BE770}" uniqueName="20" name="time" queryTableFieldId="20" dataDxfId="157"/>
    <tableColumn id="21" xr3:uid="{8442EC9C-2CE6-44C3-87F6-28D09CE0FFAD}" uniqueName="21" name="release" queryTableFieldId="21" dataDxfId="15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7" dT="2026-03-16T15:04:35.90" personId="{EF354967-D23A-4CCF-829F-683236EE4CE3}" id="{D3AF0A77-9D73-4B44-B1FC-ED81B1BD4B86}">
    <text>16/03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4" dT="2026-01-15T12:20:29.25" personId="{DF531A2E-8DE2-4FA9-B6E1-D9E86067F1C9}" id="{26671247-981F-4B77-B10B-CBD0FA42E183}">
    <text>Total de itens R1 e R2</text>
  </threadedComment>
  <threadedComment ref="J14" dT="2026-01-15T12:20:56.89" personId="{DF531A2E-8DE2-4FA9-B6E1-D9E86067F1C9}" id="{212503E7-DFA3-4D93-8404-E2224963BA06}">
    <text>Total de itens entregues até 26/12/2025</text>
  </threadedComment>
  <threadedComment ref="I16" dT="2026-01-15T18:13:03.56" personId="{DF531A2E-8DE2-4FA9-B6E1-D9E86067F1C9}" id="{F65F890C-D1A2-407F-BB97-E1441D5558BE}">
    <text>R1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4" dT="2026-01-15T12:20:29.25" personId="{DF531A2E-8DE2-4FA9-B6E1-D9E86067F1C9}" id="{B73C8E6F-4E5B-4A95-9368-F6479406C713}">
    <text>Total de itens R1 e R2</text>
  </threadedComment>
  <threadedComment ref="J14" dT="2026-01-15T12:20:56.89" personId="{DF531A2E-8DE2-4FA9-B6E1-D9E86067F1C9}" id="{D99E3220-A5BD-4806-840D-CD2379E82147}">
    <text>Total de itens entregues até 26/12/2025</text>
  </threadedComment>
  <threadedComment ref="I16" dT="2026-01-15T18:13:03.56" personId="{DF531A2E-8DE2-4FA9-B6E1-D9E86067F1C9}" id="{B0ACCE65-3023-4517-890B-D4331BF72589}">
    <text>R1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4" dT="2026-01-15T12:20:29.25" personId="{DF531A2E-8DE2-4FA9-B6E1-D9E86067F1C9}" id="{A2952584-22CD-49AA-8D49-483CEC2061AD}">
    <text>Total de itens R1 e R2</text>
  </threadedComment>
  <threadedComment ref="J14" dT="2026-01-15T12:20:56.89" personId="{DF531A2E-8DE2-4FA9-B6E1-D9E86067F1C9}" id="{A4EA5184-C44F-48C4-90AB-6D60F3E962AD}">
    <text>Total de itens entregues até 26/12/2025</text>
  </threadedComment>
  <threadedComment ref="I16" dT="2026-01-15T18:13:03.56" personId="{DF531A2E-8DE2-4FA9-B6E1-D9E86067F1C9}" id="{A19A9E56-EC89-410D-8227-31582F1CDDC2}">
    <text>R1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14" dT="2025-07-30T22:00:07.67" personId="{EF354967-D23A-4CCF-829F-683236EE4CE3}" id="{C40E043E-44E2-475E-8562-EC12E77B1ADC}">
    <text xml:space="preserve">Escopo de Faturamento 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14" dT="2024-12-19T17:20:14.03" personId="{4643F330-020F-43AA-9076-E44345AB494B}" id="{728AEA01-B0E3-4AAF-84D5-17A295D5D87B}">
    <text xml:space="preserve">+2 bugs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2.xml"/><Relationship Id="rId4" Type="http://schemas.microsoft.com/office/2017/10/relationships/threadedComment" Target="../threadedComments/threadedComment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23.xml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6A3F-8CF9-4C5A-9565-01F88C9FB92B}">
  <sheetPr>
    <tabColor rgb="FFFFC000"/>
  </sheetPr>
  <dimension ref="J2:P15"/>
  <sheetViews>
    <sheetView workbookViewId="0">
      <selection activeCell="K24" sqref="K24"/>
    </sheetView>
  </sheetViews>
  <sheetFormatPr defaultRowHeight="15.75" x14ac:dyDescent="0.25"/>
  <cols>
    <col min="1" max="1" width="10.75" bestFit="1" customWidth="1"/>
    <col min="2" max="2" width="24.75" bestFit="1" customWidth="1"/>
    <col min="3" max="4" width="13.75" customWidth="1"/>
    <col min="5" max="5" width="14.5" customWidth="1"/>
    <col min="7" max="7" width="10.125" bestFit="1" customWidth="1"/>
    <col min="8" max="8" width="47.75" customWidth="1"/>
    <col min="10" max="10" width="17.375" bestFit="1" customWidth="1"/>
    <col min="11" max="11" width="15.25" bestFit="1" customWidth="1"/>
    <col min="12" max="12" width="2.875" bestFit="1" customWidth="1"/>
    <col min="13" max="13" width="12.25" bestFit="1" customWidth="1"/>
    <col min="14" max="14" width="2.875" bestFit="1" customWidth="1"/>
    <col min="15" max="15" width="16.5" customWidth="1"/>
    <col min="16" max="16" width="2.5" bestFit="1" customWidth="1"/>
  </cols>
  <sheetData>
    <row r="2" spans="10:16" s="51" customFormat="1" ht="19.5" customHeight="1" x14ac:dyDescent="0.3">
      <c r="J2" s="52" t="s">
        <v>0</v>
      </c>
      <c r="K2" s="52" t="s">
        <v>1</v>
      </c>
      <c r="M2" s="52" t="s">
        <v>2</v>
      </c>
      <c r="O2" s="51" t="s">
        <v>3</v>
      </c>
    </row>
    <row r="3" spans="10:16" x14ac:dyDescent="0.25">
      <c r="J3" s="50" t="s">
        <v>4</v>
      </c>
      <c r="K3" s="53" t="e">
        <f>INDEX(#REF!,MATCH(0,#REF!,0))</f>
        <v>#REF!</v>
      </c>
      <c r="L3">
        <v>7</v>
      </c>
      <c r="M3" s="53" t="e">
        <f>INDEX(#REF!,MATCH(0,#REF!,0))</f>
        <v>#REF!</v>
      </c>
      <c r="N3">
        <f>L3</f>
        <v>7</v>
      </c>
      <c r="O3" s="53">
        <v>46066</v>
      </c>
      <c r="P3">
        <v>-3</v>
      </c>
    </row>
    <row r="4" spans="10:16" ht="18.75" x14ac:dyDescent="0.3">
      <c r="J4" s="50" t="s">
        <v>5</v>
      </c>
      <c r="K4" s="53" t="e">
        <f>INDEX(#REF!,MATCH(0,#REF!,0))</f>
        <v>#REF!</v>
      </c>
      <c r="L4">
        <v>2</v>
      </c>
      <c r="M4" s="53" t="e">
        <f>INDEX(#REF!,MATCH(0,#REF!,0))</f>
        <v>#REF!</v>
      </c>
      <c r="N4">
        <f t="shared" ref="N4:N11" si="0">L4</f>
        <v>2</v>
      </c>
      <c r="O4" s="51" t="s">
        <v>6</v>
      </c>
    </row>
    <row r="5" spans="10:16" x14ac:dyDescent="0.25">
      <c r="J5" s="50" t="s">
        <v>7</v>
      </c>
      <c r="K5" s="53" t="e">
        <f>INDEX(#REF!,MATCH(0,#REF!,0))</f>
        <v>#REF!</v>
      </c>
      <c r="L5">
        <v>5</v>
      </c>
      <c r="M5" s="53" t="e">
        <f>INDEX(#REF!,MATCH(0,#REF!,0))</f>
        <v>#REF!</v>
      </c>
      <c r="N5">
        <f t="shared" si="0"/>
        <v>5</v>
      </c>
      <c r="O5" s="53">
        <v>46092</v>
      </c>
      <c r="P5">
        <v>-3</v>
      </c>
    </row>
    <row r="6" spans="10:16" x14ac:dyDescent="0.25">
      <c r="J6" s="50" t="s">
        <v>8</v>
      </c>
      <c r="K6" s="53" t="e">
        <f>INDEX(#REF!,MATCH(0,#REF!,0))</f>
        <v>#REF!</v>
      </c>
      <c r="L6">
        <v>8</v>
      </c>
      <c r="M6" s="53" t="e">
        <f>INDEX(#REF!,MATCH(0,#REF!,0))</f>
        <v>#REF!</v>
      </c>
      <c r="N6">
        <f t="shared" si="0"/>
        <v>8</v>
      </c>
    </row>
    <row r="7" spans="10:16" x14ac:dyDescent="0.25">
      <c r="J7" s="50" t="s">
        <v>9</v>
      </c>
      <c r="K7" s="53" t="e">
        <f>INDEX(#REF!,MATCH(0,#REF!,0))</f>
        <v>#REF!</v>
      </c>
      <c r="L7">
        <v>3</v>
      </c>
      <c r="M7" s="53" t="e">
        <f>INDEX(#REF!,MATCH(0,#REF!,0))</f>
        <v>#REF!</v>
      </c>
      <c r="N7">
        <f t="shared" si="0"/>
        <v>3</v>
      </c>
    </row>
    <row r="8" spans="10:16" x14ac:dyDescent="0.25">
      <c r="J8" t="s">
        <v>10</v>
      </c>
      <c r="K8" s="53" t="e">
        <f>INDEX(#REF!,MATCH(0,#REF!,0))</f>
        <v>#REF!</v>
      </c>
      <c r="L8">
        <v>1</v>
      </c>
      <c r="M8" s="53" t="e">
        <f>INDEX(#REF!,MATCH(0,#REF!,0))</f>
        <v>#REF!</v>
      </c>
      <c r="N8">
        <f t="shared" si="0"/>
        <v>1</v>
      </c>
    </row>
    <row r="9" spans="10:16" x14ac:dyDescent="0.25">
      <c r="J9" t="s">
        <v>11</v>
      </c>
      <c r="K9" s="53" t="e">
        <f>INDEX(#REF!,MATCH(0,#REF!,0))</f>
        <v>#REF!</v>
      </c>
      <c r="L9">
        <v>4</v>
      </c>
      <c r="M9" s="53" t="e">
        <f>INDEX(#REF!,MATCH(0,#REF!,0))</f>
        <v>#REF!</v>
      </c>
      <c r="N9">
        <f t="shared" si="0"/>
        <v>4</v>
      </c>
    </row>
    <row r="10" spans="10:16" x14ac:dyDescent="0.25">
      <c r="J10" s="50" t="s">
        <v>12</v>
      </c>
      <c r="K10" s="53" t="e">
        <f>INDEX(#REF!,MATCH(0,#REF!,0))</f>
        <v>#REF!</v>
      </c>
      <c r="L10">
        <v>6</v>
      </c>
      <c r="M10" s="53" t="e">
        <f>INDEX(#REF!,MATCH(0,#REF!,0))</f>
        <v>#REF!</v>
      </c>
      <c r="N10">
        <f t="shared" si="0"/>
        <v>6</v>
      </c>
    </row>
    <row r="11" spans="10:16" x14ac:dyDescent="0.25">
      <c r="J11" s="50" t="s">
        <v>13</v>
      </c>
      <c r="K11" s="53" t="e">
        <f>INDEX(#REF!,MATCH(0,#REF!,0))</f>
        <v>#REF!</v>
      </c>
      <c r="L11">
        <v>9</v>
      </c>
      <c r="M11" s="53" t="e">
        <f>INDEX(#REF!,MATCH(0,#REF!,0))</f>
        <v>#REF!</v>
      </c>
      <c r="N11">
        <f t="shared" si="0"/>
        <v>9</v>
      </c>
    </row>
    <row r="12" spans="10:16" x14ac:dyDescent="0.25">
      <c r="J12" t="s">
        <v>14</v>
      </c>
      <c r="K12" s="53" t="e">
        <f>INDEX(#REF!,MATCH(0,#REF!,0))</f>
        <v>#REF!</v>
      </c>
      <c r="L12">
        <v>10</v>
      </c>
      <c r="M12" s="53" t="e">
        <f>INDEX(#REF!,MATCH(0,#REF!,0))</f>
        <v>#REF!</v>
      </c>
      <c r="N12">
        <v>10</v>
      </c>
    </row>
    <row r="13" spans="10:16" x14ac:dyDescent="0.25">
      <c r="J13" t="s">
        <v>15</v>
      </c>
      <c r="K13" s="53" t="e">
        <f>INDEX(#REF!,MATCH(0,#REF!,0))</f>
        <v>#REF!</v>
      </c>
      <c r="L13">
        <v>11</v>
      </c>
      <c r="M13" s="53" t="e">
        <f>INDEX(#REF!,MATCH(0,#REF!,0))</f>
        <v>#REF!</v>
      </c>
      <c r="N13">
        <v>11</v>
      </c>
    </row>
    <row r="14" spans="10:16" x14ac:dyDescent="0.25">
      <c r="J14" t="s">
        <v>16</v>
      </c>
      <c r="K14" s="53" t="e">
        <f>INDEX(#REF!,MATCH(0,#REF!,0))</f>
        <v>#REF!</v>
      </c>
      <c r="L14">
        <v>12</v>
      </c>
      <c r="M14" s="53" t="e">
        <f>INDEX(#REF!,MATCH(0,#REF!,0))</f>
        <v>#REF!</v>
      </c>
      <c r="N14">
        <v>12</v>
      </c>
    </row>
    <row r="15" spans="10:16" x14ac:dyDescent="0.25">
      <c r="J15" t="s">
        <v>17</v>
      </c>
      <c r="K15" s="53" t="e">
        <f>INDEX(#REF!,MATCH(0,#REF!,0))</f>
        <v>#REF!</v>
      </c>
      <c r="L15">
        <v>13</v>
      </c>
      <c r="M15" s="53" t="e">
        <f>INDEX(#REF!,MATCH(0,#REF!,0))</f>
        <v>#REF!</v>
      </c>
      <c r="N15">
        <v>13</v>
      </c>
    </row>
  </sheetData>
  <autoFilter ref="J2:N11" xr:uid="{5A2C6A3F-8CF9-4C5A-9565-01F88C9FB92B}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E50C-2014-432C-A3AF-E1732F8B74EA}">
  <sheetPr>
    <tabColor theme="9" tint="0.39997558519241921"/>
  </sheetPr>
  <dimension ref="J2:P16"/>
  <sheetViews>
    <sheetView workbookViewId="0"/>
  </sheetViews>
  <sheetFormatPr defaultRowHeight="15.75" x14ac:dyDescent="0.25"/>
  <cols>
    <col min="1" max="1" width="10.75" bestFit="1" customWidth="1"/>
    <col min="2" max="2" width="24.75" bestFit="1" customWidth="1"/>
    <col min="3" max="4" width="13.75" customWidth="1"/>
    <col min="5" max="5" width="14.5" customWidth="1"/>
    <col min="6" max="6" width="9" bestFit="1" customWidth="1"/>
    <col min="7" max="7" width="10.125" bestFit="1" customWidth="1"/>
    <col min="8" max="8" width="47.75" customWidth="1"/>
    <col min="9" max="9" width="9" bestFit="1" customWidth="1"/>
    <col min="10" max="10" width="17.375" bestFit="1" customWidth="1"/>
    <col min="11" max="11" width="15.25" bestFit="1" customWidth="1"/>
    <col min="12" max="12" width="3" bestFit="1" customWidth="1"/>
    <col min="13" max="13" width="12.25" bestFit="1" customWidth="1"/>
    <col min="14" max="14" width="3" bestFit="1" customWidth="1"/>
    <col min="15" max="15" width="16.5" customWidth="1"/>
    <col min="16" max="16" width="2.5" bestFit="1" customWidth="1"/>
    <col min="18" max="18" width="10.375" bestFit="1" customWidth="1"/>
  </cols>
  <sheetData>
    <row r="2" spans="10:16" s="51" customFormat="1" ht="19.5" customHeight="1" x14ac:dyDescent="0.3">
      <c r="J2" s="52" t="s">
        <v>0</v>
      </c>
      <c r="K2" s="52" t="s">
        <v>1</v>
      </c>
      <c r="M2" s="52" t="s">
        <v>2</v>
      </c>
      <c r="O2" s="51" t="s">
        <v>3</v>
      </c>
    </row>
    <row r="3" spans="10:16" x14ac:dyDescent="0.25">
      <c r="J3" s="50" t="s">
        <v>4</v>
      </c>
      <c r="K3" s="53" t="e">
        <f>INDEX(#REF!,MATCH(0,#REF!,0))</f>
        <v>#REF!</v>
      </c>
      <c r="L3">
        <v>7</v>
      </c>
      <c r="M3" s="53" t="e">
        <f>INDEX(#REF!,MATCH(0,#REF!,0))</f>
        <v>#REF!</v>
      </c>
      <c r="N3">
        <f t="shared" ref="N3:N11" si="0">L3</f>
        <v>7</v>
      </c>
      <c r="O3" s="117">
        <v>46020</v>
      </c>
      <c r="P3">
        <v>-3</v>
      </c>
    </row>
    <row r="4" spans="10:16" ht="18.75" x14ac:dyDescent="0.3">
      <c r="J4" s="50" t="s">
        <v>5</v>
      </c>
      <c r="K4" s="53" t="e">
        <f>INDEX(#REF!,MATCH(0,#REF!,0))</f>
        <v>#REF!</v>
      </c>
      <c r="L4">
        <v>2</v>
      </c>
      <c r="M4" s="53" t="e">
        <f>INDEX(#REF!,MATCH(0,#REF!,0))</f>
        <v>#REF!</v>
      </c>
      <c r="N4">
        <f t="shared" si="0"/>
        <v>2</v>
      </c>
      <c r="O4" s="51" t="s">
        <v>6</v>
      </c>
    </row>
    <row r="5" spans="10:16" x14ac:dyDescent="0.25">
      <c r="J5" s="50" t="s">
        <v>7</v>
      </c>
      <c r="K5" s="53" t="e">
        <f>INDEX(#REF!,MATCH(0,#REF!,0))</f>
        <v>#REF!</v>
      </c>
      <c r="L5">
        <v>5</v>
      </c>
      <c r="M5" s="53" t="e">
        <f>INDEX(#REF!,MATCH(0,#REF!,0))</f>
        <v>#REF!</v>
      </c>
      <c r="N5">
        <f t="shared" si="0"/>
        <v>5</v>
      </c>
      <c r="O5" s="117">
        <v>46034</v>
      </c>
      <c r="P5">
        <v>-3</v>
      </c>
    </row>
    <row r="6" spans="10:16" x14ac:dyDescent="0.25">
      <c r="J6" s="50" t="s">
        <v>8</v>
      </c>
      <c r="K6" s="53" t="e">
        <f>INDEX(#REF!,MATCH(0,#REF!,0))</f>
        <v>#REF!</v>
      </c>
      <c r="L6">
        <v>8</v>
      </c>
      <c r="M6" s="53" t="e">
        <f>INDEX(#REF!,MATCH(0,#REF!,0))</f>
        <v>#REF!</v>
      </c>
      <c r="N6">
        <f t="shared" si="0"/>
        <v>8</v>
      </c>
    </row>
    <row r="7" spans="10:16" x14ac:dyDescent="0.25">
      <c r="J7" s="50" t="s">
        <v>9</v>
      </c>
      <c r="K7" s="53" t="e">
        <f>INDEX(#REF!,MATCH(0,#REF!,0))</f>
        <v>#REF!</v>
      </c>
      <c r="L7">
        <v>3</v>
      </c>
      <c r="M7" s="53" t="e">
        <f>INDEX(#REF!,MATCH(0,#REF!,0))</f>
        <v>#REF!</v>
      </c>
      <c r="N7">
        <f t="shared" si="0"/>
        <v>3</v>
      </c>
    </row>
    <row r="8" spans="10:16" x14ac:dyDescent="0.25">
      <c r="J8" t="s">
        <v>10</v>
      </c>
      <c r="K8" s="53" t="e">
        <f>INDEX(#REF!,MATCH(0,#REF!,0))</f>
        <v>#REF!</v>
      </c>
      <c r="L8">
        <v>1</v>
      </c>
      <c r="M8" s="53" t="e">
        <f>INDEX(#REF!,MATCH(0,#REF!,0))</f>
        <v>#REF!</v>
      </c>
      <c r="N8">
        <f t="shared" si="0"/>
        <v>1</v>
      </c>
    </row>
    <row r="9" spans="10:16" x14ac:dyDescent="0.25">
      <c r="J9" t="s">
        <v>18</v>
      </c>
      <c r="K9" s="53" t="e">
        <f>INDEX(#REF!,MATCH(0,#REF!,0))</f>
        <v>#REF!</v>
      </c>
      <c r="L9">
        <v>4</v>
      </c>
      <c r="M9" s="53" t="e">
        <f>INDEX(#REF!,MATCH(0,#REF!,0))</f>
        <v>#REF!</v>
      </c>
      <c r="N9">
        <f t="shared" si="0"/>
        <v>4</v>
      </c>
    </row>
    <row r="10" spans="10:16" x14ac:dyDescent="0.25">
      <c r="J10" s="50" t="s">
        <v>12</v>
      </c>
      <c r="K10" s="53" t="e">
        <f>INDEX(#REF!,MATCH(0,#REF!,0))</f>
        <v>#REF!</v>
      </c>
      <c r="L10">
        <v>6</v>
      </c>
      <c r="M10" s="53" t="e">
        <f>INDEX(#REF!,MATCH(0,#REF!,0))</f>
        <v>#REF!</v>
      </c>
      <c r="N10">
        <f t="shared" si="0"/>
        <v>6</v>
      </c>
    </row>
    <row r="11" spans="10:16" x14ac:dyDescent="0.25">
      <c r="J11" s="50" t="s">
        <v>13</v>
      </c>
      <c r="K11" s="53" t="e">
        <f>INDEX(#REF!,MATCH(0,#REF!,0))</f>
        <v>#REF!</v>
      </c>
      <c r="L11">
        <v>9</v>
      </c>
      <c r="M11" s="53" t="e">
        <f>INDEX(#REF!,MATCH(0,#REF!,0))</f>
        <v>#REF!</v>
      </c>
      <c r="N11">
        <f t="shared" si="0"/>
        <v>9</v>
      </c>
    </row>
    <row r="12" spans="10:16" x14ac:dyDescent="0.25">
      <c r="J12" t="s">
        <v>14</v>
      </c>
      <c r="K12" s="53" t="e">
        <f>INDEX(#REF!,MATCH(0,#REF!,0))</f>
        <v>#REF!</v>
      </c>
      <c r="L12">
        <v>10</v>
      </c>
      <c r="M12" s="53" t="e">
        <f>INDEX(#REF!,MATCH(0,#REF!,0))</f>
        <v>#REF!</v>
      </c>
      <c r="N12">
        <v>10</v>
      </c>
    </row>
    <row r="13" spans="10:16" x14ac:dyDescent="0.25">
      <c r="J13" t="s">
        <v>15</v>
      </c>
      <c r="K13" s="53" t="e">
        <f>INDEX(#REF!,MATCH(0,#REF!,0))</f>
        <v>#REF!</v>
      </c>
      <c r="L13">
        <v>11</v>
      </c>
      <c r="M13" s="53" t="e">
        <f>INDEX(#REF!,MATCH(0,#REF!,0))</f>
        <v>#REF!</v>
      </c>
      <c r="N13">
        <v>11</v>
      </c>
    </row>
    <row r="14" spans="10:16" x14ac:dyDescent="0.25">
      <c r="J14" t="s">
        <v>16</v>
      </c>
      <c r="K14" s="53" t="e">
        <f>INDEX(#REF!,MATCH(0,#REF!,0))</f>
        <v>#REF!</v>
      </c>
      <c r="L14">
        <v>12</v>
      </c>
      <c r="M14" s="53" t="e">
        <f>INDEX(#REF!,MATCH(0,#REF!,0))</f>
        <v>#REF!</v>
      </c>
      <c r="N14">
        <v>12</v>
      </c>
    </row>
    <row r="15" spans="10:16" x14ac:dyDescent="0.25">
      <c r="J15" t="s">
        <v>17</v>
      </c>
      <c r="K15" s="53" t="e">
        <f>INDEX(#REF!,MATCH(0,#REF!,0))</f>
        <v>#REF!</v>
      </c>
      <c r="L15">
        <v>13</v>
      </c>
      <c r="M15" s="53" t="e">
        <f>INDEX(#REF!,MATCH(0,#REF!,0))</f>
        <v>#REF!</v>
      </c>
      <c r="N15">
        <v>13</v>
      </c>
    </row>
    <row r="16" spans="10:16" x14ac:dyDescent="0.25">
      <c r="J16" t="s">
        <v>19</v>
      </c>
      <c r="K16" s="53" t="e">
        <f>INDEX(#REF!,MATCH(0,#REF!,0))</f>
        <v>#REF!</v>
      </c>
      <c r="L16">
        <v>14</v>
      </c>
      <c r="M16" s="53" t="e">
        <f>INDEX(#REF!,MATCH(0,#REF!,0))</f>
        <v>#REF!</v>
      </c>
      <c r="N16">
        <v>14</v>
      </c>
    </row>
  </sheetData>
  <autoFilter ref="J2:N11" xr:uid="{5A2C6A3F-8CF9-4C5A-9565-01F88C9FB92B}"/>
  <conditionalFormatting sqref="K3:K16 M3:M16">
    <cfRule type="cellIs" dxfId="155" priority="1" operator="lessThan">
      <formula>$O$3</formula>
    </cfRule>
    <cfRule type="cellIs" dxfId="154" priority="2" operator="greaterThan">
      <formula>$O$3+14</formula>
    </cfRule>
    <cfRule type="cellIs" dxfId="153" priority="3" operator="between">
      <formula>$O$3+7</formula>
      <formula>$O$3+14</formula>
    </cfRule>
    <cfRule type="cellIs" dxfId="152" priority="4" operator="between">
      <formula>$O$3</formula>
      <formula>$O$3+7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2850-3E96-46FA-9B3D-DE28786B5CBC}">
  <sheetPr>
    <tabColor rgb="FF7030A0"/>
  </sheetPr>
  <dimension ref="A1:L511"/>
  <sheetViews>
    <sheetView workbookViewId="0">
      <selection sqref="A1:K1"/>
    </sheetView>
  </sheetViews>
  <sheetFormatPr defaultColWidth="12.625" defaultRowHeight="15" customHeight="1" x14ac:dyDescent="0.25"/>
  <cols>
    <col min="1" max="1" width="10.625" style="59" customWidth="1"/>
    <col min="2" max="2" width="18.25" style="59" customWidth="1"/>
    <col min="3" max="3" width="16.375" style="59" customWidth="1"/>
    <col min="4" max="4" width="22.25" style="59" customWidth="1"/>
    <col min="5" max="5" width="16.375" style="59" customWidth="1"/>
    <col min="6" max="6" width="14.875" style="72" customWidth="1"/>
    <col min="7" max="7" width="14" style="59" customWidth="1"/>
    <col min="8" max="8" width="14.625" style="72" customWidth="1"/>
    <col min="9" max="9" width="14.75" style="59" customWidth="1"/>
    <col min="10" max="10" width="12.625" style="59" customWidth="1"/>
    <col min="11" max="11" width="16.125" style="59" customWidth="1"/>
    <col min="12" max="12" width="24.125" style="59" customWidth="1"/>
    <col min="13" max="14" width="12.625" style="59"/>
    <col min="15" max="15" width="36.875" style="59" customWidth="1"/>
    <col min="16" max="16384" width="12.625" style="59"/>
  </cols>
  <sheetData>
    <row r="1" spans="1:12" ht="19.5" x14ac:dyDescent="0.25">
      <c r="A1" s="154" t="s">
        <v>20</v>
      </c>
      <c r="B1" s="155"/>
      <c r="C1" s="155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25">
      <c r="A2" s="68"/>
      <c r="B2" s="62" t="s">
        <v>21</v>
      </c>
      <c r="C2" s="69">
        <v>1</v>
      </c>
      <c r="D2" s="70" t="s">
        <v>22</v>
      </c>
      <c r="E2" s="71" t="s">
        <v>23</v>
      </c>
      <c r="I2" s="65"/>
      <c r="J2" s="71"/>
      <c r="K2" s="65"/>
      <c r="L2" s="65"/>
    </row>
    <row r="3" spans="1:12" ht="30" x14ac:dyDescent="0.25">
      <c r="B3" s="89" t="s">
        <v>24</v>
      </c>
      <c r="C3" s="73">
        <v>13</v>
      </c>
      <c r="D3" s="70" t="s">
        <v>25</v>
      </c>
      <c r="E3" s="71" t="s">
        <v>26</v>
      </c>
      <c r="I3" s="65"/>
      <c r="J3" s="71"/>
      <c r="K3" s="65"/>
      <c r="L3" s="65"/>
    </row>
    <row r="4" spans="1:12" ht="15.75" customHeight="1" x14ac:dyDescent="0.25">
      <c r="B4" s="64" t="s">
        <v>27</v>
      </c>
      <c r="C4" s="74">
        <v>45936</v>
      </c>
      <c r="D4" s="70" t="s">
        <v>28</v>
      </c>
      <c r="E4" s="65"/>
      <c r="I4" s="65"/>
      <c r="J4" s="65"/>
      <c r="K4" s="65"/>
      <c r="L4" s="65"/>
    </row>
    <row r="5" spans="1:12" ht="15.75" customHeight="1" x14ac:dyDescent="0.25">
      <c r="B5" s="64" t="s">
        <v>29</v>
      </c>
      <c r="C5" s="74">
        <v>46014</v>
      </c>
      <c r="D5" s="70" t="s">
        <v>30</v>
      </c>
      <c r="E5" s="65"/>
      <c r="I5" s="65"/>
      <c r="J5" s="65"/>
      <c r="K5" s="65"/>
      <c r="L5" s="65"/>
    </row>
    <row r="6" spans="1:12" ht="15.75" customHeight="1" x14ac:dyDescent="0.25">
      <c r="B6" s="63" t="s">
        <v>31</v>
      </c>
      <c r="C6" s="73">
        <v>4</v>
      </c>
      <c r="D6" s="70" t="s">
        <v>32</v>
      </c>
      <c r="E6" s="71" t="s">
        <v>33</v>
      </c>
      <c r="I6" s="65"/>
      <c r="J6" s="71"/>
      <c r="K6" s="65"/>
      <c r="L6" s="65"/>
    </row>
    <row r="7" spans="1:12" ht="15.75" customHeight="1" x14ac:dyDescent="0.25">
      <c r="B7" s="63" t="s">
        <v>34</v>
      </c>
      <c r="C7" s="73">
        <v>1</v>
      </c>
      <c r="D7" s="70" t="s">
        <v>32</v>
      </c>
      <c r="E7" s="71" t="s">
        <v>33</v>
      </c>
      <c r="I7" s="65"/>
      <c r="J7" s="71"/>
      <c r="K7" s="65"/>
      <c r="L7" s="65"/>
    </row>
    <row r="8" spans="1:12" ht="15.75" customHeight="1" x14ac:dyDescent="0.25">
      <c r="B8" s="64" t="s">
        <v>35</v>
      </c>
      <c r="C8" s="75">
        <v>3</v>
      </c>
      <c r="D8" s="70" t="s">
        <v>32</v>
      </c>
      <c r="E8" s="65"/>
      <c r="G8" s="65"/>
      <c r="I8" s="65"/>
      <c r="J8" s="65"/>
      <c r="K8" s="65"/>
      <c r="L8" s="65"/>
    </row>
    <row r="9" spans="1:12" ht="15.75" customHeight="1" x14ac:dyDescent="0.25">
      <c r="B9" s="64" t="s">
        <v>36</v>
      </c>
      <c r="C9" s="75">
        <v>7</v>
      </c>
      <c r="D9" s="70" t="s">
        <v>37</v>
      </c>
      <c r="E9" s="65"/>
      <c r="G9" s="65"/>
      <c r="I9" s="65"/>
      <c r="J9" s="65"/>
      <c r="K9" s="65"/>
      <c r="L9" s="65"/>
    </row>
    <row r="10" spans="1:12" ht="15.75" customHeight="1" x14ac:dyDescent="0.25">
      <c r="B10" s="65"/>
      <c r="C10" s="76"/>
      <c r="D10" s="65"/>
      <c r="E10" s="65"/>
      <c r="G10" s="65"/>
      <c r="I10" s="65"/>
      <c r="J10" s="65"/>
      <c r="K10" s="65"/>
      <c r="L10" s="65"/>
    </row>
    <row r="11" spans="1:12" ht="69.75" customHeight="1" x14ac:dyDescent="0.45">
      <c r="A11" s="88"/>
      <c r="B11" s="61" t="s">
        <v>38</v>
      </c>
      <c r="C11" s="60" t="s">
        <v>39</v>
      </c>
      <c r="D11" s="60" t="s">
        <v>40</v>
      </c>
      <c r="E11" s="60" t="s">
        <v>41</v>
      </c>
      <c r="F11" s="60" t="s">
        <v>42</v>
      </c>
      <c r="G11" s="60" t="s">
        <v>43</v>
      </c>
      <c r="H11" s="60" t="s">
        <v>44</v>
      </c>
      <c r="I11" s="60" t="s">
        <v>45</v>
      </c>
      <c r="J11" s="60" t="s">
        <v>46</v>
      </c>
      <c r="K11" s="60" t="s">
        <v>47</v>
      </c>
      <c r="L11" s="60" t="s">
        <v>48</v>
      </c>
    </row>
    <row r="12" spans="1:12" ht="15.75" customHeight="1" x14ac:dyDescent="0.45">
      <c r="A12" s="90"/>
      <c r="B12" s="157" t="s">
        <v>49</v>
      </c>
      <c r="C12" s="158"/>
      <c r="D12" s="158"/>
      <c r="E12" s="158"/>
      <c r="F12" s="159"/>
      <c r="G12" s="160" t="s">
        <v>50</v>
      </c>
      <c r="H12" s="161"/>
      <c r="I12" s="161"/>
      <c r="J12" s="161"/>
      <c r="K12" s="161"/>
      <c r="L12" s="161"/>
    </row>
    <row r="13" spans="1:12" s="78" customFormat="1" ht="31.5" customHeight="1" x14ac:dyDescent="0.25">
      <c r="A13" s="37" t="s">
        <v>51</v>
      </c>
      <c r="B13" s="26" t="s">
        <v>52</v>
      </c>
      <c r="C13" s="30" t="s">
        <v>53</v>
      </c>
      <c r="D13" s="30" t="s">
        <v>54</v>
      </c>
      <c r="E13" s="30" t="s">
        <v>55</v>
      </c>
      <c r="F13" s="58" t="s">
        <v>56</v>
      </c>
      <c r="G13" s="36" t="s">
        <v>57</v>
      </c>
      <c r="H13" s="47" t="s">
        <v>58</v>
      </c>
      <c r="I13" s="31" t="s">
        <v>59</v>
      </c>
      <c r="J13" s="49" t="s">
        <v>60</v>
      </c>
      <c r="K13" s="57" t="s">
        <v>61</v>
      </c>
      <c r="L13" s="77" t="s">
        <v>62</v>
      </c>
    </row>
    <row r="14" spans="1:12" ht="15.75" customHeight="1" x14ac:dyDescent="0.25">
      <c r="A14" s="73"/>
      <c r="B14" s="66">
        <f>C4</f>
        <v>45936</v>
      </c>
      <c r="C14" s="79">
        <f>C3</f>
        <v>13</v>
      </c>
      <c r="D14" s="79">
        <f>C3</f>
        <v>13</v>
      </c>
      <c r="E14" s="79">
        <f>C3</f>
        <v>13</v>
      </c>
      <c r="F14" s="80">
        <v>0</v>
      </c>
      <c r="G14" s="81">
        <v>3</v>
      </c>
      <c r="H14" s="81">
        <v>1</v>
      </c>
      <c r="I14" s="82">
        <v>1</v>
      </c>
      <c r="J14" s="83">
        <v>0</v>
      </c>
      <c r="K14" s="84">
        <v>5</v>
      </c>
      <c r="L14" s="86"/>
    </row>
    <row r="15" spans="1:12" ht="15.75" customHeight="1" x14ac:dyDescent="0.25">
      <c r="A15" s="73"/>
      <c r="B15" s="66">
        <f>B14+$C$9</f>
        <v>45943</v>
      </c>
      <c r="C15" s="79">
        <f>IF(OR(C14="",C14=0),"",IF(ISBLANK($J14),IF(C14+$K14+$I14-$C$6&lt;=0,IF(AND(C14&gt;0,C14&lt;&gt;""),0,""),C14+$K14+$I14-$C$6),IF((C14-$J14)+$K14+$I14&lt;=0,IF(AND(C14&gt;0,C14&lt;&gt;""),0,""),(C14-$J14)+$K14+$I14)))</f>
        <v>19</v>
      </c>
      <c r="D15" s="79">
        <f t="shared" ref="D15:D54" si="0">IF(OR(D14="",D14=0),"",IF(ISBLANK($J14),IF(D14+$K14+$I14-$C$7&lt;=0,IF(AND(D14&gt;0,D14&lt;&gt;""),0,""),D14+$K14+$I14-$C$7),IF((D14-$J14)+$K14+$I14&lt;=0,IF(AND(D14&gt;0,D14&lt;&gt;""),0,""),(D14-$J14)+$K14+$I14)))</f>
        <v>19</v>
      </c>
      <c r="E15" s="79">
        <f t="shared" ref="E15:E54" si="1">IF(OR(E14="",E14=0),"",IF(ISBLANK($J14),IF(E14+$K14+$I14-$C$8&lt;=0,IF(AND(E14&gt;0,E14&lt;&gt;""),0,""),E14+$K14+$I14-$C$8),IF((E14-$J14)+$K14+$I14&lt;=0,IF(AND(E14&gt;0,E14&lt;&gt;""),0,""),(E14-$J14)+$K14+$I14)))</f>
        <v>19</v>
      </c>
      <c r="F15" s="80">
        <f>IF(J14="","",IF(G14+F14+H14+I14-J14&lt;0,0,G14+F14+H14+I14-J14))</f>
        <v>5</v>
      </c>
      <c r="G15" s="81">
        <v>0</v>
      </c>
      <c r="H15" s="81">
        <v>-1</v>
      </c>
      <c r="I15" s="82">
        <v>1</v>
      </c>
      <c r="J15" s="83">
        <v>1</v>
      </c>
      <c r="K15" s="84"/>
      <c r="L15" s="86" t="s">
        <v>63</v>
      </c>
    </row>
    <row r="16" spans="1:12" ht="15.75" customHeight="1" x14ac:dyDescent="0.25">
      <c r="A16" s="73"/>
      <c r="B16" s="66">
        <f t="shared" ref="B16:B29" si="2">B15+$C$9</f>
        <v>45950</v>
      </c>
      <c r="C16" s="85">
        <f t="shared" ref="C16:C54" si="3">IF(OR(C15="",C15=0),"",IF(ISBLANK(J15),IF(C15+K15+I15-$C$6&lt;=0,IF(AND(C15&gt;0,C15&lt;&gt;""),0,""),C15+K15+I15-$C$6),IF((C15-J15)+K15+I15&lt;=0,IF(AND(C15&gt;0,C15&lt;&gt;""),0,""),(C15-J15)+K15+I15)))</f>
        <v>19</v>
      </c>
      <c r="D16" s="85">
        <f t="shared" si="0"/>
        <v>19</v>
      </c>
      <c r="E16" s="85">
        <f t="shared" si="1"/>
        <v>19</v>
      </c>
      <c r="F16" s="80">
        <f t="shared" ref="F16:F54" si="4">IF(J15="","",IF(G15+F15+H15+I15-J15&lt;0,0,G15+F15+H15+I15-J15))</f>
        <v>4</v>
      </c>
      <c r="G16" s="81">
        <v>3</v>
      </c>
      <c r="H16" s="81"/>
      <c r="I16" s="82"/>
      <c r="J16" s="83">
        <v>0</v>
      </c>
      <c r="K16" s="84"/>
      <c r="L16" s="86"/>
    </row>
    <row r="17" spans="1:12" ht="15.75" customHeight="1" x14ac:dyDescent="0.25">
      <c r="A17" s="73"/>
      <c r="B17" s="66">
        <f t="shared" si="2"/>
        <v>45957</v>
      </c>
      <c r="C17" s="85">
        <f t="shared" si="3"/>
        <v>19</v>
      </c>
      <c r="D17" s="85">
        <f t="shared" si="0"/>
        <v>19</v>
      </c>
      <c r="E17" s="85">
        <f t="shared" si="1"/>
        <v>19</v>
      </c>
      <c r="F17" s="80">
        <f t="shared" si="4"/>
        <v>7</v>
      </c>
      <c r="G17" s="81"/>
      <c r="H17" s="81"/>
      <c r="I17" s="82"/>
      <c r="J17" s="83">
        <v>2</v>
      </c>
      <c r="K17" s="84">
        <v>7</v>
      </c>
      <c r="L17" s="86"/>
    </row>
    <row r="18" spans="1:12" ht="15.75" customHeight="1" x14ac:dyDescent="0.25">
      <c r="A18" s="73"/>
      <c r="B18" s="66">
        <f t="shared" si="2"/>
        <v>45964</v>
      </c>
      <c r="C18" s="85">
        <f t="shared" si="3"/>
        <v>24</v>
      </c>
      <c r="D18" s="85">
        <f t="shared" si="0"/>
        <v>24</v>
      </c>
      <c r="E18" s="85">
        <f t="shared" si="1"/>
        <v>24</v>
      </c>
      <c r="F18" s="80">
        <f t="shared" si="4"/>
        <v>5</v>
      </c>
      <c r="G18" s="81"/>
      <c r="H18" s="81"/>
      <c r="I18" s="82"/>
      <c r="J18" s="83">
        <v>1</v>
      </c>
      <c r="K18" s="84"/>
      <c r="L18" s="86"/>
    </row>
    <row r="19" spans="1:12" ht="15.75" customHeight="1" x14ac:dyDescent="0.25">
      <c r="A19" s="73"/>
      <c r="B19" s="66">
        <f t="shared" si="2"/>
        <v>45971</v>
      </c>
      <c r="C19" s="85">
        <f t="shared" si="3"/>
        <v>23</v>
      </c>
      <c r="D19" s="85">
        <f t="shared" si="0"/>
        <v>23</v>
      </c>
      <c r="E19" s="85">
        <f t="shared" si="1"/>
        <v>23</v>
      </c>
      <c r="F19" s="80">
        <f t="shared" si="4"/>
        <v>4</v>
      </c>
      <c r="G19" s="81"/>
      <c r="H19" s="81"/>
      <c r="I19" s="82"/>
      <c r="J19" s="83"/>
      <c r="K19" s="84"/>
      <c r="L19" s="86"/>
    </row>
    <row r="20" spans="1:12" ht="15.75" customHeight="1" x14ac:dyDescent="0.25">
      <c r="A20" s="73"/>
      <c r="B20" s="66">
        <f t="shared" si="2"/>
        <v>45978</v>
      </c>
      <c r="C20" s="85">
        <f t="shared" si="3"/>
        <v>19</v>
      </c>
      <c r="D20" s="85">
        <f t="shared" si="0"/>
        <v>22</v>
      </c>
      <c r="E20" s="85">
        <f t="shared" si="1"/>
        <v>20</v>
      </c>
      <c r="F20" s="80" t="str">
        <f t="shared" si="4"/>
        <v/>
      </c>
      <c r="G20" s="81"/>
      <c r="H20" s="81"/>
      <c r="I20" s="82"/>
      <c r="J20" s="83"/>
      <c r="K20" s="84"/>
      <c r="L20" s="86"/>
    </row>
    <row r="21" spans="1:12" ht="15.75" customHeight="1" x14ac:dyDescent="0.25">
      <c r="A21" s="73"/>
      <c r="B21" s="66">
        <f t="shared" si="2"/>
        <v>45985</v>
      </c>
      <c r="C21" s="85">
        <f t="shared" si="3"/>
        <v>15</v>
      </c>
      <c r="D21" s="85">
        <f t="shared" si="0"/>
        <v>21</v>
      </c>
      <c r="E21" s="85">
        <f t="shared" si="1"/>
        <v>17</v>
      </c>
      <c r="F21" s="80" t="str">
        <f t="shared" si="4"/>
        <v/>
      </c>
      <c r="G21" s="81"/>
      <c r="H21" s="81"/>
      <c r="I21" s="82"/>
      <c r="J21" s="83"/>
      <c r="K21" s="84"/>
      <c r="L21" s="86"/>
    </row>
    <row r="22" spans="1:12" ht="15.75" customHeight="1" x14ac:dyDescent="0.25">
      <c r="A22" s="73"/>
      <c r="B22" s="66">
        <f t="shared" si="2"/>
        <v>45992</v>
      </c>
      <c r="C22" s="85">
        <f t="shared" si="3"/>
        <v>11</v>
      </c>
      <c r="D22" s="85">
        <f t="shared" si="0"/>
        <v>20</v>
      </c>
      <c r="E22" s="85">
        <f t="shared" si="1"/>
        <v>14</v>
      </c>
      <c r="F22" s="80" t="str">
        <f t="shared" si="4"/>
        <v/>
      </c>
      <c r="G22" s="81"/>
      <c r="H22" s="81"/>
      <c r="I22" s="82"/>
      <c r="J22" s="83"/>
      <c r="K22" s="84"/>
      <c r="L22" s="86"/>
    </row>
    <row r="23" spans="1:12" ht="15.75" customHeight="1" x14ac:dyDescent="0.25">
      <c r="A23" s="73"/>
      <c r="B23" s="66">
        <f t="shared" si="2"/>
        <v>45999</v>
      </c>
      <c r="C23" s="85">
        <f t="shared" si="3"/>
        <v>7</v>
      </c>
      <c r="D23" s="85">
        <f t="shared" si="0"/>
        <v>19</v>
      </c>
      <c r="E23" s="85">
        <f t="shared" si="1"/>
        <v>11</v>
      </c>
      <c r="F23" s="80" t="str">
        <f t="shared" si="4"/>
        <v/>
      </c>
      <c r="G23" s="81"/>
      <c r="H23" s="81"/>
      <c r="I23" s="82"/>
      <c r="J23" s="83"/>
      <c r="K23" s="84"/>
      <c r="L23" s="86"/>
    </row>
    <row r="24" spans="1:12" ht="15.75" customHeight="1" x14ac:dyDescent="0.25">
      <c r="A24" s="73"/>
      <c r="B24" s="66">
        <f>B23+$C$9</f>
        <v>46006</v>
      </c>
      <c r="C24" s="85">
        <f t="shared" si="3"/>
        <v>3</v>
      </c>
      <c r="D24" s="85">
        <f t="shared" si="0"/>
        <v>18</v>
      </c>
      <c r="E24" s="85">
        <f t="shared" si="1"/>
        <v>8</v>
      </c>
      <c r="F24" s="80" t="str">
        <f t="shared" si="4"/>
        <v/>
      </c>
      <c r="G24" s="81"/>
      <c r="H24" s="81"/>
      <c r="I24" s="82"/>
      <c r="J24" s="83"/>
      <c r="K24" s="84"/>
      <c r="L24" s="86"/>
    </row>
    <row r="25" spans="1:12" ht="15.75" customHeight="1" x14ac:dyDescent="0.25">
      <c r="A25" s="73"/>
      <c r="B25" s="66">
        <f t="shared" si="2"/>
        <v>46013</v>
      </c>
      <c r="C25" s="85">
        <f t="shared" si="3"/>
        <v>0</v>
      </c>
      <c r="D25" s="85">
        <f t="shared" si="0"/>
        <v>17</v>
      </c>
      <c r="E25" s="85">
        <f t="shared" si="1"/>
        <v>5</v>
      </c>
      <c r="F25" s="80" t="str">
        <f t="shared" si="4"/>
        <v/>
      </c>
      <c r="G25" s="81"/>
      <c r="H25" s="81"/>
      <c r="I25" s="82"/>
      <c r="J25" s="83"/>
      <c r="K25" s="84"/>
      <c r="L25" s="86"/>
    </row>
    <row r="26" spans="1:12" ht="15.75" customHeight="1" x14ac:dyDescent="0.25">
      <c r="A26" s="73"/>
      <c r="B26" s="66">
        <f t="shared" si="2"/>
        <v>46020</v>
      </c>
      <c r="C26" s="85" t="str">
        <f t="shared" si="3"/>
        <v/>
      </c>
      <c r="D26" s="85">
        <f t="shared" si="0"/>
        <v>16</v>
      </c>
      <c r="E26" s="85">
        <f t="shared" si="1"/>
        <v>2</v>
      </c>
      <c r="F26" s="80" t="str">
        <f t="shared" si="4"/>
        <v/>
      </c>
      <c r="G26" s="81"/>
      <c r="H26" s="81"/>
      <c r="I26" s="82"/>
      <c r="J26" s="83"/>
      <c r="K26" s="84"/>
      <c r="L26" s="86"/>
    </row>
    <row r="27" spans="1:12" ht="15.75" customHeight="1" x14ac:dyDescent="0.25">
      <c r="A27" s="73"/>
      <c r="B27" s="66">
        <f t="shared" si="2"/>
        <v>46027</v>
      </c>
      <c r="C27" s="85" t="str">
        <f t="shared" si="3"/>
        <v/>
      </c>
      <c r="D27" s="85">
        <f t="shared" si="0"/>
        <v>15</v>
      </c>
      <c r="E27" s="85">
        <f t="shared" si="1"/>
        <v>0</v>
      </c>
      <c r="F27" s="80" t="str">
        <f t="shared" si="4"/>
        <v/>
      </c>
      <c r="G27" s="81"/>
      <c r="H27" s="81"/>
      <c r="I27" s="82"/>
      <c r="J27" s="83"/>
      <c r="K27" s="84"/>
      <c r="L27" s="86"/>
    </row>
    <row r="28" spans="1:12" ht="15.75" customHeight="1" x14ac:dyDescent="0.25">
      <c r="A28" s="73"/>
      <c r="B28" s="66">
        <f t="shared" si="2"/>
        <v>46034</v>
      </c>
      <c r="C28" s="85" t="str">
        <f t="shared" si="3"/>
        <v/>
      </c>
      <c r="D28" s="85">
        <f t="shared" si="0"/>
        <v>14</v>
      </c>
      <c r="E28" s="85" t="str">
        <f t="shared" si="1"/>
        <v/>
      </c>
      <c r="F28" s="80" t="str">
        <f t="shared" si="4"/>
        <v/>
      </c>
      <c r="G28" s="81"/>
      <c r="H28" s="81"/>
      <c r="I28" s="82"/>
      <c r="J28" s="83"/>
      <c r="K28" s="84"/>
      <c r="L28" s="86"/>
    </row>
    <row r="29" spans="1:12" ht="15.75" customHeight="1" x14ac:dyDescent="0.25">
      <c r="A29" s="73"/>
      <c r="B29" s="66">
        <f t="shared" si="2"/>
        <v>46041</v>
      </c>
      <c r="C29" s="85" t="str">
        <f t="shared" si="3"/>
        <v/>
      </c>
      <c r="D29" s="85">
        <f t="shared" si="0"/>
        <v>13</v>
      </c>
      <c r="E29" s="85" t="str">
        <f t="shared" si="1"/>
        <v/>
      </c>
      <c r="F29" s="80" t="str">
        <f t="shared" si="4"/>
        <v/>
      </c>
      <c r="G29" s="81"/>
      <c r="H29" s="81"/>
      <c r="I29" s="82"/>
      <c r="J29" s="83"/>
      <c r="K29" s="84"/>
      <c r="L29" s="86"/>
    </row>
    <row r="30" spans="1:12" ht="15.75" customHeight="1" x14ac:dyDescent="0.25">
      <c r="A30" s="73"/>
      <c r="B30" s="66">
        <f t="shared" ref="B30:B54" si="5">B29+$C$9</f>
        <v>46048</v>
      </c>
      <c r="C30" s="85" t="str">
        <f t="shared" si="3"/>
        <v/>
      </c>
      <c r="D30" s="85">
        <f t="shared" si="0"/>
        <v>12</v>
      </c>
      <c r="E30" s="85" t="str">
        <f t="shared" si="1"/>
        <v/>
      </c>
      <c r="F30" s="80" t="str">
        <f t="shared" si="4"/>
        <v/>
      </c>
      <c r="G30" s="81"/>
      <c r="H30" s="81"/>
      <c r="I30" s="82"/>
      <c r="J30" s="83"/>
      <c r="K30" s="84"/>
      <c r="L30" s="86"/>
    </row>
    <row r="31" spans="1:12" ht="15.75" customHeight="1" x14ac:dyDescent="0.25">
      <c r="A31" s="73"/>
      <c r="B31" s="66">
        <f t="shared" si="5"/>
        <v>46055</v>
      </c>
      <c r="C31" s="85" t="str">
        <f t="shared" si="3"/>
        <v/>
      </c>
      <c r="D31" s="85">
        <f t="shared" si="0"/>
        <v>11</v>
      </c>
      <c r="E31" s="85" t="str">
        <f t="shared" si="1"/>
        <v/>
      </c>
      <c r="F31" s="80" t="str">
        <f t="shared" si="4"/>
        <v/>
      </c>
      <c r="G31" s="81"/>
      <c r="H31" s="81"/>
      <c r="I31" s="82"/>
      <c r="J31" s="83"/>
      <c r="K31" s="84"/>
      <c r="L31" s="86"/>
    </row>
    <row r="32" spans="1:12" ht="15.75" customHeight="1" x14ac:dyDescent="0.25">
      <c r="A32" s="73"/>
      <c r="B32" s="66">
        <f t="shared" si="5"/>
        <v>46062</v>
      </c>
      <c r="C32" s="85" t="str">
        <f t="shared" si="3"/>
        <v/>
      </c>
      <c r="D32" s="85">
        <f t="shared" si="0"/>
        <v>10</v>
      </c>
      <c r="E32" s="85" t="str">
        <f t="shared" si="1"/>
        <v/>
      </c>
      <c r="F32" s="80" t="str">
        <f t="shared" si="4"/>
        <v/>
      </c>
      <c r="G32" s="81"/>
      <c r="H32" s="81"/>
      <c r="I32" s="82"/>
      <c r="J32" s="83"/>
      <c r="K32" s="84"/>
      <c r="L32" s="86"/>
    </row>
    <row r="33" spans="1:12" ht="15.75" customHeight="1" x14ac:dyDescent="0.25">
      <c r="A33" s="73"/>
      <c r="B33" s="66">
        <f t="shared" si="5"/>
        <v>46069</v>
      </c>
      <c r="C33" s="85" t="str">
        <f t="shared" si="3"/>
        <v/>
      </c>
      <c r="D33" s="85">
        <f t="shared" si="0"/>
        <v>9</v>
      </c>
      <c r="E33" s="85" t="str">
        <f t="shared" si="1"/>
        <v/>
      </c>
      <c r="F33" s="80" t="str">
        <f t="shared" si="4"/>
        <v/>
      </c>
      <c r="G33" s="81"/>
      <c r="H33" s="81"/>
      <c r="I33" s="82"/>
      <c r="J33" s="83"/>
      <c r="K33" s="84"/>
      <c r="L33" s="86"/>
    </row>
    <row r="34" spans="1:12" ht="15.75" customHeight="1" x14ac:dyDescent="0.25">
      <c r="A34" s="73"/>
      <c r="B34" s="66">
        <f t="shared" si="5"/>
        <v>46076</v>
      </c>
      <c r="C34" s="85" t="str">
        <f t="shared" si="3"/>
        <v/>
      </c>
      <c r="D34" s="85">
        <f t="shared" si="0"/>
        <v>8</v>
      </c>
      <c r="E34" s="85" t="str">
        <f t="shared" si="1"/>
        <v/>
      </c>
      <c r="F34" s="80" t="str">
        <f t="shared" si="4"/>
        <v/>
      </c>
      <c r="G34" s="81"/>
      <c r="H34" s="81"/>
      <c r="I34" s="82"/>
      <c r="J34" s="83"/>
      <c r="K34" s="84"/>
      <c r="L34" s="86"/>
    </row>
    <row r="35" spans="1:12" ht="15.75" customHeight="1" x14ac:dyDescent="0.25">
      <c r="A35" s="73"/>
      <c r="B35" s="66">
        <f t="shared" si="5"/>
        <v>46083</v>
      </c>
      <c r="C35" s="85" t="str">
        <f t="shared" si="3"/>
        <v/>
      </c>
      <c r="D35" s="85">
        <f t="shared" si="0"/>
        <v>7</v>
      </c>
      <c r="E35" s="85" t="str">
        <f t="shared" si="1"/>
        <v/>
      </c>
      <c r="F35" s="80" t="str">
        <f t="shared" si="4"/>
        <v/>
      </c>
      <c r="G35" s="81"/>
      <c r="H35" s="81"/>
      <c r="I35" s="82"/>
      <c r="J35" s="83"/>
      <c r="K35" s="84"/>
      <c r="L35" s="86"/>
    </row>
    <row r="36" spans="1:12" ht="15.75" customHeight="1" x14ac:dyDescent="0.25">
      <c r="A36" s="73"/>
      <c r="B36" s="66">
        <f t="shared" si="5"/>
        <v>46090</v>
      </c>
      <c r="C36" s="85" t="str">
        <f t="shared" si="3"/>
        <v/>
      </c>
      <c r="D36" s="85">
        <f t="shared" si="0"/>
        <v>6</v>
      </c>
      <c r="E36" s="85" t="str">
        <f t="shared" si="1"/>
        <v/>
      </c>
      <c r="F36" s="80" t="str">
        <f t="shared" si="4"/>
        <v/>
      </c>
      <c r="G36" s="81"/>
      <c r="H36" s="81"/>
      <c r="I36" s="82"/>
      <c r="J36" s="83"/>
      <c r="K36" s="84"/>
      <c r="L36" s="86"/>
    </row>
    <row r="37" spans="1:12" ht="15.75" customHeight="1" x14ac:dyDescent="0.25">
      <c r="A37" s="73"/>
      <c r="B37" s="66">
        <f t="shared" si="5"/>
        <v>46097</v>
      </c>
      <c r="C37" s="85" t="str">
        <f t="shared" si="3"/>
        <v/>
      </c>
      <c r="D37" s="85">
        <f t="shared" si="0"/>
        <v>5</v>
      </c>
      <c r="E37" s="85" t="str">
        <f t="shared" si="1"/>
        <v/>
      </c>
      <c r="F37" s="80" t="str">
        <f t="shared" si="4"/>
        <v/>
      </c>
      <c r="G37" s="81"/>
      <c r="H37" s="81"/>
      <c r="I37" s="82"/>
      <c r="J37" s="83"/>
      <c r="K37" s="84"/>
      <c r="L37" s="86"/>
    </row>
    <row r="38" spans="1:12" ht="15.75" customHeight="1" x14ac:dyDescent="0.25">
      <c r="A38" s="73"/>
      <c r="B38" s="66">
        <f t="shared" si="5"/>
        <v>46104</v>
      </c>
      <c r="C38" s="85" t="str">
        <f t="shared" si="3"/>
        <v/>
      </c>
      <c r="D38" s="85">
        <f t="shared" si="0"/>
        <v>4</v>
      </c>
      <c r="E38" s="85" t="str">
        <f t="shared" si="1"/>
        <v/>
      </c>
      <c r="F38" s="80" t="str">
        <f t="shared" si="4"/>
        <v/>
      </c>
      <c r="G38" s="81"/>
      <c r="H38" s="81"/>
      <c r="I38" s="82"/>
      <c r="J38" s="83"/>
      <c r="K38" s="84"/>
      <c r="L38" s="86"/>
    </row>
    <row r="39" spans="1:12" ht="15.75" customHeight="1" x14ac:dyDescent="0.25">
      <c r="A39" s="73"/>
      <c r="B39" s="66">
        <f t="shared" si="5"/>
        <v>46111</v>
      </c>
      <c r="C39" s="85" t="str">
        <f t="shared" si="3"/>
        <v/>
      </c>
      <c r="D39" s="85">
        <f t="shared" si="0"/>
        <v>3</v>
      </c>
      <c r="E39" s="85" t="str">
        <f t="shared" si="1"/>
        <v/>
      </c>
      <c r="F39" s="80" t="str">
        <f t="shared" si="4"/>
        <v/>
      </c>
      <c r="G39" s="81"/>
      <c r="H39" s="81"/>
      <c r="I39" s="82"/>
      <c r="J39" s="83"/>
      <c r="K39" s="84"/>
      <c r="L39" s="86"/>
    </row>
    <row r="40" spans="1:12" ht="15.75" customHeight="1" x14ac:dyDescent="0.25">
      <c r="A40" s="73"/>
      <c r="B40" s="66">
        <f t="shared" si="5"/>
        <v>46118</v>
      </c>
      <c r="C40" s="85" t="str">
        <f t="shared" si="3"/>
        <v/>
      </c>
      <c r="D40" s="85">
        <f t="shared" si="0"/>
        <v>2</v>
      </c>
      <c r="E40" s="85" t="str">
        <f t="shared" si="1"/>
        <v/>
      </c>
      <c r="F40" s="80" t="str">
        <f t="shared" si="4"/>
        <v/>
      </c>
      <c r="G40" s="81"/>
      <c r="H40" s="81"/>
      <c r="I40" s="82"/>
      <c r="J40" s="83"/>
      <c r="K40" s="84"/>
      <c r="L40" s="86"/>
    </row>
    <row r="41" spans="1:12" ht="15.75" customHeight="1" x14ac:dyDescent="0.25">
      <c r="A41" s="73"/>
      <c r="B41" s="66">
        <f t="shared" si="5"/>
        <v>46125</v>
      </c>
      <c r="C41" s="85" t="str">
        <f t="shared" si="3"/>
        <v/>
      </c>
      <c r="D41" s="85">
        <f t="shared" si="0"/>
        <v>1</v>
      </c>
      <c r="E41" s="85" t="str">
        <f t="shared" si="1"/>
        <v/>
      </c>
      <c r="F41" s="80" t="str">
        <f t="shared" si="4"/>
        <v/>
      </c>
      <c r="G41" s="81"/>
      <c r="H41" s="81"/>
      <c r="I41" s="82"/>
      <c r="J41" s="83"/>
      <c r="K41" s="84"/>
      <c r="L41" s="86"/>
    </row>
    <row r="42" spans="1:12" ht="15.75" customHeight="1" x14ac:dyDescent="0.25">
      <c r="A42" s="73"/>
      <c r="B42" s="66">
        <f t="shared" si="5"/>
        <v>46132</v>
      </c>
      <c r="C42" s="85" t="str">
        <f t="shared" si="3"/>
        <v/>
      </c>
      <c r="D42" s="85">
        <f t="shared" si="0"/>
        <v>0</v>
      </c>
      <c r="E42" s="85" t="str">
        <f t="shared" si="1"/>
        <v/>
      </c>
      <c r="F42" s="80" t="str">
        <f t="shared" si="4"/>
        <v/>
      </c>
      <c r="G42" s="81"/>
      <c r="H42" s="81"/>
      <c r="I42" s="82"/>
      <c r="J42" s="83"/>
      <c r="K42" s="84"/>
      <c r="L42" s="86"/>
    </row>
    <row r="43" spans="1:12" ht="15.75" customHeight="1" x14ac:dyDescent="0.25">
      <c r="A43" s="73"/>
      <c r="B43" s="66">
        <f t="shared" si="5"/>
        <v>46139</v>
      </c>
      <c r="C43" s="85" t="str">
        <f t="shared" si="3"/>
        <v/>
      </c>
      <c r="D43" s="85" t="str">
        <f t="shared" si="0"/>
        <v/>
      </c>
      <c r="E43" s="85" t="str">
        <f t="shared" si="1"/>
        <v/>
      </c>
      <c r="F43" s="80" t="str">
        <f t="shared" si="4"/>
        <v/>
      </c>
      <c r="G43" s="81"/>
      <c r="H43" s="81"/>
      <c r="I43" s="82"/>
      <c r="J43" s="83"/>
      <c r="K43" s="84"/>
      <c r="L43" s="86"/>
    </row>
    <row r="44" spans="1:12" ht="15.75" customHeight="1" x14ac:dyDescent="0.25">
      <c r="A44" s="73"/>
      <c r="B44" s="66">
        <f t="shared" si="5"/>
        <v>46146</v>
      </c>
      <c r="C44" s="85" t="str">
        <f t="shared" si="3"/>
        <v/>
      </c>
      <c r="D44" s="85" t="str">
        <f t="shared" si="0"/>
        <v/>
      </c>
      <c r="E44" s="85" t="str">
        <f t="shared" si="1"/>
        <v/>
      </c>
      <c r="F44" s="80" t="str">
        <f t="shared" si="4"/>
        <v/>
      </c>
      <c r="G44" s="81"/>
      <c r="H44" s="81"/>
      <c r="I44" s="82"/>
      <c r="J44" s="83"/>
      <c r="K44" s="84"/>
      <c r="L44" s="86"/>
    </row>
    <row r="45" spans="1:12" ht="15.75" customHeight="1" x14ac:dyDescent="0.25">
      <c r="A45" s="73"/>
      <c r="B45" s="66">
        <f t="shared" si="5"/>
        <v>46153</v>
      </c>
      <c r="C45" s="85" t="str">
        <f t="shared" si="3"/>
        <v/>
      </c>
      <c r="D45" s="85" t="str">
        <f t="shared" si="0"/>
        <v/>
      </c>
      <c r="E45" s="85" t="str">
        <f t="shared" si="1"/>
        <v/>
      </c>
      <c r="F45" s="80" t="str">
        <f t="shared" si="4"/>
        <v/>
      </c>
      <c r="G45" s="81"/>
      <c r="H45" s="81"/>
      <c r="I45" s="82"/>
      <c r="J45" s="83"/>
      <c r="K45" s="84"/>
      <c r="L45" s="86"/>
    </row>
    <row r="46" spans="1:12" ht="15.75" customHeight="1" x14ac:dyDescent="0.25">
      <c r="A46" s="73"/>
      <c r="B46" s="66">
        <f t="shared" si="5"/>
        <v>46160</v>
      </c>
      <c r="C46" s="85" t="str">
        <f t="shared" si="3"/>
        <v/>
      </c>
      <c r="D46" s="85" t="str">
        <f t="shared" si="0"/>
        <v/>
      </c>
      <c r="E46" s="85" t="str">
        <f t="shared" si="1"/>
        <v/>
      </c>
      <c r="F46" s="80" t="str">
        <f t="shared" si="4"/>
        <v/>
      </c>
      <c r="G46" s="81"/>
      <c r="H46" s="81"/>
      <c r="I46" s="82"/>
      <c r="J46" s="83"/>
      <c r="K46" s="84"/>
      <c r="L46" s="86"/>
    </row>
    <row r="47" spans="1:12" ht="15.75" customHeight="1" x14ac:dyDescent="0.25">
      <c r="A47" s="73"/>
      <c r="B47" s="66">
        <f t="shared" si="5"/>
        <v>46167</v>
      </c>
      <c r="C47" s="85" t="str">
        <f t="shared" si="3"/>
        <v/>
      </c>
      <c r="D47" s="85" t="str">
        <f t="shared" si="0"/>
        <v/>
      </c>
      <c r="E47" s="85" t="str">
        <f t="shared" si="1"/>
        <v/>
      </c>
      <c r="F47" s="80" t="str">
        <f t="shared" si="4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/>
      <c r="B48" s="66">
        <f t="shared" si="5"/>
        <v>46174</v>
      </c>
      <c r="C48" s="85" t="str">
        <f t="shared" si="3"/>
        <v/>
      </c>
      <c r="D48" s="85" t="str">
        <f t="shared" si="0"/>
        <v/>
      </c>
      <c r="E48" s="85" t="str">
        <f t="shared" si="1"/>
        <v/>
      </c>
      <c r="F48" s="80" t="str">
        <f t="shared" si="4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5"/>
        <v>46181</v>
      </c>
      <c r="C49" s="85" t="str">
        <f t="shared" si="3"/>
        <v/>
      </c>
      <c r="D49" s="85" t="str">
        <f t="shared" si="0"/>
        <v/>
      </c>
      <c r="E49" s="85" t="str">
        <f t="shared" si="1"/>
        <v/>
      </c>
      <c r="F49" s="80" t="str">
        <f t="shared" si="4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5"/>
        <v>46188</v>
      </c>
      <c r="C50" s="85" t="str">
        <f t="shared" si="3"/>
        <v/>
      </c>
      <c r="D50" s="85" t="str">
        <f t="shared" si="0"/>
        <v/>
      </c>
      <c r="E50" s="85" t="str">
        <f t="shared" si="1"/>
        <v/>
      </c>
      <c r="F50" s="80" t="str">
        <f t="shared" si="4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5"/>
        <v>46195</v>
      </c>
      <c r="C51" s="85" t="str">
        <f t="shared" si="3"/>
        <v/>
      </c>
      <c r="D51" s="85" t="str">
        <f t="shared" si="0"/>
        <v/>
      </c>
      <c r="E51" s="85" t="str">
        <f t="shared" si="1"/>
        <v/>
      </c>
      <c r="F51" s="80" t="str">
        <f t="shared" si="4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5"/>
        <v>46202</v>
      </c>
      <c r="C52" s="85" t="str">
        <f t="shared" si="3"/>
        <v/>
      </c>
      <c r="D52" s="85" t="str">
        <f t="shared" si="0"/>
        <v/>
      </c>
      <c r="E52" s="85" t="str">
        <f t="shared" si="1"/>
        <v/>
      </c>
      <c r="F52" s="80" t="str">
        <f t="shared" si="4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5"/>
        <v>46209</v>
      </c>
      <c r="C53" s="85" t="str">
        <f t="shared" si="3"/>
        <v/>
      </c>
      <c r="D53" s="85" t="str">
        <f t="shared" si="0"/>
        <v/>
      </c>
      <c r="E53" s="85" t="str">
        <f t="shared" si="1"/>
        <v/>
      </c>
      <c r="F53" s="80" t="str">
        <f t="shared" si="4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5"/>
        <v>46216</v>
      </c>
      <c r="C54" s="85" t="str">
        <f t="shared" si="3"/>
        <v/>
      </c>
      <c r="D54" s="85" t="str">
        <f t="shared" si="0"/>
        <v/>
      </c>
      <c r="E54" s="85" t="str">
        <f t="shared" si="1"/>
        <v/>
      </c>
      <c r="F54" s="80" t="str">
        <f t="shared" si="4"/>
        <v/>
      </c>
      <c r="G54" s="81"/>
      <c r="H54" s="81"/>
      <c r="I54" s="82"/>
      <c r="J54" s="83"/>
      <c r="K54" s="84"/>
      <c r="L54" s="86"/>
    </row>
    <row r="111" spans="2:3" ht="15.75" customHeight="1" x14ac:dyDescent="0.25">
      <c r="B111" s="67" t="str">
        <f t="shared" ref="B111:B174" si="6">IF(B110="","",IF(B110+$C$9&lt;=$C$5,B110+$C$9,""))</f>
        <v/>
      </c>
      <c r="C111" s="76" t="str">
        <f t="shared" ref="C111:C174" si="7">IF(B111&lt;&gt;"",C110-$C$2/COUNT($B$17:$B$510),"")</f>
        <v/>
      </c>
    </row>
    <row r="112" spans="2:3" ht="15.75" customHeight="1" x14ac:dyDescent="0.25">
      <c r="B112" s="67" t="str">
        <f t="shared" si="6"/>
        <v/>
      </c>
      <c r="C112" s="76" t="str">
        <f t="shared" si="7"/>
        <v/>
      </c>
    </row>
    <row r="113" spans="2:3" ht="15.75" customHeight="1" x14ac:dyDescent="0.25">
      <c r="B113" s="67" t="str">
        <f t="shared" si="6"/>
        <v/>
      </c>
      <c r="C113" s="76" t="str">
        <f t="shared" si="7"/>
        <v/>
      </c>
    </row>
    <row r="114" spans="2:3" ht="15.75" customHeight="1" x14ac:dyDescent="0.25">
      <c r="B114" s="67" t="str">
        <f t="shared" si="6"/>
        <v/>
      </c>
      <c r="C114" s="76" t="str">
        <f t="shared" si="7"/>
        <v/>
      </c>
    </row>
    <row r="115" spans="2:3" ht="15.75" customHeight="1" x14ac:dyDescent="0.25">
      <c r="B115" s="67" t="str">
        <f t="shared" si="6"/>
        <v/>
      </c>
      <c r="C115" s="76" t="str">
        <f t="shared" si="7"/>
        <v/>
      </c>
    </row>
    <row r="116" spans="2:3" ht="15.75" customHeight="1" x14ac:dyDescent="0.25">
      <c r="B116" s="67" t="str">
        <f t="shared" si="6"/>
        <v/>
      </c>
      <c r="C116" s="76" t="str">
        <f t="shared" si="7"/>
        <v/>
      </c>
    </row>
    <row r="117" spans="2:3" ht="15.75" customHeight="1" x14ac:dyDescent="0.25">
      <c r="B117" s="67" t="str">
        <f t="shared" si="6"/>
        <v/>
      </c>
      <c r="C117" s="76" t="str">
        <f t="shared" si="7"/>
        <v/>
      </c>
    </row>
    <row r="118" spans="2:3" ht="15.75" customHeight="1" x14ac:dyDescent="0.25">
      <c r="B118" s="67" t="str">
        <f t="shared" si="6"/>
        <v/>
      </c>
      <c r="C118" s="76" t="str">
        <f t="shared" si="7"/>
        <v/>
      </c>
    </row>
    <row r="119" spans="2:3" ht="15.75" customHeight="1" x14ac:dyDescent="0.25">
      <c r="B119" s="67" t="str">
        <f t="shared" si="6"/>
        <v/>
      </c>
      <c r="C119" s="76" t="str">
        <f t="shared" si="7"/>
        <v/>
      </c>
    </row>
    <row r="120" spans="2:3" ht="15.75" customHeight="1" x14ac:dyDescent="0.25">
      <c r="B120" s="67" t="str">
        <f t="shared" si="6"/>
        <v/>
      </c>
      <c r="C120" s="76" t="str">
        <f t="shared" si="7"/>
        <v/>
      </c>
    </row>
    <row r="121" spans="2:3" ht="15.75" customHeight="1" x14ac:dyDescent="0.25">
      <c r="B121" s="67" t="str">
        <f t="shared" si="6"/>
        <v/>
      </c>
      <c r="C121" s="76" t="str">
        <f t="shared" si="7"/>
        <v/>
      </c>
    </row>
    <row r="122" spans="2:3" ht="15.75" customHeight="1" x14ac:dyDescent="0.25">
      <c r="B122" s="67" t="str">
        <f t="shared" si="6"/>
        <v/>
      </c>
      <c r="C122" s="76" t="str">
        <f t="shared" si="7"/>
        <v/>
      </c>
    </row>
    <row r="123" spans="2:3" ht="15.75" customHeight="1" x14ac:dyDescent="0.25">
      <c r="B123" s="67" t="str">
        <f t="shared" si="6"/>
        <v/>
      </c>
      <c r="C123" s="76" t="str">
        <f t="shared" si="7"/>
        <v/>
      </c>
    </row>
    <row r="124" spans="2:3" ht="15.75" customHeight="1" x14ac:dyDescent="0.25">
      <c r="B124" s="67" t="str">
        <f t="shared" si="6"/>
        <v/>
      </c>
      <c r="C124" s="76" t="str">
        <f t="shared" si="7"/>
        <v/>
      </c>
    </row>
    <row r="125" spans="2:3" ht="15.75" customHeight="1" x14ac:dyDescent="0.25">
      <c r="B125" s="67" t="str">
        <f t="shared" si="6"/>
        <v/>
      </c>
      <c r="C125" s="76" t="str">
        <f t="shared" si="7"/>
        <v/>
      </c>
    </row>
    <row r="126" spans="2:3" ht="15.75" customHeight="1" x14ac:dyDescent="0.25">
      <c r="B126" s="67" t="str">
        <f t="shared" si="6"/>
        <v/>
      </c>
      <c r="C126" s="76" t="str">
        <f t="shared" si="7"/>
        <v/>
      </c>
    </row>
    <row r="127" spans="2:3" ht="15.75" customHeight="1" x14ac:dyDescent="0.25">
      <c r="B127" s="67" t="str">
        <f t="shared" si="6"/>
        <v/>
      </c>
      <c r="C127" s="76" t="str">
        <f t="shared" si="7"/>
        <v/>
      </c>
    </row>
    <row r="128" spans="2:3" ht="15.75" customHeight="1" x14ac:dyDescent="0.25">
      <c r="B128" s="67" t="str">
        <f t="shared" si="6"/>
        <v/>
      </c>
      <c r="C128" s="76" t="str">
        <f t="shared" si="7"/>
        <v/>
      </c>
    </row>
    <row r="129" spans="2:3" ht="15.75" customHeight="1" x14ac:dyDescent="0.25">
      <c r="B129" s="67" t="str">
        <f t="shared" si="6"/>
        <v/>
      </c>
      <c r="C129" s="76" t="str">
        <f t="shared" si="7"/>
        <v/>
      </c>
    </row>
    <row r="130" spans="2:3" ht="15.75" customHeight="1" x14ac:dyDescent="0.25">
      <c r="B130" s="67" t="str">
        <f t="shared" si="6"/>
        <v/>
      </c>
      <c r="C130" s="76" t="str">
        <f t="shared" si="7"/>
        <v/>
      </c>
    </row>
    <row r="131" spans="2:3" ht="15.75" customHeight="1" x14ac:dyDescent="0.25">
      <c r="B131" s="67" t="str">
        <f t="shared" si="6"/>
        <v/>
      </c>
      <c r="C131" s="76" t="str">
        <f t="shared" si="7"/>
        <v/>
      </c>
    </row>
    <row r="132" spans="2:3" ht="15.75" customHeight="1" x14ac:dyDescent="0.25">
      <c r="B132" s="67" t="str">
        <f t="shared" si="6"/>
        <v/>
      </c>
      <c r="C132" s="76" t="str">
        <f t="shared" si="7"/>
        <v/>
      </c>
    </row>
    <row r="133" spans="2:3" ht="15.75" customHeight="1" x14ac:dyDescent="0.25">
      <c r="B133" s="67" t="str">
        <f t="shared" si="6"/>
        <v/>
      </c>
      <c r="C133" s="76" t="str">
        <f t="shared" si="7"/>
        <v/>
      </c>
    </row>
    <row r="134" spans="2:3" ht="15.75" customHeight="1" x14ac:dyDescent="0.25">
      <c r="B134" s="67" t="str">
        <f t="shared" si="6"/>
        <v/>
      </c>
      <c r="C134" s="76" t="str">
        <f t="shared" si="7"/>
        <v/>
      </c>
    </row>
    <row r="135" spans="2:3" ht="15.75" customHeight="1" x14ac:dyDescent="0.25">
      <c r="B135" s="67" t="str">
        <f t="shared" si="6"/>
        <v/>
      </c>
      <c r="C135" s="76" t="str">
        <f t="shared" si="7"/>
        <v/>
      </c>
    </row>
    <row r="136" spans="2:3" ht="15.75" customHeight="1" x14ac:dyDescent="0.25">
      <c r="B136" s="67" t="str">
        <f t="shared" si="6"/>
        <v/>
      </c>
      <c r="C136" s="76" t="str">
        <f t="shared" si="7"/>
        <v/>
      </c>
    </row>
    <row r="137" spans="2:3" ht="15.75" customHeight="1" x14ac:dyDescent="0.25">
      <c r="B137" s="67" t="str">
        <f t="shared" si="6"/>
        <v/>
      </c>
      <c r="C137" s="76" t="str">
        <f t="shared" si="7"/>
        <v/>
      </c>
    </row>
    <row r="138" spans="2:3" ht="15.75" customHeight="1" x14ac:dyDescent="0.25">
      <c r="B138" s="67" t="str">
        <f t="shared" si="6"/>
        <v/>
      </c>
      <c r="C138" s="76" t="str">
        <f t="shared" si="7"/>
        <v/>
      </c>
    </row>
    <row r="139" spans="2:3" ht="15.75" customHeight="1" x14ac:dyDescent="0.25">
      <c r="B139" s="67" t="str">
        <f t="shared" si="6"/>
        <v/>
      </c>
      <c r="C139" s="76" t="str">
        <f t="shared" si="7"/>
        <v/>
      </c>
    </row>
    <row r="140" spans="2:3" ht="15.75" customHeight="1" x14ac:dyDescent="0.25">
      <c r="B140" s="67" t="str">
        <f t="shared" si="6"/>
        <v/>
      </c>
      <c r="C140" s="76" t="str">
        <f t="shared" si="7"/>
        <v/>
      </c>
    </row>
    <row r="141" spans="2:3" ht="15.75" customHeight="1" x14ac:dyDescent="0.25">
      <c r="B141" s="67" t="str">
        <f t="shared" si="6"/>
        <v/>
      </c>
      <c r="C141" s="76" t="str">
        <f t="shared" si="7"/>
        <v/>
      </c>
    </row>
    <row r="142" spans="2:3" ht="15.75" customHeight="1" x14ac:dyDescent="0.25">
      <c r="B142" s="67" t="str">
        <f t="shared" si="6"/>
        <v/>
      </c>
      <c r="C142" s="76" t="str">
        <f t="shared" si="7"/>
        <v/>
      </c>
    </row>
    <row r="143" spans="2:3" ht="15.75" customHeight="1" x14ac:dyDescent="0.25">
      <c r="B143" s="67" t="str">
        <f t="shared" si="6"/>
        <v/>
      </c>
      <c r="C143" s="76" t="str">
        <f t="shared" si="7"/>
        <v/>
      </c>
    </row>
    <row r="144" spans="2:3" ht="15.75" customHeight="1" x14ac:dyDescent="0.25">
      <c r="B144" s="67" t="str">
        <f t="shared" si="6"/>
        <v/>
      </c>
      <c r="C144" s="76" t="str">
        <f t="shared" si="7"/>
        <v/>
      </c>
    </row>
    <row r="145" spans="2:3" ht="15.75" customHeight="1" x14ac:dyDescent="0.25">
      <c r="B145" s="67" t="str">
        <f t="shared" si="6"/>
        <v/>
      </c>
      <c r="C145" s="76" t="str">
        <f t="shared" si="7"/>
        <v/>
      </c>
    </row>
    <row r="146" spans="2:3" ht="15.75" customHeight="1" x14ac:dyDescent="0.25">
      <c r="B146" s="67" t="str">
        <f t="shared" si="6"/>
        <v/>
      </c>
      <c r="C146" s="76" t="str">
        <f t="shared" si="7"/>
        <v/>
      </c>
    </row>
    <row r="147" spans="2:3" ht="15.75" customHeight="1" x14ac:dyDescent="0.25">
      <c r="B147" s="67" t="str">
        <f t="shared" si="6"/>
        <v/>
      </c>
      <c r="C147" s="76" t="str">
        <f t="shared" si="7"/>
        <v/>
      </c>
    </row>
    <row r="148" spans="2:3" ht="15.75" customHeight="1" x14ac:dyDescent="0.25">
      <c r="B148" s="67" t="str">
        <f t="shared" si="6"/>
        <v/>
      </c>
      <c r="C148" s="76" t="str">
        <f t="shared" si="7"/>
        <v/>
      </c>
    </row>
    <row r="149" spans="2:3" ht="15.75" customHeight="1" x14ac:dyDescent="0.25">
      <c r="B149" s="67" t="str">
        <f t="shared" si="6"/>
        <v/>
      </c>
      <c r="C149" s="76" t="str">
        <f t="shared" si="7"/>
        <v/>
      </c>
    </row>
    <row r="150" spans="2:3" ht="15.75" customHeight="1" x14ac:dyDescent="0.25">
      <c r="B150" s="67" t="str">
        <f t="shared" si="6"/>
        <v/>
      </c>
      <c r="C150" s="76" t="str">
        <f t="shared" si="7"/>
        <v/>
      </c>
    </row>
    <row r="151" spans="2:3" ht="15.75" customHeight="1" x14ac:dyDescent="0.25">
      <c r="B151" s="67" t="str">
        <f t="shared" si="6"/>
        <v/>
      </c>
      <c r="C151" s="76" t="str">
        <f t="shared" si="7"/>
        <v/>
      </c>
    </row>
    <row r="152" spans="2:3" ht="15.75" customHeight="1" x14ac:dyDescent="0.25">
      <c r="B152" s="67" t="str">
        <f t="shared" si="6"/>
        <v/>
      </c>
      <c r="C152" s="76" t="str">
        <f t="shared" si="7"/>
        <v/>
      </c>
    </row>
    <row r="153" spans="2:3" ht="15.75" customHeight="1" x14ac:dyDescent="0.25">
      <c r="B153" s="67" t="str">
        <f t="shared" si="6"/>
        <v/>
      </c>
      <c r="C153" s="76" t="str">
        <f t="shared" si="7"/>
        <v/>
      </c>
    </row>
    <row r="154" spans="2:3" ht="15.75" customHeight="1" x14ac:dyDescent="0.25">
      <c r="B154" s="67" t="str">
        <f t="shared" si="6"/>
        <v/>
      </c>
      <c r="C154" s="76" t="str">
        <f t="shared" si="7"/>
        <v/>
      </c>
    </row>
    <row r="155" spans="2:3" ht="15.75" customHeight="1" x14ac:dyDescent="0.25">
      <c r="B155" s="67" t="str">
        <f t="shared" si="6"/>
        <v/>
      </c>
      <c r="C155" s="76" t="str">
        <f t="shared" si="7"/>
        <v/>
      </c>
    </row>
    <row r="156" spans="2:3" ht="15.75" customHeight="1" x14ac:dyDescent="0.25">
      <c r="B156" s="67" t="str">
        <f t="shared" si="6"/>
        <v/>
      </c>
      <c r="C156" s="76" t="str">
        <f t="shared" si="7"/>
        <v/>
      </c>
    </row>
    <row r="157" spans="2:3" ht="15.75" customHeight="1" x14ac:dyDescent="0.25">
      <c r="B157" s="67" t="str">
        <f t="shared" si="6"/>
        <v/>
      </c>
      <c r="C157" s="76" t="str">
        <f t="shared" si="7"/>
        <v/>
      </c>
    </row>
    <row r="158" spans="2:3" ht="15.75" customHeight="1" x14ac:dyDescent="0.25">
      <c r="B158" s="67" t="str">
        <f t="shared" si="6"/>
        <v/>
      </c>
      <c r="C158" s="76" t="str">
        <f t="shared" si="7"/>
        <v/>
      </c>
    </row>
    <row r="159" spans="2:3" ht="15.75" customHeight="1" x14ac:dyDescent="0.25">
      <c r="B159" s="67" t="str">
        <f t="shared" si="6"/>
        <v/>
      </c>
      <c r="C159" s="76" t="str">
        <f t="shared" si="7"/>
        <v/>
      </c>
    </row>
    <row r="160" spans="2:3" ht="15.75" customHeight="1" x14ac:dyDescent="0.25">
      <c r="B160" s="67" t="str">
        <f t="shared" si="6"/>
        <v/>
      </c>
      <c r="C160" s="76" t="str">
        <f t="shared" si="7"/>
        <v/>
      </c>
    </row>
    <row r="161" spans="2:3" ht="15.75" customHeight="1" x14ac:dyDescent="0.25">
      <c r="B161" s="67" t="str">
        <f t="shared" si="6"/>
        <v/>
      </c>
      <c r="C161" s="76" t="str">
        <f t="shared" si="7"/>
        <v/>
      </c>
    </row>
    <row r="162" spans="2:3" ht="15.75" customHeight="1" x14ac:dyDescent="0.25">
      <c r="B162" s="67" t="str">
        <f t="shared" si="6"/>
        <v/>
      </c>
      <c r="C162" s="76" t="str">
        <f t="shared" si="7"/>
        <v/>
      </c>
    </row>
    <row r="163" spans="2:3" ht="15.75" customHeight="1" x14ac:dyDescent="0.25">
      <c r="B163" s="67" t="str">
        <f t="shared" si="6"/>
        <v/>
      </c>
      <c r="C163" s="76" t="str">
        <f t="shared" si="7"/>
        <v/>
      </c>
    </row>
    <row r="164" spans="2:3" ht="15.75" customHeight="1" x14ac:dyDescent="0.25">
      <c r="B164" s="67" t="str">
        <f t="shared" si="6"/>
        <v/>
      </c>
      <c r="C164" s="76" t="str">
        <f t="shared" si="7"/>
        <v/>
      </c>
    </row>
    <row r="165" spans="2:3" ht="15.75" customHeight="1" x14ac:dyDescent="0.25">
      <c r="B165" s="67" t="str">
        <f t="shared" si="6"/>
        <v/>
      </c>
      <c r="C165" s="76" t="str">
        <f t="shared" si="7"/>
        <v/>
      </c>
    </row>
    <row r="166" spans="2:3" ht="15.75" customHeight="1" x14ac:dyDescent="0.25">
      <c r="B166" s="67" t="str">
        <f t="shared" si="6"/>
        <v/>
      </c>
      <c r="C166" s="76" t="str">
        <f t="shared" si="7"/>
        <v/>
      </c>
    </row>
    <row r="167" spans="2:3" ht="15.75" customHeight="1" x14ac:dyDescent="0.25">
      <c r="B167" s="67" t="str">
        <f t="shared" si="6"/>
        <v/>
      </c>
      <c r="C167" s="76" t="str">
        <f t="shared" si="7"/>
        <v/>
      </c>
    </row>
    <row r="168" spans="2:3" ht="15.75" customHeight="1" x14ac:dyDescent="0.25">
      <c r="B168" s="67" t="str">
        <f t="shared" si="6"/>
        <v/>
      </c>
      <c r="C168" s="76" t="str">
        <f t="shared" si="7"/>
        <v/>
      </c>
    </row>
    <row r="169" spans="2:3" ht="15.75" customHeight="1" x14ac:dyDescent="0.25">
      <c r="B169" s="67" t="str">
        <f t="shared" si="6"/>
        <v/>
      </c>
      <c r="C169" s="76" t="str">
        <f t="shared" si="7"/>
        <v/>
      </c>
    </row>
    <row r="170" spans="2:3" ht="15.75" customHeight="1" x14ac:dyDescent="0.25">
      <c r="B170" s="67" t="str">
        <f t="shared" si="6"/>
        <v/>
      </c>
      <c r="C170" s="76" t="str">
        <f t="shared" si="7"/>
        <v/>
      </c>
    </row>
    <row r="171" spans="2:3" ht="15.75" customHeight="1" x14ac:dyDescent="0.25">
      <c r="B171" s="67" t="str">
        <f t="shared" si="6"/>
        <v/>
      </c>
      <c r="C171" s="76" t="str">
        <f t="shared" si="7"/>
        <v/>
      </c>
    </row>
    <row r="172" spans="2:3" ht="15.75" customHeight="1" x14ac:dyDescent="0.25">
      <c r="B172" s="67" t="str">
        <f t="shared" si="6"/>
        <v/>
      </c>
      <c r="C172" s="76" t="str">
        <f t="shared" si="7"/>
        <v/>
      </c>
    </row>
    <row r="173" spans="2:3" ht="15.75" customHeight="1" x14ac:dyDescent="0.25">
      <c r="B173" s="67" t="str">
        <f t="shared" si="6"/>
        <v/>
      </c>
      <c r="C173" s="76" t="str">
        <f t="shared" si="7"/>
        <v/>
      </c>
    </row>
    <row r="174" spans="2:3" ht="15.75" customHeight="1" x14ac:dyDescent="0.25">
      <c r="B174" s="67" t="str">
        <f t="shared" si="6"/>
        <v/>
      </c>
      <c r="C174" s="76" t="str">
        <f t="shared" si="7"/>
        <v/>
      </c>
    </row>
    <row r="175" spans="2:3" ht="15.75" customHeight="1" x14ac:dyDescent="0.25">
      <c r="B175" s="67" t="str">
        <f t="shared" ref="B175:B238" si="8">IF(B174="","",IF(B174+$C$9&lt;=$C$5,B174+$C$9,""))</f>
        <v/>
      </c>
      <c r="C175" s="76" t="str">
        <f t="shared" ref="C175:C238" si="9">IF(B175&lt;&gt;"",C174-$C$2/COUNT($B$17:$B$510),"")</f>
        <v/>
      </c>
    </row>
    <row r="176" spans="2:3" ht="15.75" customHeight="1" x14ac:dyDescent="0.25">
      <c r="B176" s="67" t="str">
        <f t="shared" si="8"/>
        <v/>
      </c>
      <c r="C176" s="76" t="str">
        <f t="shared" si="9"/>
        <v/>
      </c>
    </row>
    <row r="177" spans="2:3" ht="15.75" customHeight="1" x14ac:dyDescent="0.25">
      <c r="B177" s="67" t="str">
        <f t="shared" si="8"/>
        <v/>
      </c>
      <c r="C177" s="76" t="str">
        <f t="shared" si="9"/>
        <v/>
      </c>
    </row>
    <row r="178" spans="2:3" ht="15.75" customHeight="1" x14ac:dyDescent="0.25">
      <c r="B178" s="67" t="str">
        <f t="shared" si="8"/>
        <v/>
      </c>
      <c r="C178" s="76" t="str">
        <f t="shared" si="9"/>
        <v/>
      </c>
    </row>
    <row r="179" spans="2:3" ht="15.75" customHeight="1" x14ac:dyDescent="0.25">
      <c r="B179" s="67" t="str">
        <f t="shared" si="8"/>
        <v/>
      </c>
      <c r="C179" s="76" t="str">
        <f t="shared" si="9"/>
        <v/>
      </c>
    </row>
    <row r="180" spans="2:3" ht="15.75" customHeight="1" x14ac:dyDescent="0.25">
      <c r="B180" s="67" t="str">
        <f t="shared" si="8"/>
        <v/>
      </c>
      <c r="C180" s="76" t="str">
        <f t="shared" si="9"/>
        <v/>
      </c>
    </row>
    <row r="181" spans="2:3" ht="15.75" customHeight="1" x14ac:dyDescent="0.25">
      <c r="B181" s="67" t="str">
        <f t="shared" si="8"/>
        <v/>
      </c>
      <c r="C181" s="76" t="str">
        <f t="shared" si="9"/>
        <v/>
      </c>
    </row>
    <row r="182" spans="2:3" ht="15.75" customHeight="1" x14ac:dyDescent="0.25">
      <c r="B182" s="67" t="str">
        <f t="shared" si="8"/>
        <v/>
      </c>
      <c r="C182" s="76" t="str">
        <f t="shared" si="9"/>
        <v/>
      </c>
    </row>
    <row r="183" spans="2:3" ht="15.75" customHeight="1" x14ac:dyDescent="0.25">
      <c r="B183" s="67" t="str">
        <f t="shared" si="8"/>
        <v/>
      </c>
      <c r="C183" s="76" t="str">
        <f t="shared" si="9"/>
        <v/>
      </c>
    </row>
    <row r="184" spans="2:3" ht="15.75" customHeight="1" x14ac:dyDescent="0.25">
      <c r="B184" s="67" t="str">
        <f t="shared" si="8"/>
        <v/>
      </c>
      <c r="C184" s="76" t="str">
        <f t="shared" si="9"/>
        <v/>
      </c>
    </row>
    <row r="185" spans="2:3" ht="15.75" customHeight="1" x14ac:dyDescent="0.25">
      <c r="B185" s="67" t="str">
        <f t="shared" si="8"/>
        <v/>
      </c>
      <c r="C185" s="76" t="str">
        <f t="shared" si="9"/>
        <v/>
      </c>
    </row>
    <row r="186" spans="2:3" ht="15.75" customHeight="1" x14ac:dyDescent="0.25">
      <c r="B186" s="67" t="str">
        <f t="shared" si="8"/>
        <v/>
      </c>
      <c r="C186" s="76" t="str">
        <f t="shared" si="9"/>
        <v/>
      </c>
    </row>
    <row r="187" spans="2:3" ht="15.75" customHeight="1" x14ac:dyDescent="0.25">
      <c r="B187" s="67" t="str">
        <f t="shared" si="8"/>
        <v/>
      </c>
      <c r="C187" s="76" t="str">
        <f t="shared" si="9"/>
        <v/>
      </c>
    </row>
    <row r="188" spans="2:3" ht="15.75" customHeight="1" x14ac:dyDescent="0.25">
      <c r="B188" s="67" t="str">
        <f t="shared" si="8"/>
        <v/>
      </c>
      <c r="C188" s="76" t="str">
        <f t="shared" si="9"/>
        <v/>
      </c>
    </row>
    <row r="189" spans="2:3" ht="15.75" customHeight="1" x14ac:dyDescent="0.25">
      <c r="B189" s="67" t="str">
        <f t="shared" si="8"/>
        <v/>
      </c>
      <c r="C189" s="76" t="str">
        <f t="shared" si="9"/>
        <v/>
      </c>
    </row>
    <row r="190" spans="2:3" ht="15.75" customHeight="1" x14ac:dyDescent="0.25">
      <c r="B190" s="67" t="str">
        <f t="shared" si="8"/>
        <v/>
      </c>
      <c r="C190" s="76" t="str">
        <f t="shared" si="9"/>
        <v/>
      </c>
    </row>
    <row r="191" spans="2:3" ht="15.75" customHeight="1" x14ac:dyDescent="0.25">
      <c r="B191" s="67" t="str">
        <f t="shared" si="8"/>
        <v/>
      </c>
      <c r="C191" s="76" t="str">
        <f t="shared" si="9"/>
        <v/>
      </c>
    </row>
    <row r="192" spans="2:3" ht="15.75" customHeight="1" x14ac:dyDescent="0.25">
      <c r="B192" s="67" t="str">
        <f t="shared" si="8"/>
        <v/>
      </c>
      <c r="C192" s="76" t="str">
        <f t="shared" si="9"/>
        <v/>
      </c>
    </row>
    <row r="193" spans="2:3" ht="15.75" customHeight="1" x14ac:dyDescent="0.25">
      <c r="B193" s="67" t="str">
        <f t="shared" si="8"/>
        <v/>
      </c>
      <c r="C193" s="76" t="str">
        <f t="shared" si="9"/>
        <v/>
      </c>
    </row>
    <row r="194" spans="2:3" ht="15.75" customHeight="1" x14ac:dyDescent="0.25">
      <c r="B194" s="67" t="str">
        <f t="shared" si="8"/>
        <v/>
      </c>
      <c r="C194" s="76" t="str">
        <f t="shared" si="9"/>
        <v/>
      </c>
    </row>
    <row r="195" spans="2:3" ht="15.75" customHeight="1" x14ac:dyDescent="0.25">
      <c r="B195" s="67" t="str">
        <f t="shared" si="8"/>
        <v/>
      </c>
      <c r="C195" s="76" t="str">
        <f t="shared" si="9"/>
        <v/>
      </c>
    </row>
    <row r="196" spans="2:3" ht="15.75" customHeight="1" x14ac:dyDescent="0.25">
      <c r="B196" s="67" t="str">
        <f t="shared" si="8"/>
        <v/>
      </c>
      <c r="C196" s="76" t="str">
        <f t="shared" si="9"/>
        <v/>
      </c>
    </row>
    <row r="197" spans="2:3" ht="15.75" customHeight="1" x14ac:dyDescent="0.25">
      <c r="B197" s="67" t="str">
        <f t="shared" si="8"/>
        <v/>
      </c>
      <c r="C197" s="76" t="str">
        <f t="shared" si="9"/>
        <v/>
      </c>
    </row>
    <row r="198" spans="2:3" ht="15.75" customHeight="1" x14ac:dyDescent="0.25">
      <c r="B198" s="67" t="str">
        <f t="shared" si="8"/>
        <v/>
      </c>
      <c r="C198" s="76" t="str">
        <f t="shared" si="9"/>
        <v/>
      </c>
    </row>
    <row r="199" spans="2:3" ht="15.75" customHeight="1" x14ac:dyDescent="0.25">
      <c r="B199" s="67" t="str">
        <f t="shared" si="8"/>
        <v/>
      </c>
      <c r="C199" s="76" t="str">
        <f t="shared" si="9"/>
        <v/>
      </c>
    </row>
    <row r="200" spans="2:3" ht="15.75" customHeight="1" x14ac:dyDescent="0.25">
      <c r="B200" s="67" t="str">
        <f t="shared" si="8"/>
        <v/>
      </c>
      <c r="C200" s="76" t="str">
        <f t="shared" si="9"/>
        <v/>
      </c>
    </row>
    <row r="201" spans="2:3" ht="15.75" customHeight="1" x14ac:dyDescent="0.25">
      <c r="B201" s="67" t="str">
        <f t="shared" si="8"/>
        <v/>
      </c>
      <c r="C201" s="76" t="str">
        <f t="shared" si="9"/>
        <v/>
      </c>
    </row>
    <row r="202" spans="2:3" ht="15.75" customHeight="1" x14ac:dyDescent="0.25">
      <c r="B202" s="67" t="str">
        <f t="shared" si="8"/>
        <v/>
      </c>
      <c r="C202" s="76" t="str">
        <f t="shared" si="9"/>
        <v/>
      </c>
    </row>
    <row r="203" spans="2:3" ht="15.75" customHeight="1" x14ac:dyDescent="0.25">
      <c r="B203" s="67" t="str">
        <f t="shared" si="8"/>
        <v/>
      </c>
      <c r="C203" s="76" t="str">
        <f t="shared" si="9"/>
        <v/>
      </c>
    </row>
    <row r="204" spans="2:3" ht="15.75" customHeight="1" x14ac:dyDescent="0.25">
      <c r="B204" s="67" t="str">
        <f t="shared" si="8"/>
        <v/>
      </c>
      <c r="C204" s="76" t="str">
        <f t="shared" si="9"/>
        <v/>
      </c>
    </row>
    <row r="205" spans="2:3" ht="15.75" customHeight="1" x14ac:dyDescent="0.25">
      <c r="B205" s="67" t="str">
        <f t="shared" si="8"/>
        <v/>
      </c>
      <c r="C205" s="76" t="str">
        <f t="shared" si="9"/>
        <v/>
      </c>
    </row>
    <row r="206" spans="2:3" ht="15.75" customHeight="1" x14ac:dyDescent="0.25">
      <c r="B206" s="67" t="str">
        <f t="shared" si="8"/>
        <v/>
      </c>
      <c r="C206" s="76" t="str">
        <f t="shared" si="9"/>
        <v/>
      </c>
    </row>
    <row r="207" spans="2:3" ht="15.75" customHeight="1" x14ac:dyDescent="0.25">
      <c r="B207" s="67" t="str">
        <f t="shared" si="8"/>
        <v/>
      </c>
      <c r="C207" s="76" t="str">
        <f t="shared" si="9"/>
        <v/>
      </c>
    </row>
    <row r="208" spans="2:3" ht="15.75" customHeight="1" x14ac:dyDescent="0.25">
      <c r="B208" s="67" t="str">
        <f t="shared" si="8"/>
        <v/>
      </c>
      <c r="C208" s="76" t="str">
        <f t="shared" si="9"/>
        <v/>
      </c>
    </row>
    <row r="209" spans="2:3" ht="15.75" customHeight="1" x14ac:dyDescent="0.25">
      <c r="B209" s="67" t="str">
        <f t="shared" si="8"/>
        <v/>
      </c>
      <c r="C209" s="76" t="str">
        <f t="shared" si="9"/>
        <v/>
      </c>
    </row>
    <row r="210" spans="2:3" ht="15.75" customHeight="1" x14ac:dyDescent="0.25">
      <c r="B210" s="67" t="str">
        <f t="shared" si="8"/>
        <v/>
      </c>
      <c r="C210" s="76" t="str">
        <f t="shared" si="9"/>
        <v/>
      </c>
    </row>
    <row r="211" spans="2:3" ht="15.75" customHeight="1" x14ac:dyDescent="0.25">
      <c r="B211" s="67" t="str">
        <f t="shared" si="8"/>
        <v/>
      </c>
      <c r="C211" s="76" t="str">
        <f t="shared" si="9"/>
        <v/>
      </c>
    </row>
    <row r="212" spans="2:3" ht="15.75" customHeight="1" x14ac:dyDescent="0.25">
      <c r="B212" s="67" t="str">
        <f t="shared" si="8"/>
        <v/>
      </c>
      <c r="C212" s="76" t="str">
        <f t="shared" si="9"/>
        <v/>
      </c>
    </row>
    <row r="213" spans="2:3" ht="15.75" customHeight="1" x14ac:dyDescent="0.25">
      <c r="B213" s="67" t="str">
        <f t="shared" si="8"/>
        <v/>
      </c>
      <c r="C213" s="76" t="str">
        <f t="shared" si="9"/>
        <v/>
      </c>
    </row>
    <row r="214" spans="2:3" ht="15.75" customHeight="1" x14ac:dyDescent="0.25">
      <c r="B214" s="67" t="str">
        <f t="shared" si="8"/>
        <v/>
      </c>
      <c r="C214" s="76" t="str">
        <f t="shared" si="9"/>
        <v/>
      </c>
    </row>
    <row r="215" spans="2:3" ht="15.75" customHeight="1" x14ac:dyDescent="0.25">
      <c r="B215" s="67" t="str">
        <f t="shared" si="8"/>
        <v/>
      </c>
      <c r="C215" s="76" t="str">
        <f t="shared" si="9"/>
        <v/>
      </c>
    </row>
    <row r="216" spans="2:3" ht="15.75" customHeight="1" x14ac:dyDescent="0.25">
      <c r="B216" s="67" t="str">
        <f t="shared" si="8"/>
        <v/>
      </c>
      <c r="C216" s="76" t="str">
        <f t="shared" si="9"/>
        <v/>
      </c>
    </row>
    <row r="217" spans="2:3" ht="15.75" customHeight="1" x14ac:dyDescent="0.25">
      <c r="B217" s="67" t="str">
        <f t="shared" si="8"/>
        <v/>
      </c>
      <c r="C217" s="76" t="str">
        <f t="shared" si="9"/>
        <v/>
      </c>
    </row>
    <row r="218" spans="2:3" ht="15.75" customHeight="1" x14ac:dyDescent="0.25">
      <c r="B218" s="67" t="str">
        <f t="shared" si="8"/>
        <v/>
      </c>
      <c r="C218" s="76" t="str">
        <f t="shared" si="9"/>
        <v/>
      </c>
    </row>
    <row r="219" spans="2:3" ht="15.75" customHeight="1" x14ac:dyDescent="0.25">
      <c r="B219" s="67" t="str">
        <f t="shared" si="8"/>
        <v/>
      </c>
      <c r="C219" s="76" t="str">
        <f t="shared" si="9"/>
        <v/>
      </c>
    </row>
    <row r="220" spans="2:3" ht="15.75" customHeight="1" x14ac:dyDescent="0.25">
      <c r="B220" s="67" t="str">
        <f t="shared" si="8"/>
        <v/>
      </c>
      <c r="C220" s="76" t="str">
        <f t="shared" si="9"/>
        <v/>
      </c>
    </row>
    <row r="221" spans="2:3" ht="15.75" customHeight="1" x14ac:dyDescent="0.25">
      <c r="B221" s="67" t="str">
        <f t="shared" si="8"/>
        <v/>
      </c>
      <c r="C221" s="76" t="str">
        <f t="shared" si="9"/>
        <v/>
      </c>
    </row>
    <row r="222" spans="2:3" ht="15.75" customHeight="1" x14ac:dyDescent="0.25">
      <c r="B222" s="67" t="str">
        <f t="shared" si="8"/>
        <v/>
      </c>
      <c r="C222" s="76" t="str">
        <f t="shared" si="9"/>
        <v/>
      </c>
    </row>
    <row r="223" spans="2:3" ht="15.75" customHeight="1" x14ac:dyDescent="0.25">
      <c r="B223" s="67" t="str">
        <f t="shared" si="8"/>
        <v/>
      </c>
      <c r="C223" s="76" t="str">
        <f t="shared" si="9"/>
        <v/>
      </c>
    </row>
    <row r="224" spans="2:3" ht="15.75" customHeight="1" x14ac:dyDescent="0.25">
      <c r="B224" s="67" t="str">
        <f t="shared" si="8"/>
        <v/>
      </c>
      <c r="C224" s="76" t="str">
        <f t="shared" si="9"/>
        <v/>
      </c>
    </row>
    <row r="225" spans="2:3" ht="15.75" customHeight="1" x14ac:dyDescent="0.25">
      <c r="B225" s="67" t="str">
        <f t="shared" si="8"/>
        <v/>
      </c>
      <c r="C225" s="76" t="str">
        <f t="shared" si="9"/>
        <v/>
      </c>
    </row>
    <row r="226" spans="2:3" ht="15.75" customHeight="1" x14ac:dyDescent="0.25">
      <c r="B226" s="67" t="str">
        <f t="shared" si="8"/>
        <v/>
      </c>
      <c r="C226" s="76" t="str">
        <f t="shared" si="9"/>
        <v/>
      </c>
    </row>
    <row r="227" spans="2:3" ht="15.75" customHeight="1" x14ac:dyDescent="0.25">
      <c r="B227" s="67" t="str">
        <f t="shared" si="8"/>
        <v/>
      </c>
      <c r="C227" s="76" t="str">
        <f t="shared" si="9"/>
        <v/>
      </c>
    </row>
    <row r="228" spans="2:3" ht="15.75" customHeight="1" x14ac:dyDescent="0.25">
      <c r="B228" s="67" t="str">
        <f t="shared" si="8"/>
        <v/>
      </c>
      <c r="C228" s="76" t="str">
        <f t="shared" si="9"/>
        <v/>
      </c>
    </row>
    <row r="229" spans="2:3" ht="15.75" customHeight="1" x14ac:dyDescent="0.25">
      <c r="B229" s="67" t="str">
        <f t="shared" si="8"/>
        <v/>
      </c>
      <c r="C229" s="76" t="str">
        <f t="shared" si="9"/>
        <v/>
      </c>
    </row>
    <row r="230" spans="2:3" ht="15.75" customHeight="1" x14ac:dyDescent="0.25">
      <c r="B230" s="67" t="str">
        <f t="shared" si="8"/>
        <v/>
      </c>
      <c r="C230" s="76" t="str">
        <f t="shared" si="9"/>
        <v/>
      </c>
    </row>
    <row r="231" spans="2:3" ht="15.75" customHeight="1" x14ac:dyDescent="0.25">
      <c r="B231" s="67" t="str">
        <f t="shared" si="8"/>
        <v/>
      </c>
      <c r="C231" s="76" t="str">
        <f t="shared" si="9"/>
        <v/>
      </c>
    </row>
    <row r="232" spans="2:3" ht="15.75" customHeight="1" x14ac:dyDescent="0.25">
      <c r="B232" s="67" t="str">
        <f t="shared" si="8"/>
        <v/>
      </c>
      <c r="C232" s="76" t="str">
        <f t="shared" si="9"/>
        <v/>
      </c>
    </row>
    <row r="233" spans="2:3" ht="15.75" customHeight="1" x14ac:dyDescent="0.25">
      <c r="B233" s="67" t="str">
        <f t="shared" si="8"/>
        <v/>
      </c>
      <c r="C233" s="76" t="str">
        <f t="shared" si="9"/>
        <v/>
      </c>
    </row>
    <row r="234" spans="2:3" ht="15.75" customHeight="1" x14ac:dyDescent="0.25">
      <c r="B234" s="67" t="str">
        <f t="shared" si="8"/>
        <v/>
      </c>
      <c r="C234" s="76" t="str">
        <f t="shared" si="9"/>
        <v/>
      </c>
    </row>
    <row r="235" spans="2:3" ht="15.75" customHeight="1" x14ac:dyDescent="0.25">
      <c r="B235" s="67" t="str">
        <f t="shared" si="8"/>
        <v/>
      </c>
      <c r="C235" s="76" t="str">
        <f t="shared" si="9"/>
        <v/>
      </c>
    </row>
    <row r="236" spans="2:3" ht="15.75" customHeight="1" x14ac:dyDescent="0.25">
      <c r="B236" s="67" t="str">
        <f t="shared" si="8"/>
        <v/>
      </c>
      <c r="C236" s="76" t="str">
        <f t="shared" si="9"/>
        <v/>
      </c>
    </row>
    <row r="237" spans="2:3" ht="15.75" customHeight="1" x14ac:dyDescent="0.25">
      <c r="B237" s="67" t="str">
        <f t="shared" si="8"/>
        <v/>
      </c>
      <c r="C237" s="76" t="str">
        <f t="shared" si="9"/>
        <v/>
      </c>
    </row>
    <row r="238" spans="2:3" ht="15.75" customHeight="1" x14ac:dyDescent="0.25">
      <c r="B238" s="67" t="str">
        <f t="shared" si="8"/>
        <v/>
      </c>
      <c r="C238" s="76" t="str">
        <f t="shared" si="9"/>
        <v/>
      </c>
    </row>
    <row r="239" spans="2:3" ht="15.75" customHeight="1" x14ac:dyDescent="0.25">
      <c r="B239" s="67" t="str">
        <f t="shared" ref="B239:B302" si="10">IF(B238="","",IF(B238+$C$9&lt;=$C$5,B238+$C$9,""))</f>
        <v/>
      </c>
      <c r="C239" s="76" t="str">
        <f t="shared" ref="C239:C302" si="11">IF(B239&lt;&gt;"",C238-$C$2/COUNT($B$17:$B$510),"")</f>
        <v/>
      </c>
    </row>
    <row r="240" spans="2:3" ht="15.75" customHeight="1" x14ac:dyDescent="0.25">
      <c r="B240" s="67" t="str">
        <f t="shared" si="10"/>
        <v/>
      </c>
      <c r="C240" s="76" t="str">
        <f t="shared" si="11"/>
        <v/>
      </c>
    </row>
    <row r="241" spans="2:3" ht="15.75" customHeight="1" x14ac:dyDescent="0.25">
      <c r="B241" s="67" t="str">
        <f t="shared" si="10"/>
        <v/>
      </c>
      <c r="C241" s="76" t="str">
        <f t="shared" si="11"/>
        <v/>
      </c>
    </row>
    <row r="242" spans="2:3" ht="15.75" customHeight="1" x14ac:dyDescent="0.25">
      <c r="B242" s="67" t="str">
        <f t="shared" si="10"/>
        <v/>
      </c>
      <c r="C242" s="76" t="str">
        <f t="shared" si="11"/>
        <v/>
      </c>
    </row>
    <row r="243" spans="2:3" ht="15.75" customHeight="1" x14ac:dyDescent="0.25">
      <c r="B243" s="67" t="str">
        <f t="shared" si="10"/>
        <v/>
      </c>
      <c r="C243" s="76" t="str">
        <f t="shared" si="11"/>
        <v/>
      </c>
    </row>
    <row r="244" spans="2:3" ht="15.75" customHeight="1" x14ac:dyDescent="0.25">
      <c r="B244" s="67" t="str">
        <f t="shared" si="10"/>
        <v/>
      </c>
      <c r="C244" s="76" t="str">
        <f t="shared" si="11"/>
        <v/>
      </c>
    </row>
    <row r="245" spans="2:3" ht="15.75" customHeight="1" x14ac:dyDescent="0.25">
      <c r="B245" s="67" t="str">
        <f t="shared" si="10"/>
        <v/>
      </c>
      <c r="C245" s="76" t="str">
        <f t="shared" si="11"/>
        <v/>
      </c>
    </row>
    <row r="246" spans="2:3" ht="15.75" customHeight="1" x14ac:dyDescent="0.25">
      <c r="B246" s="67" t="str">
        <f t="shared" si="10"/>
        <v/>
      </c>
      <c r="C246" s="76" t="str">
        <f t="shared" si="11"/>
        <v/>
      </c>
    </row>
    <row r="247" spans="2:3" ht="15.75" customHeight="1" x14ac:dyDescent="0.25">
      <c r="B247" s="67" t="str">
        <f t="shared" si="10"/>
        <v/>
      </c>
      <c r="C247" s="76" t="str">
        <f t="shared" si="11"/>
        <v/>
      </c>
    </row>
    <row r="248" spans="2:3" ht="15.75" customHeight="1" x14ac:dyDescent="0.25">
      <c r="B248" s="67" t="str">
        <f t="shared" si="10"/>
        <v/>
      </c>
      <c r="C248" s="76" t="str">
        <f t="shared" si="11"/>
        <v/>
      </c>
    </row>
    <row r="249" spans="2:3" ht="15.75" customHeight="1" x14ac:dyDescent="0.25">
      <c r="B249" s="67" t="str">
        <f t="shared" si="10"/>
        <v/>
      </c>
      <c r="C249" s="76" t="str">
        <f t="shared" si="11"/>
        <v/>
      </c>
    </row>
    <row r="250" spans="2:3" ht="15.75" customHeight="1" x14ac:dyDescent="0.25">
      <c r="B250" s="67" t="str">
        <f t="shared" si="10"/>
        <v/>
      </c>
      <c r="C250" s="76" t="str">
        <f t="shared" si="11"/>
        <v/>
      </c>
    </row>
    <row r="251" spans="2:3" ht="15.75" customHeight="1" x14ac:dyDescent="0.25">
      <c r="B251" s="67" t="str">
        <f t="shared" si="10"/>
        <v/>
      </c>
      <c r="C251" s="76" t="str">
        <f t="shared" si="11"/>
        <v/>
      </c>
    </row>
    <row r="252" spans="2:3" ht="15.75" customHeight="1" x14ac:dyDescent="0.25">
      <c r="B252" s="67" t="str">
        <f t="shared" si="10"/>
        <v/>
      </c>
      <c r="C252" s="76" t="str">
        <f t="shared" si="11"/>
        <v/>
      </c>
    </row>
    <row r="253" spans="2:3" ht="15.75" customHeight="1" x14ac:dyDescent="0.25">
      <c r="B253" s="67" t="str">
        <f t="shared" si="10"/>
        <v/>
      </c>
      <c r="C253" s="76" t="str">
        <f t="shared" si="11"/>
        <v/>
      </c>
    </row>
    <row r="254" spans="2:3" ht="15.75" customHeight="1" x14ac:dyDescent="0.25">
      <c r="B254" s="67" t="str">
        <f t="shared" si="10"/>
        <v/>
      </c>
      <c r="C254" s="76" t="str">
        <f t="shared" si="11"/>
        <v/>
      </c>
    </row>
    <row r="255" spans="2:3" ht="15.75" customHeight="1" x14ac:dyDescent="0.25">
      <c r="B255" s="67" t="str">
        <f t="shared" si="10"/>
        <v/>
      </c>
      <c r="C255" s="76" t="str">
        <f t="shared" si="11"/>
        <v/>
      </c>
    </row>
    <row r="256" spans="2:3" ht="15.75" customHeight="1" x14ac:dyDescent="0.25">
      <c r="B256" s="67" t="str">
        <f t="shared" si="10"/>
        <v/>
      </c>
      <c r="C256" s="76" t="str">
        <f t="shared" si="11"/>
        <v/>
      </c>
    </row>
    <row r="257" spans="2:3" ht="15.75" customHeight="1" x14ac:dyDescent="0.25">
      <c r="B257" s="67" t="str">
        <f t="shared" si="10"/>
        <v/>
      </c>
      <c r="C257" s="76" t="str">
        <f t="shared" si="11"/>
        <v/>
      </c>
    </row>
    <row r="258" spans="2:3" ht="15.75" customHeight="1" x14ac:dyDescent="0.25">
      <c r="B258" s="67" t="str">
        <f t="shared" si="10"/>
        <v/>
      </c>
      <c r="C258" s="76" t="str">
        <f t="shared" si="11"/>
        <v/>
      </c>
    </row>
    <row r="259" spans="2:3" ht="15.75" customHeight="1" x14ac:dyDescent="0.25">
      <c r="B259" s="67" t="str">
        <f t="shared" si="10"/>
        <v/>
      </c>
      <c r="C259" s="76" t="str">
        <f t="shared" si="11"/>
        <v/>
      </c>
    </row>
    <row r="260" spans="2:3" ht="15.75" customHeight="1" x14ac:dyDescent="0.25">
      <c r="B260" s="67" t="str">
        <f t="shared" si="10"/>
        <v/>
      </c>
      <c r="C260" s="76" t="str">
        <f t="shared" si="11"/>
        <v/>
      </c>
    </row>
    <row r="261" spans="2:3" ht="15.75" customHeight="1" x14ac:dyDescent="0.25">
      <c r="B261" s="67" t="str">
        <f t="shared" si="10"/>
        <v/>
      </c>
      <c r="C261" s="76" t="str">
        <f t="shared" si="11"/>
        <v/>
      </c>
    </row>
    <row r="262" spans="2:3" ht="15.75" customHeight="1" x14ac:dyDescent="0.25">
      <c r="B262" s="67" t="str">
        <f t="shared" si="10"/>
        <v/>
      </c>
      <c r="C262" s="76" t="str">
        <f t="shared" si="11"/>
        <v/>
      </c>
    </row>
    <row r="263" spans="2:3" ht="15.75" customHeight="1" x14ac:dyDescent="0.25">
      <c r="B263" s="67" t="str">
        <f t="shared" si="10"/>
        <v/>
      </c>
      <c r="C263" s="76" t="str">
        <f t="shared" si="11"/>
        <v/>
      </c>
    </row>
    <row r="264" spans="2:3" ht="15.75" customHeight="1" x14ac:dyDescent="0.25">
      <c r="B264" s="67" t="str">
        <f t="shared" si="10"/>
        <v/>
      </c>
      <c r="C264" s="76" t="str">
        <f t="shared" si="11"/>
        <v/>
      </c>
    </row>
    <row r="265" spans="2:3" ht="15.75" customHeight="1" x14ac:dyDescent="0.25">
      <c r="B265" s="67" t="str">
        <f t="shared" si="10"/>
        <v/>
      </c>
      <c r="C265" s="76" t="str">
        <f t="shared" si="11"/>
        <v/>
      </c>
    </row>
    <row r="266" spans="2:3" ht="15.75" customHeight="1" x14ac:dyDescent="0.25">
      <c r="B266" s="67" t="str">
        <f t="shared" si="10"/>
        <v/>
      </c>
      <c r="C266" s="76" t="str">
        <f t="shared" si="11"/>
        <v/>
      </c>
    </row>
    <row r="267" spans="2:3" ht="15.75" customHeight="1" x14ac:dyDescent="0.25">
      <c r="B267" s="67" t="str">
        <f t="shared" si="10"/>
        <v/>
      </c>
      <c r="C267" s="76" t="str">
        <f t="shared" si="11"/>
        <v/>
      </c>
    </row>
    <row r="268" spans="2:3" ht="15.75" customHeight="1" x14ac:dyDescent="0.25">
      <c r="B268" s="67" t="str">
        <f t="shared" si="10"/>
        <v/>
      </c>
      <c r="C268" s="76" t="str">
        <f t="shared" si="11"/>
        <v/>
      </c>
    </row>
    <row r="269" spans="2:3" ht="15.75" customHeight="1" x14ac:dyDescent="0.25">
      <c r="B269" s="67" t="str">
        <f t="shared" si="10"/>
        <v/>
      </c>
      <c r="C269" s="76" t="str">
        <f t="shared" si="11"/>
        <v/>
      </c>
    </row>
    <row r="270" spans="2:3" ht="15.75" customHeight="1" x14ac:dyDescent="0.25">
      <c r="B270" s="67" t="str">
        <f t="shared" si="10"/>
        <v/>
      </c>
      <c r="C270" s="76" t="str">
        <f t="shared" si="11"/>
        <v/>
      </c>
    </row>
    <row r="271" spans="2:3" ht="15.75" customHeight="1" x14ac:dyDescent="0.25">
      <c r="B271" s="67" t="str">
        <f t="shared" si="10"/>
        <v/>
      </c>
      <c r="C271" s="76" t="str">
        <f t="shared" si="11"/>
        <v/>
      </c>
    </row>
    <row r="272" spans="2:3" ht="15.75" customHeight="1" x14ac:dyDescent="0.25">
      <c r="B272" s="67" t="str">
        <f t="shared" si="10"/>
        <v/>
      </c>
      <c r="C272" s="76" t="str">
        <f t="shared" si="11"/>
        <v/>
      </c>
    </row>
    <row r="273" spans="2:3" ht="15.75" customHeight="1" x14ac:dyDescent="0.25">
      <c r="B273" s="67" t="str">
        <f t="shared" si="10"/>
        <v/>
      </c>
      <c r="C273" s="76" t="str">
        <f t="shared" si="11"/>
        <v/>
      </c>
    </row>
    <row r="274" spans="2:3" ht="15.75" customHeight="1" x14ac:dyDescent="0.25">
      <c r="B274" s="67" t="str">
        <f t="shared" si="10"/>
        <v/>
      </c>
      <c r="C274" s="76" t="str">
        <f t="shared" si="11"/>
        <v/>
      </c>
    </row>
    <row r="275" spans="2:3" ht="15.75" customHeight="1" x14ac:dyDescent="0.25">
      <c r="B275" s="67" t="str">
        <f t="shared" si="10"/>
        <v/>
      </c>
      <c r="C275" s="76" t="str">
        <f t="shared" si="11"/>
        <v/>
      </c>
    </row>
    <row r="276" spans="2:3" ht="15.75" customHeight="1" x14ac:dyDescent="0.25">
      <c r="B276" s="67" t="str">
        <f t="shared" si="10"/>
        <v/>
      </c>
      <c r="C276" s="76" t="str">
        <f t="shared" si="11"/>
        <v/>
      </c>
    </row>
    <row r="277" spans="2:3" ht="15.75" customHeight="1" x14ac:dyDescent="0.25">
      <c r="B277" s="67" t="str">
        <f t="shared" si="10"/>
        <v/>
      </c>
      <c r="C277" s="76" t="str">
        <f t="shared" si="11"/>
        <v/>
      </c>
    </row>
    <row r="278" spans="2:3" ht="15.75" customHeight="1" x14ac:dyDescent="0.25">
      <c r="B278" s="67" t="str">
        <f t="shared" si="10"/>
        <v/>
      </c>
      <c r="C278" s="76" t="str">
        <f t="shared" si="11"/>
        <v/>
      </c>
    </row>
    <row r="279" spans="2:3" ht="15.75" customHeight="1" x14ac:dyDescent="0.25">
      <c r="B279" s="67" t="str">
        <f t="shared" si="10"/>
        <v/>
      </c>
      <c r="C279" s="76" t="str">
        <f t="shared" si="11"/>
        <v/>
      </c>
    </row>
    <row r="280" spans="2:3" ht="15.75" customHeight="1" x14ac:dyDescent="0.25">
      <c r="B280" s="67" t="str">
        <f t="shared" si="10"/>
        <v/>
      </c>
      <c r="C280" s="76" t="str">
        <f t="shared" si="11"/>
        <v/>
      </c>
    </row>
    <row r="281" spans="2:3" ht="15.75" customHeight="1" x14ac:dyDescent="0.25">
      <c r="B281" s="67" t="str">
        <f t="shared" si="10"/>
        <v/>
      </c>
      <c r="C281" s="76" t="str">
        <f t="shared" si="11"/>
        <v/>
      </c>
    </row>
    <row r="282" spans="2:3" ht="15.75" customHeight="1" x14ac:dyDescent="0.25">
      <c r="B282" s="67" t="str">
        <f t="shared" si="10"/>
        <v/>
      </c>
      <c r="C282" s="76" t="str">
        <f t="shared" si="11"/>
        <v/>
      </c>
    </row>
    <row r="283" spans="2:3" ht="15.75" customHeight="1" x14ac:dyDescent="0.25">
      <c r="B283" s="67" t="str">
        <f t="shared" si="10"/>
        <v/>
      </c>
      <c r="C283" s="76" t="str">
        <f t="shared" si="11"/>
        <v/>
      </c>
    </row>
    <row r="284" spans="2:3" ht="15.75" customHeight="1" x14ac:dyDescent="0.25">
      <c r="B284" s="67" t="str">
        <f t="shared" si="10"/>
        <v/>
      </c>
      <c r="C284" s="76" t="str">
        <f t="shared" si="11"/>
        <v/>
      </c>
    </row>
    <row r="285" spans="2:3" ht="15.75" customHeight="1" x14ac:dyDescent="0.25">
      <c r="B285" s="67" t="str">
        <f t="shared" si="10"/>
        <v/>
      </c>
      <c r="C285" s="76" t="str">
        <f t="shared" si="11"/>
        <v/>
      </c>
    </row>
    <row r="286" spans="2:3" ht="15.75" customHeight="1" x14ac:dyDescent="0.25">
      <c r="B286" s="67" t="str">
        <f t="shared" si="10"/>
        <v/>
      </c>
      <c r="C286" s="76" t="str">
        <f t="shared" si="11"/>
        <v/>
      </c>
    </row>
    <row r="287" spans="2:3" ht="15.75" customHeight="1" x14ac:dyDescent="0.25">
      <c r="B287" s="67" t="str">
        <f t="shared" si="10"/>
        <v/>
      </c>
      <c r="C287" s="76" t="str">
        <f t="shared" si="11"/>
        <v/>
      </c>
    </row>
    <row r="288" spans="2:3" ht="15.75" customHeight="1" x14ac:dyDescent="0.25">
      <c r="B288" s="67" t="str">
        <f t="shared" si="10"/>
        <v/>
      </c>
      <c r="C288" s="76" t="str">
        <f t="shared" si="11"/>
        <v/>
      </c>
    </row>
    <row r="289" spans="2:3" ht="15.75" customHeight="1" x14ac:dyDescent="0.25">
      <c r="B289" s="67" t="str">
        <f t="shared" si="10"/>
        <v/>
      </c>
      <c r="C289" s="76" t="str">
        <f t="shared" si="11"/>
        <v/>
      </c>
    </row>
    <row r="290" spans="2:3" ht="15.75" customHeight="1" x14ac:dyDescent="0.25">
      <c r="B290" s="67" t="str">
        <f t="shared" si="10"/>
        <v/>
      </c>
      <c r="C290" s="76" t="str">
        <f t="shared" si="11"/>
        <v/>
      </c>
    </row>
    <row r="291" spans="2:3" ht="15.75" customHeight="1" x14ac:dyDescent="0.25">
      <c r="B291" s="67" t="str">
        <f t="shared" si="10"/>
        <v/>
      </c>
      <c r="C291" s="76" t="str">
        <f t="shared" si="11"/>
        <v/>
      </c>
    </row>
    <row r="292" spans="2:3" ht="15.75" customHeight="1" x14ac:dyDescent="0.25">
      <c r="B292" s="67" t="str">
        <f t="shared" si="10"/>
        <v/>
      </c>
      <c r="C292" s="76" t="str">
        <f t="shared" si="11"/>
        <v/>
      </c>
    </row>
    <row r="293" spans="2:3" ht="15.75" customHeight="1" x14ac:dyDescent="0.25">
      <c r="B293" s="67" t="str">
        <f t="shared" si="10"/>
        <v/>
      </c>
      <c r="C293" s="76" t="str">
        <f t="shared" si="11"/>
        <v/>
      </c>
    </row>
    <row r="294" spans="2:3" ht="15.75" customHeight="1" x14ac:dyDescent="0.25">
      <c r="B294" s="67" t="str">
        <f t="shared" si="10"/>
        <v/>
      </c>
      <c r="C294" s="76" t="str">
        <f t="shared" si="11"/>
        <v/>
      </c>
    </row>
    <row r="295" spans="2:3" ht="15.75" customHeight="1" x14ac:dyDescent="0.25">
      <c r="B295" s="67" t="str">
        <f t="shared" si="10"/>
        <v/>
      </c>
      <c r="C295" s="76" t="str">
        <f t="shared" si="11"/>
        <v/>
      </c>
    </row>
    <row r="296" spans="2:3" ht="15.75" customHeight="1" x14ac:dyDescent="0.25">
      <c r="B296" s="67" t="str">
        <f t="shared" si="10"/>
        <v/>
      </c>
      <c r="C296" s="76" t="str">
        <f t="shared" si="11"/>
        <v/>
      </c>
    </row>
    <row r="297" spans="2:3" ht="15.75" customHeight="1" x14ac:dyDescent="0.25">
      <c r="B297" s="67" t="str">
        <f t="shared" si="10"/>
        <v/>
      </c>
      <c r="C297" s="76" t="str">
        <f t="shared" si="11"/>
        <v/>
      </c>
    </row>
    <row r="298" spans="2:3" ht="15.75" customHeight="1" x14ac:dyDescent="0.25">
      <c r="B298" s="67" t="str">
        <f t="shared" si="10"/>
        <v/>
      </c>
      <c r="C298" s="76" t="str">
        <f t="shared" si="11"/>
        <v/>
      </c>
    </row>
    <row r="299" spans="2:3" ht="15.75" customHeight="1" x14ac:dyDescent="0.25">
      <c r="B299" s="67" t="str">
        <f t="shared" si="10"/>
        <v/>
      </c>
      <c r="C299" s="76" t="str">
        <f t="shared" si="11"/>
        <v/>
      </c>
    </row>
    <row r="300" spans="2:3" ht="15.75" customHeight="1" x14ac:dyDescent="0.25">
      <c r="B300" s="67" t="str">
        <f t="shared" si="10"/>
        <v/>
      </c>
      <c r="C300" s="76" t="str">
        <f t="shared" si="11"/>
        <v/>
      </c>
    </row>
    <row r="301" spans="2:3" ht="15.75" customHeight="1" x14ac:dyDescent="0.25">
      <c r="B301" s="67" t="str">
        <f t="shared" si="10"/>
        <v/>
      </c>
      <c r="C301" s="76" t="str">
        <f t="shared" si="11"/>
        <v/>
      </c>
    </row>
    <row r="302" spans="2:3" ht="15.75" customHeight="1" x14ac:dyDescent="0.25">
      <c r="B302" s="67" t="str">
        <f t="shared" si="10"/>
        <v/>
      </c>
      <c r="C302" s="76" t="str">
        <f t="shared" si="11"/>
        <v/>
      </c>
    </row>
    <row r="303" spans="2:3" ht="15.75" customHeight="1" x14ac:dyDescent="0.25">
      <c r="B303" s="67" t="str">
        <f t="shared" ref="B303:B366" si="12">IF(B302="","",IF(B302+$C$9&lt;=$C$5,B302+$C$9,""))</f>
        <v/>
      </c>
      <c r="C303" s="76" t="str">
        <f t="shared" ref="C303:C366" si="13">IF(B303&lt;&gt;"",C302-$C$2/COUNT($B$17:$B$510),"")</f>
        <v/>
      </c>
    </row>
    <row r="304" spans="2:3" ht="15.75" customHeight="1" x14ac:dyDescent="0.25">
      <c r="B304" s="67" t="str">
        <f t="shared" si="12"/>
        <v/>
      </c>
      <c r="C304" s="76" t="str">
        <f t="shared" si="13"/>
        <v/>
      </c>
    </row>
    <row r="305" spans="2:3" ht="15.75" customHeight="1" x14ac:dyDescent="0.25">
      <c r="B305" s="67" t="str">
        <f t="shared" si="12"/>
        <v/>
      </c>
      <c r="C305" s="76" t="str">
        <f t="shared" si="13"/>
        <v/>
      </c>
    </row>
    <row r="306" spans="2:3" ht="15.75" customHeight="1" x14ac:dyDescent="0.25">
      <c r="B306" s="67" t="str">
        <f t="shared" si="12"/>
        <v/>
      </c>
      <c r="C306" s="76" t="str">
        <f t="shared" si="13"/>
        <v/>
      </c>
    </row>
    <row r="307" spans="2:3" ht="15.75" customHeight="1" x14ac:dyDescent="0.25">
      <c r="B307" s="67" t="str">
        <f t="shared" si="12"/>
        <v/>
      </c>
      <c r="C307" s="76" t="str">
        <f t="shared" si="13"/>
        <v/>
      </c>
    </row>
    <row r="308" spans="2:3" ht="15.75" customHeight="1" x14ac:dyDescent="0.25">
      <c r="B308" s="67" t="str">
        <f t="shared" si="12"/>
        <v/>
      </c>
      <c r="C308" s="76" t="str">
        <f t="shared" si="13"/>
        <v/>
      </c>
    </row>
    <row r="309" spans="2:3" ht="15.75" customHeight="1" x14ac:dyDescent="0.25">
      <c r="B309" s="67" t="str">
        <f t="shared" si="12"/>
        <v/>
      </c>
      <c r="C309" s="76" t="str">
        <f t="shared" si="13"/>
        <v/>
      </c>
    </row>
    <row r="310" spans="2:3" ht="15.75" customHeight="1" x14ac:dyDescent="0.25">
      <c r="B310" s="67" t="str">
        <f t="shared" si="12"/>
        <v/>
      </c>
      <c r="C310" s="76" t="str">
        <f t="shared" si="13"/>
        <v/>
      </c>
    </row>
    <row r="311" spans="2:3" ht="15.75" customHeight="1" x14ac:dyDescent="0.25">
      <c r="B311" s="67" t="str">
        <f t="shared" si="12"/>
        <v/>
      </c>
      <c r="C311" s="76" t="str">
        <f t="shared" si="13"/>
        <v/>
      </c>
    </row>
    <row r="312" spans="2:3" ht="15.75" customHeight="1" x14ac:dyDescent="0.25">
      <c r="B312" s="67" t="str">
        <f t="shared" si="12"/>
        <v/>
      </c>
      <c r="C312" s="76" t="str">
        <f t="shared" si="13"/>
        <v/>
      </c>
    </row>
    <row r="313" spans="2:3" ht="15.75" customHeight="1" x14ac:dyDescent="0.25">
      <c r="B313" s="67" t="str">
        <f t="shared" si="12"/>
        <v/>
      </c>
      <c r="C313" s="76" t="str">
        <f t="shared" si="13"/>
        <v/>
      </c>
    </row>
    <row r="314" spans="2:3" ht="15.75" customHeight="1" x14ac:dyDescent="0.25">
      <c r="B314" s="67" t="str">
        <f t="shared" si="12"/>
        <v/>
      </c>
      <c r="C314" s="76" t="str">
        <f t="shared" si="13"/>
        <v/>
      </c>
    </row>
    <row r="315" spans="2:3" ht="15.75" customHeight="1" x14ac:dyDescent="0.25">
      <c r="B315" s="67" t="str">
        <f t="shared" si="12"/>
        <v/>
      </c>
      <c r="C315" s="76" t="str">
        <f t="shared" si="13"/>
        <v/>
      </c>
    </row>
    <row r="316" spans="2:3" ht="15.75" customHeight="1" x14ac:dyDescent="0.25">
      <c r="B316" s="67" t="str">
        <f t="shared" si="12"/>
        <v/>
      </c>
      <c r="C316" s="76" t="str">
        <f t="shared" si="13"/>
        <v/>
      </c>
    </row>
    <row r="317" spans="2:3" ht="15.75" customHeight="1" x14ac:dyDescent="0.25">
      <c r="B317" s="67" t="str">
        <f t="shared" si="12"/>
        <v/>
      </c>
      <c r="C317" s="76" t="str">
        <f t="shared" si="13"/>
        <v/>
      </c>
    </row>
    <row r="318" spans="2:3" ht="15.75" customHeight="1" x14ac:dyDescent="0.25">
      <c r="B318" s="67" t="str">
        <f t="shared" si="12"/>
        <v/>
      </c>
      <c r="C318" s="76" t="str">
        <f t="shared" si="13"/>
        <v/>
      </c>
    </row>
    <row r="319" spans="2:3" ht="15.75" customHeight="1" x14ac:dyDescent="0.25">
      <c r="B319" s="67" t="str">
        <f t="shared" si="12"/>
        <v/>
      </c>
      <c r="C319" s="76" t="str">
        <f t="shared" si="13"/>
        <v/>
      </c>
    </row>
    <row r="320" spans="2:3" ht="15.75" customHeight="1" x14ac:dyDescent="0.25">
      <c r="B320" s="67" t="str">
        <f t="shared" si="12"/>
        <v/>
      </c>
      <c r="C320" s="76" t="str">
        <f t="shared" si="13"/>
        <v/>
      </c>
    </row>
    <row r="321" spans="2:3" ht="15.75" customHeight="1" x14ac:dyDescent="0.25">
      <c r="B321" s="67" t="str">
        <f t="shared" si="12"/>
        <v/>
      </c>
      <c r="C321" s="76" t="str">
        <f t="shared" si="13"/>
        <v/>
      </c>
    </row>
    <row r="322" spans="2:3" ht="15.75" customHeight="1" x14ac:dyDescent="0.25">
      <c r="B322" s="67" t="str">
        <f t="shared" si="12"/>
        <v/>
      </c>
      <c r="C322" s="76" t="str">
        <f t="shared" si="13"/>
        <v/>
      </c>
    </row>
    <row r="323" spans="2:3" ht="15.75" customHeight="1" x14ac:dyDescent="0.25">
      <c r="B323" s="67" t="str">
        <f t="shared" si="12"/>
        <v/>
      </c>
      <c r="C323" s="76" t="str">
        <f t="shared" si="13"/>
        <v/>
      </c>
    </row>
    <row r="324" spans="2:3" ht="15.75" customHeight="1" x14ac:dyDescent="0.25">
      <c r="B324" s="67" t="str">
        <f t="shared" si="12"/>
        <v/>
      </c>
      <c r="C324" s="76" t="str">
        <f t="shared" si="13"/>
        <v/>
      </c>
    </row>
    <row r="325" spans="2:3" ht="15.75" customHeight="1" x14ac:dyDescent="0.25">
      <c r="B325" s="67" t="str">
        <f t="shared" si="12"/>
        <v/>
      </c>
      <c r="C325" s="76" t="str">
        <f t="shared" si="13"/>
        <v/>
      </c>
    </row>
    <row r="326" spans="2:3" ht="15.75" customHeight="1" x14ac:dyDescent="0.25">
      <c r="B326" s="67" t="str">
        <f t="shared" si="12"/>
        <v/>
      </c>
      <c r="C326" s="76" t="str">
        <f t="shared" si="13"/>
        <v/>
      </c>
    </row>
    <row r="327" spans="2:3" ht="15.75" customHeight="1" x14ac:dyDescent="0.25">
      <c r="B327" s="67" t="str">
        <f t="shared" si="12"/>
        <v/>
      </c>
      <c r="C327" s="76" t="str">
        <f t="shared" si="13"/>
        <v/>
      </c>
    </row>
    <row r="328" spans="2:3" ht="15.75" customHeight="1" x14ac:dyDescent="0.25">
      <c r="B328" s="67" t="str">
        <f t="shared" si="12"/>
        <v/>
      </c>
      <c r="C328" s="76" t="str">
        <f t="shared" si="13"/>
        <v/>
      </c>
    </row>
    <row r="329" spans="2:3" ht="15.75" customHeight="1" x14ac:dyDescent="0.25">
      <c r="B329" s="67" t="str">
        <f t="shared" si="12"/>
        <v/>
      </c>
      <c r="C329" s="76" t="str">
        <f t="shared" si="13"/>
        <v/>
      </c>
    </row>
    <row r="330" spans="2:3" ht="15.75" customHeight="1" x14ac:dyDescent="0.25">
      <c r="B330" s="67" t="str">
        <f t="shared" si="12"/>
        <v/>
      </c>
      <c r="C330" s="76" t="str">
        <f t="shared" si="13"/>
        <v/>
      </c>
    </row>
    <row r="331" spans="2:3" ht="15.75" customHeight="1" x14ac:dyDescent="0.25">
      <c r="B331" s="67" t="str">
        <f t="shared" si="12"/>
        <v/>
      </c>
      <c r="C331" s="76" t="str">
        <f t="shared" si="13"/>
        <v/>
      </c>
    </row>
    <row r="332" spans="2:3" ht="15.75" customHeight="1" x14ac:dyDescent="0.25">
      <c r="B332" s="67" t="str">
        <f t="shared" si="12"/>
        <v/>
      </c>
      <c r="C332" s="76" t="str">
        <f t="shared" si="13"/>
        <v/>
      </c>
    </row>
    <row r="333" spans="2:3" ht="15.75" customHeight="1" x14ac:dyDescent="0.25">
      <c r="B333" s="67" t="str">
        <f t="shared" si="12"/>
        <v/>
      </c>
      <c r="C333" s="76" t="str">
        <f t="shared" si="13"/>
        <v/>
      </c>
    </row>
    <row r="334" spans="2:3" ht="15.75" customHeight="1" x14ac:dyDescent="0.25">
      <c r="B334" s="67" t="str">
        <f t="shared" si="12"/>
        <v/>
      </c>
      <c r="C334" s="76" t="str">
        <f t="shared" si="13"/>
        <v/>
      </c>
    </row>
    <row r="335" spans="2:3" ht="15.75" customHeight="1" x14ac:dyDescent="0.25">
      <c r="B335" s="67" t="str">
        <f t="shared" si="12"/>
        <v/>
      </c>
      <c r="C335" s="76" t="str">
        <f t="shared" si="13"/>
        <v/>
      </c>
    </row>
    <row r="336" spans="2:3" ht="15.75" customHeight="1" x14ac:dyDescent="0.25">
      <c r="B336" s="67" t="str">
        <f t="shared" si="12"/>
        <v/>
      </c>
      <c r="C336" s="76" t="str">
        <f t="shared" si="13"/>
        <v/>
      </c>
    </row>
    <row r="337" spans="2:3" ht="15.75" customHeight="1" x14ac:dyDescent="0.25">
      <c r="B337" s="67" t="str">
        <f t="shared" si="12"/>
        <v/>
      </c>
      <c r="C337" s="76" t="str">
        <f t="shared" si="13"/>
        <v/>
      </c>
    </row>
    <row r="338" spans="2:3" ht="15.75" customHeight="1" x14ac:dyDescent="0.25">
      <c r="B338" s="67" t="str">
        <f t="shared" si="12"/>
        <v/>
      </c>
      <c r="C338" s="76" t="str">
        <f t="shared" si="13"/>
        <v/>
      </c>
    </row>
    <row r="339" spans="2:3" ht="15.75" customHeight="1" x14ac:dyDescent="0.25">
      <c r="B339" s="67" t="str">
        <f t="shared" si="12"/>
        <v/>
      </c>
      <c r="C339" s="76" t="str">
        <f t="shared" si="13"/>
        <v/>
      </c>
    </row>
    <row r="340" spans="2:3" ht="15.75" customHeight="1" x14ac:dyDescent="0.25">
      <c r="B340" s="67" t="str">
        <f t="shared" si="12"/>
        <v/>
      </c>
      <c r="C340" s="76" t="str">
        <f t="shared" si="13"/>
        <v/>
      </c>
    </row>
    <row r="341" spans="2:3" ht="15.75" customHeight="1" x14ac:dyDescent="0.25">
      <c r="B341" s="67" t="str">
        <f t="shared" si="12"/>
        <v/>
      </c>
      <c r="C341" s="76" t="str">
        <f t="shared" si="13"/>
        <v/>
      </c>
    </row>
    <row r="342" spans="2:3" ht="15.75" customHeight="1" x14ac:dyDescent="0.25">
      <c r="B342" s="67" t="str">
        <f t="shared" si="12"/>
        <v/>
      </c>
      <c r="C342" s="76" t="str">
        <f t="shared" si="13"/>
        <v/>
      </c>
    </row>
    <row r="343" spans="2:3" ht="15.75" customHeight="1" x14ac:dyDescent="0.25">
      <c r="B343" s="67" t="str">
        <f t="shared" si="12"/>
        <v/>
      </c>
      <c r="C343" s="76" t="str">
        <f t="shared" si="13"/>
        <v/>
      </c>
    </row>
    <row r="344" spans="2:3" ht="15.75" customHeight="1" x14ac:dyDescent="0.25">
      <c r="B344" s="67" t="str">
        <f t="shared" si="12"/>
        <v/>
      </c>
      <c r="C344" s="76" t="str">
        <f t="shared" si="13"/>
        <v/>
      </c>
    </row>
    <row r="345" spans="2:3" ht="15.75" customHeight="1" x14ac:dyDescent="0.25">
      <c r="B345" s="67" t="str">
        <f t="shared" si="12"/>
        <v/>
      </c>
      <c r="C345" s="76" t="str">
        <f t="shared" si="13"/>
        <v/>
      </c>
    </row>
    <row r="346" spans="2:3" ht="15.75" customHeight="1" x14ac:dyDescent="0.25">
      <c r="B346" s="67" t="str">
        <f t="shared" si="12"/>
        <v/>
      </c>
      <c r="C346" s="76" t="str">
        <f t="shared" si="13"/>
        <v/>
      </c>
    </row>
    <row r="347" spans="2:3" ht="15.75" customHeight="1" x14ac:dyDescent="0.25">
      <c r="B347" s="67" t="str">
        <f t="shared" si="12"/>
        <v/>
      </c>
      <c r="C347" s="76" t="str">
        <f t="shared" si="13"/>
        <v/>
      </c>
    </row>
    <row r="348" spans="2:3" ht="15.75" customHeight="1" x14ac:dyDescent="0.25">
      <c r="B348" s="67" t="str">
        <f t="shared" si="12"/>
        <v/>
      </c>
      <c r="C348" s="76" t="str">
        <f t="shared" si="13"/>
        <v/>
      </c>
    </row>
    <row r="349" spans="2:3" ht="15.75" customHeight="1" x14ac:dyDescent="0.25">
      <c r="B349" s="67" t="str">
        <f t="shared" si="12"/>
        <v/>
      </c>
      <c r="C349" s="76" t="str">
        <f t="shared" si="13"/>
        <v/>
      </c>
    </row>
    <row r="350" spans="2:3" ht="15.75" customHeight="1" x14ac:dyDescent="0.25">
      <c r="B350" s="67" t="str">
        <f t="shared" si="12"/>
        <v/>
      </c>
      <c r="C350" s="76" t="str">
        <f t="shared" si="13"/>
        <v/>
      </c>
    </row>
    <row r="351" spans="2:3" ht="15.75" customHeight="1" x14ac:dyDescent="0.25">
      <c r="B351" s="67" t="str">
        <f t="shared" si="12"/>
        <v/>
      </c>
      <c r="C351" s="76" t="str">
        <f t="shared" si="13"/>
        <v/>
      </c>
    </row>
    <row r="352" spans="2:3" ht="15.75" customHeight="1" x14ac:dyDescent="0.25">
      <c r="B352" s="67" t="str">
        <f t="shared" si="12"/>
        <v/>
      </c>
      <c r="C352" s="76" t="str">
        <f t="shared" si="13"/>
        <v/>
      </c>
    </row>
    <row r="353" spans="2:3" ht="15.75" customHeight="1" x14ac:dyDescent="0.25">
      <c r="B353" s="67" t="str">
        <f t="shared" si="12"/>
        <v/>
      </c>
      <c r="C353" s="76" t="str">
        <f t="shared" si="13"/>
        <v/>
      </c>
    </row>
    <row r="354" spans="2:3" ht="15.75" customHeight="1" x14ac:dyDescent="0.25">
      <c r="B354" s="67" t="str">
        <f t="shared" si="12"/>
        <v/>
      </c>
      <c r="C354" s="76" t="str">
        <f t="shared" si="13"/>
        <v/>
      </c>
    </row>
    <row r="355" spans="2:3" ht="15.75" customHeight="1" x14ac:dyDescent="0.25">
      <c r="B355" s="67" t="str">
        <f t="shared" si="12"/>
        <v/>
      </c>
      <c r="C355" s="76" t="str">
        <f t="shared" si="13"/>
        <v/>
      </c>
    </row>
    <row r="356" spans="2:3" ht="15.75" customHeight="1" x14ac:dyDescent="0.25">
      <c r="B356" s="67" t="str">
        <f t="shared" si="12"/>
        <v/>
      </c>
      <c r="C356" s="76" t="str">
        <f t="shared" si="13"/>
        <v/>
      </c>
    </row>
    <row r="357" spans="2:3" ht="15.75" customHeight="1" x14ac:dyDescent="0.25">
      <c r="B357" s="67" t="str">
        <f t="shared" si="12"/>
        <v/>
      </c>
      <c r="C357" s="76" t="str">
        <f t="shared" si="13"/>
        <v/>
      </c>
    </row>
    <row r="358" spans="2:3" ht="15.75" customHeight="1" x14ac:dyDescent="0.25">
      <c r="B358" s="67" t="str">
        <f t="shared" si="12"/>
        <v/>
      </c>
      <c r="C358" s="76" t="str">
        <f t="shared" si="13"/>
        <v/>
      </c>
    </row>
    <row r="359" spans="2:3" ht="15.75" customHeight="1" x14ac:dyDescent="0.25">
      <c r="B359" s="67" t="str">
        <f t="shared" si="12"/>
        <v/>
      </c>
      <c r="C359" s="76" t="str">
        <f t="shared" si="13"/>
        <v/>
      </c>
    </row>
    <row r="360" spans="2:3" ht="15.75" customHeight="1" x14ac:dyDescent="0.25">
      <c r="B360" s="67" t="str">
        <f t="shared" si="12"/>
        <v/>
      </c>
      <c r="C360" s="76" t="str">
        <f t="shared" si="13"/>
        <v/>
      </c>
    </row>
    <row r="361" spans="2:3" ht="15.75" customHeight="1" x14ac:dyDescent="0.25">
      <c r="B361" s="67" t="str">
        <f t="shared" si="12"/>
        <v/>
      </c>
      <c r="C361" s="76" t="str">
        <f t="shared" si="13"/>
        <v/>
      </c>
    </row>
    <row r="362" spans="2:3" ht="15.75" customHeight="1" x14ac:dyDescent="0.25">
      <c r="B362" s="67" t="str">
        <f t="shared" si="12"/>
        <v/>
      </c>
      <c r="C362" s="76" t="str">
        <f t="shared" si="13"/>
        <v/>
      </c>
    </row>
    <row r="363" spans="2:3" ht="15.75" customHeight="1" x14ac:dyDescent="0.25">
      <c r="B363" s="67" t="str">
        <f t="shared" si="12"/>
        <v/>
      </c>
      <c r="C363" s="76" t="str">
        <f t="shared" si="13"/>
        <v/>
      </c>
    </row>
    <row r="364" spans="2:3" ht="15.75" customHeight="1" x14ac:dyDescent="0.25">
      <c r="B364" s="67" t="str">
        <f t="shared" si="12"/>
        <v/>
      </c>
      <c r="C364" s="76" t="str">
        <f t="shared" si="13"/>
        <v/>
      </c>
    </row>
    <row r="365" spans="2:3" ht="15.75" customHeight="1" x14ac:dyDescent="0.25">
      <c r="B365" s="67" t="str">
        <f t="shared" si="12"/>
        <v/>
      </c>
      <c r="C365" s="76" t="str">
        <f t="shared" si="13"/>
        <v/>
      </c>
    </row>
    <row r="366" spans="2:3" ht="15.75" customHeight="1" x14ac:dyDescent="0.25">
      <c r="B366" s="67" t="str">
        <f t="shared" si="12"/>
        <v/>
      </c>
      <c r="C366" s="76" t="str">
        <f t="shared" si="13"/>
        <v/>
      </c>
    </row>
    <row r="367" spans="2:3" ht="15.75" customHeight="1" x14ac:dyDescent="0.25">
      <c r="B367" s="67" t="str">
        <f t="shared" ref="B367:B430" si="14">IF(B366="","",IF(B366+$C$9&lt;=$C$5,B366+$C$9,""))</f>
        <v/>
      </c>
      <c r="C367" s="76" t="str">
        <f t="shared" ref="C367:C430" si="15">IF(B367&lt;&gt;"",C366-$C$2/COUNT($B$17:$B$510),"")</f>
        <v/>
      </c>
    </row>
    <row r="368" spans="2:3" ht="15.75" customHeight="1" x14ac:dyDescent="0.25">
      <c r="B368" s="67" t="str">
        <f t="shared" si="14"/>
        <v/>
      </c>
      <c r="C368" s="76" t="str">
        <f t="shared" si="15"/>
        <v/>
      </c>
    </row>
    <row r="369" spans="2:3" ht="15.75" customHeight="1" x14ac:dyDescent="0.25">
      <c r="B369" s="67" t="str">
        <f t="shared" si="14"/>
        <v/>
      </c>
      <c r="C369" s="76" t="str">
        <f t="shared" si="15"/>
        <v/>
      </c>
    </row>
    <row r="370" spans="2:3" ht="15.75" customHeight="1" x14ac:dyDescent="0.25">
      <c r="B370" s="67" t="str">
        <f t="shared" si="14"/>
        <v/>
      </c>
      <c r="C370" s="76" t="str">
        <f t="shared" si="15"/>
        <v/>
      </c>
    </row>
    <row r="371" spans="2:3" ht="15.75" customHeight="1" x14ac:dyDescent="0.25">
      <c r="B371" s="67" t="str">
        <f t="shared" si="14"/>
        <v/>
      </c>
      <c r="C371" s="76" t="str">
        <f t="shared" si="15"/>
        <v/>
      </c>
    </row>
    <row r="372" spans="2:3" ht="15.75" customHeight="1" x14ac:dyDescent="0.25">
      <c r="B372" s="67" t="str">
        <f t="shared" si="14"/>
        <v/>
      </c>
      <c r="C372" s="76" t="str">
        <f t="shared" si="15"/>
        <v/>
      </c>
    </row>
    <row r="373" spans="2:3" ht="15.75" customHeight="1" x14ac:dyDescent="0.25">
      <c r="B373" s="67" t="str">
        <f t="shared" si="14"/>
        <v/>
      </c>
      <c r="C373" s="76" t="str">
        <f t="shared" si="15"/>
        <v/>
      </c>
    </row>
    <row r="374" spans="2:3" ht="15.75" customHeight="1" x14ac:dyDescent="0.25">
      <c r="B374" s="67" t="str">
        <f t="shared" si="14"/>
        <v/>
      </c>
      <c r="C374" s="76" t="str">
        <f t="shared" si="15"/>
        <v/>
      </c>
    </row>
    <row r="375" spans="2:3" ht="15.75" customHeight="1" x14ac:dyDescent="0.25">
      <c r="B375" s="67" t="str">
        <f t="shared" si="14"/>
        <v/>
      </c>
      <c r="C375" s="76" t="str">
        <f t="shared" si="15"/>
        <v/>
      </c>
    </row>
    <row r="376" spans="2:3" ht="15.75" customHeight="1" x14ac:dyDescent="0.25">
      <c r="B376" s="67" t="str">
        <f t="shared" si="14"/>
        <v/>
      </c>
      <c r="C376" s="76" t="str">
        <f t="shared" si="15"/>
        <v/>
      </c>
    </row>
    <row r="377" spans="2:3" ht="15.75" customHeight="1" x14ac:dyDescent="0.25">
      <c r="B377" s="67" t="str">
        <f t="shared" si="14"/>
        <v/>
      </c>
      <c r="C377" s="76" t="str">
        <f t="shared" si="15"/>
        <v/>
      </c>
    </row>
    <row r="378" spans="2:3" ht="15.75" customHeight="1" x14ac:dyDescent="0.25">
      <c r="B378" s="67" t="str">
        <f t="shared" si="14"/>
        <v/>
      </c>
      <c r="C378" s="76" t="str">
        <f t="shared" si="15"/>
        <v/>
      </c>
    </row>
    <row r="379" spans="2:3" ht="15.75" customHeight="1" x14ac:dyDescent="0.25">
      <c r="B379" s="67" t="str">
        <f t="shared" si="14"/>
        <v/>
      </c>
      <c r="C379" s="76" t="str">
        <f t="shared" si="15"/>
        <v/>
      </c>
    </row>
    <row r="380" spans="2:3" ht="15.75" customHeight="1" x14ac:dyDescent="0.25">
      <c r="B380" s="67" t="str">
        <f t="shared" si="14"/>
        <v/>
      </c>
      <c r="C380" s="76" t="str">
        <f t="shared" si="15"/>
        <v/>
      </c>
    </row>
    <row r="381" spans="2:3" ht="15.75" customHeight="1" x14ac:dyDescent="0.25">
      <c r="B381" s="67" t="str">
        <f t="shared" si="14"/>
        <v/>
      </c>
      <c r="C381" s="76" t="str">
        <f t="shared" si="15"/>
        <v/>
      </c>
    </row>
    <row r="382" spans="2:3" ht="15.75" customHeight="1" x14ac:dyDescent="0.25">
      <c r="B382" s="67" t="str">
        <f t="shared" si="14"/>
        <v/>
      </c>
      <c r="C382" s="76" t="str">
        <f t="shared" si="15"/>
        <v/>
      </c>
    </row>
    <row r="383" spans="2:3" ht="15.75" customHeight="1" x14ac:dyDescent="0.25">
      <c r="B383" s="67" t="str">
        <f t="shared" si="14"/>
        <v/>
      </c>
      <c r="C383" s="76" t="str">
        <f t="shared" si="15"/>
        <v/>
      </c>
    </row>
    <row r="384" spans="2:3" ht="15.75" customHeight="1" x14ac:dyDescent="0.25">
      <c r="B384" s="67" t="str">
        <f t="shared" si="14"/>
        <v/>
      </c>
      <c r="C384" s="76" t="str">
        <f t="shared" si="15"/>
        <v/>
      </c>
    </row>
    <row r="385" spans="2:3" ht="15.75" customHeight="1" x14ac:dyDescent="0.25">
      <c r="B385" s="67" t="str">
        <f t="shared" si="14"/>
        <v/>
      </c>
      <c r="C385" s="76" t="str">
        <f t="shared" si="15"/>
        <v/>
      </c>
    </row>
    <row r="386" spans="2:3" ht="15.75" customHeight="1" x14ac:dyDescent="0.25">
      <c r="B386" s="67" t="str">
        <f t="shared" si="14"/>
        <v/>
      </c>
      <c r="C386" s="76" t="str">
        <f t="shared" si="15"/>
        <v/>
      </c>
    </row>
    <row r="387" spans="2:3" ht="15.75" customHeight="1" x14ac:dyDescent="0.25">
      <c r="B387" s="67" t="str">
        <f t="shared" si="14"/>
        <v/>
      </c>
      <c r="C387" s="76" t="str">
        <f t="shared" si="15"/>
        <v/>
      </c>
    </row>
    <row r="388" spans="2:3" ht="15.75" customHeight="1" x14ac:dyDescent="0.25">
      <c r="B388" s="67" t="str">
        <f t="shared" si="14"/>
        <v/>
      </c>
      <c r="C388" s="76" t="str">
        <f t="shared" si="15"/>
        <v/>
      </c>
    </row>
    <row r="389" spans="2:3" ht="15.75" customHeight="1" x14ac:dyDescent="0.25">
      <c r="B389" s="67" t="str">
        <f t="shared" si="14"/>
        <v/>
      </c>
      <c r="C389" s="76" t="str">
        <f t="shared" si="15"/>
        <v/>
      </c>
    </row>
    <row r="390" spans="2:3" ht="15.75" customHeight="1" x14ac:dyDescent="0.25">
      <c r="B390" s="67" t="str">
        <f t="shared" si="14"/>
        <v/>
      </c>
      <c r="C390" s="76" t="str">
        <f t="shared" si="15"/>
        <v/>
      </c>
    </row>
    <row r="391" spans="2:3" ht="15.75" customHeight="1" x14ac:dyDescent="0.25">
      <c r="B391" s="67" t="str">
        <f t="shared" si="14"/>
        <v/>
      </c>
      <c r="C391" s="76" t="str">
        <f t="shared" si="15"/>
        <v/>
      </c>
    </row>
    <row r="392" spans="2:3" ht="15.75" customHeight="1" x14ac:dyDescent="0.25">
      <c r="B392" s="67" t="str">
        <f t="shared" si="14"/>
        <v/>
      </c>
      <c r="C392" s="76" t="str">
        <f t="shared" si="15"/>
        <v/>
      </c>
    </row>
    <row r="393" spans="2:3" ht="15.75" customHeight="1" x14ac:dyDescent="0.25">
      <c r="B393" s="67" t="str">
        <f t="shared" si="14"/>
        <v/>
      </c>
      <c r="C393" s="76" t="str">
        <f t="shared" si="15"/>
        <v/>
      </c>
    </row>
    <row r="394" spans="2:3" ht="15.75" customHeight="1" x14ac:dyDescent="0.25">
      <c r="B394" s="67" t="str">
        <f t="shared" si="14"/>
        <v/>
      </c>
      <c r="C394" s="76" t="str">
        <f t="shared" si="15"/>
        <v/>
      </c>
    </row>
    <row r="395" spans="2:3" ht="15.75" customHeight="1" x14ac:dyDescent="0.25">
      <c r="B395" s="67" t="str">
        <f t="shared" si="14"/>
        <v/>
      </c>
      <c r="C395" s="76" t="str">
        <f t="shared" si="15"/>
        <v/>
      </c>
    </row>
    <row r="396" spans="2:3" ht="15.75" customHeight="1" x14ac:dyDescent="0.25">
      <c r="B396" s="67" t="str">
        <f t="shared" si="14"/>
        <v/>
      </c>
      <c r="C396" s="76" t="str">
        <f t="shared" si="15"/>
        <v/>
      </c>
    </row>
    <row r="397" spans="2:3" ht="15.75" customHeight="1" x14ac:dyDescent="0.25">
      <c r="B397" s="67" t="str">
        <f t="shared" si="14"/>
        <v/>
      </c>
      <c r="C397" s="76" t="str">
        <f t="shared" si="15"/>
        <v/>
      </c>
    </row>
    <row r="398" spans="2:3" ht="15.75" customHeight="1" x14ac:dyDescent="0.25">
      <c r="B398" s="67" t="str">
        <f t="shared" si="14"/>
        <v/>
      </c>
      <c r="C398" s="76" t="str">
        <f t="shared" si="15"/>
        <v/>
      </c>
    </row>
    <row r="399" spans="2:3" ht="15.75" customHeight="1" x14ac:dyDescent="0.25">
      <c r="B399" s="67" t="str">
        <f t="shared" si="14"/>
        <v/>
      </c>
      <c r="C399" s="76" t="str">
        <f t="shared" si="15"/>
        <v/>
      </c>
    </row>
    <row r="400" spans="2:3" ht="15.75" customHeight="1" x14ac:dyDescent="0.25">
      <c r="B400" s="67" t="str">
        <f t="shared" si="14"/>
        <v/>
      </c>
      <c r="C400" s="76" t="str">
        <f t="shared" si="15"/>
        <v/>
      </c>
    </row>
    <row r="401" spans="2:3" ht="15.75" customHeight="1" x14ac:dyDescent="0.25">
      <c r="B401" s="67" t="str">
        <f t="shared" si="14"/>
        <v/>
      </c>
      <c r="C401" s="76" t="str">
        <f t="shared" si="15"/>
        <v/>
      </c>
    </row>
    <row r="402" spans="2:3" ht="15.75" customHeight="1" x14ac:dyDescent="0.25">
      <c r="B402" s="67" t="str">
        <f t="shared" si="14"/>
        <v/>
      </c>
      <c r="C402" s="76" t="str">
        <f t="shared" si="15"/>
        <v/>
      </c>
    </row>
    <row r="403" spans="2:3" ht="15.75" customHeight="1" x14ac:dyDescent="0.25">
      <c r="B403" s="67" t="str">
        <f t="shared" si="14"/>
        <v/>
      </c>
      <c r="C403" s="76" t="str">
        <f t="shared" si="15"/>
        <v/>
      </c>
    </row>
    <row r="404" spans="2:3" ht="15.75" customHeight="1" x14ac:dyDescent="0.25">
      <c r="B404" s="67" t="str">
        <f t="shared" si="14"/>
        <v/>
      </c>
      <c r="C404" s="76" t="str">
        <f t="shared" si="15"/>
        <v/>
      </c>
    </row>
    <row r="405" spans="2:3" ht="15.75" customHeight="1" x14ac:dyDescent="0.25">
      <c r="B405" s="67" t="str">
        <f t="shared" si="14"/>
        <v/>
      </c>
      <c r="C405" s="76" t="str">
        <f t="shared" si="15"/>
        <v/>
      </c>
    </row>
    <row r="406" spans="2:3" ht="15.75" customHeight="1" x14ac:dyDescent="0.25">
      <c r="B406" s="67" t="str">
        <f t="shared" si="14"/>
        <v/>
      </c>
      <c r="C406" s="76" t="str">
        <f t="shared" si="15"/>
        <v/>
      </c>
    </row>
    <row r="407" spans="2:3" ht="15.75" customHeight="1" x14ac:dyDescent="0.25">
      <c r="B407" s="67" t="str">
        <f t="shared" si="14"/>
        <v/>
      </c>
      <c r="C407" s="76" t="str">
        <f t="shared" si="15"/>
        <v/>
      </c>
    </row>
    <row r="408" spans="2:3" ht="15.75" customHeight="1" x14ac:dyDescent="0.25">
      <c r="B408" s="67" t="str">
        <f t="shared" si="14"/>
        <v/>
      </c>
      <c r="C408" s="76" t="str">
        <f t="shared" si="15"/>
        <v/>
      </c>
    </row>
    <row r="409" spans="2:3" ht="15.75" customHeight="1" x14ac:dyDescent="0.25">
      <c r="B409" s="67" t="str">
        <f t="shared" si="14"/>
        <v/>
      </c>
      <c r="C409" s="76" t="str">
        <f t="shared" si="15"/>
        <v/>
      </c>
    </row>
    <row r="410" spans="2:3" ht="15.75" customHeight="1" x14ac:dyDescent="0.25">
      <c r="B410" s="67" t="str">
        <f t="shared" si="14"/>
        <v/>
      </c>
      <c r="C410" s="76" t="str">
        <f t="shared" si="15"/>
        <v/>
      </c>
    </row>
    <row r="411" spans="2:3" ht="15.75" customHeight="1" x14ac:dyDescent="0.25">
      <c r="B411" s="67" t="str">
        <f t="shared" si="14"/>
        <v/>
      </c>
      <c r="C411" s="76" t="str">
        <f t="shared" si="15"/>
        <v/>
      </c>
    </row>
    <row r="412" spans="2:3" ht="15.75" customHeight="1" x14ac:dyDescent="0.25">
      <c r="B412" s="67" t="str">
        <f t="shared" si="14"/>
        <v/>
      </c>
      <c r="C412" s="76" t="str">
        <f t="shared" si="15"/>
        <v/>
      </c>
    </row>
    <row r="413" spans="2:3" ht="15.75" customHeight="1" x14ac:dyDescent="0.25">
      <c r="B413" s="67" t="str">
        <f t="shared" si="14"/>
        <v/>
      </c>
      <c r="C413" s="76" t="str">
        <f t="shared" si="15"/>
        <v/>
      </c>
    </row>
    <row r="414" spans="2:3" ht="15.75" customHeight="1" x14ac:dyDescent="0.25">
      <c r="B414" s="67" t="str">
        <f t="shared" si="14"/>
        <v/>
      </c>
      <c r="C414" s="76" t="str">
        <f t="shared" si="15"/>
        <v/>
      </c>
    </row>
    <row r="415" spans="2:3" ht="15.75" customHeight="1" x14ac:dyDescent="0.25">
      <c r="B415" s="67" t="str">
        <f t="shared" si="14"/>
        <v/>
      </c>
      <c r="C415" s="76" t="str">
        <f t="shared" si="15"/>
        <v/>
      </c>
    </row>
    <row r="416" spans="2:3" ht="15.75" customHeight="1" x14ac:dyDescent="0.25">
      <c r="B416" s="67" t="str">
        <f t="shared" si="14"/>
        <v/>
      </c>
      <c r="C416" s="76" t="str">
        <f t="shared" si="15"/>
        <v/>
      </c>
    </row>
    <row r="417" spans="2:3" ht="15.75" customHeight="1" x14ac:dyDescent="0.25">
      <c r="B417" s="67" t="str">
        <f t="shared" si="14"/>
        <v/>
      </c>
      <c r="C417" s="76" t="str">
        <f t="shared" si="15"/>
        <v/>
      </c>
    </row>
    <row r="418" spans="2:3" ht="15.75" customHeight="1" x14ac:dyDescent="0.25">
      <c r="B418" s="67" t="str">
        <f t="shared" si="14"/>
        <v/>
      </c>
      <c r="C418" s="76" t="str">
        <f t="shared" si="15"/>
        <v/>
      </c>
    </row>
    <row r="419" spans="2:3" ht="15.75" customHeight="1" x14ac:dyDescent="0.25">
      <c r="B419" s="67" t="str">
        <f t="shared" si="14"/>
        <v/>
      </c>
      <c r="C419" s="76" t="str">
        <f t="shared" si="15"/>
        <v/>
      </c>
    </row>
    <row r="420" spans="2:3" ht="15.75" customHeight="1" x14ac:dyDescent="0.25">
      <c r="B420" s="67" t="str">
        <f t="shared" si="14"/>
        <v/>
      </c>
      <c r="C420" s="76" t="str">
        <f t="shared" si="15"/>
        <v/>
      </c>
    </row>
    <row r="421" spans="2:3" ht="15.75" customHeight="1" x14ac:dyDescent="0.25">
      <c r="B421" s="67" t="str">
        <f t="shared" si="14"/>
        <v/>
      </c>
      <c r="C421" s="76" t="str">
        <f t="shared" si="15"/>
        <v/>
      </c>
    </row>
    <row r="422" spans="2:3" ht="15.75" customHeight="1" x14ac:dyDescent="0.25">
      <c r="B422" s="67" t="str">
        <f t="shared" si="14"/>
        <v/>
      </c>
      <c r="C422" s="76" t="str">
        <f t="shared" si="15"/>
        <v/>
      </c>
    </row>
    <row r="423" spans="2:3" ht="15.75" customHeight="1" x14ac:dyDescent="0.25">
      <c r="B423" s="67" t="str">
        <f t="shared" si="14"/>
        <v/>
      </c>
      <c r="C423" s="76" t="str">
        <f t="shared" si="15"/>
        <v/>
      </c>
    </row>
    <row r="424" spans="2:3" ht="15.75" customHeight="1" x14ac:dyDescent="0.25">
      <c r="B424" s="67" t="str">
        <f t="shared" si="14"/>
        <v/>
      </c>
      <c r="C424" s="76" t="str">
        <f t="shared" si="15"/>
        <v/>
      </c>
    </row>
    <row r="425" spans="2:3" ht="15.75" customHeight="1" x14ac:dyDescent="0.25">
      <c r="B425" s="67" t="str">
        <f t="shared" si="14"/>
        <v/>
      </c>
      <c r="C425" s="76" t="str">
        <f t="shared" si="15"/>
        <v/>
      </c>
    </row>
    <row r="426" spans="2:3" ht="15.75" customHeight="1" x14ac:dyDescent="0.25">
      <c r="B426" s="67" t="str">
        <f t="shared" si="14"/>
        <v/>
      </c>
      <c r="C426" s="76" t="str">
        <f t="shared" si="15"/>
        <v/>
      </c>
    </row>
    <row r="427" spans="2:3" ht="15.75" customHeight="1" x14ac:dyDescent="0.25">
      <c r="B427" s="67" t="str">
        <f t="shared" si="14"/>
        <v/>
      </c>
      <c r="C427" s="76" t="str">
        <f t="shared" si="15"/>
        <v/>
      </c>
    </row>
    <row r="428" spans="2:3" ht="15.75" customHeight="1" x14ac:dyDescent="0.25">
      <c r="B428" s="67" t="str">
        <f t="shared" si="14"/>
        <v/>
      </c>
      <c r="C428" s="76" t="str">
        <f t="shared" si="15"/>
        <v/>
      </c>
    </row>
    <row r="429" spans="2:3" ht="15.75" customHeight="1" x14ac:dyDescent="0.25">
      <c r="B429" s="67" t="str">
        <f t="shared" si="14"/>
        <v/>
      </c>
      <c r="C429" s="76" t="str">
        <f t="shared" si="15"/>
        <v/>
      </c>
    </row>
    <row r="430" spans="2:3" ht="15.75" customHeight="1" x14ac:dyDescent="0.25">
      <c r="B430" s="67" t="str">
        <f t="shared" si="14"/>
        <v/>
      </c>
      <c r="C430" s="76" t="str">
        <f t="shared" si="15"/>
        <v/>
      </c>
    </row>
    <row r="431" spans="2:3" ht="15.75" customHeight="1" x14ac:dyDescent="0.25">
      <c r="B431" s="67" t="str">
        <f t="shared" ref="B431:B494" si="16">IF(B430="","",IF(B430+$C$9&lt;=$C$5,B430+$C$9,""))</f>
        <v/>
      </c>
      <c r="C431" s="76" t="str">
        <f t="shared" ref="C431:C494" si="17">IF(B431&lt;&gt;"",C430-$C$2/COUNT($B$17:$B$510),"")</f>
        <v/>
      </c>
    </row>
    <row r="432" spans="2:3" ht="15.75" customHeight="1" x14ac:dyDescent="0.25">
      <c r="B432" s="67" t="str">
        <f t="shared" si="16"/>
        <v/>
      </c>
      <c r="C432" s="76" t="str">
        <f t="shared" si="17"/>
        <v/>
      </c>
    </row>
    <row r="433" spans="2:3" ht="15.75" customHeight="1" x14ac:dyDescent="0.25">
      <c r="B433" s="67" t="str">
        <f t="shared" si="16"/>
        <v/>
      </c>
      <c r="C433" s="76" t="str">
        <f t="shared" si="17"/>
        <v/>
      </c>
    </row>
    <row r="434" spans="2:3" ht="15.75" customHeight="1" x14ac:dyDescent="0.25">
      <c r="B434" s="67" t="str">
        <f t="shared" si="16"/>
        <v/>
      </c>
      <c r="C434" s="76" t="str">
        <f t="shared" si="17"/>
        <v/>
      </c>
    </row>
    <row r="435" spans="2:3" ht="15.75" customHeight="1" x14ac:dyDescent="0.25">
      <c r="B435" s="67" t="str">
        <f t="shared" si="16"/>
        <v/>
      </c>
      <c r="C435" s="76" t="str">
        <f t="shared" si="17"/>
        <v/>
      </c>
    </row>
    <row r="436" spans="2:3" ht="15.75" customHeight="1" x14ac:dyDescent="0.25">
      <c r="B436" s="67" t="str">
        <f t="shared" si="16"/>
        <v/>
      </c>
      <c r="C436" s="76" t="str">
        <f t="shared" si="17"/>
        <v/>
      </c>
    </row>
    <row r="437" spans="2:3" ht="15.75" customHeight="1" x14ac:dyDescent="0.25">
      <c r="B437" s="67" t="str">
        <f t="shared" si="16"/>
        <v/>
      </c>
      <c r="C437" s="76" t="str">
        <f t="shared" si="17"/>
        <v/>
      </c>
    </row>
    <row r="438" spans="2:3" ht="15.75" customHeight="1" x14ac:dyDescent="0.25">
      <c r="B438" s="67" t="str">
        <f t="shared" si="16"/>
        <v/>
      </c>
      <c r="C438" s="76" t="str">
        <f t="shared" si="17"/>
        <v/>
      </c>
    </row>
    <row r="439" spans="2:3" ht="15.75" customHeight="1" x14ac:dyDescent="0.25">
      <c r="B439" s="67" t="str">
        <f t="shared" si="16"/>
        <v/>
      </c>
      <c r="C439" s="76" t="str">
        <f t="shared" si="17"/>
        <v/>
      </c>
    </row>
    <row r="440" spans="2:3" ht="15.75" customHeight="1" x14ac:dyDescent="0.25">
      <c r="B440" s="67" t="str">
        <f t="shared" si="16"/>
        <v/>
      </c>
      <c r="C440" s="76" t="str">
        <f t="shared" si="17"/>
        <v/>
      </c>
    </row>
    <row r="441" spans="2:3" ht="15.75" customHeight="1" x14ac:dyDescent="0.25">
      <c r="B441" s="67" t="str">
        <f t="shared" si="16"/>
        <v/>
      </c>
      <c r="C441" s="76" t="str">
        <f t="shared" si="17"/>
        <v/>
      </c>
    </row>
    <row r="442" spans="2:3" ht="15.75" customHeight="1" x14ac:dyDescent="0.25">
      <c r="B442" s="67" t="str">
        <f t="shared" si="16"/>
        <v/>
      </c>
      <c r="C442" s="76" t="str">
        <f t="shared" si="17"/>
        <v/>
      </c>
    </row>
    <row r="443" spans="2:3" ht="15.75" customHeight="1" x14ac:dyDescent="0.25">
      <c r="B443" s="67" t="str">
        <f t="shared" si="16"/>
        <v/>
      </c>
      <c r="C443" s="76" t="str">
        <f t="shared" si="17"/>
        <v/>
      </c>
    </row>
    <row r="444" spans="2:3" ht="15.75" customHeight="1" x14ac:dyDescent="0.25">
      <c r="B444" s="67" t="str">
        <f t="shared" si="16"/>
        <v/>
      </c>
      <c r="C444" s="76" t="str">
        <f t="shared" si="17"/>
        <v/>
      </c>
    </row>
    <row r="445" spans="2:3" ht="15.75" customHeight="1" x14ac:dyDescent="0.25">
      <c r="B445" s="67" t="str">
        <f t="shared" si="16"/>
        <v/>
      </c>
      <c r="C445" s="76" t="str">
        <f t="shared" si="17"/>
        <v/>
      </c>
    </row>
    <row r="446" spans="2:3" ht="15.75" customHeight="1" x14ac:dyDescent="0.25">
      <c r="B446" s="67" t="str">
        <f t="shared" si="16"/>
        <v/>
      </c>
      <c r="C446" s="76" t="str">
        <f t="shared" si="17"/>
        <v/>
      </c>
    </row>
    <row r="447" spans="2:3" ht="15.75" customHeight="1" x14ac:dyDescent="0.25">
      <c r="B447" s="67" t="str">
        <f t="shared" si="16"/>
        <v/>
      </c>
      <c r="C447" s="76" t="str">
        <f t="shared" si="17"/>
        <v/>
      </c>
    </row>
    <row r="448" spans="2:3" ht="15.75" customHeight="1" x14ac:dyDescent="0.25">
      <c r="B448" s="67" t="str">
        <f t="shared" si="16"/>
        <v/>
      </c>
      <c r="C448" s="76" t="str">
        <f t="shared" si="17"/>
        <v/>
      </c>
    </row>
    <row r="449" spans="2:3" ht="15.75" customHeight="1" x14ac:dyDescent="0.25">
      <c r="B449" s="67" t="str">
        <f t="shared" si="16"/>
        <v/>
      </c>
      <c r="C449" s="76" t="str">
        <f t="shared" si="17"/>
        <v/>
      </c>
    </row>
    <row r="450" spans="2:3" ht="15.75" customHeight="1" x14ac:dyDescent="0.25">
      <c r="B450" s="67" t="str">
        <f t="shared" si="16"/>
        <v/>
      </c>
      <c r="C450" s="76" t="str">
        <f t="shared" si="17"/>
        <v/>
      </c>
    </row>
    <row r="451" spans="2:3" ht="15.75" customHeight="1" x14ac:dyDescent="0.25">
      <c r="B451" s="67" t="str">
        <f t="shared" si="16"/>
        <v/>
      </c>
      <c r="C451" s="76" t="str">
        <f t="shared" si="17"/>
        <v/>
      </c>
    </row>
    <row r="452" spans="2:3" ht="15.75" customHeight="1" x14ac:dyDescent="0.25">
      <c r="B452" s="67" t="str">
        <f t="shared" si="16"/>
        <v/>
      </c>
      <c r="C452" s="76" t="str">
        <f t="shared" si="17"/>
        <v/>
      </c>
    </row>
    <row r="453" spans="2:3" ht="15.75" customHeight="1" x14ac:dyDescent="0.25">
      <c r="B453" s="67" t="str">
        <f t="shared" si="16"/>
        <v/>
      </c>
      <c r="C453" s="76" t="str">
        <f t="shared" si="17"/>
        <v/>
      </c>
    </row>
    <row r="454" spans="2:3" ht="15.75" customHeight="1" x14ac:dyDescent="0.25">
      <c r="B454" s="67" t="str">
        <f t="shared" si="16"/>
        <v/>
      </c>
      <c r="C454" s="76" t="str">
        <f t="shared" si="17"/>
        <v/>
      </c>
    </row>
    <row r="455" spans="2:3" ht="15.75" customHeight="1" x14ac:dyDescent="0.25">
      <c r="B455" s="67" t="str">
        <f t="shared" si="16"/>
        <v/>
      </c>
      <c r="C455" s="76" t="str">
        <f t="shared" si="17"/>
        <v/>
      </c>
    </row>
    <row r="456" spans="2:3" ht="15.75" customHeight="1" x14ac:dyDescent="0.25">
      <c r="B456" s="67" t="str">
        <f t="shared" si="16"/>
        <v/>
      </c>
      <c r="C456" s="76" t="str">
        <f t="shared" si="17"/>
        <v/>
      </c>
    </row>
    <row r="457" spans="2:3" ht="15.75" customHeight="1" x14ac:dyDescent="0.25">
      <c r="B457" s="67" t="str">
        <f t="shared" si="16"/>
        <v/>
      </c>
      <c r="C457" s="76" t="str">
        <f t="shared" si="17"/>
        <v/>
      </c>
    </row>
    <row r="458" spans="2:3" ht="15.75" customHeight="1" x14ac:dyDescent="0.25">
      <c r="B458" s="67" t="str">
        <f t="shared" si="16"/>
        <v/>
      </c>
      <c r="C458" s="76" t="str">
        <f t="shared" si="17"/>
        <v/>
      </c>
    </row>
    <row r="459" spans="2:3" ht="15.75" customHeight="1" x14ac:dyDescent="0.25">
      <c r="B459" s="67" t="str">
        <f t="shared" si="16"/>
        <v/>
      </c>
      <c r="C459" s="76" t="str">
        <f t="shared" si="17"/>
        <v/>
      </c>
    </row>
    <row r="460" spans="2:3" ht="15.75" customHeight="1" x14ac:dyDescent="0.25">
      <c r="B460" s="67" t="str">
        <f t="shared" si="16"/>
        <v/>
      </c>
      <c r="C460" s="76" t="str">
        <f t="shared" si="17"/>
        <v/>
      </c>
    </row>
    <row r="461" spans="2:3" ht="15.75" customHeight="1" x14ac:dyDescent="0.25">
      <c r="B461" s="67" t="str">
        <f t="shared" si="16"/>
        <v/>
      </c>
      <c r="C461" s="76" t="str">
        <f t="shared" si="17"/>
        <v/>
      </c>
    </row>
    <row r="462" spans="2:3" ht="15.75" customHeight="1" x14ac:dyDescent="0.25">
      <c r="B462" s="67" t="str">
        <f t="shared" si="16"/>
        <v/>
      </c>
      <c r="C462" s="76" t="str">
        <f t="shared" si="17"/>
        <v/>
      </c>
    </row>
    <row r="463" spans="2:3" ht="15.75" customHeight="1" x14ac:dyDescent="0.25">
      <c r="B463" s="67" t="str">
        <f t="shared" si="16"/>
        <v/>
      </c>
      <c r="C463" s="76" t="str">
        <f t="shared" si="17"/>
        <v/>
      </c>
    </row>
    <row r="464" spans="2:3" ht="15.75" customHeight="1" x14ac:dyDescent="0.25">
      <c r="B464" s="67" t="str">
        <f t="shared" si="16"/>
        <v/>
      </c>
      <c r="C464" s="76" t="str">
        <f t="shared" si="17"/>
        <v/>
      </c>
    </row>
    <row r="465" spans="2:3" ht="15.75" customHeight="1" x14ac:dyDescent="0.25">
      <c r="B465" s="67" t="str">
        <f t="shared" si="16"/>
        <v/>
      </c>
      <c r="C465" s="76" t="str">
        <f t="shared" si="17"/>
        <v/>
      </c>
    </row>
    <row r="466" spans="2:3" ht="15.75" customHeight="1" x14ac:dyDescent="0.25">
      <c r="B466" s="67" t="str">
        <f t="shared" si="16"/>
        <v/>
      </c>
      <c r="C466" s="76" t="str">
        <f t="shared" si="17"/>
        <v/>
      </c>
    </row>
    <row r="467" spans="2:3" ht="15.75" customHeight="1" x14ac:dyDescent="0.25">
      <c r="B467" s="67" t="str">
        <f t="shared" si="16"/>
        <v/>
      </c>
      <c r="C467" s="76" t="str">
        <f t="shared" si="17"/>
        <v/>
      </c>
    </row>
    <row r="468" spans="2:3" ht="15.75" customHeight="1" x14ac:dyDescent="0.25">
      <c r="B468" s="67" t="str">
        <f t="shared" si="16"/>
        <v/>
      </c>
      <c r="C468" s="76" t="str">
        <f t="shared" si="17"/>
        <v/>
      </c>
    </row>
    <row r="469" spans="2:3" ht="15.75" customHeight="1" x14ac:dyDescent="0.25">
      <c r="B469" s="67" t="str">
        <f t="shared" si="16"/>
        <v/>
      </c>
      <c r="C469" s="76" t="str">
        <f t="shared" si="17"/>
        <v/>
      </c>
    </row>
    <row r="470" spans="2:3" ht="15.75" customHeight="1" x14ac:dyDescent="0.25">
      <c r="B470" s="67" t="str">
        <f t="shared" si="16"/>
        <v/>
      </c>
      <c r="C470" s="76" t="str">
        <f t="shared" si="17"/>
        <v/>
      </c>
    </row>
    <row r="471" spans="2:3" ht="15.75" customHeight="1" x14ac:dyDescent="0.25">
      <c r="B471" s="67" t="str">
        <f t="shared" si="16"/>
        <v/>
      </c>
      <c r="C471" s="76" t="str">
        <f t="shared" si="17"/>
        <v/>
      </c>
    </row>
    <row r="472" spans="2:3" ht="15.75" customHeight="1" x14ac:dyDescent="0.25">
      <c r="B472" s="67" t="str">
        <f t="shared" si="16"/>
        <v/>
      </c>
      <c r="C472" s="76" t="str">
        <f t="shared" si="17"/>
        <v/>
      </c>
    </row>
    <row r="473" spans="2:3" ht="15.75" customHeight="1" x14ac:dyDescent="0.25">
      <c r="B473" s="67" t="str">
        <f t="shared" si="16"/>
        <v/>
      </c>
      <c r="C473" s="76" t="str">
        <f t="shared" si="17"/>
        <v/>
      </c>
    </row>
    <row r="474" spans="2:3" ht="15.75" customHeight="1" x14ac:dyDescent="0.25">
      <c r="B474" s="67" t="str">
        <f t="shared" si="16"/>
        <v/>
      </c>
      <c r="C474" s="76" t="str">
        <f t="shared" si="17"/>
        <v/>
      </c>
    </row>
    <row r="475" spans="2:3" ht="15.75" customHeight="1" x14ac:dyDescent="0.25">
      <c r="B475" s="67" t="str">
        <f t="shared" si="16"/>
        <v/>
      </c>
      <c r="C475" s="76" t="str">
        <f t="shared" si="17"/>
        <v/>
      </c>
    </row>
    <row r="476" spans="2:3" ht="15.75" customHeight="1" x14ac:dyDescent="0.25">
      <c r="B476" s="67" t="str">
        <f t="shared" si="16"/>
        <v/>
      </c>
      <c r="C476" s="76" t="str">
        <f t="shared" si="17"/>
        <v/>
      </c>
    </row>
    <row r="477" spans="2:3" ht="15.75" customHeight="1" x14ac:dyDescent="0.25">
      <c r="B477" s="67" t="str">
        <f t="shared" si="16"/>
        <v/>
      </c>
      <c r="C477" s="76" t="str">
        <f t="shared" si="17"/>
        <v/>
      </c>
    </row>
    <row r="478" spans="2:3" ht="15.75" customHeight="1" x14ac:dyDescent="0.25">
      <c r="B478" s="67" t="str">
        <f t="shared" si="16"/>
        <v/>
      </c>
      <c r="C478" s="76" t="str">
        <f t="shared" si="17"/>
        <v/>
      </c>
    </row>
    <row r="479" spans="2:3" ht="15.75" customHeight="1" x14ac:dyDescent="0.25">
      <c r="B479" s="67" t="str">
        <f t="shared" si="16"/>
        <v/>
      </c>
      <c r="C479" s="76" t="str">
        <f t="shared" si="17"/>
        <v/>
      </c>
    </row>
    <row r="480" spans="2:3" ht="15.75" customHeight="1" x14ac:dyDescent="0.25">
      <c r="B480" s="67" t="str">
        <f t="shared" si="16"/>
        <v/>
      </c>
      <c r="C480" s="76" t="str">
        <f t="shared" si="17"/>
        <v/>
      </c>
    </row>
    <row r="481" spans="2:3" ht="15.75" customHeight="1" x14ac:dyDescent="0.25">
      <c r="B481" s="67" t="str">
        <f t="shared" si="16"/>
        <v/>
      </c>
      <c r="C481" s="76" t="str">
        <f t="shared" si="17"/>
        <v/>
      </c>
    </row>
    <row r="482" spans="2:3" ht="15.75" customHeight="1" x14ac:dyDescent="0.25">
      <c r="B482" s="67" t="str">
        <f t="shared" si="16"/>
        <v/>
      </c>
      <c r="C482" s="76" t="str">
        <f t="shared" si="17"/>
        <v/>
      </c>
    </row>
    <row r="483" spans="2:3" ht="15.75" customHeight="1" x14ac:dyDescent="0.25">
      <c r="B483" s="67" t="str">
        <f t="shared" si="16"/>
        <v/>
      </c>
      <c r="C483" s="76" t="str">
        <f t="shared" si="17"/>
        <v/>
      </c>
    </row>
    <row r="484" spans="2:3" ht="15.75" customHeight="1" x14ac:dyDescent="0.25">
      <c r="B484" s="67" t="str">
        <f t="shared" si="16"/>
        <v/>
      </c>
      <c r="C484" s="76" t="str">
        <f t="shared" si="17"/>
        <v/>
      </c>
    </row>
    <row r="485" spans="2:3" ht="15.75" customHeight="1" x14ac:dyDescent="0.25">
      <c r="B485" s="67" t="str">
        <f t="shared" si="16"/>
        <v/>
      </c>
      <c r="C485" s="76" t="str">
        <f t="shared" si="17"/>
        <v/>
      </c>
    </row>
    <row r="486" spans="2:3" ht="15.75" customHeight="1" x14ac:dyDescent="0.25">
      <c r="B486" s="67" t="str">
        <f t="shared" si="16"/>
        <v/>
      </c>
      <c r="C486" s="76" t="str">
        <f t="shared" si="17"/>
        <v/>
      </c>
    </row>
    <row r="487" spans="2:3" ht="15.75" customHeight="1" x14ac:dyDescent="0.25">
      <c r="B487" s="67" t="str">
        <f t="shared" si="16"/>
        <v/>
      </c>
      <c r="C487" s="76" t="str">
        <f t="shared" si="17"/>
        <v/>
      </c>
    </row>
    <row r="488" spans="2:3" ht="15.75" customHeight="1" x14ac:dyDescent="0.25">
      <c r="B488" s="67" t="str">
        <f t="shared" si="16"/>
        <v/>
      </c>
      <c r="C488" s="76" t="str">
        <f t="shared" si="17"/>
        <v/>
      </c>
    </row>
    <row r="489" spans="2:3" ht="15.75" customHeight="1" x14ac:dyDescent="0.25">
      <c r="B489" s="67" t="str">
        <f t="shared" si="16"/>
        <v/>
      </c>
      <c r="C489" s="76" t="str">
        <f t="shared" si="17"/>
        <v/>
      </c>
    </row>
    <row r="490" spans="2:3" ht="15.75" customHeight="1" x14ac:dyDescent="0.25">
      <c r="B490" s="67" t="str">
        <f t="shared" si="16"/>
        <v/>
      </c>
      <c r="C490" s="76" t="str">
        <f t="shared" si="17"/>
        <v/>
      </c>
    </row>
    <row r="491" spans="2:3" ht="15.75" customHeight="1" x14ac:dyDescent="0.25">
      <c r="B491" s="67" t="str">
        <f t="shared" si="16"/>
        <v/>
      </c>
      <c r="C491" s="76" t="str">
        <f t="shared" si="17"/>
        <v/>
      </c>
    </row>
    <row r="492" spans="2:3" ht="15.75" customHeight="1" x14ac:dyDescent="0.25">
      <c r="B492" s="67" t="str">
        <f t="shared" si="16"/>
        <v/>
      </c>
      <c r="C492" s="76" t="str">
        <f t="shared" si="17"/>
        <v/>
      </c>
    </row>
    <row r="493" spans="2:3" ht="15.75" customHeight="1" x14ac:dyDescent="0.25">
      <c r="B493" s="67" t="str">
        <f t="shared" si="16"/>
        <v/>
      </c>
      <c r="C493" s="76" t="str">
        <f t="shared" si="17"/>
        <v/>
      </c>
    </row>
    <row r="494" spans="2:3" ht="15.75" customHeight="1" x14ac:dyDescent="0.25">
      <c r="B494" s="67" t="str">
        <f t="shared" si="16"/>
        <v/>
      </c>
      <c r="C494" s="76" t="str">
        <f t="shared" si="17"/>
        <v/>
      </c>
    </row>
    <row r="495" spans="2:3" ht="15.75" customHeight="1" x14ac:dyDescent="0.25">
      <c r="B495" s="67" t="str">
        <f t="shared" ref="B495:B511" si="18">IF(B494="","",IF(B494+$C$9&lt;=$C$5,B494+$C$9,""))</f>
        <v/>
      </c>
      <c r="C495" s="76" t="str">
        <f t="shared" ref="C495:C511" si="19">IF(B495&lt;&gt;"",C494-$C$2/COUNT($B$17:$B$510),"")</f>
        <v/>
      </c>
    </row>
    <row r="496" spans="2:3" ht="15.75" customHeight="1" x14ac:dyDescent="0.25">
      <c r="B496" s="67" t="str">
        <f t="shared" si="18"/>
        <v/>
      </c>
      <c r="C496" s="76" t="str">
        <f t="shared" si="19"/>
        <v/>
      </c>
    </row>
    <row r="497" spans="2:3" ht="15.75" customHeight="1" x14ac:dyDescent="0.25">
      <c r="B497" s="67" t="str">
        <f t="shared" si="18"/>
        <v/>
      </c>
      <c r="C497" s="76" t="str">
        <f t="shared" si="19"/>
        <v/>
      </c>
    </row>
    <row r="498" spans="2:3" ht="15.75" customHeight="1" x14ac:dyDescent="0.25">
      <c r="B498" s="67" t="str">
        <f t="shared" si="18"/>
        <v/>
      </c>
      <c r="C498" s="76" t="str">
        <f t="shared" si="19"/>
        <v/>
      </c>
    </row>
    <row r="499" spans="2:3" ht="15.75" customHeight="1" x14ac:dyDescent="0.25">
      <c r="B499" s="67" t="str">
        <f t="shared" si="18"/>
        <v/>
      </c>
      <c r="C499" s="76" t="str">
        <f t="shared" si="19"/>
        <v/>
      </c>
    </row>
    <row r="500" spans="2:3" ht="15.75" customHeight="1" x14ac:dyDescent="0.25">
      <c r="B500" s="67" t="str">
        <f t="shared" si="18"/>
        <v/>
      </c>
      <c r="C500" s="76" t="str">
        <f t="shared" si="19"/>
        <v/>
      </c>
    </row>
    <row r="501" spans="2:3" ht="15.75" customHeight="1" x14ac:dyDescent="0.25">
      <c r="B501" s="67" t="str">
        <f t="shared" si="18"/>
        <v/>
      </c>
      <c r="C501" s="76" t="str">
        <f t="shared" si="19"/>
        <v/>
      </c>
    </row>
    <row r="502" spans="2:3" ht="15.75" customHeight="1" x14ac:dyDescent="0.25">
      <c r="B502" s="67" t="str">
        <f t="shared" si="18"/>
        <v/>
      </c>
      <c r="C502" s="76" t="str">
        <f t="shared" si="19"/>
        <v/>
      </c>
    </row>
    <row r="503" spans="2:3" ht="15.75" customHeight="1" x14ac:dyDescent="0.25">
      <c r="B503" s="67" t="str">
        <f t="shared" si="18"/>
        <v/>
      </c>
      <c r="C503" s="76" t="str">
        <f t="shared" si="19"/>
        <v/>
      </c>
    </row>
    <row r="504" spans="2:3" ht="15.75" customHeight="1" x14ac:dyDescent="0.25">
      <c r="B504" s="67" t="str">
        <f t="shared" si="18"/>
        <v/>
      </c>
      <c r="C504" s="76" t="str">
        <f t="shared" si="19"/>
        <v/>
      </c>
    </row>
    <row r="505" spans="2:3" ht="15.75" customHeight="1" x14ac:dyDescent="0.25">
      <c r="B505" s="67" t="str">
        <f t="shared" si="18"/>
        <v/>
      </c>
      <c r="C505" s="76" t="str">
        <f t="shared" si="19"/>
        <v/>
      </c>
    </row>
    <row r="506" spans="2:3" ht="15.75" customHeight="1" x14ac:dyDescent="0.25">
      <c r="B506" s="67" t="str">
        <f t="shared" si="18"/>
        <v/>
      </c>
      <c r="C506" s="76" t="str">
        <f t="shared" si="19"/>
        <v/>
      </c>
    </row>
    <row r="507" spans="2:3" ht="15.75" customHeight="1" x14ac:dyDescent="0.25">
      <c r="B507" s="67" t="str">
        <f t="shared" si="18"/>
        <v/>
      </c>
      <c r="C507" s="76" t="str">
        <f t="shared" si="19"/>
        <v/>
      </c>
    </row>
    <row r="508" spans="2:3" ht="15.75" customHeight="1" x14ac:dyDescent="0.25">
      <c r="B508" s="67" t="str">
        <f t="shared" si="18"/>
        <v/>
      </c>
      <c r="C508" s="76" t="str">
        <f t="shared" si="19"/>
        <v/>
      </c>
    </row>
    <row r="509" spans="2:3" ht="15.75" customHeight="1" x14ac:dyDescent="0.25">
      <c r="B509" s="67" t="str">
        <f t="shared" si="18"/>
        <v/>
      </c>
      <c r="C509" s="76" t="str">
        <f t="shared" si="19"/>
        <v/>
      </c>
    </row>
    <row r="510" spans="2:3" ht="15.75" customHeight="1" x14ac:dyDescent="0.25">
      <c r="B510" s="67" t="str">
        <f t="shared" si="18"/>
        <v/>
      </c>
      <c r="C510" s="76" t="str">
        <f t="shared" si="19"/>
        <v/>
      </c>
    </row>
    <row r="511" spans="2:3" ht="15.75" customHeight="1" x14ac:dyDescent="0.25">
      <c r="B511" s="67" t="str">
        <f t="shared" si="18"/>
        <v/>
      </c>
      <c r="C511" s="76" t="str">
        <f t="shared" si="19"/>
        <v/>
      </c>
    </row>
  </sheetData>
  <mergeCells count="3">
    <mergeCell ref="A1:K1"/>
    <mergeCell ref="B12:F12"/>
    <mergeCell ref="G12:L12"/>
  </mergeCells>
  <conditionalFormatting sqref="A14:L14">
    <cfRule type="expression" dxfId="151" priority="43">
      <formula>AND(TODAY()&gt;=$B$14,TODAY()&lt;$B$15)</formula>
    </cfRule>
  </conditionalFormatting>
  <conditionalFormatting sqref="A15:L54">
    <cfRule type="expression" dxfId="150" priority="2">
      <formula>AND(TODAY()&gt;=$B15,TODAY()&lt;$B16)</formula>
    </cfRule>
  </conditionalFormatting>
  <conditionalFormatting sqref="B14:B54">
    <cfRule type="cellIs" dxfId="149" priority="1" operator="greaterThan">
      <formula>$C$5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0D09-6A87-40CF-B774-355C7A20CE76}">
  <dimension ref="A1:C15"/>
  <sheetViews>
    <sheetView topLeftCell="B5" zoomScaleNormal="100" zoomScaleSheetLayoutView="100" workbookViewId="0">
      <selection activeCell="B16" sqref="B16"/>
    </sheetView>
  </sheetViews>
  <sheetFormatPr defaultRowHeight="15.75" x14ac:dyDescent="0.25"/>
  <cols>
    <col min="1" max="1" width="15" bestFit="1" customWidth="1"/>
    <col min="2" max="2" width="26.125" bestFit="1" customWidth="1"/>
  </cols>
  <sheetData>
    <row r="1" spans="1:3" x14ac:dyDescent="0.25">
      <c r="A1" t="s">
        <v>64</v>
      </c>
      <c r="B1" s="123" t="s">
        <v>65</v>
      </c>
      <c r="C1" t="s">
        <v>66</v>
      </c>
    </row>
    <row r="2" spans="1:3" x14ac:dyDescent="0.25">
      <c r="A2" t="s">
        <v>67</v>
      </c>
      <c r="B2" t="s">
        <v>68</v>
      </c>
      <c r="C2" t="s">
        <v>69</v>
      </c>
    </row>
    <row r="3" spans="1:3" x14ac:dyDescent="0.25">
      <c r="A3" t="s">
        <v>70</v>
      </c>
      <c r="B3" t="s">
        <v>71</v>
      </c>
      <c r="C3" t="s">
        <v>72</v>
      </c>
    </row>
    <row r="4" spans="1:3" x14ac:dyDescent="0.25">
      <c r="A4" t="s">
        <v>73</v>
      </c>
      <c r="B4" t="s">
        <v>74</v>
      </c>
      <c r="C4" t="s">
        <v>75</v>
      </c>
    </row>
    <row r="5" spans="1:3" x14ac:dyDescent="0.25">
      <c r="A5" t="s">
        <v>76</v>
      </c>
      <c r="B5" t="s">
        <v>77</v>
      </c>
      <c r="C5" t="s">
        <v>78</v>
      </c>
    </row>
    <row r="6" spans="1:3" x14ac:dyDescent="0.25">
      <c r="A6" t="s">
        <v>79</v>
      </c>
      <c r="B6" t="s">
        <v>80</v>
      </c>
      <c r="C6" t="s">
        <v>81</v>
      </c>
    </row>
    <row r="7" spans="1:3" x14ac:dyDescent="0.25">
      <c r="A7" t="s">
        <v>82</v>
      </c>
      <c r="B7" t="s">
        <v>83</v>
      </c>
    </row>
    <row r="8" spans="1:3" x14ac:dyDescent="0.25">
      <c r="A8" t="s">
        <v>84</v>
      </c>
      <c r="B8" t="s">
        <v>85</v>
      </c>
    </row>
    <row r="9" spans="1:3" x14ac:dyDescent="0.25">
      <c r="A9" t="s">
        <v>86</v>
      </c>
      <c r="B9" t="s">
        <v>87</v>
      </c>
    </row>
    <row r="10" spans="1:3" x14ac:dyDescent="0.25">
      <c r="A10" t="s">
        <v>88</v>
      </c>
      <c r="B10" t="s">
        <v>89</v>
      </c>
    </row>
    <row r="11" spans="1:3" x14ac:dyDescent="0.25">
      <c r="A11" t="s">
        <v>90</v>
      </c>
      <c r="B11" t="s">
        <v>91</v>
      </c>
    </row>
    <row r="12" spans="1:3" x14ac:dyDescent="0.25">
      <c r="A12" t="s">
        <v>92</v>
      </c>
      <c r="B12" t="s">
        <v>93</v>
      </c>
    </row>
    <row r="13" spans="1:3" x14ac:dyDescent="0.25">
      <c r="B13" t="s">
        <v>94</v>
      </c>
    </row>
    <row r="14" spans="1:3" x14ac:dyDescent="0.25">
      <c r="B14" t="s">
        <v>95</v>
      </c>
    </row>
    <row r="15" spans="1:3" x14ac:dyDescent="0.25">
      <c r="B15" t="s">
        <v>96</v>
      </c>
    </row>
  </sheetData>
  <dataValidations count="1">
    <dataValidation type="list" showInputMessage="1" showErrorMessage="1" sqref="C2" xr:uid="{70D23351-BD6D-4869-A860-95215CA86069}">
      <formula1>$C$2:$C$5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AF8A-BAB2-4BE8-AE7F-6D8402C33369}">
  <dimension ref="A1:U929"/>
  <sheetViews>
    <sheetView zoomScaleNormal="100" zoomScaleSheetLayoutView="100" workbookViewId="0">
      <selection activeCell="K762" sqref="K762"/>
    </sheetView>
  </sheetViews>
  <sheetFormatPr defaultRowHeight="15.75" x14ac:dyDescent="0.25"/>
  <cols>
    <col min="1" max="1" width="13" bestFit="1" customWidth="1"/>
    <col min="2" max="2" width="14.75" bestFit="1" customWidth="1"/>
    <col min="3" max="3" width="11.375" bestFit="1" customWidth="1"/>
    <col min="4" max="4" width="129.25" bestFit="1" customWidth="1"/>
    <col min="5" max="5" width="26.625" bestFit="1" customWidth="1"/>
    <col min="6" max="6" width="27" bestFit="1" customWidth="1"/>
    <col min="7" max="7" width="29.625" bestFit="1" customWidth="1"/>
    <col min="8" max="9" width="31.625" bestFit="1" customWidth="1"/>
    <col min="10" max="10" width="15.375" bestFit="1" customWidth="1"/>
    <col min="11" max="11" width="47.125" bestFit="1" customWidth="1"/>
    <col min="12" max="12" width="31.25" bestFit="1" customWidth="1"/>
    <col min="13" max="13" width="15.375" bestFit="1" customWidth="1"/>
    <col min="14" max="14" width="29.75" bestFit="1" customWidth="1"/>
    <col min="15" max="16" width="31.75" bestFit="1" customWidth="1"/>
    <col min="17" max="17" width="7.125" bestFit="1" customWidth="1"/>
    <col min="18" max="18" width="11.875" bestFit="1" customWidth="1"/>
    <col min="19" max="19" width="91" bestFit="1" customWidth="1"/>
    <col min="20" max="20" width="35.25" bestFit="1" customWidth="1"/>
    <col min="21" max="21" width="21.125" bestFit="1" customWidth="1"/>
  </cols>
  <sheetData>
    <row r="1" spans="1:21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</row>
    <row r="2" spans="1:21" x14ac:dyDescent="0.25">
      <c r="A2" t="s">
        <v>118</v>
      </c>
      <c r="B2" t="s">
        <v>119</v>
      </c>
      <c r="C2">
        <v>156507</v>
      </c>
      <c r="D2" t="s">
        <v>120</v>
      </c>
      <c r="E2" t="s">
        <v>121</v>
      </c>
      <c r="F2" t="s">
        <v>122</v>
      </c>
      <c r="G2" t="s">
        <v>68</v>
      </c>
      <c r="H2" t="s">
        <v>122</v>
      </c>
      <c r="I2" t="s">
        <v>122</v>
      </c>
      <c r="J2" s="127">
        <v>46084.454861111109</v>
      </c>
      <c r="K2" s="127">
        <v>45992.640277777777</v>
      </c>
      <c r="L2" s="127">
        <v>45993</v>
      </c>
      <c r="M2" s="127"/>
      <c r="N2" t="s">
        <v>72</v>
      </c>
      <c r="O2" t="s">
        <v>122</v>
      </c>
      <c r="P2" t="s">
        <v>122</v>
      </c>
      <c r="Q2">
        <v>156472</v>
      </c>
      <c r="R2" t="s">
        <v>123</v>
      </c>
      <c r="S2" t="s">
        <v>124</v>
      </c>
      <c r="T2" t="s">
        <v>125</v>
      </c>
      <c r="U2" t="s">
        <v>126</v>
      </c>
    </row>
    <row r="3" spans="1:21" x14ac:dyDescent="0.25">
      <c r="A3" t="s">
        <v>127</v>
      </c>
      <c r="B3" t="s">
        <v>128</v>
      </c>
      <c r="C3">
        <v>153376</v>
      </c>
      <c r="D3" t="s">
        <v>129</v>
      </c>
      <c r="E3" t="s">
        <v>130</v>
      </c>
      <c r="F3" t="s">
        <v>67</v>
      </c>
      <c r="G3" t="s">
        <v>68</v>
      </c>
      <c r="H3" t="s">
        <v>122</v>
      </c>
      <c r="I3" t="s">
        <v>122</v>
      </c>
      <c r="J3" s="127">
        <v>46066.616666666669</v>
      </c>
      <c r="K3" s="127">
        <v>46066</v>
      </c>
      <c r="L3" s="127">
        <v>46066</v>
      </c>
      <c r="M3" s="127">
        <v>46076.447222222225</v>
      </c>
      <c r="N3" t="s">
        <v>72</v>
      </c>
      <c r="O3" t="s">
        <v>122</v>
      </c>
      <c r="P3" t="s">
        <v>122</v>
      </c>
      <c r="Q3">
        <v>75650</v>
      </c>
      <c r="R3" t="s">
        <v>131</v>
      </c>
      <c r="S3" t="s">
        <v>132</v>
      </c>
      <c r="T3" t="s">
        <v>125</v>
      </c>
      <c r="U3" t="s">
        <v>126</v>
      </c>
    </row>
    <row r="4" spans="1:21" x14ac:dyDescent="0.25">
      <c r="A4" t="s">
        <v>118</v>
      </c>
      <c r="B4" t="s">
        <v>133</v>
      </c>
      <c r="C4">
        <v>150279</v>
      </c>
      <c r="D4" t="s">
        <v>134</v>
      </c>
      <c r="E4" t="s">
        <v>121</v>
      </c>
      <c r="F4" t="s">
        <v>122</v>
      </c>
      <c r="G4" t="s">
        <v>68</v>
      </c>
      <c r="H4" t="s">
        <v>122</v>
      </c>
      <c r="I4" t="s">
        <v>122</v>
      </c>
      <c r="J4" s="127">
        <v>46056.426388888889</v>
      </c>
      <c r="K4" s="127"/>
      <c r="L4" s="127"/>
      <c r="M4" s="127"/>
      <c r="N4" t="s">
        <v>75</v>
      </c>
      <c r="O4" t="s">
        <v>122</v>
      </c>
      <c r="P4" t="s">
        <v>122</v>
      </c>
      <c r="Q4">
        <v>148376</v>
      </c>
      <c r="R4" t="s">
        <v>135</v>
      </c>
      <c r="S4" t="s">
        <v>136</v>
      </c>
      <c r="T4" t="s">
        <v>125</v>
      </c>
      <c r="U4" t="s">
        <v>137</v>
      </c>
    </row>
    <row r="5" spans="1:21" x14ac:dyDescent="0.25">
      <c r="A5" t="s">
        <v>118</v>
      </c>
      <c r="B5" t="s">
        <v>138</v>
      </c>
      <c r="C5">
        <v>150097</v>
      </c>
      <c r="D5" t="s">
        <v>139</v>
      </c>
      <c r="E5" t="s">
        <v>130</v>
      </c>
      <c r="F5" t="s">
        <v>67</v>
      </c>
      <c r="G5" t="s">
        <v>68</v>
      </c>
      <c r="H5" t="s">
        <v>122</v>
      </c>
      <c r="I5" t="s">
        <v>122</v>
      </c>
      <c r="J5" s="127">
        <v>46055.59097222222</v>
      </c>
      <c r="K5" s="127">
        <v>46063.729166666664</v>
      </c>
      <c r="L5" s="127">
        <v>46063</v>
      </c>
      <c r="M5" s="127">
        <v>46076.599305555559</v>
      </c>
      <c r="N5" t="s">
        <v>75</v>
      </c>
      <c r="O5" t="s">
        <v>122</v>
      </c>
      <c r="P5" t="s">
        <v>122</v>
      </c>
      <c r="Q5">
        <v>148350</v>
      </c>
      <c r="R5" t="s">
        <v>140</v>
      </c>
      <c r="S5" t="s">
        <v>141</v>
      </c>
      <c r="T5" t="s">
        <v>125</v>
      </c>
      <c r="U5" t="s">
        <v>137</v>
      </c>
    </row>
    <row r="6" spans="1:21" x14ac:dyDescent="0.25">
      <c r="A6" t="s">
        <v>142</v>
      </c>
      <c r="B6" t="s">
        <v>143</v>
      </c>
      <c r="C6">
        <v>148789</v>
      </c>
      <c r="D6" t="s">
        <v>144</v>
      </c>
      <c r="E6" t="s">
        <v>130</v>
      </c>
      <c r="F6" t="s">
        <v>67</v>
      </c>
      <c r="G6" t="s">
        <v>145</v>
      </c>
      <c r="H6" t="s">
        <v>122</v>
      </c>
      <c r="I6" t="s">
        <v>122</v>
      </c>
      <c r="J6" s="127">
        <v>46049.480555555558</v>
      </c>
      <c r="K6" s="127">
        <v>46055</v>
      </c>
      <c r="L6" s="127">
        <v>46062</v>
      </c>
      <c r="M6" s="127">
        <v>46094.387499999997</v>
      </c>
      <c r="N6" t="s">
        <v>75</v>
      </c>
      <c r="O6" t="s">
        <v>122</v>
      </c>
      <c r="P6" t="s">
        <v>122</v>
      </c>
      <c r="Q6">
        <v>148792</v>
      </c>
      <c r="R6" t="s">
        <v>146</v>
      </c>
      <c r="S6" t="s">
        <v>147</v>
      </c>
      <c r="T6" t="s">
        <v>148</v>
      </c>
      <c r="U6" t="s">
        <v>137</v>
      </c>
    </row>
    <row r="7" spans="1:21" x14ac:dyDescent="0.25">
      <c r="A7" t="s">
        <v>142</v>
      </c>
      <c r="B7" t="s">
        <v>149</v>
      </c>
      <c r="C7">
        <v>148788</v>
      </c>
      <c r="D7" t="s">
        <v>150</v>
      </c>
      <c r="E7" t="s">
        <v>130</v>
      </c>
      <c r="F7" t="s">
        <v>67</v>
      </c>
      <c r="G7" t="s">
        <v>145</v>
      </c>
      <c r="H7" t="s">
        <v>122</v>
      </c>
      <c r="I7" t="s">
        <v>122</v>
      </c>
      <c r="J7" s="127">
        <v>46049.479166666664</v>
      </c>
      <c r="K7" s="127">
        <v>46049</v>
      </c>
      <c r="L7" s="127">
        <v>46050</v>
      </c>
      <c r="M7" s="127">
        <v>46062.445833333331</v>
      </c>
      <c r="N7" t="s">
        <v>75</v>
      </c>
      <c r="O7" t="s">
        <v>122</v>
      </c>
      <c r="P7" t="s">
        <v>122</v>
      </c>
      <c r="Q7">
        <v>148792</v>
      </c>
      <c r="R7" t="s">
        <v>146</v>
      </c>
      <c r="S7" t="s">
        <v>147</v>
      </c>
      <c r="T7" t="s">
        <v>148</v>
      </c>
      <c r="U7" t="s">
        <v>137</v>
      </c>
    </row>
    <row r="8" spans="1:21" x14ac:dyDescent="0.25">
      <c r="A8" t="s">
        <v>118</v>
      </c>
      <c r="B8" t="s">
        <v>151</v>
      </c>
      <c r="C8">
        <v>148784</v>
      </c>
      <c r="D8" t="s">
        <v>152</v>
      </c>
      <c r="E8" t="s">
        <v>130</v>
      </c>
      <c r="F8" t="s">
        <v>67</v>
      </c>
      <c r="G8" t="s">
        <v>68</v>
      </c>
      <c r="H8" t="s">
        <v>122</v>
      </c>
      <c r="I8" t="s">
        <v>122</v>
      </c>
      <c r="J8" s="127">
        <v>46049.470833333333</v>
      </c>
      <c r="K8" s="127">
        <v>46073.520138888889</v>
      </c>
      <c r="L8" s="127">
        <v>46073</v>
      </c>
      <c r="M8" s="127">
        <v>46076.592361111114</v>
      </c>
      <c r="N8" t="s">
        <v>75</v>
      </c>
      <c r="O8" t="s">
        <v>122</v>
      </c>
      <c r="P8" t="s">
        <v>122</v>
      </c>
      <c r="Q8">
        <v>148350</v>
      </c>
      <c r="R8" t="s">
        <v>140</v>
      </c>
      <c r="S8" t="s">
        <v>141</v>
      </c>
      <c r="T8" t="s">
        <v>125</v>
      </c>
      <c r="U8" t="s">
        <v>137</v>
      </c>
    </row>
    <row r="9" spans="1:21" x14ac:dyDescent="0.25">
      <c r="A9" t="s">
        <v>118</v>
      </c>
      <c r="B9" t="s">
        <v>153</v>
      </c>
      <c r="C9">
        <v>148778</v>
      </c>
      <c r="D9" t="s">
        <v>154</v>
      </c>
      <c r="E9" t="s">
        <v>130</v>
      </c>
      <c r="F9" t="s">
        <v>67</v>
      </c>
      <c r="G9" t="s">
        <v>68</v>
      </c>
      <c r="H9" t="s">
        <v>122</v>
      </c>
      <c r="I9" t="s">
        <v>122</v>
      </c>
      <c r="J9" s="127">
        <v>46049.457638888889</v>
      </c>
      <c r="K9" s="127">
        <v>46076.800000000003</v>
      </c>
      <c r="L9" s="127">
        <v>46076</v>
      </c>
      <c r="M9" s="127">
        <v>46083.429861111108</v>
      </c>
      <c r="N9" t="s">
        <v>75</v>
      </c>
      <c r="O9" t="s">
        <v>122</v>
      </c>
      <c r="P9" t="s">
        <v>122</v>
      </c>
      <c r="Q9">
        <v>148350</v>
      </c>
      <c r="R9" t="s">
        <v>140</v>
      </c>
      <c r="S9" t="s">
        <v>141</v>
      </c>
      <c r="T9" t="s">
        <v>125</v>
      </c>
      <c r="U9" t="s">
        <v>137</v>
      </c>
    </row>
    <row r="10" spans="1:21" x14ac:dyDescent="0.25">
      <c r="A10" t="s">
        <v>118</v>
      </c>
      <c r="B10" t="s">
        <v>155</v>
      </c>
      <c r="C10">
        <v>148208</v>
      </c>
      <c r="D10" t="s">
        <v>156</v>
      </c>
      <c r="E10" t="s">
        <v>130</v>
      </c>
      <c r="F10" t="s">
        <v>67</v>
      </c>
      <c r="G10" t="s">
        <v>68</v>
      </c>
      <c r="H10" t="s">
        <v>122</v>
      </c>
      <c r="I10" t="s">
        <v>122</v>
      </c>
      <c r="J10" s="127">
        <v>46044.615277777775</v>
      </c>
      <c r="K10" s="127">
        <v>46049.509027777778</v>
      </c>
      <c r="L10" s="127">
        <v>46049</v>
      </c>
      <c r="M10" s="127">
        <v>46055.59097222222</v>
      </c>
      <c r="N10" t="s">
        <v>75</v>
      </c>
      <c r="O10" t="s">
        <v>122</v>
      </c>
      <c r="P10" t="s">
        <v>122</v>
      </c>
      <c r="Q10">
        <v>148350</v>
      </c>
      <c r="R10" t="s">
        <v>140</v>
      </c>
      <c r="S10" t="s">
        <v>141</v>
      </c>
      <c r="T10" t="s">
        <v>125</v>
      </c>
      <c r="U10" t="s">
        <v>137</v>
      </c>
    </row>
    <row r="11" spans="1:21" x14ac:dyDescent="0.25">
      <c r="A11" t="s">
        <v>118</v>
      </c>
      <c r="B11" t="s">
        <v>157</v>
      </c>
      <c r="C11">
        <v>148197</v>
      </c>
      <c r="D11" t="s">
        <v>158</v>
      </c>
      <c r="E11" t="s">
        <v>130</v>
      </c>
      <c r="F11" t="s">
        <v>67</v>
      </c>
      <c r="G11" t="s">
        <v>145</v>
      </c>
      <c r="H11" t="s">
        <v>122</v>
      </c>
      <c r="I11" t="s">
        <v>122</v>
      </c>
      <c r="J11" s="127">
        <v>46044.592361111114</v>
      </c>
      <c r="K11" s="127">
        <v>46044.885416666664</v>
      </c>
      <c r="L11" s="127">
        <v>46044</v>
      </c>
      <c r="M11" s="127">
        <v>46073.38958333333</v>
      </c>
      <c r="N11" t="s">
        <v>75</v>
      </c>
      <c r="O11" t="s">
        <v>122</v>
      </c>
      <c r="P11" t="s">
        <v>122</v>
      </c>
      <c r="Q11">
        <v>148376</v>
      </c>
      <c r="R11" t="s">
        <v>135</v>
      </c>
      <c r="S11" t="s">
        <v>136</v>
      </c>
      <c r="T11" t="s">
        <v>148</v>
      </c>
      <c r="U11" t="s">
        <v>137</v>
      </c>
    </row>
    <row r="12" spans="1:21" x14ac:dyDescent="0.25">
      <c r="A12" t="s">
        <v>127</v>
      </c>
      <c r="B12" t="s">
        <v>159</v>
      </c>
      <c r="C12">
        <v>145760</v>
      </c>
      <c r="D12" t="s">
        <v>129</v>
      </c>
      <c r="E12" t="s">
        <v>130</v>
      </c>
      <c r="F12" t="s">
        <v>67</v>
      </c>
      <c r="G12" t="s">
        <v>68</v>
      </c>
      <c r="H12" t="s">
        <v>122</v>
      </c>
      <c r="I12" t="s">
        <v>122</v>
      </c>
      <c r="J12" s="127">
        <v>46030.409722222219</v>
      </c>
      <c r="K12" s="127">
        <v>46030.538888888892</v>
      </c>
      <c r="L12" s="127">
        <v>46030.538888888892</v>
      </c>
      <c r="M12" s="127">
        <v>46030.456250000003</v>
      </c>
      <c r="N12" t="s">
        <v>72</v>
      </c>
      <c r="O12" t="s">
        <v>122</v>
      </c>
      <c r="P12" t="s">
        <v>122</v>
      </c>
      <c r="Q12">
        <v>75650</v>
      </c>
      <c r="R12" t="s">
        <v>131</v>
      </c>
      <c r="S12" t="s">
        <v>132</v>
      </c>
      <c r="T12" t="s">
        <v>125</v>
      </c>
      <c r="U12" t="s">
        <v>126</v>
      </c>
    </row>
    <row r="13" spans="1:21" x14ac:dyDescent="0.25">
      <c r="A13" t="s">
        <v>127</v>
      </c>
      <c r="B13" t="s">
        <v>160</v>
      </c>
      <c r="C13">
        <v>141520</v>
      </c>
      <c r="D13" t="s">
        <v>161</v>
      </c>
      <c r="E13" t="s">
        <v>130</v>
      </c>
      <c r="F13" t="s">
        <v>122</v>
      </c>
      <c r="G13" t="s">
        <v>68</v>
      </c>
      <c r="H13" t="s">
        <v>122</v>
      </c>
      <c r="I13" t="s">
        <v>122</v>
      </c>
      <c r="J13" s="127">
        <v>46022.423611111109</v>
      </c>
      <c r="K13" s="127">
        <v>46022</v>
      </c>
      <c r="L13" s="127">
        <v>46022</v>
      </c>
      <c r="M13" s="127">
        <v>46027.574999999997</v>
      </c>
      <c r="N13" t="s">
        <v>72</v>
      </c>
      <c r="O13" t="s">
        <v>122</v>
      </c>
      <c r="P13" t="s">
        <v>122</v>
      </c>
      <c r="Q13">
        <v>75650</v>
      </c>
      <c r="R13" t="s">
        <v>131</v>
      </c>
      <c r="S13" t="s">
        <v>132</v>
      </c>
      <c r="T13" t="s">
        <v>125</v>
      </c>
      <c r="U13" t="s">
        <v>126</v>
      </c>
    </row>
    <row r="14" spans="1:21" x14ac:dyDescent="0.25">
      <c r="A14" t="s">
        <v>127</v>
      </c>
      <c r="B14" t="s">
        <v>162</v>
      </c>
      <c r="C14">
        <v>140573</v>
      </c>
      <c r="D14" t="s">
        <v>163</v>
      </c>
      <c r="E14" t="s">
        <v>130</v>
      </c>
      <c r="F14" t="s">
        <v>67</v>
      </c>
      <c r="G14" t="s">
        <v>68</v>
      </c>
      <c r="H14" t="s">
        <v>122</v>
      </c>
      <c r="I14" t="s">
        <v>122</v>
      </c>
      <c r="J14" s="127">
        <v>46020.46875</v>
      </c>
      <c r="K14" s="127">
        <v>46020.757638888892</v>
      </c>
      <c r="L14" s="127">
        <v>46020.757638888892</v>
      </c>
      <c r="M14" s="127">
        <v>46030.630555555559</v>
      </c>
      <c r="N14" t="s">
        <v>72</v>
      </c>
      <c r="O14" t="s">
        <v>122</v>
      </c>
      <c r="P14" t="s">
        <v>122</v>
      </c>
      <c r="Q14">
        <v>75650</v>
      </c>
      <c r="R14" t="s">
        <v>131</v>
      </c>
      <c r="S14" t="s">
        <v>132</v>
      </c>
      <c r="T14" t="s">
        <v>125</v>
      </c>
      <c r="U14" t="s">
        <v>126</v>
      </c>
    </row>
    <row r="15" spans="1:21" x14ac:dyDescent="0.25">
      <c r="A15" t="s">
        <v>127</v>
      </c>
      <c r="B15" t="s">
        <v>164</v>
      </c>
      <c r="C15">
        <v>140572</v>
      </c>
      <c r="D15" t="s">
        <v>165</v>
      </c>
      <c r="E15" t="s">
        <v>130</v>
      </c>
      <c r="F15" t="s">
        <v>67</v>
      </c>
      <c r="G15" t="s">
        <v>68</v>
      </c>
      <c r="H15" t="s">
        <v>122</v>
      </c>
      <c r="I15" t="s">
        <v>122</v>
      </c>
      <c r="J15" s="127">
        <v>46020.46875</v>
      </c>
      <c r="K15" s="127">
        <v>46020.625</v>
      </c>
      <c r="L15" s="127">
        <v>46020.625</v>
      </c>
      <c r="M15" s="127">
        <v>46021.662499999999</v>
      </c>
      <c r="N15" t="s">
        <v>72</v>
      </c>
      <c r="O15" t="s">
        <v>122</v>
      </c>
      <c r="P15" t="s">
        <v>122</v>
      </c>
      <c r="Q15">
        <v>75650</v>
      </c>
      <c r="R15" t="s">
        <v>131</v>
      </c>
      <c r="S15" t="s">
        <v>132</v>
      </c>
      <c r="T15" t="s">
        <v>125</v>
      </c>
      <c r="U15" t="s">
        <v>126</v>
      </c>
    </row>
    <row r="16" spans="1:21" x14ac:dyDescent="0.25">
      <c r="A16" t="s">
        <v>118</v>
      </c>
      <c r="B16" t="s">
        <v>166</v>
      </c>
      <c r="C16">
        <v>129142</v>
      </c>
      <c r="D16" t="s">
        <v>167</v>
      </c>
      <c r="E16" t="s">
        <v>130</v>
      </c>
      <c r="F16" t="s">
        <v>67</v>
      </c>
      <c r="G16" t="s">
        <v>68</v>
      </c>
      <c r="H16" t="s">
        <v>122</v>
      </c>
      <c r="I16" t="s">
        <v>122</v>
      </c>
      <c r="J16" s="127">
        <v>46006.390277777777</v>
      </c>
      <c r="K16" s="127">
        <v>46006.51666666667</v>
      </c>
      <c r="L16" s="127">
        <v>46009</v>
      </c>
      <c r="M16" s="127">
        <v>46027.380555555559</v>
      </c>
      <c r="N16" t="s">
        <v>72</v>
      </c>
      <c r="O16" t="s">
        <v>122</v>
      </c>
      <c r="P16" t="s">
        <v>122</v>
      </c>
      <c r="Q16">
        <v>75664</v>
      </c>
      <c r="R16" t="s">
        <v>168</v>
      </c>
      <c r="S16" t="s">
        <v>169</v>
      </c>
      <c r="T16" t="s">
        <v>125</v>
      </c>
      <c r="U16" t="s">
        <v>126</v>
      </c>
    </row>
    <row r="17" spans="1:21" x14ac:dyDescent="0.25">
      <c r="A17" t="s">
        <v>127</v>
      </c>
      <c r="B17" t="s">
        <v>170</v>
      </c>
      <c r="C17">
        <v>121717</v>
      </c>
      <c r="D17" t="s">
        <v>171</v>
      </c>
      <c r="E17" t="s">
        <v>130</v>
      </c>
      <c r="F17" t="s">
        <v>67</v>
      </c>
      <c r="G17" t="s">
        <v>68</v>
      </c>
      <c r="H17" t="s">
        <v>122</v>
      </c>
      <c r="I17" t="s">
        <v>122</v>
      </c>
      <c r="J17" s="127">
        <v>45996.597916666666</v>
      </c>
      <c r="K17" s="127">
        <v>46000.555555555555</v>
      </c>
      <c r="L17" s="127">
        <v>46000</v>
      </c>
      <c r="M17" s="127">
        <v>46003.60833333333</v>
      </c>
      <c r="N17" t="s">
        <v>72</v>
      </c>
      <c r="O17" t="s">
        <v>122</v>
      </c>
      <c r="P17" t="s">
        <v>122</v>
      </c>
      <c r="Q17">
        <v>71048</v>
      </c>
      <c r="R17" t="s">
        <v>172</v>
      </c>
      <c r="S17" t="s">
        <v>173</v>
      </c>
      <c r="T17" t="s">
        <v>125</v>
      </c>
      <c r="U17" t="s">
        <v>126</v>
      </c>
    </row>
    <row r="18" spans="1:21" x14ac:dyDescent="0.25">
      <c r="A18" t="s">
        <v>118</v>
      </c>
      <c r="B18" t="s">
        <v>174</v>
      </c>
      <c r="C18">
        <v>119794</v>
      </c>
      <c r="D18" t="s">
        <v>175</v>
      </c>
      <c r="E18" t="s">
        <v>130</v>
      </c>
      <c r="F18" t="s">
        <v>67</v>
      </c>
      <c r="G18" t="s">
        <v>68</v>
      </c>
      <c r="H18" t="s">
        <v>122</v>
      </c>
      <c r="I18" t="s">
        <v>122</v>
      </c>
      <c r="J18" s="127">
        <v>45994.513888888891</v>
      </c>
      <c r="K18" s="127">
        <v>46014.503472222219</v>
      </c>
      <c r="L18" s="127">
        <v>46015</v>
      </c>
      <c r="M18" s="127">
        <v>46031.484722222223</v>
      </c>
      <c r="N18" t="s">
        <v>72</v>
      </c>
      <c r="O18" t="s">
        <v>122</v>
      </c>
      <c r="P18" t="s">
        <v>122</v>
      </c>
      <c r="Q18">
        <v>71032</v>
      </c>
      <c r="R18" t="s">
        <v>176</v>
      </c>
      <c r="S18" t="s">
        <v>177</v>
      </c>
      <c r="T18" t="s">
        <v>125</v>
      </c>
      <c r="U18" t="s">
        <v>126</v>
      </c>
    </row>
    <row r="19" spans="1:21" x14ac:dyDescent="0.25">
      <c r="A19" t="s">
        <v>118</v>
      </c>
      <c r="B19" t="s">
        <v>178</v>
      </c>
      <c r="C19">
        <v>119790</v>
      </c>
      <c r="D19" t="s">
        <v>179</v>
      </c>
      <c r="E19" t="s">
        <v>130</v>
      </c>
      <c r="F19" t="s">
        <v>67</v>
      </c>
      <c r="G19" t="s">
        <v>68</v>
      </c>
      <c r="H19" t="s">
        <v>122</v>
      </c>
      <c r="I19" t="s">
        <v>122</v>
      </c>
      <c r="J19" s="127">
        <v>45994.511805555558</v>
      </c>
      <c r="K19" s="127">
        <v>46006.522916666669</v>
      </c>
      <c r="L19" s="127">
        <v>46006</v>
      </c>
      <c r="M19" s="127">
        <v>46030.440972222219</v>
      </c>
      <c r="N19" t="s">
        <v>72</v>
      </c>
      <c r="O19" t="s">
        <v>122</v>
      </c>
      <c r="P19" t="s">
        <v>122</v>
      </c>
      <c r="Q19">
        <v>71032</v>
      </c>
      <c r="R19" t="s">
        <v>176</v>
      </c>
      <c r="S19" t="s">
        <v>177</v>
      </c>
      <c r="T19" t="s">
        <v>125</v>
      </c>
      <c r="U19" t="s">
        <v>126</v>
      </c>
    </row>
    <row r="20" spans="1:21" x14ac:dyDescent="0.25">
      <c r="A20" t="s">
        <v>142</v>
      </c>
      <c r="B20" t="s">
        <v>180</v>
      </c>
      <c r="C20">
        <v>118422</v>
      </c>
      <c r="D20" t="s">
        <v>181</v>
      </c>
      <c r="E20" t="s">
        <v>130</v>
      </c>
      <c r="F20" t="s">
        <v>67</v>
      </c>
      <c r="G20" t="s">
        <v>182</v>
      </c>
      <c r="H20" t="s">
        <v>122</v>
      </c>
      <c r="I20" t="s">
        <v>122</v>
      </c>
      <c r="J20" s="127">
        <v>45993.800694444442</v>
      </c>
      <c r="K20" s="127">
        <v>46006.535416666666</v>
      </c>
      <c r="L20" s="127">
        <v>46009</v>
      </c>
      <c r="M20" s="127">
        <v>46010.724999999999</v>
      </c>
      <c r="N20" t="s">
        <v>72</v>
      </c>
      <c r="O20" t="s">
        <v>122</v>
      </c>
      <c r="P20" t="s">
        <v>122</v>
      </c>
      <c r="Q20">
        <v>71032</v>
      </c>
      <c r="R20" t="s">
        <v>176</v>
      </c>
      <c r="S20" t="s">
        <v>177</v>
      </c>
      <c r="T20" t="s">
        <v>183</v>
      </c>
      <c r="U20" t="s">
        <v>126</v>
      </c>
    </row>
    <row r="21" spans="1:21" x14ac:dyDescent="0.25">
      <c r="A21" t="s">
        <v>142</v>
      </c>
      <c r="B21" t="s">
        <v>184</v>
      </c>
      <c r="C21">
        <v>118421</v>
      </c>
      <c r="D21" t="s">
        <v>185</v>
      </c>
      <c r="E21" t="s">
        <v>130</v>
      </c>
      <c r="F21" t="s">
        <v>67</v>
      </c>
      <c r="G21" t="s">
        <v>182</v>
      </c>
      <c r="H21" t="s">
        <v>122</v>
      </c>
      <c r="I21" t="s">
        <v>122</v>
      </c>
      <c r="J21" s="127">
        <v>45993.8</v>
      </c>
      <c r="K21" s="127">
        <v>46001.832638888889</v>
      </c>
      <c r="L21" s="127">
        <v>46001</v>
      </c>
      <c r="M21" s="127">
        <v>46006.37777777778</v>
      </c>
      <c r="N21" t="s">
        <v>72</v>
      </c>
      <c r="O21" t="s">
        <v>122</v>
      </c>
      <c r="P21" t="s">
        <v>122</v>
      </c>
      <c r="Q21">
        <v>71032</v>
      </c>
      <c r="R21" t="s">
        <v>176</v>
      </c>
      <c r="S21" t="s">
        <v>177</v>
      </c>
      <c r="T21" t="s">
        <v>183</v>
      </c>
      <c r="U21" t="s">
        <v>126</v>
      </c>
    </row>
    <row r="22" spans="1:21" x14ac:dyDescent="0.25">
      <c r="A22" t="s">
        <v>127</v>
      </c>
      <c r="B22" t="s">
        <v>186</v>
      </c>
      <c r="C22">
        <v>116465</v>
      </c>
      <c r="D22" t="s">
        <v>187</v>
      </c>
      <c r="E22" t="s">
        <v>130</v>
      </c>
      <c r="F22" t="s">
        <v>67</v>
      </c>
      <c r="G22" t="s">
        <v>182</v>
      </c>
      <c r="H22" t="s">
        <v>122</v>
      </c>
      <c r="I22" t="s">
        <v>122</v>
      </c>
      <c r="J22" s="127">
        <v>45992.415277777778</v>
      </c>
      <c r="K22" s="127">
        <v>45992.640277777777</v>
      </c>
      <c r="L22" s="127">
        <v>45993</v>
      </c>
      <c r="M22" s="127">
        <v>46001.701388888891</v>
      </c>
      <c r="N22" t="s">
        <v>72</v>
      </c>
      <c r="O22" t="s">
        <v>122</v>
      </c>
      <c r="P22" t="s">
        <v>122</v>
      </c>
      <c r="Q22">
        <v>71032</v>
      </c>
      <c r="R22" t="s">
        <v>176</v>
      </c>
      <c r="S22" t="s">
        <v>177</v>
      </c>
      <c r="T22" t="s">
        <v>183</v>
      </c>
      <c r="U22" t="s">
        <v>126</v>
      </c>
    </row>
    <row r="23" spans="1:21" x14ac:dyDescent="0.25">
      <c r="A23" t="s">
        <v>142</v>
      </c>
      <c r="B23" t="s">
        <v>188</v>
      </c>
      <c r="C23">
        <v>110041</v>
      </c>
      <c r="D23" t="s">
        <v>189</v>
      </c>
      <c r="E23" t="s">
        <v>130</v>
      </c>
      <c r="F23" t="s">
        <v>67</v>
      </c>
      <c r="G23" t="s">
        <v>182</v>
      </c>
      <c r="H23" t="s">
        <v>122</v>
      </c>
      <c r="I23" t="s">
        <v>122</v>
      </c>
      <c r="J23" s="127">
        <v>45986.435416666667</v>
      </c>
      <c r="K23" s="127">
        <v>45987.78125</v>
      </c>
      <c r="L23" s="127">
        <v>45987.78125</v>
      </c>
      <c r="M23" s="127">
        <v>45987.65625</v>
      </c>
      <c r="N23" t="s">
        <v>72</v>
      </c>
      <c r="O23" t="s">
        <v>122</v>
      </c>
      <c r="P23" t="s">
        <v>122</v>
      </c>
      <c r="Q23">
        <v>71032</v>
      </c>
      <c r="R23" t="s">
        <v>176</v>
      </c>
      <c r="S23" t="s">
        <v>177</v>
      </c>
      <c r="T23" t="s">
        <v>183</v>
      </c>
      <c r="U23" t="s">
        <v>126</v>
      </c>
    </row>
    <row r="24" spans="1:21" x14ac:dyDescent="0.25">
      <c r="A24" t="s">
        <v>142</v>
      </c>
      <c r="B24" t="s">
        <v>190</v>
      </c>
      <c r="C24">
        <v>110040</v>
      </c>
      <c r="D24" t="s">
        <v>191</v>
      </c>
      <c r="E24" t="s">
        <v>130</v>
      </c>
      <c r="F24" t="s">
        <v>67</v>
      </c>
      <c r="G24" t="s">
        <v>182</v>
      </c>
      <c r="H24" t="s">
        <v>122</v>
      </c>
      <c r="I24" t="s">
        <v>122</v>
      </c>
      <c r="J24" s="127">
        <v>45986.43472222222</v>
      </c>
      <c r="K24" s="127">
        <v>45999.746527777781</v>
      </c>
      <c r="L24" s="127">
        <v>45999</v>
      </c>
      <c r="M24" s="127">
        <v>45999.62222222222</v>
      </c>
      <c r="N24" t="s">
        <v>72</v>
      </c>
      <c r="O24" t="s">
        <v>122</v>
      </c>
      <c r="P24" t="s">
        <v>122</v>
      </c>
      <c r="Q24">
        <v>71032</v>
      </c>
      <c r="R24" t="s">
        <v>176</v>
      </c>
      <c r="S24" t="s">
        <v>177</v>
      </c>
      <c r="T24" t="s">
        <v>183</v>
      </c>
      <c r="U24" t="s">
        <v>126</v>
      </c>
    </row>
    <row r="25" spans="1:21" x14ac:dyDescent="0.25">
      <c r="A25" t="s">
        <v>127</v>
      </c>
      <c r="B25" t="s">
        <v>192</v>
      </c>
      <c r="C25">
        <v>103095</v>
      </c>
      <c r="D25" t="s">
        <v>193</v>
      </c>
      <c r="E25" t="s">
        <v>130</v>
      </c>
      <c r="F25" t="s">
        <v>67</v>
      </c>
      <c r="G25" t="s">
        <v>68</v>
      </c>
      <c r="H25" t="s">
        <v>122</v>
      </c>
      <c r="I25" t="s">
        <v>122</v>
      </c>
      <c r="J25" s="127">
        <v>45979.440972222219</v>
      </c>
      <c r="K25" s="127">
        <v>45985.499305555553</v>
      </c>
      <c r="L25" s="127">
        <v>45985.499305555553</v>
      </c>
      <c r="M25" s="127">
        <v>45989.385416666664</v>
      </c>
      <c r="N25" t="s">
        <v>72</v>
      </c>
      <c r="O25" t="s">
        <v>122</v>
      </c>
      <c r="P25" t="s">
        <v>122</v>
      </c>
      <c r="Q25">
        <v>71032</v>
      </c>
      <c r="R25" t="s">
        <v>176</v>
      </c>
      <c r="S25" t="s">
        <v>177</v>
      </c>
      <c r="T25" t="s">
        <v>125</v>
      </c>
      <c r="U25" t="s">
        <v>126</v>
      </c>
    </row>
    <row r="26" spans="1:21" x14ac:dyDescent="0.25">
      <c r="A26" t="s">
        <v>142</v>
      </c>
      <c r="B26" t="s">
        <v>194</v>
      </c>
      <c r="C26">
        <v>99291</v>
      </c>
      <c r="D26" t="s">
        <v>195</v>
      </c>
      <c r="E26" t="s">
        <v>130</v>
      </c>
      <c r="F26" t="s">
        <v>67</v>
      </c>
      <c r="G26" t="s">
        <v>182</v>
      </c>
      <c r="H26" t="s">
        <v>122</v>
      </c>
      <c r="I26" t="s">
        <v>122</v>
      </c>
      <c r="J26" s="127">
        <v>45975.713194444441</v>
      </c>
      <c r="K26" s="127">
        <v>45978.652083333334</v>
      </c>
      <c r="L26" s="127">
        <v>45978.652083333334</v>
      </c>
      <c r="M26" s="127">
        <v>45985.384027777778</v>
      </c>
      <c r="N26" t="s">
        <v>72</v>
      </c>
      <c r="O26" t="s">
        <v>196</v>
      </c>
      <c r="P26" t="s">
        <v>122</v>
      </c>
      <c r="Q26">
        <v>71032</v>
      </c>
      <c r="R26" t="s">
        <v>176</v>
      </c>
      <c r="S26" t="s">
        <v>177</v>
      </c>
      <c r="T26" t="s">
        <v>183</v>
      </c>
      <c r="U26" t="s">
        <v>197</v>
      </c>
    </row>
    <row r="27" spans="1:21" x14ac:dyDescent="0.25">
      <c r="A27" t="s">
        <v>142</v>
      </c>
      <c r="B27" t="s">
        <v>198</v>
      </c>
      <c r="C27">
        <v>99275</v>
      </c>
      <c r="D27" t="s">
        <v>199</v>
      </c>
      <c r="E27" t="s">
        <v>130</v>
      </c>
      <c r="F27" t="s">
        <v>67</v>
      </c>
      <c r="G27" t="s">
        <v>182</v>
      </c>
      <c r="H27" t="s">
        <v>122</v>
      </c>
      <c r="I27" t="s">
        <v>122</v>
      </c>
      <c r="J27" s="127">
        <v>45975.686805555553</v>
      </c>
      <c r="K27" s="127">
        <v>45978.75277777778</v>
      </c>
      <c r="L27" s="127">
        <v>45979.715277777781</v>
      </c>
      <c r="M27" s="127">
        <v>45982.668055555558</v>
      </c>
      <c r="N27" t="s">
        <v>72</v>
      </c>
      <c r="O27" t="s">
        <v>122</v>
      </c>
      <c r="P27" t="s">
        <v>122</v>
      </c>
      <c r="Q27">
        <v>76935</v>
      </c>
      <c r="R27" t="s">
        <v>200</v>
      </c>
      <c r="S27" t="s">
        <v>201</v>
      </c>
      <c r="T27" t="s">
        <v>183</v>
      </c>
      <c r="U27" t="s">
        <v>126</v>
      </c>
    </row>
    <row r="28" spans="1:21" x14ac:dyDescent="0.25">
      <c r="A28" t="s">
        <v>142</v>
      </c>
      <c r="B28" t="s">
        <v>202</v>
      </c>
      <c r="C28">
        <v>94185</v>
      </c>
      <c r="D28" t="s">
        <v>203</v>
      </c>
      <c r="E28" t="s">
        <v>130</v>
      </c>
      <c r="F28" t="s">
        <v>67</v>
      </c>
      <c r="G28" t="s">
        <v>204</v>
      </c>
      <c r="H28" t="s">
        <v>182</v>
      </c>
      <c r="I28" t="s">
        <v>68</v>
      </c>
      <c r="J28" s="127">
        <v>45972.466666666667</v>
      </c>
      <c r="K28" s="127">
        <v>45979.917361111111</v>
      </c>
      <c r="L28" s="127">
        <v>45982.182638888888</v>
      </c>
      <c r="M28" s="127">
        <v>45985.384722222225</v>
      </c>
      <c r="N28" t="s">
        <v>72</v>
      </c>
      <c r="O28" t="s">
        <v>196</v>
      </c>
      <c r="P28" t="s">
        <v>122</v>
      </c>
      <c r="Q28">
        <v>75678</v>
      </c>
      <c r="R28" t="s">
        <v>205</v>
      </c>
      <c r="S28" t="s">
        <v>206</v>
      </c>
      <c r="T28" t="s">
        <v>207</v>
      </c>
      <c r="U28" t="s">
        <v>197</v>
      </c>
    </row>
    <row r="29" spans="1:21" x14ac:dyDescent="0.25">
      <c r="A29" t="s">
        <v>118</v>
      </c>
      <c r="B29" t="s">
        <v>208</v>
      </c>
      <c r="C29">
        <v>90829</v>
      </c>
      <c r="D29" t="s">
        <v>209</v>
      </c>
      <c r="E29" t="s">
        <v>130</v>
      </c>
      <c r="F29" t="s">
        <v>67</v>
      </c>
      <c r="G29" t="s">
        <v>68</v>
      </c>
      <c r="H29" t="s">
        <v>122</v>
      </c>
      <c r="I29" t="s">
        <v>122</v>
      </c>
      <c r="J29" s="127">
        <v>45968.527777777781</v>
      </c>
      <c r="K29" s="127">
        <v>45980.494444444441</v>
      </c>
      <c r="L29" s="127">
        <v>45982.517361111109</v>
      </c>
      <c r="M29" s="127">
        <v>45989.384722222225</v>
      </c>
      <c r="N29" t="s">
        <v>72</v>
      </c>
      <c r="O29" t="s">
        <v>122</v>
      </c>
      <c r="P29" t="s">
        <v>122</v>
      </c>
      <c r="Q29">
        <v>75650</v>
      </c>
      <c r="R29" t="s">
        <v>131</v>
      </c>
      <c r="S29" t="s">
        <v>132</v>
      </c>
      <c r="T29" t="s">
        <v>125</v>
      </c>
      <c r="U29" t="s">
        <v>126</v>
      </c>
    </row>
    <row r="30" spans="1:21" x14ac:dyDescent="0.25">
      <c r="A30" t="s">
        <v>142</v>
      </c>
      <c r="B30" t="s">
        <v>210</v>
      </c>
      <c r="C30">
        <v>89302</v>
      </c>
      <c r="D30" t="s">
        <v>211</v>
      </c>
      <c r="E30" t="s">
        <v>130</v>
      </c>
      <c r="F30" t="s">
        <v>67</v>
      </c>
      <c r="G30" t="s">
        <v>204</v>
      </c>
      <c r="H30" t="s">
        <v>182</v>
      </c>
      <c r="I30" t="s">
        <v>68</v>
      </c>
      <c r="J30" s="127">
        <v>45967.863888888889</v>
      </c>
      <c r="K30" s="127">
        <v>45978.650694444441</v>
      </c>
      <c r="L30" s="127">
        <v>45978.650694444441</v>
      </c>
      <c r="M30" s="127">
        <v>45985.384027777778</v>
      </c>
      <c r="N30" t="s">
        <v>72</v>
      </c>
      <c r="O30" t="s">
        <v>122</v>
      </c>
      <c r="P30" t="s">
        <v>122</v>
      </c>
      <c r="Q30">
        <v>71032</v>
      </c>
      <c r="R30" t="s">
        <v>176</v>
      </c>
      <c r="S30" t="s">
        <v>177</v>
      </c>
      <c r="T30" t="s">
        <v>207</v>
      </c>
      <c r="U30" t="s">
        <v>126</v>
      </c>
    </row>
    <row r="31" spans="1:21" x14ac:dyDescent="0.25">
      <c r="A31" t="s">
        <v>118</v>
      </c>
      <c r="B31" t="s">
        <v>212</v>
      </c>
      <c r="C31">
        <v>89234</v>
      </c>
      <c r="D31" t="s">
        <v>213</v>
      </c>
      <c r="E31" t="s">
        <v>130</v>
      </c>
      <c r="F31" t="s">
        <v>67</v>
      </c>
      <c r="G31" t="s">
        <v>182</v>
      </c>
      <c r="H31" t="s">
        <v>68</v>
      </c>
      <c r="I31" t="s">
        <v>122</v>
      </c>
      <c r="J31" s="127">
        <v>45967.526388888888</v>
      </c>
      <c r="K31" s="127">
        <v>45999.743750000001</v>
      </c>
      <c r="L31" s="127">
        <v>46001</v>
      </c>
      <c r="M31" s="127">
        <v>46014.553472222222</v>
      </c>
      <c r="N31" t="s">
        <v>72</v>
      </c>
      <c r="O31" t="s">
        <v>196</v>
      </c>
      <c r="P31" t="s">
        <v>122</v>
      </c>
      <c r="Q31">
        <v>71032</v>
      </c>
      <c r="R31" t="s">
        <v>176</v>
      </c>
      <c r="S31" t="s">
        <v>177</v>
      </c>
      <c r="T31" t="s">
        <v>214</v>
      </c>
      <c r="U31" t="s">
        <v>197</v>
      </c>
    </row>
    <row r="32" spans="1:21" x14ac:dyDescent="0.25">
      <c r="A32" t="s">
        <v>142</v>
      </c>
      <c r="B32" t="s">
        <v>215</v>
      </c>
      <c r="C32">
        <v>76971</v>
      </c>
      <c r="D32" t="s">
        <v>216</v>
      </c>
      <c r="E32" t="s">
        <v>130</v>
      </c>
      <c r="F32" t="s">
        <v>67</v>
      </c>
      <c r="G32" t="s">
        <v>182</v>
      </c>
      <c r="H32" t="s">
        <v>68</v>
      </c>
      <c r="I32" t="s">
        <v>122</v>
      </c>
      <c r="J32" s="127">
        <v>45954.783333333333</v>
      </c>
      <c r="K32" s="127">
        <v>45978.651388888888</v>
      </c>
      <c r="L32" s="127">
        <v>45978.651388888888</v>
      </c>
      <c r="M32" s="127">
        <v>45985.384027777778</v>
      </c>
      <c r="N32" t="s">
        <v>72</v>
      </c>
      <c r="O32" t="s">
        <v>196</v>
      </c>
      <c r="P32" t="s">
        <v>122</v>
      </c>
      <c r="Q32">
        <v>75664</v>
      </c>
      <c r="R32" t="s">
        <v>168</v>
      </c>
      <c r="S32" t="s">
        <v>169</v>
      </c>
      <c r="T32" t="s">
        <v>214</v>
      </c>
      <c r="U32" t="s">
        <v>197</v>
      </c>
    </row>
    <row r="33" spans="1:21" x14ac:dyDescent="0.25">
      <c r="A33" t="s">
        <v>142</v>
      </c>
      <c r="B33" t="s">
        <v>217</v>
      </c>
      <c r="C33">
        <v>76967</v>
      </c>
      <c r="D33" t="s">
        <v>218</v>
      </c>
      <c r="E33" t="s">
        <v>130</v>
      </c>
      <c r="F33" t="s">
        <v>67</v>
      </c>
      <c r="G33" t="s">
        <v>204</v>
      </c>
      <c r="H33" t="s">
        <v>182</v>
      </c>
      <c r="I33" t="s">
        <v>68</v>
      </c>
      <c r="J33" s="127">
        <v>45954.782638888886</v>
      </c>
      <c r="K33" s="127">
        <v>45978.5625</v>
      </c>
      <c r="L33" s="127">
        <v>45978.5625</v>
      </c>
      <c r="M33" s="127">
        <v>45978.438194444447</v>
      </c>
      <c r="N33" t="s">
        <v>72</v>
      </c>
      <c r="O33" t="s">
        <v>196</v>
      </c>
      <c r="P33" t="s">
        <v>122</v>
      </c>
      <c r="Q33">
        <v>71032</v>
      </c>
      <c r="R33" t="s">
        <v>176</v>
      </c>
      <c r="S33" t="s">
        <v>177</v>
      </c>
      <c r="T33" t="s">
        <v>207</v>
      </c>
      <c r="U33" t="s">
        <v>197</v>
      </c>
    </row>
    <row r="34" spans="1:21" x14ac:dyDescent="0.25">
      <c r="A34" t="s">
        <v>118</v>
      </c>
      <c r="B34" t="s">
        <v>219</v>
      </c>
      <c r="C34">
        <v>76951</v>
      </c>
      <c r="D34" t="s">
        <v>220</v>
      </c>
      <c r="E34" t="s">
        <v>121</v>
      </c>
      <c r="F34" t="s">
        <v>122</v>
      </c>
      <c r="G34" t="s">
        <v>68</v>
      </c>
      <c r="H34" t="s">
        <v>122</v>
      </c>
      <c r="I34" t="s">
        <v>122</v>
      </c>
      <c r="J34" s="127">
        <v>45954.767361111109</v>
      </c>
      <c r="K34" s="127"/>
      <c r="L34" s="127"/>
      <c r="M34" s="127"/>
      <c r="N34" t="s">
        <v>72</v>
      </c>
      <c r="O34" t="s">
        <v>122</v>
      </c>
      <c r="P34" t="s">
        <v>122</v>
      </c>
      <c r="Q34">
        <v>76935</v>
      </c>
      <c r="R34" t="s">
        <v>200</v>
      </c>
      <c r="S34" t="s">
        <v>201</v>
      </c>
      <c r="T34" t="s">
        <v>125</v>
      </c>
      <c r="U34" t="s">
        <v>126</v>
      </c>
    </row>
    <row r="35" spans="1:21" x14ac:dyDescent="0.25">
      <c r="A35" t="s">
        <v>118</v>
      </c>
      <c r="B35" t="s">
        <v>221</v>
      </c>
      <c r="C35">
        <v>76947</v>
      </c>
      <c r="D35" t="s">
        <v>222</v>
      </c>
      <c r="E35" t="s">
        <v>223</v>
      </c>
      <c r="F35" t="s">
        <v>122</v>
      </c>
      <c r="G35" t="s">
        <v>68</v>
      </c>
      <c r="H35" t="s">
        <v>122</v>
      </c>
      <c r="I35" t="s">
        <v>122</v>
      </c>
      <c r="J35" s="127">
        <v>45954.76458333333</v>
      </c>
      <c r="K35" s="127"/>
      <c r="L35" s="127"/>
      <c r="M35" s="127">
        <v>46044.628472222219</v>
      </c>
      <c r="N35" t="s">
        <v>72</v>
      </c>
      <c r="O35" t="s">
        <v>122</v>
      </c>
      <c r="P35" t="s">
        <v>122</v>
      </c>
      <c r="Q35">
        <v>76935</v>
      </c>
      <c r="R35" t="s">
        <v>200</v>
      </c>
      <c r="S35" t="s">
        <v>201</v>
      </c>
      <c r="T35" t="s">
        <v>125</v>
      </c>
      <c r="U35" t="s">
        <v>126</v>
      </c>
    </row>
    <row r="36" spans="1:21" x14ac:dyDescent="0.25">
      <c r="A36" t="s">
        <v>118</v>
      </c>
      <c r="B36" t="s">
        <v>224</v>
      </c>
      <c r="C36">
        <v>76937</v>
      </c>
      <c r="D36" t="s">
        <v>225</v>
      </c>
      <c r="E36" t="s">
        <v>121</v>
      </c>
      <c r="F36" t="s">
        <v>122</v>
      </c>
      <c r="G36" t="s">
        <v>68</v>
      </c>
      <c r="H36" t="s">
        <v>122</v>
      </c>
      <c r="I36" t="s">
        <v>122</v>
      </c>
      <c r="J36" s="127">
        <v>45954.763888888891</v>
      </c>
      <c r="K36" s="127"/>
      <c r="L36" s="127"/>
      <c r="M36" s="127"/>
      <c r="N36" t="s">
        <v>72</v>
      </c>
      <c r="O36" t="s">
        <v>122</v>
      </c>
      <c r="P36" t="s">
        <v>122</v>
      </c>
      <c r="Q36">
        <v>76935</v>
      </c>
      <c r="R36" t="s">
        <v>200</v>
      </c>
      <c r="S36" t="s">
        <v>201</v>
      </c>
      <c r="T36" t="s">
        <v>125</v>
      </c>
      <c r="U36" t="s">
        <v>126</v>
      </c>
    </row>
    <row r="37" spans="1:21" x14ac:dyDescent="0.25">
      <c r="A37" t="s">
        <v>118</v>
      </c>
      <c r="B37" t="s">
        <v>226</v>
      </c>
      <c r="C37">
        <v>75758</v>
      </c>
      <c r="D37" t="s">
        <v>227</v>
      </c>
      <c r="E37" t="s">
        <v>130</v>
      </c>
      <c r="F37" t="s">
        <v>67</v>
      </c>
      <c r="G37" t="s">
        <v>68</v>
      </c>
      <c r="H37" t="s">
        <v>122</v>
      </c>
      <c r="I37" t="s">
        <v>122</v>
      </c>
      <c r="J37" s="127">
        <v>45953.518055555556</v>
      </c>
      <c r="K37" s="127">
        <v>45972.636805555558</v>
      </c>
      <c r="L37" s="127">
        <v>45972.637499999997</v>
      </c>
      <c r="M37" s="127">
        <v>45972.512499999997</v>
      </c>
      <c r="N37" t="s">
        <v>72</v>
      </c>
      <c r="O37" t="s">
        <v>196</v>
      </c>
      <c r="P37" t="s">
        <v>122</v>
      </c>
      <c r="Q37">
        <v>74927</v>
      </c>
      <c r="R37" t="s">
        <v>228</v>
      </c>
      <c r="S37" t="s">
        <v>229</v>
      </c>
      <c r="T37" t="s">
        <v>125</v>
      </c>
      <c r="U37" t="s">
        <v>197</v>
      </c>
    </row>
    <row r="38" spans="1:21" x14ac:dyDescent="0.25">
      <c r="A38" t="s">
        <v>142</v>
      </c>
      <c r="B38" t="s">
        <v>230</v>
      </c>
      <c r="C38">
        <v>75754</v>
      </c>
      <c r="D38" t="s">
        <v>231</v>
      </c>
      <c r="E38" t="s">
        <v>130</v>
      </c>
      <c r="F38" t="s">
        <v>67</v>
      </c>
      <c r="G38" t="s">
        <v>204</v>
      </c>
      <c r="H38" t="s">
        <v>68</v>
      </c>
      <c r="I38" t="s">
        <v>122</v>
      </c>
      <c r="J38" s="127">
        <v>45953.51458333333</v>
      </c>
      <c r="K38" s="127">
        <v>45964.9</v>
      </c>
      <c r="L38" s="127">
        <v>45964</v>
      </c>
      <c r="M38" s="127">
        <v>45964.776388888888</v>
      </c>
      <c r="N38" t="s">
        <v>72</v>
      </c>
      <c r="O38" t="s">
        <v>196</v>
      </c>
      <c r="P38" t="s">
        <v>122</v>
      </c>
      <c r="Q38">
        <v>74927</v>
      </c>
      <c r="R38" t="s">
        <v>228</v>
      </c>
      <c r="S38" t="s">
        <v>229</v>
      </c>
      <c r="T38" t="s">
        <v>232</v>
      </c>
      <c r="U38" t="s">
        <v>197</v>
      </c>
    </row>
    <row r="39" spans="1:21" x14ac:dyDescent="0.25">
      <c r="A39" t="s">
        <v>118</v>
      </c>
      <c r="B39" t="s">
        <v>233</v>
      </c>
      <c r="C39">
        <v>75681</v>
      </c>
      <c r="D39" t="s">
        <v>234</v>
      </c>
      <c r="E39" t="s">
        <v>130</v>
      </c>
      <c r="F39" t="s">
        <v>67</v>
      </c>
      <c r="G39" t="s">
        <v>68</v>
      </c>
      <c r="H39" t="s">
        <v>122</v>
      </c>
      <c r="I39" t="s">
        <v>122</v>
      </c>
      <c r="J39" s="127">
        <v>45952.782638888886</v>
      </c>
      <c r="K39" s="127">
        <v>45994.513888888891</v>
      </c>
      <c r="L39" s="127">
        <v>45994</v>
      </c>
      <c r="M39" s="127">
        <v>46009.65</v>
      </c>
      <c r="N39" t="s">
        <v>72</v>
      </c>
      <c r="O39" t="s">
        <v>196</v>
      </c>
      <c r="P39" t="s">
        <v>122</v>
      </c>
      <c r="Q39">
        <v>75664</v>
      </c>
      <c r="R39" t="s">
        <v>168</v>
      </c>
      <c r="S39" t="s">
        <v>169</v>
      </c>
      <c r="T39" t="s">
        <v>125</v>
      </c>
      <c r="U39" t="s">
        <v>197</v>
      </c>
    </row>
    <row r="40" spans="1:21" x14ac:dyDescent="0.25">
      <c r="A40" t="s">
        <v>118</v>
      </c>
      <c r="B40" t="s">
        <v>235</v>
      </c>
      <c r="C40">
        <v>75680</v>
      </c>
      <c r="D40" t="s">
        <v>236</v>
      </c>
      <c r="E40" t="s">
        <v>130</v>
      </c>
      <c r="F40" t="s">
        <v>67</v>
      </c>
      <c r="G40" t="s">
        <v>68</v>
      </c>
      <c r="H40" t="s">
        <v>122</v>
      </c>
      <c r="I40" t="s">
        <v>122</v>
      </c>
      <c r="J40" s="127">
        <v>45952.782638888886</v>
      </c>
      <c r="K40" s="127">
        <v>45985.729861111111</v>
      </c>
      <c r="L40" s="127">
        <v>45985</v>
      </c>
      <c r="M40" s="127">
        <v>46003.445833333331</v>
      </c>
      <c r="N40" t="s">
        <v>72</v>
      </c>
      <c r="O40" t="s">
        <v>196</v>
      </c>
      <c r="P40" t="s">
        <v>122</v>
      </c>
      <c r="Q40">
        <v>75678</v>
      </c>
      <c r="R40" t="s">
        <v>205</v>
      </c>
      <c r="S40" t="s">
        <v>206</v>
      </c>
      <c r="T40" t="s">
        <v>125</v>
      </c>
      <c r="U40" t="s">
        <v>197</v>
      </c>
    </row>
    <row r="41" spans="1:21" x14ac:dyDescent="0.25">
      <c r="A41" t="s">
        <v>118</v>
      </c>
      <c r="B41" t="s">
        <v>237</v>
      </c>
      <c r="C41">
        <v>75651</v>
      </c>
      <c r="D41" t="s">
        <v>238</v>
      </c>
      <c r="E41" t="s">
        <v>130</v>
      </c>
      <c r="F41" t="s">
        <v>67</v>
      </c>
      <c r="G41" t="s">
        <v>68</v>
      </c>
      <c r="H41" t="s">
        <v>122</v>
      </c>
      <c r="I41" t="s">
        <v>122</v>
      </c>
      <c r="J41" s="127">
        <v>45952.781944444447</v>
      </c>
      <c r="K41" s="127">
        <v>45971.634722222225</v>
      </c>
      <c r="L41" s="127">
        <v>45971.634722222225</v>
      </c>
      <c r="M41" s="127">
        <v>45985.392361111109</v>
      </c>
      <c r="N41" t="s">
        <v>72</v>
      </c>
      <c r="O41" t="s">
        <v>196</v>
      </c>
      <c r="P41" t="s">
        <v>122</v>
      </c>
      <c r="Q41">
        <v>75650</v>
      </c>
      <c r="R41" t="s">
        <v>131</v>
      </c>
      <c r="S41" t="s">
        <v>132</v>
      </c>
      <c r="T41" t="s">
        <v>125</v>
      </c>
      <c r="U41" t="s">
        <v>197</v>
      </c>
    </row>
    <row r="42" spans="1:21" x14ac:dyDescent="0.25">
      <c r="A42" t="s">
        <v>118</v>
      </c>
      <c r="B42" t="s">
        <v>239</v>
      </c>
      <c r="C42">
        <v>71099</v>
      </c>
      <c r="D42" t="s">
        <v>240</v>
      </c>
      <c r="E42" t="s">
        <v>130</v>
      </c>
      <c r="F42" t="s">
        <v>67</v>
      </c>
      <c r="G42" t="s">
        <v>68</v>
      </c>
      <c r="H42" t="s">
        <v>122</v>
      </c>
      <c r="I42" t="s">
        <v>122</v>
      </c>
      <c r="J42" s="127">
        <v>45940.515972222223</v>
      </c>
      <c r="K42" s="127">
        <v>45978.734722222223</v>
      </c>
      <c r="L42" s="127">
        <v>45978.827777777777</v>
      </c>
      <c r="M42" s="127">
        <v>45989.379861111112</v>
      </c>
      <c r="N42" t="s">
        <v>72</v>
      </c>
      <c r="O42" t="s">
        <v>122</v>
      </c>
      <c r="P42" t="s">
        <v>122</v>
      </c>
      <c r="Q42">
        <v>71032</v>
      </c>
      <c r="R42" t="s">
        <v>176</v>
      </c>
      <c r="S42" t="s">
        <v>177</v>
      </c>
      <c r="T42" t="s">
        <v>125</v>
      </c>
      <c r="U42" t="s">
        <v>126</v>
      </c>
    </row>
    <row r="43" spans="1:21" x14ac:dyDescent="0.25">
      <c r="A43" t="s">
        <v>118</v>
      </c>
      <c r="B43" t="s">
        <v>241</v>
      </c>
      <c r="C43">
        <v>71049</v>
      </c>
      <c r="D43" t="s">
        <v>242</v>
      </c>
      <c r="E43" t="s">
        <v>130</v>
      </c>
      <c r="F43" t="s">
        <v>67</v>
      </c>
      <c r="G43" t="s">
        <v>68</v>
      </c>
      <c r="H43" t="s">
        <v>122</v>
      </c>
      <c r="I43" t="s">
        <v>122</v>
      </c>
      <c r="J43" s="127">
        <v>45940.51458333333</v>
      </c>
      <c r="K43" s="127">
        <v>45966.724305555559</v>
      </c>
      <c r="L43" s="127">
        <v>45966</v>
      </c>
      <c r="M43" s="127">
        <v>45985.392361111109</v>
      </c>
      <c r="N43" t="s">
        <v>72</v>
      </c>
      <c r="O43" t="s">
        <v>122</v>
      </c>
      <c r="P43" t="s">
        <v>122</v>
      </c>
      <c r="Q43">
        <v>71048</v>
      </c>
      <c r="R43" t="s">
        <v>172</v>
      </c>
      <c r="S43" t="s">
        <v>173</v>
      </c>
      <c r="T43" t="s">
        <v>125</v>
      </c>
      <c r="U43" t="s">
        <v>126</v>
      </c>
    </row>
    <row r="44" spans="1:21" x14ac:dyDescent="0.25">
      <c r="A44" t="s">
        <v>118</v>
      </c>
      <c r="B44" t="s">
        <v>243</v>
      </c>
      <c r="C44">
        <v>71046</v>
      </c>
      <c r="D44" t="s">
        <v>244</v>
      </c>
      <c r="E44" t="s">
        <v>130</v>
      </c>
      <c r="F44" t="s">
        <v>67</v>
      </c>
      <c r="G44" t="s">
        <v>68</v>
      </c>
      <c r="H44" t="s">
        <v>122</v>
      </c>
      <c r="I44" t="s">
        <v>122</v>
      </c>
      <c r="J44" s="127">
        <v>45940.51458333333</v>
      </c>
      <c r="K44" s="127">
        <v>45985.730555555558</v>
      </c>
      <c r="L44" s="127">
        <v>45986.502083333333</v>
      </c>
      <c r="M44" s="127">
        <v>46021.592361111114</v>
      </c>
      <c r="N44" t="s">
        <v>72</v>
      </c>
      <c r="O44" t="s">
        <v>196</v>
      </c>
      <c r="P44" t="s">
        <v>122</v>
      </c>
      <c r="Q44">
        <v>71032</v>
      </c>
      <c r="R44" t="s">
        <v>176</v>
      </c>
      <c r="S44" t="s">
        <v>177</v>
      </c>
      <c r="T44" t="s">
        <v>125</v>
      </c>
      <c r="U44" t="s">
        <v>197</v>
      </c>
    </row>
    <row r="45" spans="1:21" x14ac:dyDescent="0.25">
      <c r="A45" t="s">
        <v>118</v>
      </c>
      <c r="B45" t="s">
        <v>245</v>
      </c>
      <c r="C45">
        <v>71038</v>
      </c>
      <c r="D45" t="s">
        <v>246</v>
      </c>
      <c r="E45" t="s">
        <v>130</v>
      </c>
      <c r="F45" t="s">
        <v>67</v>
      </c>
      <c r="G45" t="s">
        <v>68</v>
      </c>
      <c r="H45" t="s">
        <v>122</v>
      </c>
      <c r="I45" t="s">
        <v>122</v>
      </c>
      <c r="J45" s="127">
        <v>45940.51458333333</v>
      </c>
      <c r="K45" s="127">
        <v>45992.640277777777</v>
      </c>
      <c r="L45" s="127">
        <v>45993</v>
      </c>
      <c r="M45" s="127">
        <v>45999.504861111112</v>
      </c>
      <c r="N45" t="s">
        <v>72</v>
      </c>
      <c r="O45" t="s">
        <v>122</v>
      </c>
      <c r="P45" t="s">
        <v>122</v>
      </c>
      <c r="Q45">
        <v>71032</v>
      </c>
      <c r="R45" t="s">
        <v>176</v>
      </c>
      <c r="S45" t="s">
        <v>177</v>
      </c>
      <c r="T45" t="s">
        <v>125</v>
      </c>
      <c r="U45" t="s">
        <v>126</v>
      </c>
    </row>
    <row r="46" spans="1:21" x14ac:dyDescent="0.25">
      <c r="A46" t="s">
        <v>118</v>
      </c>
      <c r="B46" t="s">
        <v>247</v>
      </c>
      <c r="C46">
        <v>160833</v>
      </c>
      <c r="D46" t="s">
        <v>248</v>
      </c>
      <c r="E46" t="s">
        <v>249</v>
      </c>
      <c r="F46" t="s">
        <v>70</v>
      </c>
      <c r="G46" t="s">
        <v>83</v>
      </c>
      <c r="H46" t="s">
        <v>122</v>
      </c>
      <c r="I46" t="s">
        <v>122</v>
      </c>
      <c r="J46" s="127">
        <v>46104.487500000003</v>
      </c>
      <c r="K46" s="127">
        <v>46104.622916666667</v>
      </c>
      <c r="L46" s="127">
        <v>46083</v>
      </c>
      <c r="M46" s="127"/>
      <c r="N46" t="s">
        <v>75</v>
      </c>
      <c r="O46" t="s">
        <v>122</v>
      </c>
      <c r="P46" t="s">
        <v>122</v>
      </c>
      <c r="Q46">
        <v>108214</v>
      </c>
      <c r="R46" t="s">
        <v>250</v>
      </c>
      <c r="S46" t="s">
        <v>251</v>
      </c>
      <c r="T46" t="s">
        <v>252</v>
      </c>
      <c r="U46" t="s">
        <v>137</v>
      </c>
    </row>
    <row r="47" spans="1:21" x14ac:dyDescent="0.25">
      <c r="A47" t="s">
        <v>253</v>
      </c>
      <c r="B47" t="s">
        <v>254</v>
      </c>
      <c r="C47">
        <v>160805</v>
      </c>
      <c r="D47" t="s">
        <v>255</v>
      </c>
      <c r="E47" t="s">
        <v>121</v>
      </c>
      <c r="F47" t="s">
        <v>70</v>
      </c>
      <c r="G47" t="s">
        <v>83</v>
      </c>
      <c r="H47" t="s">
        <v>122</v>
      </c>
      <c r="I47" t="s">
        <v>122</v>
      </c>
      <c r="J47" s="127">
        <v>46104.440972222219</v>
      </c>
      <c r="K47" s="127"/>
      <c r="L47" s="127">
        <v>46093</v>
      </c>
      <c r="M47" s="127"/>
      <c r="N47" t="s">
        <v>75</v>
      </c>
      <c r="O47" t="s">
        <v>122</v>
      </c>
      <c r="P47" t="s">
        <v>122</v>
      </c>
      <c r="R47" t="s">
        <v>122</v>
      </c>
      <c r="S47" t="s">
        <v>122</v>
      </c>
      <c r="T47" t="s">
        <v>252</v>
      </c>
      <c r="U47" t="s">
        <v>137</v>
      </c>
    </row>
    <row r="48" spans="1:21" x14ac:dyDescent="0.25">
      <c r="A48" t="s">
        <v>118</v>
      </c>
      <c r="B48" t="s">
        <v>256</v>
      </c>
      <c r="C48">
        <v>160795</v>
      </c>
      <c r="D48" t="s">
        <v>257</v>
      </c>
      <c r="E48" t="s">
        <v>121</v>
      </c>
      <c r="F48" t="s">
        <v>70</v>
      </c>
      <c r="G48" t="s">
        <v>83</v>
      </c>
      <c r="H48" t="s">
        <v>122</v>
      </c>
      <c r="I48" t="s">
        <v>122</v>
      </c>
      <c r="J48" s="127">
        <v>46104.439583333333</v>
      </c>
      <c r="K48" s="127">
        <v>45985.560416666667</v>
      </c>
      <c r="L48" s="127">
        <v>45985.560416666667</v>
      </c>
      <c r="M48" s="127"/>
      <c r="N48" t="s">
        <v>75</v>
      </c>
      <c r="O48" t="s">
        <v>122</v>
      </c>
      <c r="P48" t="s">
        <v>122</v>
      </c>
      <c r="Q48">
        <v>108214</v>
      </c>
      <c r="R48" t="s">
        <v>250</v>
      </c>
      <c r="S48" t="s">
        <v>251</v>
      </c>
      <c r="T48" t="s">
        <v>252</v>
      </c>
      <c r="U48" t="s">
        <v>137</v>
      </c>
    </row>
    <row r="49" spans="1:21" x14ac:dyDescent="0.25">
      <c r="A49" t="s">
        <v>118</v>
      </c>
      <c r="B49" t="s">
        <v>258</v>
      </c>
      <c r="C49">
        <v>160794</v>
      </c>
      <c r="D49" t="s">
        <v>259</v>
      </c>
      <c r="E49" t="s">
        <v>121</v>
      </c>
      <c r="F49" t="s">
        <v>70</v>
      </c>
      <c r="G49" t="s">
        <v>83</v>
      </c>
      <c r="H49" t="s">
        <v>122</v>
      </c>
      <c r="I49" t="s">
        <v>122</v>
      </c>
      <c r="J49" s="127">
        <v>46104.438194444447</v>
      </c>
      <c r="K49" s="127">
        <v>46058.823611111111</v>
      </c>
      <c r="L49" s="127">
        <v>46058</v>
      </c>
      <c r="M49" s="127"/>
      <c r="N49" t="s">
        <v>75</v>
      </c>
      <c r="O49" t="s">
        <v>122</v>
      </c>
      <c r="P49" t="s">
        <v>122</v>
      </c>
      <c r="Q49">
        <v>75256</v>
      </c>
      <c r="R49" t="s">
        <v>260</v>
      </c>
      <c r="S49" t="s">
        <v>261</v>
      </c>
      <c r="T49" t="s">
        <v>252</v>
      </c>
      <c r="U49" t="s">
        <v>137</v>
      </c>
    </row>
    <row r="50" spans="1:21" x14ac:dyDescent="0.25">
      <c r="A50" t="s">
        <v>118</v>
      </c>
      <c r="B50" t="s">
        <v>262</v>
      </c>
      <c r="C50">
        <v>160785</v>
      </c>
      <c r="D50" t="s">
        <v>263</v>
      </c>
      <c r="E50" t="s">
        <v>121</v>
      </c>
      <c r="F50" t="s">
        <v>70</v>
      </c>
      <c r="G50" t="s">
        <v>83</v>
      </c>
      <c r="H50" t="s">
        <v>122</v>
      </c>
      <c r="I50" t="s">
        <v>122</v>
      </c>
      <c r="J50" s="127">
        <v>46104.436111111114</v>
      </c>
      <c r="K50" s="127">
        <v>46007.60833333333</v>
      </c>
      <c r="L50" s="127">
        <v>46010</v>
      </c>
      <c r="M50" s="127"/>
      <c r="N50" t="s">
        <v>75</v>
      </c>
      <c r="O50" t="s">
        <v>122</v>
      </c>
      <c r="P50" t="s">
        <v>122</v>
      </c>
      <c r="Q50">
        <v>75256</v>
      </c>
      <c r="R50" t="s">
        <v>260</v>
      </c>
      <c r="S50" t="s">
        <v>261</v>
      </c>
      <c r="T50" t="s">
        <v>252</v>
      </c>
      <c r="U50" t="s">
        <v>137</v>
      </c>
    </row>
    <row r="51" spans="1:21" x14ac:dyDescent="0.25">
      <c r="A51" t="s">
        <v>142</v>
      </c>
      <c r="B51" t="s">
        <v>264</v>
      </c>
      <c r="C51">
        <v>159281</v>
      </c>
      <c r="D51" t="s">
        <v>265</v>
      </c>
      <c r="E51" t="s">
        <v>266</v>
      </c>
      <c r="F51" t="s">
        <v>70</v>
      </c>
      <c r="G51" t="s">
        <v>83</v>
      </c>
      <c r="H51" t="s">
        <v>122</v>
      </c>
      <c r="I51" t="s">
        <v>122</v>
      </c>
      <c r="J51" s="127">
        <v>46097.477083333331</v>
      </c>
      <c r="K51" s="127">
        <v>46097</v>
      </c>
      <c r="L51" s="127">
        <v>46100</v>
      </c>
      <c r="M51" s="127"/>
      <c r="N51" t="s">
        <v>75</v>
      </c>
      <c r="O51" t="s">
        <v>122</v>
      </c>
      <c r="P51" t="s">
        <v>122</v>
      </c>
      <c r="Q51">
        <v>75256</v>
      </c>
      <c r="R51" t="s">
        <v>260</v>
      </c>
      <c r="S51" t="s">
        <v>261</v>
      </c>
      <c r="T51" t="s">
        <v>252</v>
      </c>
      <c r="U51" t="s">
        <v>137</v>
      </c>
    </row>
    <row r="52" spans="1:21" x14ac:dyDescent="0.25">
      <c r="A52" t="s">
        <v>118</v>
      </c>
      <c r="B52" t="s">
        <v>267</v>
      </c>
      <c r="C52">
        <v>158965</v>
      </c>
      <c r="D52" t="s">
        <v>268</v>
      </c>
      <c r="E52" t="s">
        <v>130</v>
      </c>
      <c r="F52" t="s">
        <v>70</v>
      </c>
      <c r="G52" t="s">
        <v>83</v>
      </c>
      <c r="H52" t="s">
        <v>122</v>
      </c>
      <c r="I52" t="s">
        <v>122</v>
      </c>
      <c r="J52" s="127">
        <v>46093.738888888889</v>
      </c>
      <c r="K52" s="127">
        <v>46097.590277777781</v>
      </c>
      <c r="L52" s="127">
        <v>46098</v>
      </c>
      <c r="M52" s="127">
        <v>46100.634722222225</v>
      </c>
      <c r="N52" t="s">
        <v>75</v>
      </c>
      <c r="O52" t="s">
        <v>122</v>
      </c>
      <c r="P52" t="s">
        <v>122</v>
      </c>
      <c r="Q52">
        <v>101276</v>
      </c>
      <c r="R52" t="s">
        <v>269</v>
      </c>
      <c r="S52" t="s">
        <v>270</v>
      </c>
      <c r="T52" t="s">
        <v>252</v>
      </c>
      <c r="U52" t="s">
        <v>137</v>
      </c>
    </row>
    <row r="53" spans="1:21" x14ac:dyDescent="0.25">
      <c r="A53" t="s">
        <v>118</v>
      </c>
      <c r="B53" t="s">
        <v>271</v>
      </c>
      <c r="C53">
        <v>157724</v>
      </c>
      <c r="D53" t="s">
        <v>272</v>
      </c>
      <c r="E53" t="s">
        <v>223</v>
      </c>
      <c r="F53" t="s">
        <v>70</v>
      </c>
      <c r="G53" t="s">
        <v>83</v>
      </c>
      <c r="H53" t="s">
        <v>122</v>
      </c>
      <c r="I53" t="s">
        <v>122</v>
      </c>
      <c r="J53" s="127">
        <v>46087.71597222222</v>
      </c>
      <c r="K53" s="127">
        <v>46090.589583333334</v>
      </c>
      <c r="L53" s="127"/>
      <c r="M53" s="127">
        <v>46093.537499999999</v>
      </c>
      <c r="N53" t="s">
        <v>75</v>
      </c>
      <c r="O53" t="s">
        <v>122</v>
      </c>
      <c r="P53" t="s">
        <v>122</v>
      </c>
      <c r="Q53">
        <v>108214</v>
      </c>
      <c r="R53" t="s">
        <v>250</v>
      </c>
      <c r="S53" t="s">
        <v>251</v>
      </c>
      <c r="T53" t="s">
        <v>252</v>
      </c>
      <c r="U53" t="s">
        <v>137</v>
      </c>
    </row>
    <row r="54" spans="1:21" x14ac:dyDescent="0.25">
      <c r="A54" t="s">
        <v>118</v>
      </c>
      <c r="B54" t="s">
        <v>273</v>
      </c>
      <c r="C54">
        <v>157719</v>
      </c>
      <c r="D54" t="s">
        <v>274</v>
      </c>
      <c r="E54" t="s">
        <v>266</v>
      </c>
      <c r="F54" t="s">
        <v>70</v>
      </c>
      <c r="G54" t="s">
        <v>83</v>
      </c>
      <c r="H54" t="s">
        <v>122</v>
      </c>
      <c r="I54" t="s">
        <v>122</v>
      </c>
      <c r="J54" s="127">
        <v>46087.713194444441</v>
      </c>
      <c r="K54" s="127">
        <v>46090.590277777781</v>
      </c>
      <c r="L54" s="127">
        <v>46105</v>
      </c>
      <c r="M54" s="127"/>
      <c r="N54" t="s">
        <v>75</v>
      </c>
      <c r="O54" t="s">
        <v>122</v>
      </c>
      <c r="P54" t="s">
        <v>122</v>
      </c>
      <c r="Q54">
        <v>108214</v>
      </c>
      <c r="R54" t="s">
        <v>250</v>
      </c>
      <c r="S54" t="s">
        <v>251</v>
      </c>
      <c r="T54" t="s">
        <v>252</v>
      </c>
      <c r="U54" t="s">
        <v>137</v>
      </c>
    </row>
    <row r="55" spans="1:21" x14ac:dyDescent="0.25">
      <c r="A55" t="s">
        <v>118</v>
      </c>
      <c r="B55" t="s">
        <v>275</v>
      </c>
      <c r="C55">
        <v>157365</v>
      </c>
      <c r="D55" t="s">
        <v>276</v>
      </c>
      <c r="E55" t="s">
        <v>130</v>
      </c>
      <c r="F55" t="s">
        <v>70</v>
      </c>
      <c r="G55" t="s">
        <v>83</v>
      </c>
      <c r="H55" t="s">
        <v>122</v>
      </c>
      <c r="I55" t="s">
        <v>122</v>
      </c>
      <c r="J55" s="127">
        <v>46086.62222222222</v>
      </c>
      <c r="K55" s="127">
        <v>46086.74722222222</v>
      </c>
      <c r="L55" s="127">
        <v>46086</v>
      </c>
      <c r="M55" s="127">
        <v>46094.738194444442</v>
      </c>
      <c r="N55" t="s">
        <v>75</v>
      </c>
      <c r="O55" t="s">
        <v>122</v>
      </c>
      <c r="P55" t="s">
        <v>122</v>
      </c>
      <c r="R55" t="s">
        <v>122</v>
      </c>
      <c r="S55" t="s">
        <v>122</v>
      </c>
      <c r="T55" t="s">
        <v>252</v>
      </c>
      <c r="U55" t="s">
        <v>137</v>
      </c>
    </row>
    <row r="56" spans="1:21" x14ac:dyDescent="0.25">
      <c r="A56" t="s">
        <v>142</v>
      </c>
      <c r="B56" t="s">
        <v>277</v>
      </c>
      <c r="C56">
        <v>156543</v>
      </c>
      <c r="D56" t="s">
        <v>278</v>
      </c>
      <c r="E56" t="s">
        <v>130</v>
      </c>
      <c r="F56" t="s">
        <v>70</v>
      </c>
      <c r="G56" t="s">
        <v>83</v>
      </c>
      <c r="H56" t="s">
        <v>122</v>
      </c>
      <c r="I56" t="s">
        <v>122</v>
      </c>
      <c r="J56" s="127">
        <v>46084.478472222225</v>
      </c>
      <c r="K56" s="127">
        <v>46084</v>
      </c>
      <c r="L56" s="127">
        <v>46086</v>
      </c>
      <c r="M56" s="127">
        <v>46086.397222222222</v>
      </c>
      <c r="N56" t="s">
        <v>75</v>
      </c>
      <c r="O56" t="s">
        <v>122</v>
      </c>
      <c r="P56" t="s">
        <v>122</v>
      </c>
      <c r="Q56">
        <v>108214</v>
      </c>
      <c r="R56" t="s">
        <v>250</v>
      </c>
      <c r="S56" t="s">
        <v>251</v>
      </c>
      <c r="T56" t="s">
        <v>252</v>
      </c>
      <c r="U56" t="s">
        <v>137</v>
      </c>
    </row>
    <row r="57" spans="1:21" x14ac:dyDescent="0.25">
      <c r="A57" t="s">
        <v>118</v>
      </c>
      <c r="B57" t="s">
        <v>279</v>
      </c>
      <c r="C57">
        <v>156540</v>
      </c>
      <c r="D57" t="s">
        <v>280</v>
      </c>
      <c r="E57" t="s">
        <v>130</v>
      </c>
      <c r="F57" t="s">
        <v>70</v>
      </c>
      <c r="G57" t="s">
        <v>83</v>
      </c>
      <c r="H57" t="s">
        <v>122</v>
      </c>
      <c r="I57" t="s">
        <v>122</v>
      </c>
      <c r="J57" s="127">
        <v>46084.476388888892</v>
      </c>
      <c r="K57" s="127">
        <v>46090.589583333334</v>
      </c>
      <c r="L57" s="127">
        <v>46090.605555555558</v>
      </c>
      <c r="M57" s="127">
        <v>46094.720833333333</v>
      </c>
      <c r="N57" t="s">
        <v>75</v>
      </c>
      <c r="O57" t="s">
        <v>122</v>
      </c>
      <c r="P57" t="s">
        <v>122</v>
      </c>
      <c r="Q57">
        <v>108214</v>
      </c>
      <c r="R57" t="s">
        <v>250</v>
      </c>
      <c r="S57" t="s">
        <v>251</v>
      </c>
      <c r="T57" t="s">
        <v>252</v>
      </c>
      <c r="U57" t="s">
        <v>137</v>
      </c>
    </row>
    <row r="58" spans="1:21" x14ac:dyDescent="0.25">
      <c r="A58" t="s">
        <v>118</v>
      </c>
      <c r="B58" t="s">
        <v>281</v>
      </c>
      <c r="C58">
        <v>156537</v>
      </c>
      <c r="D58" t="s">
        <v>282</v>
      </c>
      <c r="E58" t="s">
        <v>130</v>
      </c>
      <c r="F58" t="s">
        <v>70</v>
      </c>
      <c r="G58" t="s">
        <v>83</v>
      </c>
      <c r="H58" t="s">
        <v>122</v>
      </c>
      <c r="I58" t="s">
        <v>122</v>
      </c>
      <c r="J58" s="127">
        <v>46084.470833333333</v>
      </c>
      <c r="K58" s="127">
        <v>46090.590277777781</v>
      </c>
      <c r="L58" s="127">
        <v>46091</v>
      </c>
      <c r="M58" s="127">
        <v>46100.636805555558</v>
      </c>
      <c r="N58" t="s">
        <v>75</v>
      </c>
      <c r="O58" t="s">
        <v>122</v>
      </c>
      <c r="P58" t="s">
        <v>122</v>
      </c>
      <c r="Q58">
        <v>108214</v>
      </c>
      <c r="R58" t="s">
        <v>250</v>
      </c>
      <c r="S58" t="s">
        <v>251</v>
      </c>
      <c r="T58" t="s">
        <v>252</v>
      </c>
      <c r="U58" t="s">
        <v>137</v>
      </c>
    </row>
    <row r="59" spans="1:21" x14ac:dyDescent="0.25">
      <c r="A59" t="s">
        <v>127</v>
      </c>
      <c r="B59" t="s">
        <v>283</v>
      </c>
      <c r="C59">
        <v>156215</v>
      </c>
      <c r="D59" t="s">
        <v>284</v>
      </c>
      <c r="E59" t="s">
        <v>130</v>
      </c>
      <c r="F59" t="s">
        <v>70</v>
      </c>
      <c r="G59" t="s">
        <v>83</v>
      </c>
      <c r="H59" t="s">
        <v>122</v>
      </c>
      <c r="I59" t="s">
        <v>122</v>
      </c>
      <c r="J59" s="127">
        <v>46083.502083333333</v>
      </c>
      <c r="K59" s="127">
        <v>46083</v>
      </c>
      <c r="L59" s="127">
        <v>46084</v>
      </c>
      <c r="M59" s="127">
        <v>46087.718055555553</v>
      </c>
      <c r="N59" t="s">
        <v>75</v>
      </c>
      <c r="O59" t="s">
        <v>122</v>
      </c>
      <c r="P59" t="s">
        <v>122</v>
      </c>
      <c r="Q59">
        <v>108214</v>
      </c>
      <c r="R59" t="s">
        <v>250</v>
      </c>
      <c r="S59" t="s">
        <v>251</v>
      </c>
      <c r="T59" t="s">
        <v>252</v>
      </c>
      <c r="U59" t="s">
        <v>137</v>
      </c>
    </row>
    <row r="60" spans="1:21" x14ac:dyDescent="0.25">
      <c r="A60" t="s">
        <v>118</v>
      </c>
      <c r="B60" t="s">
        <v>285</v>
      </c>
      <c r="C60">
        <v>156192</v>
      </c>
      <c r="D60" t="s">
        <v>286</v>
      </c>
      <c r="E60" t="s">
        <v>130</v>
      </c>
      <c r="F60" t="s">
        <v>70</v>
      </c>
      <c r="G60" t="s">
        <v>83</v>
      </c>
      <c r="H60" t="s">
        <v>122</v>
      </c>
      <c r="I60" t="s">
        <v>122</v>
      </c>
      <c r="J60" s="127">
        <v>46083.479166666664</v>
      </c>
      <c r="K60" s="127">
        <v>46083.630555555559</v>
      </c>
      <c r="L60" s="127">
        <v>46083</v>
      </c>
      <c r="M60" s="127">
        <v>46094.720833333333</v>
      </c>
      <c r="N60" t="s">
        <v>75</v>
      </c>
      <c r="O60" t="s">
        <v>122</v>
      </c>
      <c r="P60" t="s">
        <v>122</v>
      </c>
      <c r="Q60">
        <v>108214</v>
      </c>
      <c r="R60" t="s">
        <v>250</v>
      </c>
      <c r="S60" t="s">
        <v>251</v>
      </c>
      <c r="T60" t="s">
        <v>252</v>
      </c>
      <c r="U60" t="s">
        <v>137</v>
      </c>
    </row>
    <row r="61" spans="1:21" x14ac:dyDescent="0.25">
      <c r="A61" t="s">
        <v>118</v>
      </c>
      <c r="B61" t="s">
        <v>287</v>
      </c>
      <c r="C61">
        <v>156175</v>
      </c>
      <c r="D61" t="s">
        <v>288</v>
      </c>
      <c r="E61" t="s">
        <v>223</v>
      </c>
      <c r="F61" t="s">
        <v>122</v>
      </c>
      <c r="G61" t="s">
        <v>83</v>
      </c>
      <c r="H61" t="s">
        <v>122</v>
      </c>
      <c r="I61" t="s">
        <v>122</v>
      </c>
      <c r="J61" s="127">
        <v>46083.468055555553</v>
      </c>
      <c r="K61" s="127"/>
      <c r="L61" s="127"/>
      <c r="M61" s="127">
        <v>46093.538194444445</v>
      </c>
      <c r="N61" t="s">
        <v>75</v>
      </c>
      <c r="O61" t="s">
        <v>122</v>
      </c>
      <c r="P61" t="s">
        <v>122</v>
      </c>
      <c r="Q61">
        <v>108214</v>
      </c>
      <c r="R61" t="s">
        <v>250</v>
      </c>
      <c r="S61" t="s">
        <v>251</v>
      </c>
      <c r="T61" t="s">
        <v>252</v>
      </c>
      <c r="U61" t="s">
        <v>137</v>
      </c>
    </row>
    <row r="62" spans="1:21" x14ac:dyDescent="0.25">
      <c r="A62" t="s">
        <v>127</v>
      </c>
      <c r="B62" t="s">
        <v>289</v>
      </c>
      <c r="C62">
        <v>155251</v>
      </c>
      <c r="D62" t="s">
        <v>290</v>
      </c>
      <c r="E62" t="s">
        <v>130</v>
      </c>
      <c r="F62" t="s">
        <v>70</v>
      </c>
      <c r="G62" t="s">
        <v>83</v>
      </c>
      <c r="H62" t="s">
        <v>122</v>
      </c>
      <c r="I62" t="s">
        <v>122</v>
      </c>
      <c r="J62" s="127">
        <v>46078.396527777775</v>
      </c>
      <c r="K62" s="127">
        <v>46080.518750000003</v>
      </c>
      <c r="L62" s="127">
        <v>46080.518750000003</v>
      </c>
      <c r="M62" s="127">
        <v>46093.468055555553</v>
      </c>
      <c r="N62" t="s">
        <v>75</v>
      </c>
      <c r="O62" t="s">
        <v>122</v>
      </c>
      <c r="P62" t="s">
        <v>122</v>
      </c>
      <c r="Q62">
        <v>108214</v>
      </c>
      <c r="R62" t="s">
        <v>250</v>
      </c>
      <c r="S62" t="s">
        <v>251</v>
      </c>
      <c r="T62" t="s">
        <v>252</v>
      </c>
      <c r="U62" t="s">
        <v>137</v>
      </c>
    </row>
    <row r="63" spans="1:21" x14ac:dyDescent="0.25">
      <c r="A63" t="s">
        <v>118</v>
      </c>
      <c r="B63" t="s">
        <v>291</v>
      </c>
      <c r="C63">
        <v>154754</v>
      </c>
      <c r="D63" t="s">
        <v>292</v>
      </c>
      <c r="E63" t="s">
        <v>223</v>
      </c>
      <c r="F63" t="s">
        <v>70</v>
      </c>
      <c r="G63" t="s">
        <v>83</v>
      </c>
      <c r="H63" t="s">
        <v>122</v>
      </c>
      <c r="I63" t="s">
        <v>122</v>
      </c>
      <c r="J63" s="127">
        <v>46076.469444444447</v>
      </c>
      <c r="K63" s="127">
        <v>46083.597916666666</v>
      </c>
      <c r="L63" s="127">
        <v>46083</v>
      </c>
      <c r="M63" s="127">
        <v>46084.399305555555</v>
      </c>
      <c r="N63" t="s">
        <v>75</v>
      </c>
      <c r="O63" t="s">
        <v>122</v>
      </c>
      <c r="P63" t="s">
        <v>122</v>
      </c>
      <c r="Q63">
        <v>108214</v>
      </c>
      <c r="R63" t="s">
        <v>250</v>
      </c>
      <c r="S63" t="s">
        <v>251</v>
      </c>
      <c r="T63" t="s">
        <v>252</v>
      </c>
      <c r="U63" t="s">
        <v>137</v>
      </c>
    </row>
    <row r="64" spans="1:21" x14ac:dyDescent="0.25">
      <c r="A64" t="s">
        <v>118</v>
      </c>
      <c r="B64" t="s">
        <v>293</v>
      </c>
      <c r="C64">
        <v>154173</v>
      </c>
      <c r="D64" t="s">
        <v>294</v>
      </c>
      <c r="E64" t="s">
        <v>121</v>
      </c>
      <c r="F64" t="s">
        <v>122</v>
      </c>
      <c r="G64" t="s">
        <v>83</v>
      </c>
      <c r="H64" t="s">
        <v>122</v>
      </c>
      <c r="I64" t="s">
        <v>122</v>
      </c>
      <c r="J64" s="127">
        <v>46072.746527777781</v>
      </c>
      <c r="K64" s="127"/>
      <c r="L64" s="127"/>
      <c r="M64" s="127"/>
      <c r="N64" t="s">
        <v>75</v>
      </c>
      <c r="O64" t="s">
        <v>122</v>
      </c>
      <c r="P64" t="s">
        <v>122</v>
      </c>
      <c r="Q64">
        <v>138830</v>
      </c>
      <c r="R64" t="s">
        <v>295</v>
      </c>
      <c r="S64" t="s">
        <v>296</v>
      </c>
      <c r="T64" t="s">
        <v>252</v>
      </c>
      <c r="U64" t="s">
        <v>137</v>
      </c>
    </row>
    <row r="65" spans="1:21" x14ac:dyDescent="0.25">
      <c r="A65" t="s">
        <v>118</v>
      </c>
      <c r="B65" t="s">
        <v>297</v>
      </c>
      <c r="C65">
        <v>154170</v>
      </c>
      <c r="D65" t="s">
        <v>298</v>
      </c>
      <c r="E65" t="s">
        <v>130</v>
      </c>
      <c r="F65" t="s">
        <v>70</v>
      </c>
      <c r="G65" t="s">
        <v>83</v>
      </c>
      <c r="H65" t="s">
        <v>122</v>
      </c>
      <c r="I65" t="s">
        <v>122</v>
      </c>
      <c r="J65" s="127">
        <v>46072.739583333336</v>
      </c>
      <c r="K65" s="127">
        <v>46097.602083333331</v>
      </c>
      <c r="L65" s="127">
        <v>46098</v>
      </c>
      <c r="M65" s="127">
        <v>46101.704861111109</v>
      </c>
      <c r="N65" t="s">
        <v>75</v>
      </c>
      <c r="O65" t="s">
        <v>122</v>
      </c>
      <c r="P65" t="s">
        <v>122</v>
      </c>
      <c r="Q65">
        <v>75256</v>
      </c>
      <c r="R65" t="s">
        <v>260</v>
      </c>
      <c r="S65" t="s">
        <v>261</v>
      </c>
      <c r="T65" t="s">
        <v>252</v>
      </c>
      <c r="U65" t="s">
        <v>137</v>
      </c>
    </row>
    <row r="66" spans="1:21" x14ac:dyDescent="0.25">
      <c r="A66" t="s">
        <v>118</v>
      </c>
      <c r="B66" t="s">
        <v>299</v>
      </c>
      <c r="C66">
        <v>154169</v>
      </c>
      <c r="D66" t="s">
        <v>300</v>
      </c>
      <c r="E66" t="s">
        <v>121</v>
      </c>
      <c r="F66" t="s">
        <v>122</v>
      </c>
      <c r="G66" t="s">
        <v>83</v>
      </c>
      <c r="H66" t="s">
        <v>122</v>
      </c>
      <c r="I66" t="s">
        <v>122</v>
      </c>
      <c r="J66" s="127">
        <v>46072.738194444442</v>
      </c>
      <c r="K66" s="127">
        <v>46049.822916666664</v>
      </c>
      <c r="L66" s="127">
        <v>46050</v>
      </c>
      <c r="M66" s="127"/>
      <c r="N66" t="s">
        <v>75</v>
      </c>
      <c r="O66" t="s">
        <v>122</v>
      </c>
      <c r="P66" t="s">
        <v>122</v>
      </c>
      <c r="Q66">
        <v>75256</v>
      </c>
      <c r="R66" t="s">
        <v>260</v>
      </c>
      <c r="S66" t="s">
        <v>261</v>
      </c>
      <c r="T66" t="s">
        <v>252</v>
      </c>
      <c r="U66" t="s">
        <v>137</v>
      </c>
    </row>
    <row r="67" spans="1:21" x14ac:dyDescent="0.25">
      <c r="A67" t="s">
        <v>118</v>
      </c>
      <c r="B67" t="s">
        <v>301</v>
      </c>
      <c r="C67">
        <v>154166</v>
      </c>
      <c r="D67" t="s">
        <v>302</v>
      </c>
      <c r="E67" t="s">
        <v>121</v>
      </c>
      <c r="F67" t="s">
        <v>122</v>
      </c>
      <c r="G67" t="s">
        <v>83</v>
      </c>
      <c r="H67" t="s">
        <v>122</v>
      </c>
      <c r="I67" t="s">
        <v>122</v>
      </c>
      <c r="J67" s="127">
        <v>46072.732638888891</v>
      </c>
      <c r="K67" s="127">
        <v>46049.822916666664</v>
      </c>
      <c r="L67" s="127">
        <v>46050</v>
      </c>
      <c r="M67" s="127"/>
      <c r="N67" t="s">
        <v>75</v>
      </c>
      <c r="O67" t="s">
        <v>122</v>
      </c>
      <c r="P67" t="s">
        <v>122</v>
      </c>
      <c r="Q67">
        <v>75256</v>
      </c>
      <c r="R67" t="s">
        <v>260</v>
      </c>
      <c r="S67" t="s">
        <v>261</v>
      </c>
      <c r="T67" t="s">
        <v>252</v>
      </c>
      <c r="U67" t="s">
        <v>137</v>
      </c>
    </row>
    <row r="68" spans="1:21" x14ac:dyDescent="0.25">
      <c r="A68" t="s">
        <v>118</v>
      </c>
      <c r="B68" t="s">
        <v>303</v>
      </c>
      <c r="C68">
        <v>154165</v>
      </c>
      <c r="D68" t="s">
        <v>304</v>
      </c>
      <c r="E68" t="s">
        <v>121</v>
      </c>
      <c r="F68" t="s">
        <v>122</v>
      </c>
      <c r="G68" t="s">
        <v>83</v>
      </c>
      <c r="H68" t="s">
        <v>122</v>
      </c>
      <c r="I68" t="s">
        <v>122</v>
      </c>
      <c r="J68" s="127">
        <v>46072.730555555558</v>
      </c>
      <c r="K68" s="127">
        <v>46049.822916666664</v>
      </c>
      <c r="L68" s="127">
        <v>46050</v>
      </c>
      <c r="M68" s="127"/>
      <c r="N68" t="s">
        <v>75</v>
      </c>
      <c r="O68" t="s">
        <v>122</v>
      </c>
      <c r="P68" t="s">
        <v>122</v>
      </c>
      <c r="Q68">
        <v>75256</v>
      </c>
      <c r="R68" t="s">
        <v>260</v>
      </c>
      <c r="S68" t="s">
        <v>261</v>
      </c>
      <c r="T68" t="s">
        <v>252</v>
      </c>
      <c r="U68" t="s">
        <v>137</v>
      </c>
    </row>
    <row r="69" spans="1:21" x14ac:dyDescent="0.25">
      <c r="A69" t="s">
        <v>118</v>
      </c>
      <c r="B69" t="s">
        <v>305</v>
      </c>
      <c r="C69">
        <v>154125</v>
      </c>
      <c r="D69" t="s">
        <v>306</v>
      </c>
      <c r="E69" t="s">
        <v>121</v>
      </c>
      <c r="F69" t="s">
        <v>122</v>
      </c>
      <c r="G69" t="s">
        <v>83</v>
      </c>
      <c r="H69" t="s">
        <v>122</v>
      </c>
      <c r="I69" t="s">
        <v>122</v>
      </c>
      <c r="J69" s="127">
        <v>46072.694444444445</v>
      </c>
      <c r="K69" s="127"/>
      <c r="L69" s="127"/>
      <c r="M69" s="127"/>
      <c r="N69" t="s">
        <v>75</v>
      </c>
      <c r="O69" t="s">
        <v>122</v>
      </c>
      <c r="P69" t="s">
        <v>122</v>
      </c>
      <c r="Q69">
        <v>101276</v>
      </c>
      <c r="R69" t="s">
        <v>269</v>
      </c>
      <c r="S69" t="s">
        <v>270</v>
      </c>
      <c r="T69" t="s">
        <v>252</v>
      </c>
      <c r="U69" t="s">
        <v>137</v>
      </c>
    </row>
    <row r="70" spans="1:21" x14ac:dyDescent="0.25">
      <c r="A70" t="s">
        <v>118</v>
      </c>
      <c r="B70" t="s">
        <v>307</v>
      </c>
      <c r="C70">
        <v>154122</v>
      </c>
      <c r="D70" t="s">
        <v>308</v>
      </c>
      <c r="E70" t="s">
        <v>121</v>
      </c>
      <c r="F70" t="s">
        <v>122</v>
      </c>
      <c r="G70" t="s">
        <v>83</v>
      </c>
      <c r="H70" t="s">
        <v>122</v>
      </c>
      <c r="I70" t="s">
        <v>122</v>
      </c>
      <c r="J70" s="127">
        <v>46072.681250000001</v>
      </c>
      <c r="K70" s="127"/>
      <c r="L70" s="127"/>
      <c r="M70" s="127"/>
      <c r="N70" t="s">
        <v>75</v>
      </c>
      <c r="O70" t="s">
        <v>122</v>
      </c>
      <c r="P70" t="s">
        <v>122</v>
      </c>
      <c r="Q70">
        <v>101276</v>
      </c>
      <c r="R70" t="s">
        <v>269</v>
      </c>
      <c r="S70" t="s">
        <v>270</v>
      </c>
      <c r="T70" t="s">
        <v>252</v>
      </c>
      <c r="U70" t="s">
        <v>137</v>
      </c>
    </row>
    <row r="71" spans="1:21" x14ac:dyDescent="0.25">
      <c r="A71" t="s">
        <v>118</v>
      </c>
      <c r="B71" t="s">
        <v>309</v>
      </c>
      <c r="C71">
        <v>154109</v>
      </c>
      <c r="D71" t="s">
        <v>310</v>
      </c>
      <c r="E71" t="s">
        <v>223</v>
      </c>
      <c r="F71" t="s">
        <v>122</v>
      </c>
      <c r="G71" t="s">
        <v>83</v>
      </c>
      <c r="H71" t="s">
        <v>122</v>
      </c>
      <c r="I71" t="s">
        <v>122</v>
      </c>
      <c r="J71" s="127">
        <v>46072.671527777777</v>
      </c>
      <c r="K71" s="127">
        <v>45985.560416666667</v>
      </c>
      <c r="L71" s="127">
        <v>45985.560416666667</v>
      </c>
      <c r="M71" s="127">
        <v>46093.538194444445</v>
      </c>
      <c r="N71" t="s">
        <v>75</v>
      </c>
      <c r="O71" t="s">
        <v>122</v>
      </c>
      <c r="P71" t="s">
        <v>122</v>
      </c>
      <c r="Q71">
        <v>108214</v>
      </c>
      <c r="R71" t="s">
        <v>250</v>
      </c>
      <c r="S71" t="s">
        <v>251</v>
      </c>
      <c r="T71" t="s">
        <v>252</v>
      </c>
      <c r="U71" t="s">
        <v>137</v>
      </c>
    </row>
    <row r="72" spans="1:21" x14ac:dyDescent="0.25">
      <c r="A72" t="s">
        <v>118</v>
      </c>
      <c r="B72" t="s">
        <v>311</v>
      </c>
      <c r="C72">
        <v>154071</v>
      </c>
      <c r="D72" t="s">
        <v>312</v>
      </c>
      <c r="E72" t="s">
        <v>121</v>
      </c>
      <c r="F72" t="s">
        <v>70</v>
      </c>
      <c r="G72" t="s">
        <v>83</v>
      </c>
      <c r="H72" t="s">
        <v>122</v>
      </c>
      <c r="I72" t="s">
        <v>122</v>
      </c>
      <c r="J72" s="127">
        <v>46072.581250000003</v>
      </c>
      <c r="K72" s="127">
        <v>45985.560416666667</v>
      </c>
      <c r="L72" s="127">
        <v>45985.560416666667</v>
      </c>
      <c r="M72" s="127"/>
      <c r="N72" t="s">
        <v>75</v>
      </c>
      <c r="O72" t="s">
        <v>122</v>
      </c>
      <c r="P72" t="s">
        <v>122</v>
      </c>
      <c r="Q72">
        <v>108214</v>
      </c>
      <c r="R72" t="s">
        <v>250</v>
      </c>
      <c r="S72" t="s">
        <v>251</v>
      </c>
      <c r="T72" t="s">
        <v>252</v>
      </c>
      <c r="U72" t="s">
        <v>137</v>
      </c>
    </row>
    <row r="73" spans="1:21" x14ac:dyDescent="0.25">
      <c r="A73" t="s">
        <v>118</v>
      </c>
      <c r="B73" t="s">
        <v>313</v>
      </c>
      <c r="C73">
        <v>153283</v>
      </c>
      <c r="D73" t="s">
        <v>314</v>
      </c>
      <c r="E73" t="s">
        <v>130</v>
      </c>
      <c r="F73" t="s">
        <v>70</v>
      </c>
      <c r="G73" t="s">
        <v>83</v>
      </c>
      <c r="H73" t="s">
        <v>122</v>
      </c>
      <c r="I73" t="s">
        <v>122</v>
      </c>
      <c r="J73" s="127">
        <v>46066.418055555558</v>
      </c>
      <c r="K73" s="127">
        <v>46066.543749999997</v>
      </c>
      <c r="L73" s="127">
        <v>46071</v>
      </c>
      <c r="M73" s="127">
        <v>46080.388194444444</v>
      </c>
      <c r="N73" t="s">
        <v>75</v>
      </c>
      <c r="O73" t="s">
        <v>122</v>
      </c>
      <c r="P73" t="s">
        <v>122</v>
      </c>
      <c r="Q73">
        <v>108214</v>
      </c>
      <c r="R73" t="s">
        <v>250</v>
      </c>
      <c r="S73" t="s">
        <v>251</v>
      </c>
      <c r="T73" t="s">
        <v>252</v>
      </c>
      <c r="U73" t="s">
        <v>137</v>
      </c>
    </row>
    <row r="74" spans="1:21" x14ac:dyDescent="0.25">
      <c r="A74" t="s">
        <v>127</v>
      </c>
      <c r="B74" t="s">
        <v>315</v>
      </c>
      <c r="C74">
        <v>151820</v>
      </c>
      <c r="D74" t="s">
        <v>316</v>
      </c>
      <c r="E74" t="s">
        <v>130</v>
      </c>
      <c r="F74" t="s">
        <v>70</v>
      </c>
      <c r="G74" t="s">
        <v>83</v>
      </c>
      <c r="H74" t="s">
        <v>122</v>
      </c>
      <c r="I74" t="s">
        <v>122</v>
      </c>
      <c r="J74" s="127">
        <v>46063.395833333336</v>
      </c>
      <c r="K74" s="127">
        <v>46073.513194444444</v>
      </c>
      <c r="L74" s="127">
        <v>46073.513194444444</v>
      </c>
      <c r="M74" s="127">
        <v>46073.388194444444</v>
      </c>
      <c r="N74" t="s">
        <v>75</v>
      </c>
      <c r="O74" t="s">
        <v>122</v>
      </c>
      <c r="P74" t="s">
        <v>122</v>
      </c>
      <c r="R74" t="s">
        <v>122</v>
      </c>
      <c r="S74" t="s">
        <v>122</v>
      </c>
      <c r="T74" t="s">
        <v>252</v>
      </c>
      <c r="U74" t="s">
        <v>137</v>
      </c>
    </row>
    <row r="75" spans="1:21" x14ac:dyDescent="0.25">
      <c r="A75" t="s">
        <v>127</v>
      </c>
      <c r="B75" t="s">
        <v>317</v>
      </c>
      <c r="C75">
        <v>151741</v>
      </c>
      <c r="D75" t="s">
        <v>318</v>
      </c>
      <c r="E75" t="s">
        <v>121</v>
      </c>
      <c r="F75" t="s">
        <v>70</v>
      </c>
      <c r="G75" t="s">
        <v>83</v>
      </c>
      <c r="H75" t="s">
        <v>122</v>
      </c>
      <c r="I75" t="s">
        <v>122</v>
      </c>
      <c r="J75" s="127">
        <v>46062.71597222222</v>
      </c>
      <c r="K75" s="127"/>
      <c r="L75" s="127"/>
      <c r="M75" s="127"/>
      <c r="N75" t="s">
        <v>75</v>
      </c>
      <c r="O75" t="s">
        <v>122</v>
      </c>
      <c r="P75" t="s">
        <v>122</v>
      </c>
      <c r="R75" t="s">
        <v>122</v>
      </c>
      <c r="S75" t="s">
        <v>122</v>
      </c>
      <c r="T75" t="s">
        <v>252</v>
      </c>
      <c r="U75" t="s">
        <v>137</v>
      </c>
    </row>
    <row r="76" spans="1:21" x14ac:dyDescent="0.25">
      <c r="A76" t="s">
        <v>142</v>
      </c>
      <c r="B76" t="s">
        <v>319</v>
      </c>
      <c r="C76">
        <v>151622</v>
      </c>
      <c r="D76" t="s">
        <v>320</v>
      </c>
      <c r="E76" t="s">
        <v>121</v>
      </c>
      <c r="F76" t="s">
        <v>70</v>
      </c>
      <c r="G76" t="s">
        <v>83</v>
      </c>
      <c r="H76" t="s">
        <v>122</v>
      </c>
      <c r="I76" t="s">
        <v>122</v>
      </c>
      <c r="J76" s="127">
        <v>46062.489583333336</v>
      </c>
      <c r="K76" s="127"/>
      <c r="L76" s="127"/>
      <c r="M76" s="127"/>
      <c r="N76" t="s">
        <v>75</v>
      </c>
      <c r="O76" t="s">
        <v>122</v>
      </c>
      <c r="P76" t="s">
        <v>122</v>
      </c>
      <c r="R76" t="s">
        <v>122</v>
      </c>
      <c r="S76" t="s">
        <v>122</v>
      </c>
      <c r="T76" t="s">
        <v>252</v>
      </c>
      <c r="U76" t="s">
        <v>137</v>
      </c>
    </row>
    <row r="77" spans="1:21" x14ac:dyDescent="0.25">
      <c r="A77" t="s">
        <v>142</v>
      </c>
      <c r="B77" t="s">
        <v>321</v>
      </c>
      <c r="C77">
        <v>151609</v>
      </c>
      <c r="D77" t="s">
        <v>322</v>
      </c>
      <c r="E77" t="s">
        <v>130</v>
      </c>
      <c r="F77" t="s">
        <v>70</v>
      </c>
      <c r="G77" t="s">
        <v>83</v>
      </c>
      <c r="H77" t="s">
        <v>122</v>
      </c>
      <c r="I77" t="s">
        <v>122</v>
      </c>
      <c r="J77" s="127">
        <v>46062.486805555556</v>
      </c>
      <c r="K77" s="127">
        <v>46062</v>
      </c>
      <c r="L77" s="127">
        <v>46064</v>
      </c>
      <c r="M77" s="127">
        <v>46073.718055555553</v>
      </c>
      <c r="N77" t="s">
        <v>75</v>
      </c>
      <c r="O77" t="s">
        <v>122</v>
      </c>
      <c r="P77" t="s">
        <v>122</v>
      </c>
      <c r="Q77">
        <v>108214</v>
      </c>
      <c r="R77" t="s">
        <v>250</v>
      </c>
      <c r="S77" t="s">
        <v>251</v>
      </c>
      <c r="T77" t="s">
        <v>252</v>
      </c>
      <c r="U77" t="s">
        <v>137</v>
      </c>
    </row>
    <row r="78" spans="1:21" x14ac:dyDescent="0.25">
      <c r="A78" t="s">
        <v>118</v>
      </c>
      <c r="B78" t="s">
        <v>323</v>
      </c>
      <c r="C78">
        <v>151607</v>
      </c>
      <c r="D78" t="s">
        <v>324</v>
      </c>
      <c r="E78" t="s">
        <v>130</v>
      </c>
      <c r="F78" t="s">
        <v>70</v>
      </c>
      <c r="G78" t="s">
        <v>83</v>
      </c>
      <c r="H78" t="s">
        <v>122</v>
      </c>
      <c r="I78" t="s">
        <v>122</v>
      </c>
      <c r="J78" s="127">
        <v>46062.484722222223</v>
      </c>
      <c r="K78" s="127">
        <v>46062.611805555556</v>
      </c>
      <c r="L78" s="127">
        <v>46064</v>
      </c>
      <c r="M78" s="127">
        <v>46094.754861111112</v>
      </c>
      <c r="N78" t="s">
        <v>75</v>
      </c>
      <c r="O78" t="s">
        <v>122</v>
      </c>
      <c r="P78" t="s">
        <v>122</v>
      </c>
      <c r="Q78">
        <v>108214</v>
      </c>
      <c r="R78" t="s">
        <v>250</v>
      </c>
      <c r="S78" t="s">
        <v>251</v>
      </c>
      <c r="T78" t="s">
        <v>252</v>
      </c>
      <c r="U78" t="s">
        <v>137</v>
      </c>
    </row>
    <row r="79" spans="1:21" x14ac:dyDescent="0.25">
      <c r="A79" t="s">
        <v>118</v>
      </c>
      <c r="B79" t="s">
        <v>325</v>
      </c>
      <c r="C79">
        <v>151201</v>
      </c>
      <c r="D79" t="s">
        <v>326</v>
      </c>
      <c r="E79" t="s">
        <v>121</v>
      </c>
      <c r="F79" t="s">
        <v>122</v>
      </c>
      <c r="G79" t="s">
        <v>83</v>
      </c>
      <c r="H79" t="s">
        <v>122</v>
      </c>
      <c r="I79" t="s">
        <v>122</v>
      </c>
      <c r="J79" s="127">
        <v>46058.70416666667</v>
      </c>
      <c r="K79" s="127"/>
      <c r="L79" s="127"/>
      <c r="M79" s="127"/>
      <c r="N79" t="s">
        <v>75</v>
      </c>
      <c r="O79" t="s">
        <v>122</v>
      </c>
      <c r="P79" t="s">
        <v>122</v>
      </c>
      <c r="Q79">
        <v>138830</v>
      </c>
      <c r="R79" t="s">
        <v>295</v>
      </c>
      <c r="S79" t="s">
        <v>296</v>
      </c>
      <c r="T79" t="s">
        <v>252</v>
      </c>
      <c r="U79" t="s">
        <v>137</v>
      </c>
    </row>
    <row r="80" spans="1:21" x14ac:dyDescent="0.25">
      <c r="A80" t="s">
        <v>118</v>
      </c>
      <c r="B80" t="s">
        <v>327</v>
      </c>
      <c r="C80">
        <v>151199</v>
      </c>
      <c r="D80" t="s">
        <v>328</v>
      </c>
      <c r="E80" t="s">
        <v>121</v>
      </c>
      <c r="F80" t="s">
        <v>122</v>
      </c>
      <c r="G80" t="s">
        <v>83</v>
      </c>
      <c r="H80" t="s">
        <v>122</v>
      </c>
      <c r="I80" t="s">
        <v>122</v>
      </c>
      <c r="J80" s="127">
        <v>46058.702777777777</v>
      </c>
      <c r="K80" s="127"/>
      <c r="L80" s="127"/>
      <c r="M80" s="127"/>
      <c r="N80" t="s">
        <v>75</v>
      </c>
      <c r="O80" t="s">
        <v>122</v>
      </c>
      <c r="P80" t="s">
        <v>122</v>
      </c>
      <c r="Q80">
        <v>138830</v>
      </c>
      <c r="R80" t="s">
        <v>295</v>
      </c>
      <c r="S80" t="s">
        <v>296</v>
      </c>
      <c r="T80" t="s">
        <v>252</v>
      </c>
      <c r="U80" t="s">
        <v>137</v>
      </c>
    </row>
    <row r="81" spans="1:21" x14ac:dyDescent="0.25">
      <c r="A81" t="s">
        <v>118</v>
      </c>
      <c r="B81" t="s">
        <v>329</v>
      </c>
      <c r="C81">
        <v>151092</v>
      </c>
      <c r="D81" t="s">
        <v>330</v>
      </c>
      <c r="E81" t="s">
        <v>130</v>
      </c>
      <c r="F81" t="s">
        <v>70</v>
      </c>
      <c r="G81" t="s">
        <v>83</v>
      </c>
      <c r="H81" t="s">
        <v>122</v>
      </c>
      <c r="I81" t="s">
        <v>122</v>
      </c>
      <c r="J81" s="127">
        <v>46058.446527777778</v>
      </c>
      <c r="K81" s="127">
        <v>46058.6</v>
      </c>
      <c r="L81" s="127">
        <v>46058</v>
      </c>
      <c r="M81" s="127">
        <v>46073.386805555558</v>
      </c>
      <c r="N81" t="s">
        <v>75</v>
      </c>
      <c r="O81" t="s">
        <v>122</v>
      </c>
      <c r="P81" t="s">
        <v>122</v>
      </c>
      <c r="Q81">
        <v>148923</v>
      </c>
      <c r="R81" t="s">
        <v>331</v>
      </c>
      <c r="S81" t="s">
        <v>332</v>
      </c>
      <c r="T81" t="s">
        <v>252</v>
      </c>
      <c r="U81" t="s">
        <v>137</v>
      </c>
    </row>
    <row r="82" spans="1:21" x14ac:dyDescent="0.25">
      <c r="A82" t="s">
        <v>118</v>
      </c>
      <c r="B82" t="s">
        <v>333</v>
      </c>
      <c r="C82">
        <v>150203</v>
      </c>
      <c r="D82" t="s">
        <v>334</v>
      </c>
      <c r="E82" t="s">
        <v>130</v>
      </c>
      <c r="F82" t="s">
        <v>70</v>
      </c>
      <c r="G82" t="s">
        <v>83</v>
      </c>
      <c r="H82" t="s">
        <v>122</v>
      </c>
      <c r="I82" t="s">
        <v>122</v>
      </c>
      <c r="J82" s="127">
        <v>46055.745138888888</v>
      </c>
      <c r="K82" s="127">
        <v>46064.518750000003</v>
      </c>
      <c r="L82" s="127">
        <v>46064</v>
      </c>
      <c r="M82" s="127">
        <v>46084.392361111109</v>
      </c>
      <c r="N82" t="s">
        <v>75</v>
      </c>
      <c r="O82" t="s">
        <v>122</v>
      </c>
      <c r="P82" t="s">
        <v>122</v>
      </c>
      <c r="Q82">
        <v>108214</v>
      </c>
      <c r="R82" t="s">
        <v>250</v>
      </c>
      <c r="S82" t="s">
        <v>251</v>
      </c>
      <c r="T82" t="s">
        <v>252</v>
      </c>
      <c r="U82" t="s">
        <v>137</v>
      </c>
    </row>
    <row r="83" spans="1:21" x14ac:dyDescent="0.25">
      <c r="A83" t="s">
        <v>118</v>
      </c>
      <c r="B83" t="s">
        <v>335</v>
      </c>
      <c r="C83">
        <v>150200</v>
      </c>
      <c r="D83" t="s">
        <v>336</v>
      </c>
      <c r="E83" t="s">
        <v>130</v>
      </c>
      <c r="F83" t="s">
        <v>70</v>
      </c>
      <c r="G83" t="s">
        <v>83</v>
      </c>
      <c r="H83" t="s">
        <v>122</v>
      </c>
      <c r="I83" t="s">
        <v>122</v>
      </c>
      <c r="J83" s="127">
        <v>46055.741666666669</v>
      </c>
      <c r="K83" s="127">
        <v>46062.598611111112</v>
      </c>
      <c r="L83" s="127">
        <v>46062</v>
      </c>
      <c r="M83" s="127">
        <v>46064.350694444445</v>
      </c>
      <c r="N83" t="s">
        <v>75</v>
      </c>
      <c r="O83" t="s">
        <v>122</v>
      </c>
      <c r="P83" t="s">
        <v>122</v>
      </c>
      <c r="Q83">
        <v>108214</v>
      </c>
      <c r="R83" t="s">
        <v>250</v>
      </c>
      <c r="S83" t="s">
        <v>251</v>
      </c>
      <c r="T83" t="s">
        <v>252</v>
      </c>
      <c r="U83" t="s">
        <v>137</v>
      </c>
    </row>
    <row r="84" spans="1:21" x14ac:dyDescent="0.25">
      <c r="A84" t="s">
        <v>118</v>
      </c>
      <c r="B84" t="s">
        <v>337</v>
      </c>
      <c r="C84">
        <v>150199</v>
      </c>
      <c r="D84" t="s">
        <v>338</v>
      </c>
      <c r="E84" t="s">
        <v>130</v>
      </c>
      <c r="F84" t="s">
        <v>70</v>
      </c>
      <c r="G84" t="s">
        <v>83</v>
      </c>
      <c r="H84" t="s">
        <v>122</v>
      </c>
      <c r="I84" t="s">
        <v>122</v>
      </c>
      <c r="J84" s="127">
        <v>46055.740972222222</v>
      </c>
      <c r="K84" s="127">
        <v>46062.598611111112</v>
      </c>
      <c r="L84" s="127">
        <v>46062</v>
      </c>
      <c r="M84" s="127">
        <v>46063.378472222219</v>
      </c>
      <c r="N84" t="s">
        <v>75</v>
      </c>
      <c r="O84" t="s">
        <v>122</v>
      </c>
      <c r="P84" t="s">
        <v>122</v>
      </c>
      <c r="Q84">
        <v>108214</v>
      </c>
      <c r="R84" t="s">
        <v>250</v>
      </c>
      <c r="S84" t="s">
        <v>251</v>
      </c>
      <c r="T84" t="s">
        <v>252</v>
      </c>
      <c r="U84" t="s">
        <v>137</v>
      </c>
    </row>
    <row r="85" spans="1:21" x14ac:dyDescent="0.25">
      <c r="A85" t="s">
        <v>118</v>
      </c>
      <c r="B85" t="s">
        <v>339</v>
      </c>
      <c r="C85">
        <v>150198</v>
      </c>
      <c r="D85" t="s">
        <v>340</v>
      </c>
      <c r="E85" t="s">
        <v>121</v>
      </c>
      <c r="F85" t="s">
        <v>122</v>
      </c>
      <c r="G85" t="s">
        <v>83</v>
      </c>
      <c r="H85" t="s">
        <v>122</v>
      </c>
      <c r="I85" t="s">
        <v>122</v>
      </c>
      <c r="J85" s="127">
        <v>46055.738888888889</v>
      </c>
      <c r="K85" s="127"/>
      <c r="L85" s="127"/>
      <c r="M85" s="127"/>
      <c r="N85" t="s">
        <v>75</v>
      </c>
      <c r="O85" t="s">
        <v>122</v>
      </c>
      <c r="P85" t="s">
        <v>122</v>
      </c>
      <c r="Q85">
        <v>101276</v>
      </c>
      <c r="R85" t="s">
        <v>269</v>
      </c>
      <c r="S85" t="s">
        <v>270</v>
      </c>
      <c r="T85" t="s">
        <v>252</v>
      </c>
      <c r="U85" t="s">
        <v>137</v>
      </c>
    </row>
    <row r="86" spans="1:21" x14ac:dyDescent="0.25">
      <c r="A86" t="s">
        <v>118</v>
      </c>
      <c r="B86" t="s">
        <v>341</v>
      </c>
      <c r="C86">
        <v>150197</v>
      </c>
      <c r="D86" t="s">
        <v>342</v>
      </c>
      <c r="E86" t="s">
        <v>121</v>
      </c>
      <c r="F86" t="s">
        <v>122</v>
      </c>
      <c r="G86" t="s">
        <v>83</v>
      </c>
      <c r="H86" t="s">
        <v>122</v>
      </c>
      <c r="I86" t="s">
        <v>122</v>
      </c>
      <c r="J86" s="127">
        <v>46055.738194444442</v>
      </c>
      <c r="K86" s="127"/>
      <c r="L86" s="127"/>
      <c r="M86" s="127"/>
      <c r="N86" t="s">
        <v>75</v>
      </c>
      <c r="O86" t="s">
        <v>122</v>
      </c>
      <c r="P86" t="s">
        <v>122</v>
      </c>
      <c r="Q86">
        <v>101276</v>
      </c>
      <c r="R86" t="s">
        <v>269</v>
      </c>
      <c r="S86" t="s">
        <v>270</v>
      </c>
      <c r="T86" t="s">
        <v>252</v>
      </c>
      <c r="U86" t="s">
        <v>137</v>
      </c>
    </row>
    <row r="87" spans="1:21" x14ac:dyDescent="0.25">
      <c r="A87" t="s">
        <v>118</v>
      </c>
      <c r="B87" t="s">
        <v>343</v>
      </c>
      <c r="C87">
        <v>150196</v>
      </c>
      <c r="D87" t="s">
        <v>344</v>
      </c>
      <c r="E87" t="s">
        <v>130</v>
      </c>
      <c r="F87" t="s">
        <v>70</v>
      </c>
      <c r="G87" t="s">
        <v>83</v>
      </c>
      <c r="H87" t="s">
        <v>122</v>
      </c>
      <c r="I87" t="s">
        <v>122</v>
      </c>
      <c r="J87" s="127">
        <v>46055.734722222223</v>
      </c>
      <c r="K87" s="127">
        <v>46057.854166666664</v>
      </c>
      <c r="L87" s="127">
        <v>46057</v>
      </c>
      <c r="M87" s="127">
        <v>46062.47152777778</v>
      </c>
      <c r="N87" t="s">
        <v>75</v>
      </c>
      <c r="O87" t="s">
        <v>122</v>
      </c>
      <c r="P87" t="s">
        <v>122</v>
      </c>
      <c r="Q87">
        <v>148923</v>
      </c>
      <c r="R87" t="s">
        <v>331</v>
      </c>
      <c r="S87" t="s">
        <v>332</v>
      </c>
      <c r="T87" t="s">
        <v>252</v>
      </c>
      <c r="U87" t="s">
        <v>137</v>
      </c>
    </row>
    <row r="88" spans="1:21" x14ac:dyDescent="0.25">
      <c r="A88" t="s">
        <v>118</v>
      </c>
      <c r="B88" t="s">
        <v>345</v>
      </c>
      <c r="C88">
        <v>150195</v>
      </c>
      <c r="D88" t="s">
        <v>346</v>
      </c>
      <c r="E88" t="s">
        <v>130</v>
      </c>
      <c r="F88" t="s">
        <v>70</v>
      </c>
      <c r="G88" t="s">
        <v>83</v>
      </c>
      <c r="H88" t="s">
        <v>122</v>
      </c>
      <c r="I88" t="s">
        <v>122</v>
      </c>
      <c r="J88" s="127">
        <v>46055.734722222223</v>
      </c>
      <c r="K88" s="127">
        <v>46057.521527777775</v>
      </c>
      <c r="L88" s="127">
        <v>46057</v>
      </c>
      <c r="M88" s="127">
        <v>46062.470833333333</v>
      </c>
      <c r="N88" t="s">
        <v>75</v>
      </c>
      <c r="O88" t="s">
        <v>122</v>
      </c>
      <c r="P88" t="s">
        <v>122</v>
      </c>
      <c r="Q88">
        <v>148923</v>
      </c>
      <c r="R88" t="s">
        <v>331</v>
      </c>
      <c r="S88" t="s">
        <v>332</v>
      </c>
      <c r="T88" t="s">
        <v>252</v>
      </c>
      <c r="U88" t="s">
        <v>137</v>
      </c>
    </row>
    <row r="89" spans="1:21" x14ac:dyDescent="0.25">
      <c r="A89" t="s">
        <v>118</v>
      </c>
      <c r="B89" t="s">
        <v>347</v>
      </c>
      <c r="C89">
        <v>149464</v>
      </c>
      <c r="D89" t="s">
        <v>348</v>
      </c>
      <c r="E89" t="s">
        <v>130</v>
      </c>
      <c r="F89" t="s">
        <v>70</v>
      </c>
      <c r="G89" t="s">
        <v>83</v>
      </c>
      <c r="H89" t="s">
        <v>122</v>
      </c>
      <c r="I89" t="s">
        <v>122</v>
      </c>
      <c r="J89" s="127">
        <v>46051.706944444442</v>
      </c>
      <c r="K89" s="127">
        <v>46062.604861111111</v>
      </c>
      <c r="L89" s="127">
        <v>46064</v>
      </c>
      <c r="M89" s="127">
        <v>46087.466666666667</v>
      </c>
      <c r="N89" t="s">
        <v>75</v>
      </c>
      <c r="O89" t="s">
        <v>122</v>
      </c>
      <c r="P89" t="s">
        <v>122</v>
      </c>
      <c r="Q89">
        <v>108214</v>
      </c>
      <c r="R89" t="s">
        <v>250</v>
      </c>
      <c r="S89" t="s">
        <v>251</v>
      </c>
      <c r="T89" t="s">
        <v>252</v>
      </c>
      <c r="U89" t="s">
        <v>137</v>
      </c>
    </row>
    <row r="90" spans="1:21" x14ac:dyDescent="0.25">
      <c r="A90" t="s">
        <v>118</v>
      </c>
      <c r="B90" t="s">
        <v>349</v>
      </c>
      <c r="C90">
        <v>149462</v>
      </c>
      <c r="D90" t="s">
        <v>350</v>
      </c>
      <c r="E90" t="s">
        <v>130</v>
      </c>
      <c r="F90" t="s">
        <v>70</v>
      </c>
      <c r="G90" t="s">
        <v>83</v>
      </c>
      <c r="H90" t="s">
        <v>122</v>
      </c>
      <c r="I90" t="s">
        <v>122</v>
      </c>
      <c r="J90" s="127">
        <v>46051.704861111109</v>
      </c>
      <c r="K90" s="127">
        <v>46097.589583333334</v>
      </c>
      <c r="L90" s="127">
        <v>46098</v>
      </c>
      <c r="M90" s="127">
        <v>46100.704861111109</v>
      </c>
      <c r="N90" t="s">
        <v>75</v>
      </c>
      <c r="O90" t="s">
        <v>122</v>
      </c>
      <c r="P90" t="s">
        <v>122</v>
      </c>
      <c r="Q90">
        <v>108214</v>
      </c>
      <c r="R90" t="s">
        <v>250</v>
      </c>
      <c r="S90" t="s">
        <v>251</v>
      </c>
      <c r="T90" t="s">
        <v>252</v>
      </c>
      <c r="U90" t="s">
        <v>137</v>
      </c>
    </row>
    <row r="91" spans="1:21" x14ac:dyDescent="0.25">
      <c r="A91" t="s">
        <v>118</v>
      </c>
      <c r="B91" t="s">
        <v>351</v>
      </c>
      <c r="C91">
        <v>148927</v>
      </c>
      <c r="D91" t="s">
        <v>352</v>
      </c>
      <c r="E91" t="s">
        <v>130</v>
      </c>
      <c r="F91" t="s">
        <v>70</v>
      </c>
      <c r="G91" t="s">
        <v>83</v>
      </c>
      <c r="H91" t="s">
        <v>122</v>
      </c>
      <c r="I91" t="s">
        <v>122</v>
      </c>
      <c r="J91" s="127">
        <v>46049.693749999999</v>
      </c>
      <c r="K91" s="127">
        <v>46049.822916666664</v>
      </c>
      <c r="L91" s="127">
        <v>46055</v>
      </c>
      <c r="M91" s="127">
        <v>46062.470833333333</v>
      </c>
      <c r="N91" t="s">
        <v>75</v>
      </c>
      <c r="O91" t="s">
        <v>122</v>
      </c>
      <c r="P91" t="s">
        <v>122</v>
      </c>
      <c r="Q91">
        <v>148923</v>
      </c>
      <c r="R91" t="s">
        <v>331</v>
      </c>
      <c r="S91" t="s">
        <v>332</v>
      </c>
      <c r="T91" t="s">
        <v>252</v>
      </c>
      <c r="U91" t="s">
        <v>137</v>
      </c>
    </row>
    <row r="92" spans="1:21" x14ac:dyDescent="0.25">
      <c r="A92" t="s">
        <v>118</v>
      </c>
      <c r="B92" t="s">
        <v>353</v>
      </c>
      <c r="C92">
        <v>148909</v>
      </c>
      <c r="D92" t="s">
        <v>354</v>
      </c>
      <c r="E92" t="s">
        <v>130</v>
      </c>
      <c r="F92" t="s">
        <v>70</v>
      </c>
      <c r="G92" t="s">
        <v>83</v>
      </c>
      <c r="H92" t="s">
        <v>122</v>
      </c>
      <c r="I92" t="s">
        <v>122</v>
      </c>
      <c r="J92" s="127">
        <v>46049.688888888886</v>
      </c>
      <c r="K92" s="127">
        <v>46049.822916666664</v>
      </c>
      <c r="L92" s="127">
        <v>46050</v>
      </c>
      <c r="M92" s="127">
        <v>46062.466666666667</v>
      </c>
      <c r="N92" t="s">
        <v>75</v>
      </c>
      <c r="O92" t="s">
        <v>122</v>
      </c>
      <c r="P92" t="s">
        <v>122</v>
      </c>
      <c r="Q92">
        <v>75256</v>
      </c>
      <c r="R92" t="s">
        <v>260</v>
      </c>
      <c r="S92" t="s">
        <v>261</v>
      </c>
      <c r="T92" t="s">
        <v>252</v>
      </c>
      <c r="U92" t="s">
        <v>137</v>
      </c>
    </row>
    <row r="93" spans="1:21" x14ac:dyDescent="0.25">
      <c r="A93" t="s">
        <v>118</v>
      </c>
      <c r="B93" t="s">
        <v>355</v>
      </c>
      <c r="C93">
        <v>148906</v>
      </c>
      <c r="D93" t="s">
        <v>356</v>
      </c>
      <c r="E93" t="s">
        <v>130</v>
      </c>
      <c r="F93" t="s">
        <v>70</v>
      </c>
      <c r="G93" t="s">
        <v>83</v>
      </c>
      <c r="H93" t="s">
        <v>122</v>
      </c>
      <c r="I93" t="s">
        <v>122</v>
      </c>
      <c r="J93" s="127">
        <v>46049.688194444447</v>
      </c>
      <c r="K93" s="127">
        <v>46049.822916666664</v>
      </c>
      <c r="L93" s="127">
        <v>46050</v>
      </c>
      <c r="M93" s="127">
        <v>46057.395833333336</v>
      </c>
      <c r="N93" t="s">
        <v>75</v>
      </c>
      <c r="O93" t="s">
        <v>122</v>
      </c>
      <c r="P93" t="s">
        <v>122</v>
      </c>
      <c r="Q93">
        <v>75256</v>
      </c>
      <c r="R93" t="s">
        <v>260</v>
      </c>
      <c r="S93" t="s">
        <v>261</v>
      </c>
      <c r="T93" t="s">
        <v>252</v>
      </c>
      <c r="U93" t="s">
        <v>137</v>
      </c>
    </row>
    <row r="94" spans="1:21" x14ac:dyDescent="0.25">
      <c r="A94" t="s">
        <v>142</v>
      </c>
      <c r="B94" t="s">
        <v>357</v>
      </c>
      <c r="C94">
        <v>148735</v>
      </c>
      <c r="D94" t="s">
        <v>358</v>
      </c>
      <c r="E94" t="s">
        <v>130</v>
      </c>
      <c r="F94" t="s">
        <v>70</v>
      </c>
      <c r="G94" t="s">
        <v>83</v>
      </c>
      <c r="H94" t="s">
        <v>122</v>
      </c>
      <c r="I94" t="s">
        <v>122</v>
      </c>
      <c r="J94" s="127">
        <v>46049.407638888886</v>
      </c>
      <c r="K94" s="127">
        <v>46049.822222222225</v>
      </c>
      <c r="L94" s="127">
        <v>46052</v>
      </c>
      <c r="M94" s="127">
        <v>46062.470138888886</v>
      </c>
      <c r="N94" t="s">
        <v>75</v>
      </c>
      <c r="O94" t="s">
        <v>122</v>
      </c>
      <c r="P94" t="s">
        <v>122</v>
      </c>
      <c r="R94" t="s">
        <v>122</v>
      </c>
      <c r="S94" t="s">
        <v>122</v>
      </c>
      <c r="T94" t="s">
        <v>252</v>
      </c>
      <c r="U94" t="s">
        <v>137</v>
      </c>
    </row>
    <row r="95" spans="1:21" x14ac:dyDescent="0.25">
      <c r="A95" t="s">
        <v>118</v>
      </c>
      <c r="B95" t="s">
        <v>359</v>
      </c>
      <c r="C95">
        <v>147409</v>
      </c>
      <c r="D95" t="s">
        <v>360</v>
      </c>
      <c r="E95" t="s">
        <v>130</v>
      </c>
      <c r="F95" t="s">
        <v>70</v>
      </c>
      <c r="G95" t="s">
        <v>83</v>
      </c>
      <c r="H95" t="s">
        <v>122</v>
      </c>
      <c r="I95" t="s">
        <v>122</v>
      </c>
      <c r="J95" s="127">
        <v>46041.495138888888</v>
      </c>
      <c r="K95" s="127">
        <v>46041.621527777781</v>
      </c>
      <c r="L95" s="127">
        <v>46041</v>
      </c>
      <c r="M95" s="127">
        <v>46049.678472222222</v>
      </c>
      <c r="N95" t="s">
        <v>75</v>
      </c>
      <c r="O95" t="s">
        <v>122</v>
      </c>
      <c r="P95" t="s">
        <v>122</v>
      </c>
      <c r="R95" t="s">
        <v>122</v>
      </c>
      <c r="S95" t="s">
        <v>122</v>
      </c>
      <c r="T95" t="s">
        <v>252</v>
      </c>
      <c r="U95" t="s">
        <v>137</v>
      </c>
    </row>
    <row r="96" spans="1:21" x14ac:dyDescent="0.25">
      <c r="A96" t="s">
        <v>118</v>
      </c>
      <c r="B96" t="s">
        <v>361</v>
      </c>
      <c r="C96">
        <v>147405</v>
      </c>
      <c r="D96" t="s">
        <v>362</v>
      </c>
      <c r="E96" t="s">
        <v>130</v>
      </c>
      <c r="F96" t="s">
        <v>70</v>
      </c>
      <c r="G96" t="s">
        <v>83</v>
      </c>
      <c r="H96" t="s">
        <v>122</v>
      </c>
      <c r="I96" t="s">
        <v>122</v>
      </c>
      <c r="J96" s="127">
        <v>46041.490277777775</v>
      </c>
      <c r="K96" s="127">
        <v>46041.621527777781</v>
      </c>
      <c r="L96" s="127">
        <v>46042</v>
      </c>
      <c r="M96" s="127">
        <v>46087.396527777775</v>
      </c>
      <c r="N96" t="s">
        <v>75</v>
      </c>
      <c r="O96" t="s">
        <v>122</v>
      </c>
      <c r="P96" t="s">
        <v>122</v>
      </c>
      <c r="R96" t="s">
        <v>122</v>
      </c>
      <c r="S96" t="s">
        <v>122</v>
      </c>
      <c r="T96" t="s">
        <v>252</v>
      </c>
      <c r="U96" t="s">
        <v>137</v>
      </c>
    </row>
    <row r="97" spans="1:21" x14ac:dyDescent="0.25">
      <c r="A97" t="s">
        <v>118</v>
      </c>
      <c r="B97" t="s">
        <v>363</v>
      </c>
      <c r="C97">
        <v>147403</v>
      </c>
      <c r="D97" t="s">
        <v>364</v>
      </c>
      <c r="E97" t="s">
        <v>130</v>
      </c>
      <c r="F97" t="s">
        <v>70</v>
      </c>
      <c r="G97" t="s">
        <v>83</v>
      </c>
      <c r="H97" t="s">
        <v>122</v>
      </c>
      <c r="I97" t="s">
        <v>122</v>
      </c>
      <c r="J97" s="127">
        <v>46041.486805555556</v>
      </c>
      <c r="K97" s="127">
        <v>46044.85</v>
      </c>
      <c r="L97" s="127">
        <v>46044</v>
      </c>
      <c r="M97" s="127">
        <v>46049.674305555556</v>
      </c>
      <c r="N97" t="s">
        <v>75</v>
      </c>
      <c r="O97" t="s">
        <v>122</v>
      </c>
      <c r="P97" t="s">
        <v>122</v>
      </c>
      <c r="R97" t="s">
        <v>122</v>
      </c>
      <c r="S97" t="s">
        <v>122</v>
      </c>
      <c r="T97" t="s">
        <v>252</v>
      </c>
      <c r="U97" t="s">
        <v>137</v>
      </c>
    </row>
    <row r="98" spans="1:21" x14ac:dyDescent="0.25">
      <c r="A98" t="s">
        <v>118</v>
      </c>
      <c r="B98" t="s">
        <v>365</v>
      </c>
      <c r="C98">
        <v>146968</v>
      </c>
      <c r="D98" t="s">
        <v>366</v>
      </c>
      <c r="E98" t="s">
        <v>130</v>
      </c>
      <c r="F98" t="s">
        <v>70</v>
      </c>
      <c r="G98" t="s">
        <v>83</v>
      </c>
      <c r="H98" t="s">
        <v>122</v>
      </c>
      <c r="I98" t="s">
        <v>122</v>
      </c>
      <c r="J98" s="127">
        <v>46038.352777777778</v>
      </c>
      <c r="K98" s="127">
        <v>46041.617361111108</v>
      </c>
      <c r="L98" s="127">
        <v>46041</v>
      </c>
      <c r="M98" s="127">
        <v>46049.67291666667</v>
      </c>
      <c r="N98" t="s">
        <v>75</v>
      </c>
      <c r="O98" t="s">
        <v>122</v>
      </c>
      <c r="P98" t="s">
        <v>122</v>
      </c>
      <c r="R98" t="s">
        <v>122</v>
      </c>
      <c r="S98" t="s">
        <v>122</v>
      </c>
      <c r="T98" t="s">
        <v>252</v>
      </c>
      <c r="U98" t="s">
        <v>137</v>
      </c>
    </row>
    <row r="99" spans="1:21" x14ac:dyDescent="0.25">
      <c r="A99" t="s">
        <v>142</v>
      </c>
      <c r="B99" t="s">
        <v>367</v>
      </c>
      <c r="C99">
        <v>146442</v>
      </c>
      <c r="D99" t="s">
        <v>368</v>
      </c>
      <c r="E99" t="s">
        <v>130</v>
      </c>
      <c r="F99" t="s">
        <v>70</v>
      </c>
      <c r="G99" t="s">
        <v>83</v>
      </c>
      <c r="H99" t="s">
        <v>122</v>
      </c>
      <c r="I99" t="s">
        <v>122</v>
      </c>
      <c r="J99" s="127">
        <v>46035.397222222222</v>
      </c>
      <c r="K99" s="127">
        <v>46037.518055555556</v>
      </c>
      <c r="L99" s="127">
        <v>46037.518055555556</v>
      </c>
      <c r="M99" s="127">
        <v>46086.621527777781</v>
      </c>
      <c r="N99" t="s">
        <v>75</v>
      </c>
      <c r="O99" t="s">
        <v>122</v>
      </c>
      <c r="P99" t="s">
        <v>122</v>
      </c>
      <c r="R99" t="s">
        <v>122</v>
      </c>
      <c r="S99" t="s">
        <v>122</v>
      </c>
      <c r="T99" t="s">
        <v>252</v>
      </c>
      <c r="U99" t="s">
        <v>137</v>
      </c>
    </row>
    <row r="100" spans="1:21" x14ac:dyDescent="0.25">
      <c r="A100" t="s">
        <v>127</v>
      </c>
      <c r="B100" t="s">
        <v>369</v>
      </c>
      <c r="C100">
        <v>146440</v>
      </c>
      <c r="D100" t="s">
        <v>370</v>
      </c>
      <c r="E100" t="s">
        <v>121</v>
      </c>
      <c r="F100" t="s">
        <v>70</v>
      </c>
      <c r="G100" t="s">
        <v>83</v>
      </c>
      <c r="H100" t="s">
        <v>122</v>
      </c>
      <c r="I100" t="s">
        <v>122</v>
      </c>
      <c r="J100" s="127">
        <v>46035.395138888889</v>
      </c>
      <c r="K100" s="127"/>
      <c r="L100" s="127"/>
      <c r="M100" s="127"/>
      <c r="N100" t="s">
        <v>75</v>
      </c>
      <c r="O100" t="s">
        <v>122</v>
      </c>
      <c r="P100" t="s">
        <v>122</v>
      </c>
      <c r="R100" t="s">
        <v>122</v>
      </c>
      <c r="S100" t="s">
        <v>122</v>
      </c>
      <c r="T100" t="s">
        <v>252</v>
      </c>
      <c r="U100" t="s">
        <v>137</v>
      </c>
    </row>
    <row r="101" spans="1:21" x14ac:dyDescent="0.25">
      <c r="A101" t="s">
        <v>127</v>
      </c>
      <c r="B101" t="s">
        <v>371</v>
      </c>
      <c r="C101">
        <v>146431</v>
      </c>
      <c r="D101" t="s">
        <v>372</v>
      </c>
      <c r="E101" t="s">
        <v>130</v>
      </c>
      <c r="F101" t="s">
        <v>70</v>
      </c>
      <c r="G101" t="s">
        <v>83</v>
      </c>
      <c r="H101" t="s">
        <v>122</v>
      </c>
      <c r="I101" t="s">
        <v>122</v>
      </c>
      <c r="J101" s="127">
        <v>46035.390277777777</v>
      </c>
      <c r="K101" s="127">
        <v>46035</v>
      </c>
      <c r="L101" s="127">
        <v>46035</v>
      </c>
      <c r="M101" s="127">
        <v>46050.387499999997</v>
      </c>
      <c r="N101" t="s">
        <v>75</v>
      </c>
      <c r="O101" t="s">
        <v>122</v>
      </c>
      <c r="P101" t="s">
        <v>122</v>
      </c>
      <c r="R101" t="s">
        <v>122</v>
      </c>
      <c r="S101" t="s">
        <v>122</v>
      </c>
      <c r="T101" t="s">
        <v>252</v>
      </c>
      <c r="U101" t="s">
        <v>137</v>
      </c>
    </row>
    <row r="102" spans="1:21" x14ac:dyDescent="0.25">
      <c r="A102" t="s">
        <v>118</v>
      </c>
      <c r="B102" t="s">
        <v>373</v>
      </c>
      <c r="C102">
        <v>146259</v>
      </c>
      <c r="D102" t="s">
        <v>374</v>
      </c>
      <c r="E102" t="s">
        <v>130</v>
      </c>
      <c r="F102" t="s">
        <v>70</v>
      </c>
      <c r="G102" t="s">
        <v>83</v>
      </c>
      <c r="H102" t="s">
        <v>122</v>
      </c>
      <c r="I102" t="s">
        <v>122</v>
      </c>
      <c r="J102" s="127">
        <v>46034.490972222222</v>
      </c>
      <c r="K102" s="127">
        <v>46034.617361111108</v>
      </c>
      <c r="L102" s="127">
        <v>46042</v>
      </c>
      <c r="M102" s="127">
        <v>46062.46597222222</v>
      </c>
      <c r="N102" t="s">
        <v>75</v>
      </c>
      <c r="O102" t="s">
        <v>122</v>
      </c>
      <c r="P102" t="s">
        <v>122</v>
      </c>
      <c r="R102" t="s">
        <v>122</v>
      </c>
      <c r="S102" t="s">
        <v>122</v>
      </c>
      <c r="T102" t="s">
        <v>252</v>
      </c>
      <c r="U102" t="s">
        <v>137</v>
      </c>
    </row>
    <row r="103" spans="1:21" x14ac:dyDescent="0.25">
      <c r="A103" t="s">
        <v>118</v>
      </c>
      <c r="B103" t="s">
        <v>375</v>
      </c>
      <c r="C103">
        <v>145797</v>
      </c>
      <c r="D103" t="s">
        <v>376</v>
      </c>
      <c r="E103" t="s">
        <v>121</v>
      </c>
      <c r="F103" t="s">
        <v>122</v>
      </c>
      <c r="G103" t="s">
        <v>83</v>
      </c>
      <c r="H103" t="s">
        <v>122</v>
      </c>
      <c r="I103" t="s">
        <v>122</v>
      </c>
      <c r="J103" s="127">
        <v>46030.496527777781</v>
      </c>
      <c r="K103" s="127"/>
      <c r="L103" s="127"/>
      <c r="M103" s="127"/>
      <c r="N103" t="s">
        <v>75</v>
      </c>
      <c r="O103" t="s">
        <v>122</v>
      </c>
      <c r="P103" t="s">
        <v>122</v>
      </c>
      <c r="R103" t="s">
        <v>122</v>
      </c>
      <c r="S103" t="s">
        <v>122</v>
      </c>
      <c r="T103" t="s">
        <v>252</v>
      </c>
      <c r="U103" t="s">
        <v>137</v>
      </c>
    </row>
    <row r="104" spans="1:21" x14ac:dyDescent="0.25">
      <c r="A104" t="s">
        <v>118</v>
      </c>
      <c r="B104" t="s">
        <v>377</v>
      </c>
      <c r="C104">
        <v>145795</v>
      </c>
      <c r="D104" t="s">
        <v>378</v>
      </c>
      <c r="E104" t="s">
        <v>379</v>
      </c>
      <c r="F104" t="s">
        <v>122</v>
      </c>
      <c r="G104" t="s">
        <v>83</v>
      </c>
      <c r="H104" t="s">
        <v>122</v>
      </c>
      <c r="I104" t="s">
        <v>122</v>
      </c>
      <c r="J104" s="127">
        <v>46030.491666666669</v>
      </c>
      <c r="K104" s="127"/>
      <c r="L104" s="127"/>
      <c r="M104" s="127"/>
      <c r="N104" t="s">
        <v>75</v>
      </c>
      <c r="O104" t="s">
        <v>122</v>
      </c>
      <c r="P104" t="s">
        <v>122</v>
      </c>
      <c r="R104" t="s">
        <v>122</v>
      </c>
      <c r="S104" t="s">
        <v>122</v>
      </c>
      <c r="T104" t="s">
        <v>252</v>
      </c>
      <c r="U104" t="s">
        <v>137</v>
      </c>
    </row>
    <row r="105" spans="1:21" x14ac:dyDescent="0.25">
      <c r="A105" t="s">
        <v>118</v>
      </c>
      <c r="B105" t="s">
        <v>380</v>
      </c>
      <c r="C105">
        <v>139354</v>
      </c>
      <c r="D105" t="s">
        <v>381</v>
      </c>
      <c r="E105" t="s">
        <v>130</v>
      </c>
      <c r="F105" t="s">
        <v>70</v>
      </c>
      <c r="G105" t="s">
        <v>83</v>
      </c>
      <c r="H105" t="s">
        <v>122</v>
      </c>
      <c r="I105" t="s">
        <v>122</v>
      </c>
      <c r="J105" s="127">
        <v>46015.464583333334</v>
      </c>
      <c r="K105" s="127">
        <v>46097.595833333333</v>
      </c>
      <c r="L105" s="127">
        <v>46098</v>
      </c>
      <c r="M105" s="127">
        <v>46105.386111111111</v>
      </c>
      <c r="N105" t="s">
        <v>75</v>
      </c>
      <c r="O105" t="s">
        <v>122</v>
      </c>
      <c r="P105" t="s">
        <v>122</v>
      </c>
      <c r="Q105">
        <v>138830</v>
      </c>
      <c r="R105" t="s">
        <v>295</v>
      </c>
      <c r="S105" t="s">
        <v>296</v>
      </c>
      <c r="T105" t="s">
        <v>252</v>
      </c>
      <c r="U105" t="s">
        <v>137</v>
      </c>
    </row>
    <row r="106" spans="1:21" x14ac:dyDescent="0.25">
      <c r="A106" t="s">
        <v>118</v>
      </c>
      <c r="B106" t="s">
        <v>382</v>
      </c>
      <c r="C106">
        <v>139352</v>
      </c>
      <c r="D106" t="s">
        <v>383</v>
      </c>
      <c r="E106" t="s">
        <v>121</v>
      </c>
      <c r="F106" t="s">
        <v>122</v>
      </c>
      <c r="G106" t="s">
        <v>83</v>
      </c>
      <c r="H106" t="s">
        <v>122</v>
      </c>
      <c r="I106" t="s">
        <v>122</v>
      </c>
      <c r="J106" s="127">
        <v>46015.459027777775</v>
      </c>
      <c r="K106" s="127"/>
      <c r="L106" s="127"/>
      <c r="M106" s="127"/>
      <c r="N106" t="s">
        <v>75</v>
      </c>
      <c r="O106" t="s">
        <v>122</v>
      </c>
      <c r="P106" t="s">
        <v>122</v>
      </c>
      <c r="Q106">
        <v>75256</v>
      </c>
      <c r="R106" t="s">
        <v>260</v>
      </c>
      <c r="S106" t="s">
        <v>261</v>
      </c>
      <c r="T106" t="s">
        <v>252</v>
      </c>
      <c r="U106" t="s">
        <v>137</v>
      </c>
    </row>
    <row r="107" spans="1:21" x14ac:dyDescent="0.25">
      <c r="A107" t="s">
        <v>118</v>
      </c>
      <c r="B107" t="s">
        <v>384</v>
      </c>
      <c r="C107">
        <v>139350</v>
      </c>
      <c r="D107" t="s">
        <v>385</v>
      </c>
      <c r="E107" t="s">
        <v>223</v>
      </c>
      <c r="F107" t="s">
        <v>70</v>
      </c>
      <c r="G107" t="s">
        <v>83</v>
      </c>
      <c r="H107" t="s">
        <v>122</v>
      </c>
      <c r="I107" t="s">
        <v>122</v>
      </c>
      <c r="J107" s="127">
        <v>46015.459027777775</v>
      </c>
      <c r="K107" s="127">
        <v>46058.823611111111</v>
      </c>
      <c r="L107" s="127">
        <v>46058</v>
      </c>
      <c r="M107" s="127">
        <v>46104.438888888886</v>
      </c>
      <c r="N107" t="s">
        <v>75</v>
      </c>
      <c r="O107" t="s">
        <v>122</v>
      </c>
      <c r="P107" t="s">
        <v>122</v>
      </c>
      <c r="Q107">
        <v>75256</v>
      </c>
      <c r="R107" t="s">
        <v>260</v>
      </c>
      <c r="S107" t="s">
        <v>261</v>
      </c>
      <c r="T107" t="s">
        <v>252</v>
      </c>
      <c r="U107" t="s">
        <v>137</v>
      </c>
    </row>
    <row r="108" spans="1:21" x14ac:dyDescent="0.25">
      <c r="A108" t="s">
        <v>118</v>
      </c>
      <c r="B108" t="s">
        <v>386</v>
      </c>
      <c r="C108">
        <v>129569</v>
      </c>
      <c r="D108" t="s">
        <v>387</v>
      </c>
      <c r="E108" t="s">
        <v>223</v>
      </c>
      <c r="F108" t="s">
        <v>70</v>
      </c>
      <c r="G108" t="s">
        <v>83</v>
      </c>
      <c r="H108" t="s">
        <v>122</v>
      </c>
      <c r="I108" t="s">
        <v>122</v>
      </c>
      <c r="J108" s="127">
        <v>46007.480555555558</v>
      </c>
      <c r="K108" s="127">
        <v>46007.60833333333</v>
      </c>
      <c r="L108" s="127">
        <v>46010</v>
      </c>
      <c r="M108" s="127">
        <v>46104.438194444447</v>
      </c>
      <c r="N108" t="s">
        <v>75</v>
      </c>
      <c r="O108" t="s">
        <v>122</v>
      </c>
      <c r="P108" t="s">
        <v>122</v>
      </c>
      <c r="Q108">
        <v>75256</v>
      </c>
      <c r="R108" t="s">
        <v>260</v>
      </c>
      <c r="S108" t="s">
        <v>261</v>
      </c>
      <c r="T108" t="s">
        <v>252</v>
      </c>
      <c r="U108" t="s">
        <v>137</v>
      </c>
    </row>
    <row r="109" spans="1:21" x14ac:dyDescent="0.25">
      <c r="A109" t="s">
        <v>118</v>
      </c>
      <c r="B109" t="s">
        <v>388</v>
      </c>
      <c r="C109">
        <v>108216</v>
      </c>
      <c r="D109" t="s">
        <v>389</v>
      </c>
      <c r="E109" t="s">
        <v>223</v>
      </c>
      <c r="F109" t="s">
        <v>70</v>
      </c>
      <c r="G109" t="s">
        <v>83</v>
      </c>
      <c r="H109" t="s">
        <v>122</v>
      </c>
      <c r="I109" t="s">
        <v>122</v>
      </c>
      <c r="J109" s="127">
        <v>45985.431250000001</v>
      </c>
      <c r="K109" s="127">
        <v>45985.560416666667</v>
      </c>
      <c r="L109" s="127">
        <v>45985.560416666667</v>
      </c>
      <c r="M109" s="127">
        <v>46104.44027777778</v>
      </c>
      <c r="N109" t="s">
        <v>75</v>
      </c>
      <c r="O109" t="s">
        <v>122</v>
      </c>
      <c r="P109" t="s">
        <v>122</v>
      </c>
      <c r="Q109">
        <v>108214</v>
      </c>
      <c r="R109" t="s">
        <v>250</v>
      </c>
      <c r="S109" t="s">
        <v>251</v>
      </c>
      <c r="T109" t="s">
        <v>252</v>
      </c>
      <c r="U109" t="s">
        <v>137</v>
      </c>
    </row>
    <row r="110" spans="1:21" x14ac:dyDescent="0.25">
      <c r="A110" t="s">
        <v>118</v>
      </c>
      <c r="B110" t="s">
        <v>390</v>
      </c>
      <c r="C110">
        <v>101300</v>
      </c>
      <c r="D110" t="s">
        <v>391</v>
      </c>
      <c r="E110" t="s">
        <v>121</v>
      </c>
      <c r="F110" t="s">
        <v>122</v>
      </c>
      <c r="G110" t="s">
        <v>83</v>
      </c>
      <c r="H110" t="s">
        <v>122</v>
      </c>
      <c r="I110" t="s">
        <v>122</v>
      </c>
      <c r="J110" s="127">
        <v>45978.751388888886</v>
      </c>
      <c r="K110" s="127"/>
      <c r="L110" s="127"/>
      <c r="M110" s="127"/>
      <c r="N110" t="s">
        <v>75</v>
      </c>
      <c r="O110" t="s">
        <v>122</v>
      </c>
      <c r="P110" t="s">
        <v>122</v>
      </c>
      <c r="Q110">
        <v>101276</v>
      </c>
      <c r="R110" t="s">
        <v>269</v>
      </c>
      <c r="S110" t="s">
        <v>270</v>
      </c>
      <c r="T110" t="s">
        <v>252</v>
      </c>
      <c r="U110" t="s">
        <v>137</v>
      </c>
    </row>
    <row r="111" spans="1:21" x14ac:dyDescent="0.25">
      <c r="A111" t="s">
        <v>118</v>
      </c>
      <c r="B111" t="s">
        <v>392</v>
      </c>
      <c r="C111">
        <v>101298</v>
      </c>
      <c r="D111" t="s">
        <v>393</v>
      </c>
      <c r="E111" t="s">
        <v>130</v>
      </c>
      <c r="F111" t="s">
        <v>70</v>
      </c>
      <c r="G111" t="s">
        <v>83</v>
      </c>
      <c r="H111" t="s">
        <v>122</v>
      </c>
      <c r="I111" t="s">
        <v>122</v>
      </c>
      <c r="J111" s="127">
        <v>45978.75</v>
      </c>
      <c r="K111" s="127">
        <v>46051.850694444445</v>
      </c>
      <c r="L111" s="127">
        <v>46051</v>
      </c>
      <c r="M111" s="127">
        <v>46051.725694444445</v>
      </c>
      <c r="N111" t="s">
        <v>75</v>
      </c>
      <c r="O111" t="s">
        <v>122</v>
      </c>
      <c r="P111" t="s">
        <v>122</v>
      </c>
      <c r="Q111">
        <v>101276</v>
      </c>
      <c r="R111" t="s">
        <v>269</v>
      </c>
      <c r="S111" t="s">
        <v>270</v>
      </c>
      <c r="T111" t="s">
        <v>252</v>
      </c>
      <c r="U111" t="s">
        <v>137</v>
      </c>
    </row>
    <row r="112" spans="1:21" x14ac:dyDescent="0.25">
      <c r="A112" t="s">
        <v>118</v>
      </c>
      <c r="B112" t="s">
        <v>394</v>
      </c>
      <c r="C112">
        <v>101294</v>
      </c>
      <c r="D112" t="s">
        <v>395</v>
      </c>
      <c r="E112" t="s">
        <v>130</v>
      </c>
      <c r="F112" t="s">
        <v>70</v>
      </c>
      <c r="G112" t="s">
        <v>83</v>
      </c>
      <c r="H112" t="s">
        <v>122</v>
      </c>
      <c r="I112" t="s">
        <v>122</v>
      </c>
      <c r="J112" s="127">
        <v>45978.749305555553</v>
      </c>
      <c r="K112" s="127">
        <v>46051.84652777778</v>
      </c>
      <c r="L112" s="127">
        <v>46051</v>
      </c>
      <c r="M112" s="127">
        <v>46051.72152777778</v>
      </c>
      <c r="N112" t="s">
        <v>75</v>
      </c>
      <c r="O112" t="s">
        <v>122</v>
      </c>
      <c r="P112" t="s">
        <v>122</v>
      </c>
      <c r="Q112">
        <v>101276</v>
      </c>
      <c r="R112" t="s">
        <v>269</v>
      </c>
      <c r="S112" t="s">
        <v>270</v>
      </c>
      <c r="T112" t="s">
        <v>252</v>
      </c>
      <c r="U112" t="s">
        <v>137</v>
      </c>
    </row>
    <row r="113" spans="1:21" x14ac:dyDescent="0.25">
      <c r="A113" t="s">
        <v>118</v>
      </c>
      <c r="B113" t="s">
        <v>396</v>
      </c>
      <c r="C113">
        <v>95943</v>
      </c>
      <c r="D113" t="s">
        <v>397</v>
      </c>
      <c r="E113" t="s">
        <v>121</v>
      </c>
      <c r="F113" t="s">
        <v>122</v>
      </c>
      <c r="G113" t="s">
        <v>83</v>
      </c>
      <c r="H113" t="s">
        <v>122</v>
      </c>
      <c r="I113" t="s">
        <v>122</v>
      </c>
      <c r="J113" s="127">
        <v>45973.712500000001</v>
      </c>
      <c r="K113" s="127"/>
      <c r="L113" s="127"/>
      <c r="M113" s="127"/>
      <c r="N113" t="s">
        <v>75</v>
      </c>
      <c r="O113" t="s">
        <v>122</v>
      </c>
      <c r="P113" t="s">
        <v>122</v>
      </c>
      <c r="Q113">
        <v>85959</v>
      </c>
      <c r="R113" t="s">
        <v>398</v>
      </c>
      <c r="S113" t="s">
        <v>399</v>
      </c>
      <c r="T113" t="s">
        <v>252</v>
      </c>
      <c r="U113" t="s">
        <v>137</v>
      </c>
    </row>
    <row r="114" spans="1:21" x14ac:dyDescent="0.25">
      <c r="A114" t="s">
        <v>118</v>
      </c>
      <c r="B114" t="s">
        <v>400</v>
      </c>
      <c r="C114">
        <v>95941</v>
      </c>
      <c r="D114" t="s">
        <v>401</v>
      </c>
      <c r="E114" t="s">
        <v>121</v>
      </c>
      <c r="F114" t="s">
        <v>122</v>
      </c>
      <c r="G114" t="s">
        <v>83</v>
      </c>
      <c r="H114" t="s">
        <v>122</v>
      </c>
      <c r="I114" t="s">
        <v>122</v>
      </c>
      <c r="J114" s="127">
        <v>45973.712500000001</v>
      </c>
      <c r="K114" s="127"/>
      <c r="L114" s="127"/>
      <c r="M114" s="127"/>
      <c r="N114" t="s">
        <v>75</v>
      </c>
      <c r="O114" t="s">
        <v>122</v>
      </c>
      <c r="P114" t="s">
        <v>122</v>
      </c>
      <c r="Q114">
        <v>85959</v>
      </c>
      <c r="R114" t="s">
        <v>398</v>
      </c>
      <c r="S114" t="s">
        <v>399</v>
      </c>
      <c r="T114" t="s">
        <v>252</v>
      </c>
      <c r="U114" t="s">
        <v>137</v>
      </c>
    </row>
    <row r="115" spans="1:21" x14ac:dyDescent="0.25">
      <c r="A115" t="s">
        <v>118</v>
      </c>
      <c r="B115" t="s">
        <v>402</v>
      </c>
      <c r="C115">
        <v>86061</v>
      </c>
      <c r="D115" t="s">
        <v>403</v>
      </c>
      <c r="E115" t="s">
        <v>379</v>
      </c>
      <c r="F115" t="s">
        <v>122</v>
      </c>
      <c r="G115" t="s">
        <v>83</v>
      </c>
      <c r="H115" t="s">
        <v>122</v>
      </c>
      <c r="I115" t="s">
        <v>122</v>
      </c>
      <c r="J115" s="127">
        <v>45965.827777777777</v>
      </c>
      <c r="K115" s="127"/>
      <c r="L115" s="127"/>
      <c r="M115" s="127"/>
      <c r="N115" t="s">
        <v>75</v>
      </c>
      <c r="O115" t="s">
        <v>122</v>
      </c>
      <c r="P115" t="s">
        <v>122</v>
      </c>
      <c r="Q115">
        <v>85959</v>
      </c>
      <c r="R115" t="s">
        <v>398</v>
      </c>
      <c r="S115" t="s">
        <v>399</v>
      </c>
      <c r="T115" t="s">
        <v>252</v>
      </c>
      <c r="U115" t="s">
        <v>137</v>
      </c>
    </row>
    <row r="116" spans="1:21" x14ac:dyDescent="0.25">
      <c r="A116" t="s">
        <v>118</v>
      </c>
      <c r="B116" t="s">
        <v>404</v>
      </c>
      <c r="C116">
        <v>86059</v>
      </c>
      <c r="D116" t="s">
        <v>405</v>
      </c>
      <c r="E116" t="s">
        <v>379</v>
      </c>
      <c r="F116" t="s">
        <v>122</v>
      </c>
      <c r="G116" t="s">
        <v>83</v>
      </c>
      <c r="H116" t="s">
        <v>122</v>
      </c>
      <c r="I116" t="s">
        <v>122</v>
      </c>
      <c r="J116" s="127">
        <v>45965.827777777777</v>
      </c>
      <c r="K116" s="127"/>
      <c r="L116" s="127"/>
      <c r="M116" s="127"/>
      <c r="N116" t="s">
        <v>75</v>
      </c>
      <c r="O116" t="s">
        <v>122</v>
      </c>
      <c r="P116" t="s">
        <v>122</v>
      </c>
      <c r="Q116">
        <v>85959</v>
      </c>
      <c r="R116" t="s">
        <v>398</v>
      </c>
      <c r="S116" t="s">
        <v>399</v>
      </c>
      <c r="T116" t="s">
        <v>252</v>
      </c>
      <c r="U116" t="s">
        <v>137</v>
      </c>
    </row>
    <row r="117" spans="1:21" x14ac:dyDescent="0.25">
      <c r="A117" t="s">
        <v>118</v>
      </c>
      <c r="B117" t="s">
        <v>406</v>
      </c>
      <c r="C117">
        <v>86057</v>
      </c>
      <c r="D117" t="s">
        <v>407</v>
      </c>
      <c r="E117" t="s">
        <v>379</v>
      </c>
      <c r="F117" t="s">
        <v>122</v>
      </c>
      <c r="G117" t="s">
        <v>83</v>
      </c>
      <c r="H117" t="s">
        <v>122</v>
      </c>
      <c r="I117" t="s">
        <v>122</v>
      </c>
      <c r="J117" s="127">
        <v>45965.82708333333</v>
      </c>
      <c r="K117" s="127"/>
      <c r="L117" s="127"/>
      <c r="M117" s="127"/>
      <c r="N117" t="s">
        <v>75</v>
      </c>
      <c r="O117" t="s">
        <v>122</v>
      </c>
      <c r="P117" t="s">
        <v>122</v>
      </c>
      <c r="Q117">
        <v>85959</v>
      </c>
      <c r="R117" t="s">
        <v>398</v>
      </c>
      <c r="S117" t="s">
        <v>399</v>
      </c>
      <c r="T117" t="s">
        <v>252</v>
      </c>
      <c r="U117" t="s">
        <v>137</v>
      </c>
    </row>
    <row r="118" spans="1:21" x14ac:dyDescent="0.25">
      <c r="A118" t="s">
        <v>118</v>
      </c>
      <c r="B118" t="s">
        <v>408</v>
      </c>
      <c r="C118">
        <v>86055</v>
      </c>
      <c r="D118" t="s">
        <v>409</v>
      </c>
      <c r="E118" t="s">
        <v>379</v>
      </c>
      <c r="F118" t="s">
        <v>122</v>
      </c>
      <c r="G118" t="s">
        <v>83</v>
      </c>
      <c r="H118" t="s">
        <v>122</v>
      </c>
      <c r="I118" t="s">
        <v>122</v>
      </c>
      <c r="J118" s="127">
        <v>45965.82708333333</v>
      </c>
      <c r="K118" s="127"/>
      <c r="L118" s="127"/>
      <c r="M118" s="127"/>
      <c r="N118" t="s">
        <v>75</v>
      </c>
      <c r="O118" t="s">
        <v>122</v>
      </c>
      <c r="P118" t="s">
        <v>122</v>
      </c>
      <c r="Q118">
        <v>85959</v>
      </c>
      <c r="R118" t="s">
        <v>398</v>
      </c>
      <c r="S118" t="s">
        <v>399</v>
      </c>
      <c r="T118" t="s">
        <v>252</v>
      </c>
      <c r="U118" t="s">
        <v>137</v>
      </c>
    </row>
    <row r="119" spans="1:21" x14ac:dyDescent="0.25">
      <c r="A119" t="s">
        <v>118</v>
      </c>
      <c r="B119" t="s">
        <v>410</v>
      </c>
      <c r="C119">
        <v>86033</v>
      </c>
      <c r="D119" t="s">
        <v>411</v>
      </c>
      <c r="E119" t="s">
        <v>379</v>
      </c>
      <c r="F119" t="s">
        <v>122</v>
      </c>
      <c r="G119" t="s">
        <v>83</v>
      </c>
      <c r="H119" t="s">
        <v>122</v>
      </c>
      <c r="I119" t="s">
        <v>122</v>
      </c>
      <c r="J119" s="127">
        <v>45965.8125</v>
      </c>
      <c r="K119" s="127"/>
      <c r="L119" s="127"/>
      <c r="M119" s="127"/>
      <c r="N119" t="s">
        <v>75</v>
      </c>
      <c r="O119" t="s">
        <v>122</v>
      </c>
      <c r="P119" t="s">
        <v>122</v>
      </c>
      <c r="Q119">
        <v>85959</v>
      </c>
      <c r="R119" t="s">
        <v>398</v>
      </c>
      <c r="S119" t="s">
        <v>399</v>
      </c>
      <c r="T119" t="s">
        <v>252</v>
      </c>
      <c r="U119" t="s">
        <v>137</v>
      </c>
    </row>
    <row r="120" spans="1:21" x14ac:dyDescent="0.25">
      <c r="A120" t="s">
        <v>118</v>
      </c>
      <c r="B120" t="s">
        <v>412</v>
      </c>
      <c r="C120">
        <v>86003</v>
      </c>
      <c r="D120" t="s">
        <v>413</v>
      </c>
      <c r="E120" t="s">
        <v>379</v>
      </c>
      <c r="F120" t="s">
        <v>122</v>
      </c>
      <c r="G120" t="s">
        <v>83</v>
      </c>
      <c r="H120" t="s">
        <v>122</v>
      </c>
      <c r="I120" t="s">
        <v>122</v>
      </c>
      <c r="J120" s="127">
        <v>45965.806250000001</v>
      </c>
      <c r="K120" s="127"/>
      <c r="L120" s="127"/>
      <c r="M120" s="127"/>
      <c r="N120" t="s">
        <v>75</v>
      </c>
      <c r="O120" t="s">
        <v>122</v>
      </c>
      <c r="P120" t="s">
        <v>122</v>
      </c>
      <c r="Q120">
        <v>85959</v>
      </c>
      <c r="R120" t="s">
        <v>398</v>
      </c>
      <c r="S120" t="s">
        <v>399</v>
      </c>
      <c r="T120" t="s">
        <v>252</v>
      </c>
      <c r="U120" t="s">
        <v>137</v>
      </c>
    </row>
    <row r="121" spans="1:21" x14ac:dyDescent="0.25">
      <c r="A121" t="s">
        <v>118</v>
      </c>
      <c r="B121" t="s">
        <v>414</v>
      </c>
      <c r="C121">
        <v>85967</v>
      </c>
      <c r="D121" t="s">
        <v>415</v>
      </c>
      <c r="E121" t="s">
        <v>379</v>
      </c>
      <c r="F121" t="s">
        <v>122</v>
      </c>
      <c r="G121" t="s">
        <v>83</v>
      </c>
      <c r="H121" t="s">
        <v>122</v>
      </c>
      <c r="I121" t="s">
        <v>122</v>
      </c>
      <c r="J121" s="127">
        <v>45965.761805555558</v>
      </c>
      <c r="K121" s="127"/>
      <c r="L121" s="127"/>
      <c r="M121" s="127"/>
      <c r="N121" t="s">
        <v>75</v>
      </c>
      <c r="O121" t="s">
        <v>122</v>
      </c>
      <c r="P121" t="s">
        <v>122</v>
      </c>
      <c r="Q121">
        <v>85959</v>
      </c>
      <c r="R121" t="s">
        <v>398</v>
      </c>
      <c r="S121" t="s">
        <v>399</v>
      </c>
      <c r="T121" t="s">
        <v>252</v>
      </c>
      <c r="U121" t="s">
        <v>137</v>
      </c>
    </row>
    <row r="122" spans="1:21" x14ac:dyDescent="0.25">
      <c r="A122" t="s">
        <v>118</v>
      </c>
      <c r="B122" t="s">
        <v>416</v>
      </c>
      <c r="C122">
        <v>85965</v>
      </c>
      <c r="D122" t="s">
        <v>417</v>
      </c>
      <c r="E122" t="s">
        <v>379</v>
      </c>
      <c r="F122" t="s">
        <v>122</v>
      </c>
      <c r="G122" t="s">
        <v>83</v>
      </c>
      <c r="H122" t="s">
        <v>122</v>
      </c>
      <c r="I122" t="s">
        <v>122</v>
      </c>
      <c r="J122" s="127">
        <v>45965.761805555558</v>
      </c>
      <c r="K122" s="127"/>
      <c r="L122" s="127"/>
      <c r="M122" s="127"/>
      <c r="N122" t="s">
        <v>75</v>
      </c>
      <c r="O122" t="s">
        <v>122</v>
      </c>
      <c r="P122" t="s">
        <v>122</v>
      </c>
      <c r="Q122">
        <v>85959</v>
      </c>
      <c r="R122" t="s">
        <v>398</v>
      </c>
      <c r="S122" t="s">
        <v>399</v>
      </c>
      <c r="T122" t="s">
        <v>252</v>
      </c>
      <c r="U122" t="s">
        <v>137</v>
      </c>
    </row>
    <row r="123" spans="1:21" x14ac:dyDescent="0.25">
      <c r="A123" t="s">
        <v>118</v>
      </c>
      <c r="B123" t="s">
        <v>418</v>
      </c>
      <c r="C123">
        <v>85963</v>
      </c>
      <c r="D123" t="s">
        <v>419</v>
      </c>
      <c r="E123" t="s">
        <v>379</v>
      </c>
      <c r="F123" t="s">
        <v>122</v>
      </c>
      <c r="G123" t="s">
        <v>83</v>
      </c>
      <c r="H123" t="s">
        <v>122</v>
      </c>
      <c r="I123" t="s">
        <v>122</v>
      </c>
      <c r="J123" s="127">
        <v>45965.761111111111</v>
      </c>
      <c r="K123" s="127"/>
      <c r="L123" s="127"/>
      <c r="M123" s="127"/>
      <c r="N123" t="s">
        <v>75</v>
      </c>
      <c r="O123" t="s">
        <v>122</v>
      </c>
      <c r="P123" t="s">
        <v>122</v>
      </c>
      <c r="Q123">
        <v>85959</v>
      </c>
      <c r="R123" t="s">
        <v>398</v>
      </c>
      <c r="S123" t="s">
        <v>399</v>
      </c>
      <c r="T123" t="s">
        <v>252</v>
      </c>
      <c r="U123" t="s">
        <v>137</v>
      </c>
    </row>
    <row r="124" spans="1:21" x14ac:dyDescent="0.25">
      <c r="A124" t="s">
        <v>118</v>
      </c>
      <c r="B124" t="s">
        <v>420</v>
      </c>
      <c r="C124">
        <v>85961</v>
      </c>
      <c r="D124" t="s">
        <v>421</v>
      </c>
      <c r="E124" t="s">
        <v>422</v>
      </c>
      <c r="F124" t="s">
        <v>70</v>
      </c>
      <c r="G124" t="s">
        <v>83</v>
      </c>
      <c r="H124" t="s">
        <v>122</v>
      </c>
      <c r="I124" t="s">
        <v>122</v>
      </c>
      <c r="J124" s="127">
        <v>45965.761111111111</v>
      </c>
      <c r="K124" s="127"/>
      <c r="L124" s="127"/>
      <c r="M124" s="127"/>
      <c r="N124" t="s">
        <v>75</v>
      </c>
      <c r="O124" t="s">
        <v>122</v>
      </c>
      <c r="P124" t="s">
        <v>122</v>
      </c>
      <c r="Q124">
        <v>85959</v>
      </c>
      <c r="R124" t="s">
        <v>398</v>
      </c>
      <c r="S124" t="s">
        <v>399</v>
      </c>
      <c r="T124" t="s">
        <v>252</v>
      </c>
      <c r="U124" t="s">
        <v>137</v>
      </c>
    </row>
    <row r="125" spans="1:21" x14ac:dyDescent="0.25">
      <c r="A125" t="s">
        <v>118</v>
      </c>
      <c r="B125" t="s">
        <v>423</v>
      </c>
      <c r="C125">
        <v>85950</v>
      </c>
      <c r="D125" t="s">
        <v>424</v>
      </c>
      <c r="E125" t="s">
        <v>121</v>
      </c>
      <c r="F125" t="s">
        <v>122</v>
      </c>
      <c r="G125" t="s">
        <v>83</v>
      </c>
      <c r="H125" t="s">
        <v>122</v>
      </c>
      <c r="I125" t="s">
        <v>122</v>
      </c>
      <c r="J125" s="127">
        <v>45965.740277777775</v>
      </c>
      <c r="K125" s="127"/>
      <c r="L125" s="127"/>
      <c r="M125" s="127"/>
      <c r="N125" t="s">
        <v>75</v>
      </c>
      <c r="O125" t="s">
        <v>122</v>
      </c>
      <c r="P125" t="s">
        <v>122</v>
      </c>
      <c r="Q125">
        <v>77477</v>
      </c>
      <c r="R125" t="s">
        <v>425</v>
      </c>
      <c r="S125" t="s">
        <v>426</v>
      </c>
      <c r="T125" t="s">
        <v>252</v>
      </c>
      <c r="U125" t="s">
        <v>137</v>
      </c>
    </row>
    <row r="126" spans="1:21" x14ac:dyDescent="0.25">
      <c r="A126" t="s">
        <v>118</v>
      </c>
      <c r="B126" t="s">
        <v>427</v>
      </c>
      <c r="C126">
        <v>85940</v>
      </c>
      <c r="D126" t="s">
        <v>428</v>
      </c>
      <c r="E126" t="s">
        <v>121</v>
      </c>
      <c r="F126" t="s">
        <v>122</v>
      </c>
      <c r="G126" t="s">
        <v>83</v>
      </c>
      <c r="H126" t="s">
        <v>122</v>
      </c>
      <c r="I126" t="s">
        <v>122</v>
      </c>
      <c r="J126" s="127">
        <v>45965.738194444442</v>
      </c>
      <c r="K126" s="127"/>
      <c r="L126" s="127"/>
      <c r="M126" s="127"/>
      <c r="N126" t="s">
        <v>75</v>
      </c>
      <c r="O126" t="s">
        <v>122</v>
      </c>
      <c r="P126" t="s">
        <v>122</v>
      </c>
      <c r="Q126">
        <v>77477</v>
      </c>
      <c r="R126" t="s">
        <v>425</v>
      </c>
      <c r="S126" t="s">
        <v>426</v>
      </c>
      <c r="T126" t="s">
        <v>252</v>
      </c>
      <c r="U126" t="s">
        <v>137</v>
      </c>
    </row>
    <row r="127" spans="1:21" x14ac:dyDescent="0.25">
      <c r="A127" t="s">
        <v>118</v>
      </c>
      <c r="B127" t="s">
        <v>429</v>
      </c>
      <c r="C127">
        <v>77542</v>
      </c>
      <c r="D127" t="s">
        <v>430</v>
      </c>
      <c r="E127" t="s">
        <v>422</v>
      </c>
      <c r="F127" t="s">
        <v>122</v>
      </c>
      <c r="G127" t="s">
        <v>83</v>
      </c>
      <c r="H127" t="s">
        <v>122</v>
      </c>
      <c r="I127" t="s">
        <v>122</v>
      </c>
      <c r="J127" s="127">
        <v>45957.757638888892</v>
      </c>
      <c r="K127" s="127"/>
      <c r="L127" s="127"/>
      <c r="M127" s="127"/>
      <c r="N127" t="s">
        <v>75</v>
      </c>
      <c r="O127" t="s">
        <v>122</v>
      </c>
      <c r="P127" t="s">
        <v>122</v>
      </c>
      <c r="Q127">
        <v>77477</v>
      </c>
      <c r="R127" t="s">
        <v>425</v>
      </c>
      <c r="S127" t="s">
        <v>426</v>
      </c>
      <c r="T127" t="s">
        <v>252</v>
      </c>
      <c r="U127" t="s">
        <v>137</v>
      </c>
    </row>
    <row r="128" spans="1:21" x14ac:dyDescent="0.25">
      <c r="A128" t="s">
        <v>118</v>
      </c>
      <c r="B128" t="s">
        <v>431</v>
      </c>
      <c r="C128">
        <v>77540</v>
      </c>
      <c r="D128" t="s">
        <v>432</v>
      </c>
      <c r="E128" t="s">
        <v>422</v>
      </c>
      <c r="F128" t="s">
        <v>122</v>
      </c>
      <c r="G128" t="s">
        <v>83</v>
      </c>
      <c r="H128" t="s">
        <v>122</v>
      </c>
      <c r="I128" t="s">
        <v>122</v>
      </c>
      <c r="J128" s="127">
        <v>45957.757638888892</v>
      </c>
      <c r="K128" s="127"/>
      <c r="L128" s="127"/>
      <c r="M128" s="127"/>
      <c r="N128" t="s">
        <v>75</v>
      </c>
      <c r="O128" t="s">
        <v>122</v>
      </c>
      <c r="P128" t="s">
        <v>122</v>
      </c>
      <c r="Q128">
        <v>77477</v>
      </c>
      <c r="R128" t="s">
        <v>425</v>
      </c>
      <c r="S128" t="s">
        <v>426</v>
      </c>
      <c r="T128" t="s">
        <v>252</v>
      </c>
      <c r="U128" t="s">
        <v>137</v>
      </c>
    </row>
    <row r="129" spans="1:21" x14ac:dyDescent="0.25">
      <c r="A129" t="s">
        <v>118</v>
      </c>
      <c r="B129" t="s">
        <v>433</v>
      </c>
      <c r="C129">
        <v>77538</v>
      </c>
      <c r="D129" t="s">
        <v>434</v>
      </c>
      <c r="E129" t="s">
        <v>422</v>
      </c>
      <c r="F129" t="s">
        <v>70</v>
      </c>
      <c r="G129" t="s">
        <v>83</v>
      </c>
      <c r="H129" t="s">
        <v>122</v>
      </c>
      <c r="I129" t="s">
        <v>122</v>
      </c>
      <c r="J129" s="127">
        <v>45957.757638888892</v>
      </c>
      <c r="K129" s="127"/>
      <c r="L129" s="127"/>
      <c r="M129" s="127"/>
      <c r="N129" t="s">
        <v>75</v>
      </c>
      <c r="O129" t="s">
        <v>122</v>
      </c>
      <c r="P129" t="s">
        <v>122</v>
      </c>
      <c r="Q129">
        <v>77477</v>
      </c>
      <c r="R129" t="s">
        <v>425</v>
      </c>
      <c r="S129" t="s">
        <v>426</v>
      </c>
      <c r="T129" t="s">
        <v>252</v>
      </c>
      <c r="U129" t="s">
        <v>137</v>
      </c>
    </row>
    <row r="130" spans="1:21" x14ac:dyDescent="0.25">
      <c r="A130" t="s">
        <v>253</v>
      </c>
      <c r="B130" t="s">
        <v>435</v>
      </c>
      <c r="C130">
        <v>154519</v>
      </c>
      <c r="D130" t="s">
        <v>436</v>
      </c>
      <c r="E130" t="s">
        <v>437</v>
      </c>
      <c r="F130" t="s">
        <v>73</v>
      </c>
      <c r="G130" t="s">
        <v>438</v>
      </c>
      <c r="H130" t="s">
        <v>122</v>
      </c>
      <c r="I130" t="s">
        <v>122</v>
      </c>
      <c r="J130" s="127">
        <v>46073.747916666667</v>
      </c>
      <c r="K130" s="127">
        <v>46073</v>
      </c>
      <c r="L130" s="127">
        <v>46076</v>
      </c>
      <c r="M130" s="127">
        <v>46085.498611111114</v>
      </c>
      <c r="N130" t="s">
        <v>75</v>
      </c>
      <c r="O130" t="s">
        <v>122</v>
      </c>
      <c r="P130" t="s">
        <v>122</v>
      </c>
      <c r="Q130">
        <v>35843</v>
      </c>
      <c r="R130" t="s">
        <v>439</v>
      </c>
      <c r="S130" t="s">
        <v>440</v>
      </c>
      <c r="T130" t="s">
        <v>441</v>
      </c>
      <c r="U130" t="s">
        <v>137</v>
      </c>
    </row>
    <row r="131" spans="1:21" x14ac:dyDescent="0.25">
      <c r="A131" t="s">
        <v>253</v>
      </c>
      <c r="B131" t="s">
        <v>442</v>
      </c>
      <c r="C131">
        <v>154517</v>
      </c>
      <c r="D131" t="s">
        <v>443</v>
      </c>
      <c r="E131" t="s">
        <v>437</v>
      </c>
      <c r="F131" t="s">
        <v>73</v>
      </c>
      <c r="G131" t="s">
        <v>438</v>
      </c>
      <c r="H131" t="s">
        <v>122</v>
      </c>
      <c r="I131" t="s">
        <v>122</v>
      </c>
      <c r="J131" s="127">
        <v>46073.74722222222</v>
      </c>
      <c r="K131" s="127">
        <v>46073</v>
      </c>
      <c r="L131" s="127">
        <v>46076</v>
      </c>
      <c r="M131" s="127">
        <v>46085.481249999997</v>
      </c>
      <c r="N131" t="s">
        <v>75</v>
      </c>
      <c r="O131" t="s">
        <v>122</v>
      </c>
      <c r="P131" t="s">
        <v>122</v>
      </c>
      <c r="Q131">
        <v>35843</v>
      </c>
      <c r="R131" t="s">
        <v>439</v>
      </c>
      <c r="S131" t="s">
        <v>440</v>
      </c>
      <c r="T131" t="s">
        <v>441</v>
      </c>
      <c r="U131" t="s">
        <v>137</v>
      </c>
    </row>
    <row r="132" spans="1:21" x14ac:dyDescent="0.25">
      <c r="A132" t="s">
        <v>253</v>
      </c>
      <c r="B132" t="s">
        <v>444</v>
      </c>
      <c r="C132">
        <v>154515</v>
      </c>
      <c r="D132" t="s">
        <v>445</v>
      </c>
      <c r="E132" t="s">
        <v>437</v>
      </c>
      <c r="F132" t="s">
        <v>73</v>
      </c>
      <c r="G132" t="s">
        <v>438</v>
      </c>
      <c r="H132" t="s">
        <v>122</v>
      </c>
      <c r="I132" t="s">
        <v>122</v>
      </c>
      <c r="J132" s="127">
        <v>46073.745833333334</v>
      </c>
      <c r="K132" s="127">
        <v>46073</v>
      </c>
      <c r="L132" s="127">
        <v>46076</v>
      </c>
      <c r="M132" s="127">
        <v>46084.662499999999</v>
      </c>
      <c r="N132" t="s">
        <v>75</v>
      </c>
      <c r="O132" t="s">
        <v>122</v>
      </c>
      <c r="P132" t="s">
        <v>122</v>
      </c>
      <c r="Q132">
        <v>35843</v>
      </c>
      <c r="R132" t="s">
        <v>439</v>
      </c>
      <c r="S132" t="s">
        <v>440</v>
      </c>
      <c r="T132" t="s">
        <v>441</v>
      </c>
      <c r="U132" t="s">
        <v>137</v>
      </c>
    </row>
    <row r="133" spans="1:21" x14ac:dyDescent="0.25">
      <c r="A133" t="s">
        <v>253</v>
      </c>
      <c r="B133" t="s">
        <v>446</v>
      </c>
      <c r="C133">
        <v>154509</v>
      </c>
      <c r="D133" t="s">
        <v>447</v>
      </c>
      <c r="E133" t="s">
        <v>437</v>
      </c>
      <c r="F133" t="s">
        <v>73</v>
      </c>
      <c r="G133" t="s">
        <v>438</v>
      </c>
      <c r="H133" t="s">
        <v>122</v>
      </c>
      <c r="I133" t="s">
        <v>122</v>
      </c>
      <c r="J133" s="127">
        <v>46073.743055555555</v>
      </c>
      <c r="K133" s="127">
        <v>46073</v>
      </c>
      <c r="L133" s="127">
        <v>46076</v>
      </c>
      <c r="M133" s="127">
        <v>46080.570138888892</v>
      </c>
      <c r="N133" t="s">
        <v>75</v>
      </c>
      <c r="O133" t="s">
        <v>122</v>
      </c>
      <c r="P133" t="s">
        <v>122</v>
      </c>
      <c r="Q133">
        <v>35843</v>
      </c>
      <c r="R133" t="s">
        <v>439</v>
      </c>
      <c r="S133" t="s">
        <v>440</v>
      </c>
      <c r="T133" t="s">
        <v>441</v>
      </c>
      <c r="U133" t="s">
        <v>137</v>
      </c>
    </row>
    <row r="134" spans="1:21" x14ac:dyDescent="0.25">
      <c r="A134" t="s">
        <v>118</v>
      </c>
      <c r="B134" t="s">
        <v>448</v>
      </c>
      <c r="C134">
        <v>154172</v>
      </c>
      <c r="D134" t="s">
        <v>449</v>
      </c>
      <c r="E134" t="s">
        <v>223</v>
      </c>
      <c r="F134" t="s">
        <v>73</v>
      </c>
      <c r="G134" t="s">
        <v>438</v>
      </c>
      <c r="H134" t="s">
        <v>122</v>
      </c>
      <c r="I134" t="s">
        <v>122</v>
      </c>
      <c r="J134" s="127">
        <v>46072.744444444441</v>
      </c>
      <c r="K134" s="127">
        <v>46072.871527777781</v>
      </c>
      <c r="L134" s="127">
        <v>46072</v>
      </c>
      <c r="M134" s="127">
        <v>46076.468055555553</v>
      </c>
      <c r="N134" t="s">
        <v>122</v>
      </c>
      <c r="O134" t="s">
        <v>122</v>
      </c>
      <c r="P134" t="s">
        <v>122</v>
      </c>
      <c r="Q134">
        <v>35843</v>
      </c>
      <c r="R134" t="s">
        <v>439</v>
      </c>
      <c r="S134" t="s">
        <v>440</v>
      </c>
      <c r="T134" t="s">
        <v>441</v>
      </c>
      <c r="U134" t="s">
        <v>450</v>
      </c>
    </row>
    <row r="135" spans="1:21" x14ac:dyDescent="0.25">
      <c r="A135" t="s">
        <v>253</v>
      </c>
      <c r="B135" t="s">
        <v>451</v>
      </c>
      <c r="C135">
        <v>71582</v>
      </c>
      <c r="D135" t="s">
        <v>452</v>
      </c>
      <c r="E135" t="s">
        <v>437</v>
      </c>
      <c r="F135" t="s">
        <v>453</v>
      </c>
      <c r="G135" t="s">
        <v>454</v>
      </c>
      <c r="H135" t="s">
        <v>122</v>
      </c>
      <c r="I135" t="s">
        <v>122</v>
      </c>
      <c r="J135" s="127">
        <v>45943.759722222225</v>
      </c>
      <c r="K135" s="127">
        <v>45947</v>
      </c>
      <c r="L135" s="127">
        <v>45947.793749999997</v>
      </c>
      <c r="M135" s="127">
        <v>45952.632638888892</v>
      </c>
      <c r="N135" t="s">
        <v>72</v>
      </c>
      <c r="O135" t="s">
        <v>122</v>
      </c>
      <c r="P135" t="s">
        <v>122</v>
      </c>
      <c r="Q135">
        <v>61879</v>
      </c>
      <c r="R135" t="s">
        <v>455</v>
      </c>
      <c r="S135" t="s">
        <v>456</v>
      </c>
      <c r="T135" t="s">
        <v>457</v>
      </c>
      <c r="U135" t="s">
        <v>126</v>
      </c>
    </row>
    <row r="136" spans="1:21" x14ac:dyDescent="0.25">
      <c r="A136" t="s">
        <v>118</v>
      </c>
      <c r="B136" t="s">
        <v>458</v>
      </c>
      <c r="C136">
        <v>52434</v>
      </c>
      <c r="D136" t="s">
        <v>459</v>
      </c>
      <c r="E136" t="s">
        <v>130</v>
      </c>
      <c r="F136" t="s">
        <v>453</v>
      </c>
      <c r="G136" t="s">
        <v>454</v>
      </c>
      <c r="H136" t="s">
        <v>122</v>
      </c>
      <c r="I136" t="s">
        <v>122</v>
      </c>
      <c r="J136" s="127">
        <v>45860.434027777781</v>
      </c>
      <c r="K136" s="127">
        <v>45982.554166666669</v>
      </c>
      <c r="L136" s="127">
        <v>45986.546527777777</v>
      </c>
      <c r="M136" s="127">
        <v>45975.802083333336</v>
      </c>
      <c r="N136" t="s">
        <v>78</v>
      </c>
      <c r="O136" t="s">
        <v>122</v>
      </c>
      <c r="P136" t="s">
        <v>122</v>
      </c>
      <c r="Q136">
        <v>42092</v>
      </c>
      <c r="R136" t="s">
        <v>460</v>
      </c>
      <c r="S136" t="s">
        <v>461</v>
      </c>
      <c r="T136" t="s">
        <v>457</v>
      </c>
      <c r="U136" t="s">
        <v>462</v>
      </c>
    </row>
    <row r="137" spans="1:21" x14ac:dyDescent="0.25">
      <c r="A137" t="s">
        <v>118</v>
      </c>
      <c r="B137" t="s">
        <v>463</v>
      </c>
      <c r="C137">
        <v>49460</v>
      </c>
      <c r="D137" t="s">
        <v>464</v>
      </c>
      <c r="E137" t="s">
        <v>223</v>
      </c>
      <c r="F137" t="s">
        <v>465</v>
      </c>
      <c r="G137" t="s">
        <v>122</v>
      </c>
      <c r="H137" t="s">
        <v>122</v>
      </c>
      <c r="I137" t="s">
        <v>122</v>
      </c>
      <c r="J137" s="127">
        <v>45846.584027777775</v>
      </c>
      <c r="K137" s="127"/>
      <c r="L137" s="127"/>
      <c r="M137" s="127">
        <v>45846.754166666666</v>
      </c>
      <c r="N137" t="s">
        <v>78</v>
      </c>
      <c r="O137" t="s">
        <v>122</v>
      </c>
      <c r="P137" t="s">
        <v>122</v>
      </c>
      <c r="Q137">
        <v>42092</v>
      </c>
      <c r="R137" t="s">
        <v>460</v>
      </c>
      <c r="S137" t="s">
        <v>461</v>
      </c>
      <c r="T137" t="s">
        <v>450</v>
      </c>
      <c r="U137" t="s">
        <v>462</v>
      </c>
    </row>
    <row r="138" spans="1:21" x14ac:dyDescent="0.25">
      <c r="A138" t="s">
        <v>118</v>
      </c>
      <c r="B138" t="s">
        <v>466</v>
      </c>
      <c r="C138">
        <v>41540</v>
      </c>
      <c r="D138" t="s">
        <v>459</v>
      </c>
      <c r="E138" t="s">
        <v>223</v>
      </c>
      <c r="F138" t="s">
        <v>465</v>
      </c>
      <c r="G138" t="s">
        <v>122</v>
      </c>
      <c r="H138" t="s">
        <v>122</v>
      </c>
      <c r="I138" t="s">
        <v>122</v>
      </c>
      <c r="J138" s="127">
        <v>45786.657638888886</v>
      </c>
      <c r="K138" s="127"/>
      <c r="L138" s="127"/>
      <c r="M138" s="127">
        <v>45860.464583333334</v>
      </c>
      <c r="N138" t="s">
        <v>78</v>
      </c>
      <c r="O138" t="s">
        <v>122</v>
      </c>
      <c r="P138" t="s">
        <v>122</v>
      </c>
      <c r="Q138">
        <v>42092</v>
      </c>
      <c r="R138" t="s">
        <v>460</v>
      </c>
      <c r="S138" t="s">
        <v>461</v>
      </c>
      <c r="T138" t="s">
        <v>450</v>
      </c>
      <c r="U138" t="s">
        <v>462</v>
      </c>
    </row>
    <row r="139" spans="1:21" x14ac:dyDescent="0.25">
      <c r="A139" t="s">
        <v>142</v>
      </c>
      <c r="B139" t="s">
        <v>467</v>
      </c>
      <c r="C139">
        <v>160953</v>
      </c>
      <c r="D139" t="s">
        <v>468</v>
      </c>
      <c r="E139" t="s">
        <v>422</v>
      </c>
      <c r="F139" t="s">
        <v>79</v>
      </c>
      <c r="G139" t="s">
        <v>80</v>
      </c>
      <c r="H139" t="s">
        <v>122</v>
      </c>
      <c r="I139" t="s">
        <v>122</v>
      </c>
      <c r="J139" s="127">
        <v>46104.645833333336</v>
      </c>
      <c r="K139" s="127"/>
      <c r="L139" s="127"/>
      <c r="M139" s="127"/>
      <c r="N139" t="s">
        <v>75</v>
      </c>
      <c r="O139" t="s">
        <v>122</v>
      </c>
      <c r="P139" t="s">
        <v>122</v>
      </c>
      <c r="Q139">
        <v>70344</v>
      </c>
      <c r="R139" t="s">
        <v>469</v>
      </c>
      <c r="S139" t="s">
        <v>470</v>
      </c>
      <c r="T139" t="s">
        <v>471</v>
      </c>
      <c r="U139" t="s">
        <v>137</v>
      </c>
    </row>
    <row r="140" spans="1:21" x14ac:dyDescent="0.25">
      <c r="A140" t="s">
        <v>253</v>
      </c>
      <c r="B140" t="s">
        <v>472</v>
      </c>
      <c r="C140">
        <v>160849</v>
      </c>
      <c r="D140" t="s">
        <v>473</v>
      </c>
      <c r="E140" t="s">
        <v>121</v>
      </c>
      <c r="F140" t="s">
        <v>73</v>
      </c>
      <c r="G140" t="s">
        <v>74</v>
      </c>
      <c r="H140" t="s">
        <v>122</v>
      </c>
      <c r="I140" t="s">
        <v>122</v>
      </c>
      <c r="J140" s="127">
        <v>46104.490972222222</v>
      </c>
      <c r="K140" s="127"/>
      <c r="L140" s="127"/>
      <c r="M140" s="127"/>
      <c r="N140" t="s">
        <v>75</v>
      </c>
      <c r="O140" t="s">
        <v>122</v>
      </c>
      <c r="P140" t="s">
        <v>122</v>
      </c>
      <c r="Q140">
        <v>149664</v>
      </c>
      <c r="R140" t="s">
        <v>474</v>
      </c>
      <c r="S140" t="s">
        <v>475</v>
      </c>
      <c r="T140" t="s">
        <v>476</v>
      </c>
      <c r="U140" t="s">
        <v>137</v>
      </c>
    </row>
    <row r="141" spans="1:21" x14ac:dyDescent="0.25">
      <c r="A141" t="s">
        <v>118</v>
      </c>
      <c r="B141" t="s">
        <v>477</v>
      </c>
      <c r="C141">
        <v>160774</v>
      </c>
      <c r="D141" t="s">
        <v>478</v>
      </c>
      <c r="E141" t="s">
        <v>422</v>
      </c>
      <c r="F141" t="s">
        <v>76</v>
      </c>
      <c r="G141" t="s">
        <v>77</v>
      </c>
      <c r="H141" t="s">
        <v>122</v>
      </c>
      <c r="I141" t="s">
        <v>122</v>
      </c>
      <c r="J141" s="127">
        <v>46104.435416666667</v>
      </c>
      <c r="K141" s="127"/>
      <c r="L141" s="127"/>
      <c r="M141" s="127"/>
      <c r="N141" t="s">
        <v>75</v>
      </c>
      <c r="O141" t="s">
        <v>122</v>
      </c>
      <c r="P141" t="s">
        <v>122</v>
      </c>
      <c r="Q141">
        <v>70416</v>
      </c>
      <c r="R141" t="s">
        <v>479</v>
      </c>
      <c r="S141" t="s">
        <v>480</v>
      </c>
      <c r="T141" t="s">
        <v>481</v>
      </c>
      <c r="U141" t="s">
        <v>137</v>
      </c>
    </row>
    <row r="142" spans="1:21" x14ac:dyDescent="0.25">
      <c r="A142" t="s">
        <v>118</v>
      </c>
      <c r="B142" t="s">
        <v>482</v>
      </c>
      <c r="C142">
        <v>160648</v>
      </c>
      <c r="D142" t="s">
        <v>483</v>
      </c>
      <c r="E142" t="s">
        <v>121</v>
      </c>
      <c r="F142" t="s">
        <v>122</v>
      </c>
      <c r="G142" t="s">
        <v>80</v>
      </c>
      <c r="H142" t="s">
        <v>122</v>
      </c>
      <c r="I142" t="s">
        <v>122</v>
      </c>
      <c r="J142" s="127">
        <v>46101.756249999999</v>
      </c>
      <c r="K142" s="127"/>
      <c r="L142" s="127"/>
      <c r="M142" s="127"/>
      <c r="N142" t="s">
        <v>81</v>
      </c>
      <c r="O142" t="s">
        <v>122</v>
      </c>
      <c r="P142" t="s">
        <v>122</v>
      </c>
      <c r="Q142">
        <v>154916</v>
      </c>
      <c r="R142" t="s">
        <v>484</v>
      </c>
      <c r="S142" t="s">
        <v>485</v>
      </c>
      <c r="T142" t="s">
        <v>471</v>
      </c>
      <c r="U142" t="s">
        <v>486</v>
      </c>
    </row>
    <row r="143" spans="1:21" x14ac:dyDescent="0.25">
      <c r="A143" t="s">
        <v>118</v>
      </c>
      <c r="B143" t="s">
        <v>487</v>
      </c>
      <c r="C143">
        <v>160550</v>
      </c>
      <c r="D143" t="s">
        <v>488</v>
      </c>
      <c r="E143" t="s">
        <v>379</v>
      </c>
      <c r="F143" t="s">
        <v>79</v>
      </c>
      <c r="G143" t="s">
        <v>80</v>
      </c>
      <c r="H143" t="s">
        <v>122</v>
      </c>
      <c r="I143" t="s">
        <v>122</v>
      </c>
      <c r="J143" s="127">
        <v>46101.476388888892</v>
      </c>
      <c r="K143" s="127"/>
      <c r="L143" s="127"/>
      <c r="M143" s="127"/>
      <c r="N143" t="s">
        <v>75</v>
      </c>
      <c r="O143" t="s">
        <v>122</v>
      </c>
      <c r="P143" t="s">
        <v>122</v>
      </c>
      <c r="Q143">
        <v>156588</v>
      </c>
      <c r="R143" t="s">
        <v>489</v>
      </c>
      <c r="S143" t="s">
        <v>490</v>
      </c>
      <c r="T143" t="s">
        <v>471</v>
      </c>
      <c r="U143" t="s">
        <v>137</v>
      </c>
    </row>
    <row r="144" spans="1:21" x14ac:dyDescent="0.25">
      <c r="A144" t="s">
        <v>253</v>
      </c>
      <c r="B144" t="s">
        <v>491</v>
      </c>
      <c r="C144">
        <v>160529</v>
      </c>
      <c r="D144" t="s">
        <v>492</v>
      </c>
      <c r="E144" t="s">
        <v>121</v>
      </c>
      <c r="F144" t="s">
        <v>79</v>
      </c>
      <c r="G144" t="s">
        <v>74</v>
      </c>
      <c r="H144" t="s">
        <v>122</v>
      </c>
      <c r="I144" t="s">
        <v>122</v>
      </c>
      <c r="J144" s="127">
        <v>46101.466666666667</v>
      </c>
      <c r="K144" s="127"/>
      <c r="L144" s="127"/>
      <c r="M144" s="127"/>
      <c r="N144" t="s">
        <v>72</v>
      </c>
      <c r="O144" t="s">
        <v>122</v>
      </c>
      <c r="P144" t="s">
        <v>122</v>
      </c>
      <c r="Q144">
        <v>149148</v>
      </c>
      <c r="R144" t="s">
        <v>493</v>
      </c>
      <c r="S144" t="s">
        <v>494</v>
      </c>
      <c r="T144" t="s">
        <v>476</v>
      </c>
      <c r="U144" t="s">
        <v>126</v>
      </c>
    </row>
    <row r="145" spans="1:21" x14ac:dyDescent="0.25">
      <c r="A145" t="s">
        <v>118</v>
      </c>
      <c r="B145" t="s">
        <v>495</v>
      </c>
      <c r="C145">
        <v>160407</v>
      </c>
      <c r="D145" t="s">
        <v>496</v>
      </c>
      <c r="E145" t="s">
        <v>422</v>
      </c>
      <c r="F145" t="s">
        <v>497</v>
      </c>
      <c r="G145" t="s">
        <v>498</v>
      </c>
      <c r="H145" t="s">
        <v>122</v>
      </c>
      <c r="I145" t="s">
        <v>122</v>
      </c>
      <c r="J145" s="127">
        <v>46100.72152777778</v>
      </c>
      <c r="K145" s="127"/>
      <c r="L145" s="127"/>
      <c r="M145" s="127"/>
      <c r="N145" t="s">
        <v>499</v>
      </c>
      <c r="O145" t="s">
        <v>122</v>
      </c>
      <c r="P145" t="s">
        <v>122</v>
      </c>
      <c r="Q145">
        <v>153412</v>
      </c>
      <c r="R145" t="s">
        <v>500</v>
      </c>
      <c r="S145" t="s">
        <v>501</v>
      </c>
      <c r="T145" t="s">
        <v>502</v>
      </c>
      <c r="U145" t="s">
        <v>503</v>
      </c>
    </row>
    <row r="146" spans="1:21" x14ac:dyDescent="0.25">
      <c r="A146" t="s">
        <v>118</v>
      </c>
      <c r="B146" t="s">
        <v>504</v>
      </c>
      <c r="C146">
        <v>160403</v>
      </c>
      <c r="D146" t="s">
        <v>505</v>
      </c>
      <c r="E146" t="s">
        <v>422</v>
      </c>
      <c r="F146" t="s">
        <v>497</v>
      </c>
      <c r="G146" t="s">
        <v>498</v>
      </c>
      <c r="H146" t="s">
        <v>122</v>
      </c>
      <c r="I146" t="s">
        <v>122</v>
      </c>
      <c r="J146" s="127">
        <v>46100.714583333334</v>
      </c>
      <c r="K146" s="127"/>
      <c r="L146" s="127"/>
      <c r="M146" s="127"/>
      <c r="N146" t="s">
        <v>499</v>
      </c>
      <c r="O146" t="s">
        <v>122</v>
      </c>
      <c r="P146" t="s">
        <v>122</v>
      </c>
      <c r="Q146">
        <v>153412</v>
      </c>
      <c r="R146" t="s">
        <v>500</v>
      </c>
      <c r="S146" t="s">
        <v>501</v>
      </c>
      <c r="T146" t="s">
        <v>502</v>
      </c>
      <c r="U146" t="s">
        <v>503</v>
      </c>
    </row>
    <row r="147" spans="1:21" x14ac:dyDescent="0.25">
      <c r="A147" t="s">
        <v>127</v>
      </c>
      <c r="B147" t="s">
        <v>506</v>
      </c>
      <c r="C147">
        <v>160350</v>
      </c>
      <c r="D147" t="s">
        <v>507</v>
      </c>
      <c r="E147" t="s">
        <v>508</v>
      </c>
      <c r="F147" t="s">
        <v>73</v>
      </c>
      <c r="G147" t="s">
        <v>74</v>
      </c>
      <c r="H147" t="s">
        <v>122</v>
      </c>
      <c r="I147" t="s">
        <v>122</v>
      </c>
      <c r="J147" s="127">
        <v>46100.636805555558</v>
      </c>
      <c r="K147" s="127">
        <v>46101.509027777778</v>
      </c>
      <c r="L147" s="127">
        <v>46101.509027777778</v>
      </c>
      <c r="M147" s="127"/>
      <c r="N147" t="s">
        <v>75</v>
      </c>
      <c r="O147" t="s">
        <v>122</v>
      </c>
      <c r="P147" t="s">
        <v>122</v>
      </c>
      <c r="Q147">
        <v>149664</v>
      </c>
      <c r="R147" t="s">
        <v>474</v>
      </c>
      <c r="S147" t="s">
        <v>475</v>
      </c>
      <c r="T147" t="s">
        <v>476</v>
      </c>
      <c r="U147" t="s">
        <v>137</v>
      </c>
    </row>
    <row r="148" spans="1:21" x14ac:dyDescent="0.25">
      <c r="A148" t="s">
        <v>127</v>
      </c>
      <c r="B148" t="s">
        <v>509</v>
      </c>
      <c r="C148">
        <v>160338</v>
      </c>
      <c r="D148" t="s">
        <v>510</v>
      </c>
      <c r="E148" t="s">
        <v>249</v>
      </c>
      <c r="F148" t="s">
        <v>73</v>
      </c>
      <c r="G148" t="s">
        <v>74</v>
      </c>
      <c r="H148" t="s">
        <v>122</v>
      </c>
      <c r="I148" t="s">
        <v>122</v>
      </c>
      <c r="J148" s="127">
        <v>46100.595138888886</v>
      </c>
      <c r="K148" s="127">
        <v>46100</v>
      </c>
      <c r="L148" s="127"/>
      <c r="M148" s="127"/>
      <c r="N148" t="s">
        <v>75</v>
      </c>
      <c r="O148" t="s">
        <v>122</v>
      </c>
      <c r="P148" t="s">
        <v>122</v>
      </c>
      <c r="Q148">
        <v>149664</v>
      </c>
      <c r="R148" t="s">
        <v>474</v>
      </c>
      <c r="S148" t="s">
        <v>475</v>
      </c>
      <c r="T148" t="s">
        <v>476</v>
      </c>
      <c r="U148" t="s">
        <v>137</v>
      </c>
    </row>
    <row r="149" spans="1:21" x14ac:dyDescent="0.25">
      <c r="A149" t="s">
        <v>253</v>
      </c>
      <c r="B149" t="s">
        <v>511</v>
      </c>
      <c r="C149">
        <v>160068</v>
      </c>
      <c r="D149" t="s">
        <v>512</v>
      </c>
      <c r="E149" t="s">
        <v>223</v>
      </c>
      <c r="F149" t="s">
        <v>90</v>
      </c>
      <c r="G149" t="s">
        <v>74</v>
      </c>
      <c r="H149" t="s">
        <v>513</v>
      </c>
      <c r="I149" t="s">
        <v>122</v>
      </c>
      <c r="J149" s="127">
        <v>46099.75277777778</v>
      </c>
      <c r="K149" s="127">
        <v>46099</v>
      </c>
      <c r="L149" s="127">
        <v>46104</v>
      </c>
      <c r="M149" s="127">
        <v>46104.676388888889</v>
      </c>
      <c r="N149" t="s">
        <v>78</v>
      </c>
      <c r="O149" t="s">
        <v>122</v>
      </c>
      <c r="P149" t="s">
        <v>122</v>
      </c>
      <c r="Q149">
        <v>145786</v>
      </c>
      <c r="R149" t="s">
        <v>514</v>
      </c>
      <c r="S149" t="s">
        <v>515</v>
      </c>
      <c r="T149" t="s">
        <v>516</v>
      </c>
      <c r="U149" t="s">
        <v>462</v>
      </c>
    </row>
    <row r="150" spans="1:21" x14ac:dyDescent="0.25">
      <c r="A150" t="s">
        <v>118</v>
      </c>
      <c r="B150" t="s">
        <v>517</v>
      </c>
      <c r="C150">
        <v>159890</v>
      </c>
      <c r="D150" t="s">
        <v>518</v>
      </c>
      <c r="E150" t="s">
        <v>519</v>
      </c>
      <c r="F150" t="s">
        <v>520</v>
      </c>
      <c r="G150" t="s">
        <v>438</v>
      </c>
      <c r="H150" t="s">
        <v>122</v>
      </c>
      <c r="I150" t="s">
        <v>122</v>
      </c>
      <c r="J150" s="127">
        <v>46099.503472222219</v>
      </c>
      <c r="K150" s="127">
        <v>46105.560416666667</v>
      </c>
      <c r="L150" s="127">
        <v>46105</v>
      </c>
      <c r="M150" s="127"/>
      <c r="N150" t="s">
        <v>499</v>
      </c>
      <c r="O150" t="s">
        <v>122</v>
      </c>
      <c r="P150" t="s">
        <v>122</v>
      </c>
      <c r="Q150">
        <v>159877</v>
      </c>
      <c r="R150" t="s">
        <v>521</v>
      </c>
      <c r="S150" t="s">
        <v>522</v>
      </c>
      <c r="T150" t="s">
        <v>441</v>
      </c>
      <c r="U150" t="s">
        <v>503</v>
      </c>
    </row>
    <row r="151" spans="1:21" x14ac:dyDescent="0.25">
      <c r="A151" t="s">
        <v>118</v>
      </c>
      <c r="B151" t="s">
        <v>523</v>
      </c>
      <c r="C151">
        <v>159886</v>
      </c>
      <c r="D151" t="s">
        <v>524</v>
      </c>
      <c r="E151" t="s">
        <v>519</v>
      </c>
      <c r="F151" t="s">
        <v>520</v>
      </c>
      <c r="G151" t="s">
        <v>438</v>
      </c>
      <c r="H151" t="s">
        <v>122</v>
      </c>
      <c r="I151" t="s">
        <v>122</v>
      </c>
      <c r="J151" s="127">
        <v>46099.495833333334</v>
      </c>
      <c r="K151" s="127">
        <v>46101.809027777781</v>
      </c>
      <c r="L151" s="127">
        <v>46101</v>
      </c>
      <c r="M151" s="127"/>
      <c r="N151" t="s">
        <v>499</v>
      </c>
      <c r="O151" t="s">
        <v>122</v>
      </c>
      <c r="P151" t="s">
        <v>122</v>
      </c>
      <c r="Q151">
        <v>159877</v>
      </c>
      <c r="R151" t="s">
        <v>521</v>
      </c>
      <c r="S151" t="s">
        <v>522</v>
      </c>
      <c r="T151" t="s">
        <v>441</v>
      </c>
      <c r="U151" t="s">
        <v>503</v>
      </c>
    </row>
    <row r="152" spans="1:21" x14ac:dyDescent="0.25">
      <c r="A152" t="s">
        <v>118</v>
      </c>
      <c r="B152" t="s">
        <v>525</v>
      </c>
      <c r="C152">
        <v>159879</v>
      </c>
      <c r="D152" t="s">
        <v>526</v>
      </c>
      <c r="E152" t="s">
        <v>130</v>
      </c>
      <c r="F152" t="s">
        <v>520</v>
      </c>
      <c r="G152" t="s">
        <v>438</v>
      </c>
      <c r="H152" t="s">
        <v>122</v>
      </c>
      <c r="I152" t="s">
        <v>122</v>
      </c>
      <c r="J152" s="127">
        <v>46099.490972222222</v>
      </c>
      <c r="K152" s="127">
        <v>46101.631944444445</v>
      </c>
      <c r="L152" s="127">
        <v>46101</v>
      </c>
      <c r="M152" s="127">
        <v>46105.000694444447</v>
      </c>
      <c r="N152" t="s">
        <v>499</v>
      </c>
      <c r="O152" t="s">
        <v>122</v>
      </c>
      <c r="P152" t="s">
        <v>122</v>
      </c>
      <c r="Q152">
        <v>159877</v>
      </c>
      <c r="R152" t="s">
        <v>521</v>
      </c>
      <c r="S152" t="s">
        <v>522</v>
      </c>
      <c r="T152" t="s">
        <v>441</v>
      </c>
      <c r="U152" t="s">
        <v>503</v>
      </c>
    </row>
    <row r="153" spans="1:21" x14ac:dyDescent="0.25">
      <c r="A153" t="s">
        <v>253</v>
      </c>
      <c r="B153" t="s">
        <v>527</v>
      </c>
      <c r="C153">
        <v>159870</v>
      </c>
      <c r="D153" t="s">
        <v>528</v>
      </c>
      <c r="E153" t="s">
        <v>437</v>
      </c>
      <c r="F153" t="s">
        <v>73</v>
      </c>
      <c r="G153" t="s">
        <v>74</v>
      </c>
      <c r="H153" t="s">
        <v>122</v>
      </c>
      <c r="I153" t="s">
        <v>122</v>
      </c>
      <c r="J153" s="127">
        <v>46099.441666666666</v>
      </c>
      <c r="K153" s="127">
        <v>46099</v>
      </c>
      <c r="L153" s="127">
        <v>46099</v>
      </c>
      <c r="M153" s="127">
        <v>46100.630555555559</v>
      </c>
      <c r="N153" t="s">
        <v>75</v>
      </c>
      <c r="O153" t="s">
        <v>122</v>
      </c>
      <c r="P153" t="s">
        <v>122</v>
      </c>
      <c r="Q153">
        <v>149664</v>
      </c>
      <c r="R153" t="s">
        <v>474</v>
      </c>
      <c r="S153" t="s">
        <v>475</v>
      </c>
      <c r="T153" t="s">
        <v>476</v>
      </c>
      <c r="U153" t="s">
        <v>137</v>
      </c>
    </row>
    <row r="154" spans="1:21" x14ac:dyDescent="0.25">
      <c r="A154" t="s">
        <v>253</v>
      </c>
      <c r="B154" t="s">
        <v>529</v>
      </c>
      <c r="C154">
        <v>159861</v>
      </c>
      <c r="D154" t="s">
        <v>530</v>
      </c>
      <c r="E154" t="s">
        <v>437</v>
      </c>
      <c r="F154" t="s">
        <v>73</v>
      </c>
      <c r="G154" t="s">
        <v>74</v>
      </c>
      <c r="H154" t="s">
        <v>122</v>
      </c>
      <c r="I154" t="s">
        <v>122</v>
      </c>
      <c r="J154" s="127">
        <v>46099.425694444442</v>
      </c>
      <c r="K154" s="127">
        <v>46099</v>
      </c>
      <c r="L154" s="127">
        <v>46100</v>
      </c>
      <c r="M154" s="127">
        <v>46100.597916666666</v>
      </c>
      <c r="N154" t="s">
        <v>75</v>
      </c>
      <c r="O154" t="s">
        <v>122</v>
      </c>
      <c r="P154" t="s">
        <v>122</v>
      </c>
      <c r="Q154">
        <v>149664</v>
      </c>
      <c r="R154" t="s">
        <v>474</v>
      </c>
      <c r="S154" t="s">
        <v>475</v>
      </c>
      <c r="T154" t="s">
        <v>476</v>
      </c>
      <c r="U154" t="s">
        <v>137</v>
      </c>
    </row>
    <row r="155" spans="1:21" x14ac:dyDescent="0.25">
      <c r="A155" t="s">
        <v>253</v>
      </c>
      <c r="B155" t="s">
        <v>531</v>
      </c>
      <c r="C155">
        <v>159630</v>
      </c>
      <c r="D155" t="s">
        <v>532</v>
      </c>
      <c r="E155" t="s">
        <v>223</v>
      </c>
      <c r="F155" t="s">
        <v>453</v>
      </c>
      <c r="G155" t="s">
        <v>74</v>
      </c>
      <c r="H155" t="s">
        <v>513</v>
      </c>
      <c r="I155" t="s">
        <v>122</v>
      </c>
      <c r="J155" s="127">
        <v>46098.513194444444</v>
      </c>
      <c r="K155" s="127">
        <v>46098</v>
      </c>
      <c r="L155" s="127">
        <v>46098</v>
      </c>
      <c r="M155" s="127">
        <v>46100.582638888889</v>
      </c>
      <c r="N155" t="s">
        <v>78</v>
      </c>
      <c r="O155" t="s">
        <v>122</v>
      </c>
      <c r="P155" t="s">
        <v>122</v>
      </c>
      <c r="Q155">
        <v>145786</v>
      </c>
      <c r="R155" t="s">
        <v>514</v>
      </c>
      <c r="S155" t="s">
        <v>515</v>
      </c>
      <c r="T155" t="s">
        <v>516</v>
      </c>
      <c r="U155" t="s">
        <v>462</v>
      </c>
    </row>
    <row r="156" spans="1:21" x14ac:dyDescent="0.25">
      <c r="A156" t="s">
        <v>118</v>
      </c>
      <c r="B156" t="s">
        <v>533</v>
      </c>
      <c r="C156">
        <v>28293</v>
      </c>
      <c r="D156" t="s">
        <v>534</v>
      </c>
      <c r="E156" t="s">
        <v>508</v>
      </c>
      <c r="F156" t="s">
        <v>535</v>
      </c>
      <c r="G156" t="s">
        <v>454</v>
      </c>
      <c r="H156" t="s">
        <v>122</v>
      </c>
      <c r="I156" t="s">
        <v>122</v>
      </c>
      <c r="J156" s="127">
        <v>45628.613888888889</v>
      </c>
      <c r="K156" s="127">
        <v>46098.579861111109</v>
      </c>
      <c r="L156" s="127">
        <v>46098</v>
      </c>
      <c r="M156" s="127"/>
      <c r="N156" t="s">
        <v>78</v>
      </c>
      <c r="O156" t="s">
        <v>122</v>
      </c>
      <c r="P156" t="s">
        <v>122</v>
      </c>
      <c r="Q156">
        <v>27313</v>
      </c>
      <c r="R156" t="s">
        <v>536</v>
      </c>
      <c r="S156" t="s">
        <v>537</v>
      </c>
      <c r="T156" t="s">
        <v>457</v>
      </c>
      <c r="U156" t="s">
        <v>462</v>
      </c>
    </row>
    <row r="157" spans="1:21" x14ac:dyDescent="0.25">
      <c r="A157" t="s">
        <v>253</v>
      </c>
      <c r="B157" t="s">
        <v>538</v>
      </c>
      <c r="C157">
        <v>159515</v>
      </c>
      <c r="D157" t="s">
        <v>539</v>
      </c>
      <c r="E157" t="s">
        <v>437</v>
      </c>
      <c r="F157" t="s">
        <v>79</v>
      </c>
      <c r="G157" t="s">
        <v>540</v>
      </c>
      <c r="H157" t="s">
        <v>513</v>
      </c>
      <c r="I157" t="s">
        <v>122</v>
      </c>
      <c r="J157" s="127">
        <v>46098.368750000001</v>
      </c>
      <c r="K157" s="127">
        <v>46098</v>
      </c>
      <c r="L157" s="127">
        <v>46098</v>
      </c>
      <c r="M157" s="127">
        <v>46099.496527777781</v>
      </c>
      <c r="N157" t="s">
        <v>72</v>
      </c>
      <c r="O157" t="s">
        <v>122</v>
      </c>
      <c r="P157" t="s">
        <v>122</v>
      </c>
      <c r="Q157">
        <v>149148</v>
      </c>
      <c r="R157" t="s">
        <v>493</v>
      </c>
      <c r="S157" t="s">
        <v>494</v>
      </c>
      <c r="T157" t="s">
        <v>541</v>
      </c>
      <c r="U157" t="s">
        <v>126</v>
      </c>
    </row>
    <row r="158" spans="1:21" x14ac:dyDescent="0.25">
      <c r="A158" t="s">
        <v>253</v>
      </c>
      <c r="B158" t="s">
        <v>542</v>
      </c>
      <c r="C158">
        <v>159425</v>
      </c>
      <c r="D158" t="s">
        <v>543</v>
      </c>
      <c r="E158" t="s">
        <v>437</v>
      </c>
      <c r="F158" t="s">
        <v>73</v>
      </c>
      <c r="G158" t="s">
        <v>74</v>
      </c>
      <c r="H158" t="s">
        <v>122</v>
      </c>
      <c r="I158" t="s">
        <v>122</v>
      </c>
      <c r="J158" s="127">
        <v>46097.679166666669</v>
      </c>
      <c r="K158" s="127">
        <v>46099</v>
      </c>
      <c r="L158" s="127">
        <v>46100</v>
      </c>
      <c r="M158" s="127">
        <v>46100.630555555559</v>
      </c>
      <c r="N158" t="s">
        <v>75</v>
      </c>
      <c r="O158" t="s">
        <v>122</v>
      </c>
      <c r="P158" t="s">
        <v>122</v>
      </c>
      <c r="Q158">
        <v>149664</v>
      </c>
      <c r="R158" t="s">
        <v>474</v>
      </c>
      <c r="S158" t="s">
        <v>475</v>
      </c>
      <c r="T158" t="s">
        <v>476</v>
      </c>
      <c r="U158" t="s">
        <v>137</v>
      </c>
    </row>
    <row r="159" spans="1:21" x14ac:dyDescent="0.25">
      <c r="A159" t="s">
        <v>253</v>
      </c>
      <c r="B159" t="s">
        <v>544</v>
      </c>
      <c r="C159">
        <v>159041</v>
      </c>
      <c r="D159" t="s">
        <v>545</v>
      </c>
      <c r="E159" t="s">
        <v>437</v>
      </c>
      <c r="F159" t="s">
        <v>453</v>
      </c>
      <c r="G159" t="s">
        <v>513</v>
      </c>
      <c r="H159" t="s">
        <v>122</v>
      </c>
      <c r="I159" t="s">
        <v>122</v>
      </c>
      <c r="J159" s="127">
        <v>46094.554166666669</v>
      </c>
      <c r="K159" s="127">
        <v>46100</v>
      </c>
      <c r="L159" s="127">
        <v>46100</v>
      </c>
      <c r="M159" s="127">
        <v>46100.512499999997</v>
      </c>
      <c r="N159" t="s">
        <v>72</v>
      </c>
      <c r="O159" t="s">
        <v>122</v>
      </c>
      <c r="P159" t="s">
        <v>122</v>
      </c>
      <c r="Q159">
        <v>149148</v>
      </c>
      <c r="R159" t="s">
        <v>493</v>
      </c>
      <c r="S159" t="s">
        <v>494</v>
      </c>
      <c r="T159" t="s">
        <v>546</v>
      </c>
      <c r="U159" t="s">
        <v>126</v>
      </c>
    </row>
    <row r="160" spans="1:21" x14ac:dyDescent="0.25">
      <c r="A160" t="s">
        <v>253</v>
      </c>
      <c r="B160" t="s">
        <v>547</v>
      </c>
      <c r="C160">
        <v>159039</v>
      </c>
      <c r="D160" t="s">
        <v>548</v>
      </c>
      <c r="E160" t="s">
        <v>249</v>
      </c>
      <c r="F160" t="s">
        <v>453</v>
      </c>
      <c r="G160" t="s">
        <v>498</v>
      </c>
      <c r="H160" t="s">
        <v>122</v>
      </c>
      <c r="I160" t="s">
        <v>122</v>
      </c>
      <c r="J160" s="127">
        <v>46094.55</v>
      </c>
      <c r="K160" s="127">
        <v>46100</v>
      </c>
      <c r="L160" s="127"/>
      <c r="M160" s="127"/>
      <c r="N160" t="s">
        <v>72</v>
      </c>
      <c r="O160" t="s">
        <v>122</v>
      </c>
      <c r="P160" t="s">
        <v>122</v>
      </c>
      <c r="Q160">
        <v>149148</v>
      </c>
      <c r="R160" t="s">
        <v>493</v>
      </c>
      <c r="S160" t="s">
        <v>494</v>
      </c>
      <c r="T160" t="s">
        <v>502</v>
      </c>
      <c r="U160" t="s">
        <v>126</v>
      </c>
    </row>
    <row r="161" spans="1:21" x14ac:dyDescent="0.25">
      <c r="A161" t="s">
        <v>253</v>
      </c>
      <c r="B161" t="s">
        <v>549</v>
      </c>
      <c r="C161">
        <v>159017</v>
      </c>
      <c r="D161" t="s">
        <v>550</v>
      </c>
      <c r="E161" t="s">
        <v>266</v>
      </c>
      <c r="F161" t="s">
        <v>453</v>
      </c>
      <c r="G161" t="s">
        <v>513</v>
      </c>
      <c r="H161" t="s">
        <v>122</v>
      </c>
      <c r="I161" t="s">
        <v>122</v>
      </c>
      <c r="J161" s="127">
        <v>46094.419444444444</v>
      </c>
      <c r="K161" s="127">
        <v>46094</v>
      </c>
      <c r="L161" s="127">
        <v>46104</v>
      </c>
      <c r="M161" s="127"/>
      <c r="N161" t="s">
        <v>72</v>
      </c>
      <c r="O161" t="s">
        <v>122</v>
      </c>
      <c r="P161" t="s">
        <v>122</v>
      </c>
      <c r="Q161">
        <v>149148</v>
      </c>
      <c r="R161" t="s">
        <v>493</v>
      </c>
      <c r="S161" t="s">
        <v>494</v>
      </c>
      <c r="T161" t="s">
        <v>546</v>
      </c>
      <c r="U161" t="s">
        <v>126</v>
      </c>
    </row>
    <row r="162" spans="1:21" x14ac:dyDescent="0.25">
      <c r="A162" t="s">
        <v>253</v>
      </c>
      <c r="B162" t="s">
        <v>551</v>
      </c>
      <c r="C162">
        <v>159010</v>
      </c>
      <c r="D162" t="s">
        <v>552</v>
      </c>
      <c r="E162" t="s">
        <v>437</v>
      </c>
      <c r="F162" t="s">
        <v>453</v>
      </c>
      <c r="G162" t="s">
        <v>540</v>
      </c>
      <c r="H162" t="s">
        <v>513</v>
      </c>
      <c r="I162" t="s">
        <v>122</v>
      </c>
      <c r="J162" s="127">
        <v>46094.39166666667</v>
      </c>
      <c r="K162" s="127">
        <v>46094</v>
      </c>
      <c r="L162" s="127">
        <v>46094</v>
      </c>
      <c r="M162" s="127">
        <v>46098.330555555556</v>
      </c>
      <c r="N162" t="s">
        <v>72</v>
      </c>
      <c r="O162" t="s">
        <v>122</v>
      </c>
      <c r="P162" t="s">
        <v>122</v>
      </c>
      <c r="Q162">
        <v>149148</v>
      </c>
      <c r="R162" t="s">
        <v>493</v>
      </c>
      <c r="S162" t="s">
        <v>494</v>
      </c>
      <c r="T162" t="s">
        <v>541</v>
      </c>
      <c r="U162" t="s">
        <v>126</v>
      </c>
    </row>
    <row r="163" spans="1:21" x14ac:dyDescent="0.25">
      <c r="A163" t="s">
        <v>253</v>
      </c>
      <c r="B163" t="s">
        <v>553</v>
      </c>
      <c r="C163">
        <v>158939</v>
      </c>
      <c r="D163" t="s">
        <v>554</v>
      </c>
      <c r="E163" t="s">
        <v>437</v>
      </c>
      <c r="F163" t="s">
        <v>79</v>
      </c>
      <c r="G163" t="s">
        <v>80</v>
      </c>
      <c r="H163" t="s">
        <v>122</v>
      </c>
      <c r="I163" t="s">
        <v>122</v>
      </c>
      <c r="J163" s="127">
        <v>46093.683333333334</v>
      </c>
      <c r="K163" s="127">
        <v>46099</v>
      </c>
      <c r="L163" s="127">
        <v>46099</v>
      </c>
      <c r="M163" s="127">
        <v>46100.625694444447</v>
      </c>
      <c r="N163" t="s">
        <v>75</v>
      </c>
      <c r="O163" t="s">
        <v>122</v>
      </c>
      <c r="P163" t="s">
        <v>122</v>
      </c>
      <c r="Q163">
        <v>148387</v>
      </c>
      <c r="R163" t="s">
        <v>555</v>
      </c>
      <c r="S163" t="s">
        <v>556</v>
      </c>
      <c r="T163" t="s">
        <v>471</v>
      </c>
      <c r="U163" t="s">
        <v>137</v>
      </c>
    </row>
    <row r="164" spans="1:21" x14ac:dyDescent="0.25">
      <c r="A164" t="s">
        <v>557</v>
      </c>
      <c r="B164" t="s">
        <v>558</v>
      </c>
      <c r="C164">
        <v>158916</v>
      </c>
      <c r="D164" t="s">
        <v>559</v>
      </c>
      <c r="E164" t="s">
        <v>130</v>
      </c>
      <c r="F164" t="s">
        <v>84</v>
      </c>
      <c r="G164" t="s">
        <v>74</v>
      </c>
      <c r="H164" t="s">
        <v>122</v>
      </c>
      <c r="I164" t="s">
        <v>122</v>
      </c>
      <c r="J164" s="127">
        <v>46093.619444444441</v>
      </c>
      <c r="K164" s="127">
        <v>46093.748611111114</v>
      </c>
      <c r="L164" s="127">
        <v>46093.748611111114</v>
      </c>
      <c r="M164" s="127">
        <v>46097.446527777778</v>
      </c>
      <c r="N164" t="s">
        <v>75</v>
      </c>
      <c r="O164" t="s">
        <v>122</v>
      </c>
      <c r="P164" t="s">
        <v>122</v>
      </c>
      <c r="R164" t="s">
        <v>122</v>
      </c>
      <c r="S164" t="s">
        <v>122</v>
      </c>
      <c r="T164" t="s">
        <v>476</v>
      </c>
      <c r="U164" t="s">
        <v>137</v>
      </c>
    </row>
    <row r="165" spans="1:21" x14ac:dyDescent="0.25">
      <c r="A165" t="s">
        <v>127</v>
      </c>
      <c r="B165" t="s">
        <v>560</v>
      </c>
      <c r="C165">
        <v>158634</v>
      </c>
      <c r="D165" t="s">
        <v>561</v>
      </c>
      <c r="E165" t="s">
        <v>130</v>
      </c>
      <c r="F165" t="s">
        <v>73</v>
      </c>
      <c r="G165" t="s">
        <v>562</v>
      </c>
      <c r="H165" t="s">
        <v>74</v>
      </c>
      <c r="I165" t="s">
        <v>122</v>
      </c>
      <c r="J165" s="127">
        <v>46092.65</v>
      </c>
      <c r="K165" s="127">
        <v>46092.775694444441</v>
      </c>
      <c r="L165" s="127">
        <v>46092.775694444441</v>
      </c>
      <c r="M165" s="127">
        <v>46092.650694444441</v>
      </c>
      <c r="N165" t="s">
        <v>75</v>
      </c>
      <c r="O165" t="s">
        <v>122</v>
      </c>
      <c r="P165" t="s">
        <v>122</v>
      </c>
      <c r="Q165">
        <v>149664</v>
      </c>
      <c r="R165" t="s">
        <v>474</v>
      </c>
      <c r="S165" t="s">
        <v>475</v>
      </c>
      <c r="T165" t="s">
        <v>563</v>
      </c>
      <c r="U165" t="s">
        <v>137</v>
      </c>
    </row>
    <row r="166" spans="1:21" x14ac:dyDescent="0.25">
      <c r="A166" t="s">
        <v>127</v>
      </c>
      <c r="B166" t="s">
        <v>564</v>
      </c>
      <c r="C166">
        <v>157883</v>
      </c>
      <c r="D166" t="s">
        <v>565</v>
      </c>
      <c r="E166" t="s">
        <v>121</v>
      </c>
      <c r="F166" t="s">
        <v>520</v>
      </c>
      <c r="G166" t="s">
        <v>438</v>
      </c>
      <c r="H166" t="s">
        <v>122</v>
      </c>
      <c r="I166" t="s">
        <v>122</v>
      </c>
      <c r="J166" s="127">
        <v>46090.422222222223</v>
      </c>
      <c r="K166" s="127"/>
      <c r="L166" s="127"/>
      <c r="M166" s="127"/>
      <c r="N166" t="s">
        <v>499</v>
      </c>
      <c r="O166" t="s">
        <v>122</v>
      </c>
      <c r="P166" t="s">
        <v>122</v>
      </c>
      <c r="Q166">
        <v>157860</v>
      </c>
      <c r="R166" t="s">
        <v>566</v>
      </c>
      <c r="S166" t="s">
        <v>567</v>
      </c>
      <c r="T166" t="s">
        <v>441</v>
      </c>
      <c r="U166" t="s">
        <v>503</v>
      </c>
    </row>
    <row r="167" spans="1:21" x14ac:dyDescent="0.25">
      <c r="A167" t="s">
        <v>127</v>
      </c>
      <c r="B167" t="s">
        <v>568</v>
      </c>
      <c r="C167">
        <v>157880</v>
      </c>
      <c r="D167" t="s">
        <v>569</v>
      </c>
      <c r="E167" t="s">
        <v>121</v>
      </c>
      <c r="F167" t="s">
        <v>520</v>
      </c>
      <c r="G167" t="s">
        <v>438</v>
      </c>
      <c r="H167" t="s">
        <v>122</v>
      </c>
      <c r="I167" t="s">
        <v>122</v>
      </c>
      <c r="J167" s="127">
        <v>46090.420138888891</v>
      </c>
      <c r="K167" s="127"/>
      <c r="L167" s="127"/>
      <c r="M167" s="127"/>
      <c r="N167" t="s">
        <v>499</v>
      </c>
      <c r="O167" t="s">
        <v>122</v>
      </c>
      <c r="P167" t="s">
        <v>122</v>
      </c>
      <c r="Q167">
        <v>157860</v>
      </c>
      <c r="R167" t="s">
        <v>566</v>
      </c>
      <c r="S167" t="s">
        <v>567</v>
      </c>
      <c r="T167" t="s">
        <v>441</v>
      </c>
      <c r="U167" t="s">
        <v>503</v>
      </c>
    </row>
    <row r="168" spans="1:21" x14ac:dyDescent="0.25">
      <c r="A168" t="s">
        <v>127</v>
      </c>
      <c r="B168" t="s">
        <v>570</v>
      </c>
      <c r="C168">
        <v>157878</v>
      </c>
      <c r="D168" t="s">
        <v>571</v>
      </c>
      <c r="E168" t="s">
        <v>121</v>
      </c>
      <c r="F168" t="s">
        <v>520</v>
      </c>
      <c r="G168" t="s">
        <v>438</v>
      </c>
      <c r="H168" t="s">
        <v>122</v>
      </c>
      <c r="I168" t="s">
        <v>122</v>
      </c>
      <c r="J168" s="127">
        <v>46090.417361111111</v>
      </c>
      <c r="K168" s="127"/>
      <c r="L168" s="127"/>
      <c r="M168" s="127"/>
      <c r="N168" t="s">
        <v>499</v>
      </c>
      <c r="O168" t="s">
        <v>122</v>
      </c>
      <c r="P168" t="s">
        <v>122</v>
      </c>
      <c r="Q168">
        <v>157860</v>
      </c>
      <c r="R168" t="s">
        <v>566</v>
      </c>
      <c r="S168" t="s">
        <v>567</v>
      </c>
      <c r="T168" t="s">
        <v>441</v>
      </c>
      <c r="U168" t="s">
        <v>503</v>
      </c>
    </row>
    <row r="169" spans="1:21" x14ac:dyDescent="0.25">
      <c r="A169" t="s">
        <v>127</v>
      </c>
      <c r="B169" t="s">
        <v>572</v>
      </c>
      <c r="C169">
        <v>157876</v>
      </c>
      <c r="D169" t="s">
        <v>573</v>
      </c>
      <c r="E169" t="s">
        <v>121</v>
      </c>
      <c r="F169" t="s">
        <v>520</v>
      </c>
      <c r="G169" t="s">
        <v>438</v>
      </c>
      <c r="H169" t="s">
        <v>122</v>
      </c>
      <c r="I169" t="s">
        <v>122</v>
      </c>
      <c r="J169" s="127">
        <v>46090.410416666666</v>
      </c>
      <c r="K169" s="127"/>
      <c r="L169" s="127"/>
      <c r="M169" s="127"/>
      <c r="N169" t="s">
        <v>499</v>
      </c>
      <c r="O169" t="s">
        <v>122</v>
      </c>
      <c r="P169" t="s">
        <v>122</v>
      </c>
      <c r="Q169">
        <v>157860</v>
      </c>
      <c r="R169" t="s">
        <v>566</v>
      </c>
      <c r="S169" t="s">
        <v>567</v>
      </c>
      <c r="T169" t="s">
        <v>441</v>
      </c>
      <c r="U169" t="s">
        <v>503</v>
      </c>
    </row>
    <row r="170" spans="1:21" x14ac:dyDescent="0.25">
      <c r="A170" t="s">
        <v>118</v>
      </c>
      <c r="B170" t="s">
        <v>574</v>
      </c>
      <c r="C170">
        <v>157603</v>
      </c>
      <c r="D170" t="s">
        <v>575</v>
      </c>
      <c r="E170" t="s">
        <v>121</v>
      </c>
      <c r="F170" t="s">
        <v>497</v>
      </c>
      <c r="G170" t="s">
        <v>498</v>
      </c>
      <c r="H170" t="s">
        <v>122</v>
      </c>
      <c r="I170" t="s">
        <v>122</v>
      </c>
      <c r="J170" s="127">
        <v>46087.331944444442</v>
      </c>
      <c r="K170" s="127"/>
      <c r="L170" s="127"/>
      <c r="M170" s="127"/>
      <c r="N170" t="s">
        <v>499</v>
      </c>
      <c r="O170" t="s">
        <v>122</v>
      </c>
      <c r="P170" t="s">
        <v>122</v>
      </c>
      <c r="Q170">
        <v>153412</v>
      </c>
      <c r="R170" t="s">
        <v>500</v>
      </c>
      <c r="S170" t="s">
        <v>501</v>
      </c>
      <c r="T170" t="s">
        <v>502</v>
      </c>
      <c r="U170" t="s">
        <v>503</v>
      </c>
    </row>
    <row r="171" spans="1:21" x14ac:dyDescent="0.25">
      <c r="A171" t="s">
        <v>118</v>
      </c>
      <c r="B171" t="s">
        <v>576</v>
      </c>
      <c r="C171">
        <v>157601</v>
      </c>
      <c r="D171" t="s">
        <v>577</v>
      </c>
      <c r="E171" t="s">
        <v>121</v>
      </c>
      <c r="F171" t="s">
        <v>497</v>
      </c>
      <c r="G171" t="s">
        <v>498</v>
      </c>
      <c r="H171" t="s">
        <v>122</v>
      </c>
      <c r="I171" t="s">
        <v>122</v>
      </c>
      <c r="J171" s="127">
        <v>46087.327777777777</v>
      </c>
      <c r="K171" s="127"/>
      <c r="L171" s="127"/>
      <c r="M171" s="127"/>
      <c r="N171" t="s">
        <v>499</v>
      </c>
      <c r="O171" t="s">
        <v>122</v>
      </c>
      <c r="P171" t="s">
        <v>122</v>
      </c>
      <c r="Q171">
        <v>153411</v>
      </c>
      <c r="R171" t="s">
        <v>578</v>
      </c>
      <c r="S171" t="s">
        <v>579</v>
      </c>
      <c r="T171" t="s">
        <v>502</v>
      </c>
      <c r="U171" t="s">
        <v>503</v>
      </c>
    </row>
    <row r="172" spans="1:21" x14ac:dyDescent="0.25">
      <c r="A172" t="s">
        <v>118</v>
      </c>
      <c r="B172" t="s">
        <v>580</v>
      </c>
      <c r="C172">
        <v>157567</v>
      </c>
      <c r="D172" t="s">
        <v>581</v>
      </c>
      <c r="E172" t="s">
        <v>121</v>
      </c>
      <c r="F172" t="s">
        <v>497</v>
      </c>
      <c r="G172" t="s">
        <v>498</v>
      </c>
      <c r="H172" t="s">
        <v>122</v>
      </c>
      <c r="I172" t="s">
        <v>122</v>
      </c>
      <c r="J172" s="127">
        <v>46087.299305555556</v>
      </c>
      <c r="K172" s="127"/>
      <c r="L172" s="127"/>
      <c r="M172" s="127"/>
      <c r="N172" t="s">
        <v>499</v>
      </c>
      <c r="O172" t="s">
        <v>122</v>
      </c>
      <c r="P172" t="s">
        <v>122</v>
      </c>
      <c r="R172" t="s">
        <v>122</v>
      </c>
      <c r="S172" t="s">
        <v>122</v>
      </c>
      <c r="T172" t="s">
        <v>502</v>
      </c>
      <c r="U172" t="s">
        <v>503</v>
      </c>
    </row>
    <row r="173" spans="1:21" x14ac:dyDescent="0.25">
      <c r="A173" t="s">
        <v>253</v>
      </c>
      <c r="B173" t="s">
        <v>582</v>
      </c>
      <c r="C173">
        <v>157445</v>
      </c>
      <c r="D173" t="s">
        <v>583</v>
      </c>
      <c r="E173" t="s">
        <v>266</v>
      </c>
      <c r="F173" t="s">
        <v>453</v>
      </c>
      <c r="G173" t="s">
        <v>74</v>
      </c>
      <c r="H173" t="s">
        <v>122</v>
      </c>
      <c r="I173" t="s">
        <v>122</v>
      </c>
      <c r="J173" s="127">
        <v>46086.680555555555</v>
      </c>
      <c r="K173" s="127">
        <v>46104</v>
      </c>
      <c r="L173" s="127">
        <v>46104</v>
      </c>
      <c r="M173" s="127"/>
      <c r="N173" t="s">
        <v>72</v>
      </c>
      <c r="O173" t="s">
        <v>122</v>
      </c>
      <c r="P173" t="s">
        <v>122</v>
      </c>
      <c r="Q173">
        <v>149148</v>
      </c>
      <c r="R173" t="s">
        <v>493</v>
      </c>
      <c r="S173" t="s">
        <v>494</v>
      </c>
      <c r="T173" t="s">
        <v>476</v>
      </c>
      <c r="U173" t="s">
        <v>126</v>
      </c>
    </row>
    <row r="174" spans="1:21" x14ac:dyDescent="0.25">
      <c r="A174" t="s">
        <v>118</v>
      </c>
      <c r="B174" t="s">
        <v>584</v>
      </c>
      <c r="C174">
        <v>157143</v>
      </c>
      <c r="D174" t="s">
        <v>585</v>
      </c>
      <c r="E174" t="s">
        <v>223</v>
      </c>
      <c r="F174" t="s">
        <v>122</v>
      </c>
      <c r="G174" t="s">
        <v>80</v>
      </c>
      <c r="H174" t="s">
        <v>122</v>
      </c>
      <c r="I174" t="s">
        <v>122</v>
      </c>
      <c r="J174" s="127">
        <v>46086.379861111112</v>
      </c>
      <c r="K174" s="127"/>
      <c r="L174" s="127"/>
      <c r="M174" s="127">
        <v>46100.775000000001</v>
      </c>
      <c r="N174" t="s">
        <v>75</v>
      </c>
      <c r="O174" t="s">
        <v>122</v>
      </c>
      <c r="P174" t="s">
        <v>122</v>
      </c>
      <c r="Q174">
        <v>70343</v>
      </c>
      <c r="R174" t="s">
        <v>586</v>
      </c>
      <c r="S174" t="s">
        <v>587</v>
      </c>
      <c r="T174" t="s">
        <v>471</v>
      </c>
      <c r="U174" t="s">
        <v>137</v>
      </c>
    </row>
    <row r="175" spans="1:21" x14ac:dyDescent="0.25">
      <c r="A175" t="s">
        <v>118</v>
      </c>
      <c r="B175" t="s">
        <v>588</v>
      </c>
      <c r="C175">
        <v>157031</v>
      </c>
      <c r="D175" t="s">
        <v>589</v>
      </c>
      <c r="E175" t="s">
        <v>266</v>
      </c>
      <c r="F175" t="s">
        <v>79</v>
      </c>
      <c r="G175" t="s">
        <v>80</v>
      </c>
      <c r="H175" t="s">
        <v>122</v>
      </c>
      <c r="I175" t="s">
        <v>122</v>
      </c>
      <c r="J175" s="127">
        <v>46085.750694444447</v>
      </c>
      <c r="K175" s="127">
        <v>46104.720138888886</v>
      </c>
      <c r="L175" s="127">
        <v>46104</v>
      </c>
      <c r="M175" s="127"/>
      <c r="N175" t="s">
        <v>75</v>
      </c>
      <c r="O175" t="s">
        <v>122</v>
      </c>
      <c r="P175" t="s">
        <v>122</v>
      </c>
      <c r="Q175">
        <v>151403</v>
      </c>
      <c r="R175" t="s">
        <v>590</v>
      </c>
      <c r="S175" t="s">
        <v>591</v>
      </c>
      <c r="T175" t="s">
        <v>471</v>
      </c>
      <c r="U175" t="s">
        <v>137</v>
      </c>
    </row>
    <row r="176" spans="1:21" x14ac:dyDescent="0.25">
      <c r="A176" t="s">
        <v>118</v>
      </c>
      <c r="B176" t="s">
        <v>592</v>
      </c>
      <c r="C176">
        <v>157029</v>
      </c>
      <c r="D176" t="s">
        <v>593</v>
      </c>
      <c r="E176" t="s">
        <v>266</v>
      </c>
      <c r="F176" t="s">
        <v>79</v>
      </c>
      <c r="G176" t="s">
        <v>80</v>
      </c>
      <c r="H176" t="s">
        <v>122</v>
      </c>
      <c r="I176" t="s">
        <v>122</v>
      </c>
      <c r="J176" s="127">
        <v>46085.748611111114</v>
      </c>
      <c r="K176" s="127">
        <v>46105.584027777775</v>
      </c>
      <c r="L176" s="127">
        <v>46105</v>
      </c>
      <c r="M176" s="127"/>
      <c r="N176" t="s">
        <v>75</v>
      </c>
      <c r="O176" t="s">
        <v>122</v>
      </c>
      <c r="P176" t="s">
        <v>122</v>
      </c>
      <c r="Q176">
        <v>148814</v>
      </c>
      <c r="R176" t="s">
        <v>594</v>
      </c>
      <c r="S176" t="s">
        <v>595</v>
      </c>
      <c r="T176" t="s">
        <v>471</v>
      </c>
      <c r="U176" t="s">
        <v>137</v>
      </c>
    </row>
    <row r="177" spans="1:21" x14ac:dyDescent="0.25">
      <c r="A177" t="s">
        <v>118</v>
      </c>
      <c r="B177" t="s">
        <v>596</v>
      </c>
      <c r="C177">
        <v>157027</v>
      </c>
      <c r="D177" t="s">
        <v>597</v>
      </c>
      <c r="E177" t="s">
        <v>266</v>
      </c>
      <c r="F177" t="s">
        <v>79</v>
      </c>
      <c r="G177" t="s">
        <v>80</v>
      </c>
      <c r="H177" t="s">
        <v>122</v>
      </c>
      <c r="I177" t="s">
        <v>122</v>
      </c>
      <c r="J177" s="127">
        <v>46085.747916666667</v>
      </c>
      <c r="K177" s="127">
        <v>46104.720833333333</v>
      </c>
      <c r="L177" s="127">
        <v>46105</v>
      </c>
      <c r="M177" s="127"/>
      <c r="N177" t="s">
        <v>75</v>
      </c>
      <c r="O177" t="s">
        <v>122</v>
      </c>
      <c r="P177" t="s">
        <v>122</v>
      </c>
      <c r="Q177">
        <v>148814</v>
      </c>
      <c r="R177" t="s">
        <v>594</v>
      </c>
      <c r="S177" t="s">
        <v>595</v>
      </c>
      <c r="T177" t="s">
        <v>471</v>
      </c>
      <c r="U177" t="s">
        <v>137</v>
      </c>
    </row>
    <row r="178" spans="1:21" x14ac:dyDescent="0.25">
      <c r="A178" t="s">
        <v>118</v>
      </c>
      <c r="B178" t="s">
        <v>598</v>
      </c>
      <c r="C178">
        <v>157020</v>
      </c>
      <c r="D178" t="s">
        <v>599</v>
      </c>
      <c r="E178" t="s">
        <v>600</v>
      </c>
      <c r="F178" t="s">
        <v>73</v>
      </c>
      <c r="G178" t="s">
        <v>74</v>
      </c>
      <c r="H178" t="s">
        <v>122</v>
      </c>
      <c r="I178" t="s">
        <v>122</v>
      </c>
      <c r="J178" s="127">
        <v>46085.723611111112</v>
      </c>
      <c r="K178" s="127">
        <v>46091.50277777778</v>
      </c>
      <c r="L178" s="127">
        <v>46091.50277777778</v>
      </c>
      <c r="M178" s="127"/>
      <c r="N178" t="s">
        <v>75</v>
      </c>
      <c r="O178" t="s">
        <v>122</v>
      </c>
      <c r="P178" t="s">
        <v>122</v>
      </c>
      <c r="Q178">
        <v>70450</v>
      </c>
      <c r="R178" t="s">
        <v>601</v>
      </c>
      <c r="S178" t="s">
        <v>602</v>
      </c>
      <c r="T178" t="s">
        <v>476</v>
      </c>
      <c r="U178" t="s">
        <v>137</v>
      </c>
    </row>
    <row r="179" spans="1:21" x14ac:dyDescent="0.25">
      <c r="A179" t="s">
        <v>118</v>
      </c>
      <c r="B179" t="s">
        <v>603</v>
      </c>
      <c r="C179">
        <v>156993</v>
      </c>
      <c r="D179" t="s">
        <v>604</v>
      </c>
      <c r="E179" t="s">
        <v>121</v>
      </c>
      <c r="F179" t="s">
        <v>497</v>
      </c>
      <c r="G179" t="s">
        <v>498</v>
      </c>
      <c r="H179" t="s">
        <v>122</v>
      </c>
      <c r="I179" t="s">
        <v>122</v>
      </c>
      <c r="J179" s="127">
        <v>46085.652777777781</v>
      </c>
      <c r="K179" s="127"/>
      <c r="L179" s="127"/>
      <c r="M179" s="127"/>
      <c r="N179" t="s">
        <v>499</v>
      </c>
      <c r="O179" t="s">
        <v>122</v>
      </c>
      <c r="P179" t="s">
        <v>122</v>
      </c>
      <c r="Q179">
        <v>159884</v>
      </c>
      <c r="R179" t="s">
        <v>605</v>
      </c>
      <c r="S179" t="s">
        <v>606</v>
      </c>
      <c r="T179" t="s">
        <v>502</v>
      </c>
      <c r="U179" t="s">
        <v>503</v>
      </c>
    </row>
    <row r="180" spans="1:21" x14ac:dyDescent="0.25">
      <c r="A180" t="s">
        <v>118</v>
      </c>
      <c r="B180" t="s">
        <v>607</v>
      </c>
      <c r="C180">
        <v>156987</v>
      </c>
      <c r="D180" t="s">
        <v>608</v>
      </c>
      <c r="E180" t="s">
        <v>121</v>
      </c>
      <c r="F180" t="s">
        <v>497</v>
      </c>
      <c r="G180" t="s">
        <v>498</v>
      </c>
      <c r="H180" t="s">
        <v>122</v>
      </c>
      <c r="I180" t="s">
        <v>122</v>
      </c>
      <c r="J180" s="127">
        <v>46085.645833333336</v>
      </c>
      <c r="K180" s="127"/>
      <c r="L180" s="127"/>
      <c r="M180" s="127"/>
      <c r="N180" t="s">
        <v>499</v>
      </c>
      <c r="O180" t="s">
        <v>122</v>
      </c>
      <c r="P180" t="s">
        <v>122</v>
      </c>
      <c r="Q180">
        <v>153412</v>
      </c>
      <c r="R180" t="s">
        <v>500</v>
      </c>
      <c r="S180" t="s">
        <v>501</v>
      </c>
      <c r="T180" t="s">
        <v>502</v>
      </c>
      <c r="U180" t="s">
        <v>503</v>
      </c>
    </row>
    <row r="181" spans="1:21" x14ac:dyDescent="0.25">
      <c r="A181" t="s">
        <v>118</v>
      </c>
      <c r="B181" t="s">
        <v>609</v>
      </c>
      <c r="C181">
        <v>156983</v>
      </c>
      <c r="D181" t="s">
        <v>610</v>
      </c>
      <c r="E181" t="s">
        <v>121</v>
      </c>
      <c r="F181" t="s">
        <v>497</v>
      </c>
      <c r="G181" t="s">
        <v>498</v>
      </c>
      <c r="H181" t="s">
        <v>122</v>
      </c>
      <c r="I181" t="s">
        <v>122</v>
      </c>
      <c r="J181" s="127">
        <v>46085.643055555556</v>
      </c>
      <c r="K181" s="127"/>
      <c r="L181" s="127"/>
      <c r="M181" s="127"/>
      <c r="N181" t="s">
        <v>499</v>
      </c>
      <c r="O181" t="s">
        <v>122</v>
      </c>
      <c r="P181" t="s">
        <v>122</v>
      </c>
      <c r="Q181">
        <v>153412</v>
      </c>
      <c r="R181" t="s">
        <v>500</v>
      </c>
      <c r="S181" t="s">
        <v>501</v>
      </c>
      <c r="T181" t="s">
        <v>502</v>
      </c>
      <c r="U181" t="s">
        <v>503</v>
      </c>
    </row>
    <row r="182" spans="1:21" x14ac:dyDescent="0.25">
      <c r="A182" t="s">
        <v>118</v>
      </c>
      <c r="B182" t="s">
        <v>611</v>
      </c>
      <c r="C182">
        <v>156981</v>
      </c>
      <c r="D182" t="s">
        <v>612</v>
      </c>
      <c r="E182" t="s">
        <v>121</v>
      </c>
      <c r="F182" t="s">
        <v>497</v>
      </c>
      <c r="G182" t="s">
        <v>498</v>
      </c>
      <c r="H182" t="s">
        <v>122</v>
      </c>
      <c r="I182" t="s">
        <v>122</v>
      </c>
      <c r="J182" s="127">
        <v>46085.64166666667</v>
      </c>
      <c r="K182" s="127"/>
      <c r="L182" s="127"/>
      <c r="M182" s="127"/>
      <c r="N182" t="s">
        <v>499</v>
      </c>
      <c r="O182" t="s">
        <v>122</v>
      </c>
      <c r="P182" t="s">
        <v>122</v>
      </c>
      <c r="Q182">
        <v>153412</v>
      </c>
      <c r="R182" t="s">
        <v>500</v>
      </c>
      <c r="S182" t="s">
        <v>501</v>
      </c>
      <c r="T182" t="s">
        <v>502</v>
      </c>
      <c r="U182" t="s">
        <v>503</v>
      </c>
    </row>
    <row r="183" spans="1:21" x14ac:dyDescent="0.25">
      <c r="A183" t="s">
        <v>118</v>
      </c>
      <c r="B183" t="s">
        <v>613</v>
      </c>
      <c r="C183">
        <v>156979</v>
      </c>
      <c r="D183" t="s">
        <v>614</v>
      </c>
      <c r="E183" t="s">
        <v>121</v>
      </c>
      <c r="F183" t="s">
        <v>497</v>
      </c>
      <c r="G183" t="s">
        <v>498</v>
      </c>
      <c r="H183" t="s">
        <v>122</v>
      </c>
      <c r="I183" t="s">
        <v>122</v>
      </c>
      <c r="J183" s="127">
        <v>46085.634027777778</v>
      </c>
      <c r="K183" s="127"/>
      <c r="L183" s="127"/>
      <c r="M183" s="127"/>
      <c r="N183" t="s">
        <v>499</v>
      </c>
      <c r="O183" t="s">
        <v>122</v>
      </c>
      <c r="P183" t="s">
        <v>122</v>
      </c>
      <c r="Q183">
        <v>153502</v>
      </c>
      <c r="R183" t="s">
        <v>615</v>
      </c>
      <c r="S183" t="s">
        <v>616</v>
      </c>
      <c r="T183" t="s">
        <v>502</v>
      </c>
      <c r="U183" t="s">
        <v>503</v>
      </c>
    </row>
    <row r="184" spans="1:21" x14ac:dyDescent="0.25">
      <c r="A184" t="s">
        <v>118</v>
      </c>
      <c r="B184" t="s">
        <v>617</v>
      </c>
      <c r="C184">
        <v>156967</v>
      </c>
      <c r="D184" t="s">
        <v>618</v>
      </c>
      <c r="E184" t="s">
        <v>121</v>
      </c>
      <c r="F184" t="s">
        <v>497</v>
      </c>
      <c r="G184" t="s">
        <v>498</v>
      </c>
      <c r="H184" t="s">
        <v>122</v>
      </c>
      <c r="I184" t="s">
        <v>122</v>
      </c>
      <c r="J184" s="127">
        <v>46085.629861111112</v>
      </c>
      <c r="K184" s="127"/>
      <c r="L184" s="127"/>
      <c r="M184" s="127"/>
      <c r="N184" t="s">
        <v>499</v>
      </c>
      <c r="O184" t="s">
        <v>122</v>
      </c>
      <c r="P184" t="s">
        <v>122</v>
      </c>
      <c r="Q184">
        <v>156876</v>
      </c>
      <c r="R184" t="s">
        <v>619</v>
      </c>
      <c r="S184" t="s">
        <v>620</v>
      </c>
      <c r="T184" t="s">
        <v>502</v>
      </c>
      <c r="U184" t="s">
        <v>503</v>
      </c>
    </row>
    <row r="185" spans="1:21" x14ac:dyDescent="0.25">
      <c r="A185" t="s">
        <v>118</v>
      </c>
      <c r="B185" t="s">
        <v>621</v>
      </c>
      <c r="C185">
        <v>156963</v>
      </c>
      <c r="D185" t="s">
        <v>622</v>
      </c>
      <c r="E185" t="s">
        <v>121</v>
      </c>
      <c r="F185" t="s">
        <v>497</v>
      </c>
      <c r="G185" t="s">
        <v>498</v>
      </c>
      <c r="H185" t="s">
        <v>122</v>
      </c>
      <c r="I185" t="s">
        <v>122</v>
      </c>
      <c r="J185" s="127">
        <v>46085.62777777778</v>
      </c>
      <c r="K185" s="127"/>
      <c r="L185" s="127"/>
      <c r="M185" s="127"/>
      <c r="N185" t="s">
        <v>499</v>
      </c>
      <c r="O185" t="s">
        <v>122</v>
      </c>
      <c r="P185" t="s">
        <v>122</v>
      </c>
      <c r="Q185">
        <v>156876</v>
      </c>
      <c r="R185" t="s">
        <v>619</v>
      </c>
      <c r="S185" t="s">
        <v>620</v>
      </c>
      <c r="T185" t="s">
        <v>502</v>
      </c>
      <c r="U185" t="s">
        <v>503</v>
      </c>
    </row>
    <row r="186" spans="1:21" x14ac:dyDescent="0.25">
      <c r="A186" t="s">
        <v>118</v>
      </c>
      <c r="B186" t="s">
        <v>623</v>
      </c>
      <c r="C186">
        <v>156957</v>
      </c>
      <c r="D186" t="s">
        <v>624</v>
      </c>
      <c r="E186" t="s">
        <v>121</v>
      </c>
      <c r="F186" t="s">
        <v>122</v>
      </c>
      <c r="G186" t="s">
        <v>80</v>
      </c>
      <c r="H186" t="s">
        <v>122</v>
      </c>
      <c r="I186" t="s">
        <v>122</v>
      </c>
      <c r="J186" s="127">
        <v>46085.625</v>
      </c>
      <c r="K186" s="127"/>
      <c r="L186" s="127"/>
      <c r="M186" s="127"/>
      <c r="N186" t="s">
        <v>75</v>
      </c>
      <c r="O186" t="s">
        <v>122</v>
      </c>
      <c r="P186" t="s">
        <v>122</v>
      </c>
      <c r="Q186">
        <v>148808</v>
      </c>
      <c r="R186" t="s">
        <v>625</v>
      </c>
      <c r="S186" t="s">
        <v>626</v>
      </c>
      <c r="T186" t="s">
        <v>471</v>
      </c>
      <c r="U186" t="s">
        <v>137</v>
      </c>
    </row>
    <row r="187" spans="1:21" x14ac:dyDescent="0.25">
      <c r="A187" t="s">
        <v>118</v>
      </c>
      <c r="B187" t="s">
        <v>627</v>
      </c>
      <c r="C187">
        <v>156955</v>
      </c>
      <c r="D187" t="s">
        <v>628</v>
      </c>
      <c r="E187" t="s">
        <v>223</v>
      </c>
      <c r="F187" t="s">
        <v>122</v>
      </c>
      <c r="G187" t="s">
        <v>80</v>
      </c>
      <c r="H187" t="s">
        <v>122</v>
      </c>
      <c r="I187" t="s">
        <v>122</v>
      </c>
      <c r="J187" s="127">
        <v>46085.623611111114</v>
      </c>
      <c r="K187" s="127"/>
      <c r="L187" s="127"/>
      <c r="M187" s="127">
        <v>46100.775000000001</v>
      </c>
      <c r="N187" t="s">
        <v>75</v>
      </c>
      <c r="O187" t="s">
        <v>122</v>
      </c>
      <c r="P187" t="s">
        <v>122</v>
      </c>
      <c r="Q187">
        <v>70343</v>
      </c>
      <c r="R187" t="s">
        <v>586</v>
      </c>
      <c r="S187" t="s">
        <v>587</v>
      </c>
      <c r="T187" t="s">
        <v>471</v>
      </c>
      <c r="U187" t="s">
        <v>137</v>
      </c>
    </row>
    <row r="188" spans="1:21" x14ac:dyDescent="0.25">
      <c r="A188" t="s">
        <v>118</v>
      </c>
      <c r="B188" t="s">
        <v>629</v>
      </c>
      <c r="C188">
        <v>156953</v>
      </c>
      <c r="D188" t="s">
        <v>630</v>
      </c>
      <c r="E188" t="s">
        <v>223</v>
      </c>
      <c r="F188" t="s">
        <v>122</v>
      </c>
      <c r="G188" t="s">
        <v>80</v>
      </c>
      <c r="H188" t="s">
        <v>122</v>
      </c>
      <c r="I188" t="s">
        <v>122</v>
      </c>
      <c r="J188" s="127">
        <v>46085.622916666667</v>
      </c>
      <c r="K188" s="127"/>
      <c r="L188" s="127"/>
      <c r="M188" s="127">
        <v>46100.775000000001</v>
      </c>
      <c r="N188" t="s">
        <v>75</v>
      </c>
      <c r="O188" t="s">
        <v>122</v>
      </c>
      <c r="P188" t="s">
        <v>122</v>
      </c>
      <c r="Q188">
        <v>70343</v>
      </c>
      <c r="R188" t="s">
        <v>586</v>
      </c>
      <c r="S188" t="s">
        <v>587</v>
      </c>
      <c r="T188" t="s">
        <v>471</v>
      </c>
      <c r="U188" t="s">
        <v>137</v>
      </c>
    </row>
    <row r="189" spans="1:21" x14ac:dyDescent="0.25">
      <c r="A189" t="s">
        <v>118</v>
      </c>
      <c r="B189" t="s">
        <v>631</v>
      </c>
      <c r="C189">
        <v>156883</v>
      </c>
      <c r="D189" t="s">
        <v>632</v>
      </c>
      <c r="E189" t="s">
        <v>121</v>
      </c>
      <c r="F189" t="s">
        <v>497</v>
      </c>
      <c r="G189" t="s">
        <v>498</v>
      </c>
      <c r="H189" t="s">
        <v>122</v>
      </c>
      <c r="I189" t="s">
        <v>122</v>
      </c>
      <c r="J189" s="127">
        <v>46085.583333333336</v>
      </c>
      <c r="K189" s="127"/>
      <c r="L189" s="127"/>
      <c r="M189" s="127"/>
      <c r="N189" t="s">
        <v>499</v>
      </c>
      <c r="O189" t="s">
        <v>122</v>
      </c>
      <c r="P189" t="s">
        <v>122</v>
      </c>
      <c r="Q189">
        <v>156876</v>
      </c>
      <c r="R189" t="s">
        <v>619</v>
      </c>
      <c r="S189" t="s">
        <v>620</v>
      </c>
      <c r="T189" t="s">
        <v>502</v>
      </c>
      <c r="U189" t="s">
        <v>503</v>
      </c>
    </row>
    <row r="190" spans="1:21" x14ac:dyDescent="0.25">
      <c r="A190" t="s">
        <v>118</v>
      </c>
      <c r="B190" t="s">
        <v>633</v>
      </c>
      <c r="C190">
        <v>156880</v>
      </c>
      <c r="D190" t="s">
        <v>634</v>
      </c>
      <c r="E190" t="s">
        <v>121</v>
      </c>
      <c r="F190" t="s">
        <v>497</v>
      </c>
      <c r="G190" t="s">
        <v>498</v>
      </c>
      <c r="H190" t="s">
        <v>122</v>
      </c>
      <c r="I190" t="s">
        <v>122</v>
      </c>
      <c r="J190" s="127">
        <v>46085.579861111109</v>
      </c>
      <c r="K190" s="127"/>
      <c r="L190" s="127"/>
      <c r="M190" s="127"/>
      <c r="N190" t="s">
        <v>499</v>
      </c>
      <c r="O190" t="s">
        <v>122</v>
      </c>
      <c r="P190" t="s">
        <v>122</v>
      </c>
      <c r="Q190">
        <v>156876</v>
      </c>
      <c r="R190" t="s">
        <v>619</v>
      </c>
      <c r="S190" t="s">
        <v>620</v>
      </c>
      <c r="T190" t="s">
        <v>502</v>
      </c>
      <c r="U190" t="s">
        <v>503</v>
      </c>
    </row>
    <row r="191" spans="1:21" x14ac:dyDescent="0.25">
      <c r="A191" t="s">
        <v>118</v>
      </c>
      <c r="B191" t="s">
        <v>635</v>
      </c>
      <c r="C191">
        <v>156873</v>
      </c>
      <c r="D191" t="s">
        <v>636</v>
      </c>
      <c r="E191" t="s">
        <v>121</v>
      </c>
      <c r="F191" t="s">
        <v>497</v>
      </c>
      <c r="G191" t="s">
        <v>498</v>
      </c>
      <c r="H191" t="s">
        <v>122</v>
      </c>
      <c r="I191" t="s">
        <v>122</v>
      </c>
      <c r="J191" s="127">
        <v>46085.573611111111</v>
      </c>
      <c r="K191" s="127"/>
      <c r="L191" s="127"/>
      <c r="M191" s="127"/>
      <c r="N191" t="s">
        <v>499</v>
      </c>
      <c r="O191" t="s">
        <v>122</v>
      </c>
      <c r="P191" t="s">
        <v>122</v>
      </c>
      <c r="Q191">
        <v>154077</v>
      </c>
      <c r="R191" t="s">
        <v>637</v>
      </c>
      <c r="S191" t="s">
        <v>638</v>
      </c>
      <c r="T191" t="s">
        <v>502</v>
      </c>
      <c r="U191" t="s">
        <v>503</v>
      </c>
    </row>
    <row r="192" spans="1:21" x14ac:dyDescent="0.25">
      <c r="A192" t="s">
        <v>118</v>
      </c>
      <c r="B192" t="s">
        <v>639</v>
      </c>
      <c r="C192">
        <v>156871</v>
      </c>
      <c r="D192" t="s">
        <v>640</v>
      </c>
      <c r="E192" t="s">
        <v>121</v>
      </c>
      <c r="F192" t="s">
        <v>497</v>
      </c>
      <c r="G192" t="s">
        <v>498</v>
      </c>
      <c r="H192" t="s">
        <v>122</v>
      </c>
      <c r="I192" t="s">
        <v>122</v>
      </c>
      <c r="J192" s="127">
        <v>46085.571527777778</v>
      </c>
      <c r="K192" s="127"/>
      <c r="L192" s="127"/>
      <c r="M192" s="127"/>
      <c r="N192" t="s">
        <v>499</v>
      </c>
      <c r="O192" t="s">
        <v>122</v>
      </c>
      <c r="P192" t="s">
        <v>122</v>
      </c>
      <c r="Q192">
        <v>154077</v>
      </c>
      <c r="R192" t="s">
        <v>637</v>
      </c>
      <c r="S192" t="s">
        <v>638</v>
      </c>
      <c r="T192" t="s">
        <v>502</v>
      </c>
      <c r="U192" t="s">
        <v>503</v>
      </c>
    </row>
    <row r="193" spans="1:21" x14ac:dyDescent="0.25">
      <c r="A193" t="s">
        <v>118</v>
      </c>
      <c r="B193" t="s">
        <v>641</v>
      </c>
      <c r="C193">
        <v>156867</v>
      </c>
      <c r="D193" t="s">
        <v>642</v>
      </c>
      <c r="E193" t="s">
        <v>121</v>
      </c>
      <c r="F193" t="s">
        <v>497</v>
      </c>
      <c r="G193" t="s">
        <v>498</v>
      </c>
      <c r="H193" t="s">
        <v>122</v>
      </c>
      <c r="I193" t="s">
        <v>122</v>
      </c>
      <c r="J193" s="127">
        <v>46085.570138888892</v>
      </c>
      <c r="K193" s="127"/>
      <c r="L193" s="127"/>
      <c r="M193" s="127"/>
      <c r="N193" t="s">
        <v>499</v>
      </c>
      <c r="O193" t="s">
        <v>122</v>
      </c>
      <c r="P193" t="s">
        <v>122</v>
      </c>
      <c r="Q193">
        <v>156876</v>
      </c>
      <c r="R193" t="s">
        <v>619</v>
      </c>
      <c r="S193" t="s">
        <v>620</v>
      </c>
      <c r="T193" t="s">
        <v>502</v>
      </c>
      <c r="U193" t="s">
        <v>503</v>
      </c>
    </row>
    <row r="194" spans="1:21" x14ac:dyDescent="0.25">
      <c r="A194" t="s">
        <v>118</v>
      </c>
      <c r="B194" t="s">
        <v>643</v>
      </c>
      <c r="C194">
        <v>156740</v>
      </c>
      <c r="D194" t="s">
        <v>644</v>
      </c>
      <c r="E194" t="s">
        <v>266</v>
      </c>
      <c r="F194" t="s">
        <v>497</v>
      </c>
      <c r="G194" t="s">
        <v>498</v>
      </c>
      <c r="H194" t="s">
        <v>122</v>
      </c>
      <c r="I194" t="s">
        <v>122</v>
      </c>
      <c r="J194" s="127">
        <v>46085.32916666667</v>
      </c>
      <c r="K194" s="127">
        <v>46104.530555555553</v>
      </c>
      <c r="L194" s="127">
        <v>46104</v>
      </c>
      <c r="M194" s="127"/>
      <c r="N194" t="s">
        <v>499</v>
      </c>
      <c r="O194" t="s">
        <v>122</v>
      </c>
      <c r="P194" t="s">
        <v>122</v>
      </c>
      <c r="Q194">
        <v>153411</v>
      </c>
      <c r="R194" t="s">
        <v>578</v>
      </c>
      <c r="S194" t="s">
        <v>579</v>
      </c>
      <c r="T194" t="s">
        <v>502</v>
      </c>
      <c r="U194" t="s">
        <v>503</v>
      </c>
    </row>
    <row r="195" spans="1:21" x14ac:dyDescent="0.25">
      <c r="A195" t="s">
        <v>118</v>
      </c>
      <c r="B195" t="s">
        <v>645</v>
      </c>
      <c r="C195">
        <v>156736</v>
      </c>
      <c r="D195" t="s">
        <v>646</v>
      </c>
      <c r="E195" t="s">
        <v>121</v>
      </c>
      <c r="F195" t="s">
        <v>497</v>
      </c>
      <c r="G195" t="s">
        <v>498</v>
      </c>
      <c r="H195" t="s">
        <v>122</v>
      </c>
      <c r="I195" t="s">
        <v>122</v>
      </c>
      <c r="J195" s="127">
        <v>46085.323611111111</v>
      </c>
      <c r="K195" s="127"/>
      <c r="L195" s="127"/>
      <c r="M195" s="127"/>
      <c r="N195" t="s">
        <v>499</v>
      </c>
      <c r="O195" t="s">
        <v>122</v>
      </c>
      <c r="P195" t="s">
        <v>122</v>
      </c>
      <c r="Q195">
        <v>153412</v>
      </c>
      <c r="R195" t="s">
        <v>500</v>
      </c>
      <c r="S195" t="s">
        <v>501</v>
      </c>
      <c r="T195" t="s">
        <v>502</v>
      </c>
      <c r="U195" t="s">
        <v>503</v>
      </c>
    </row>
    <row r="196" spans="1:21" x14ac:dyDescent="0.25">
      <c r="A196" t="s">
        <v>118</v>
      </c>
      <c r="B196" t="s">
        <v>647</v>
      </c>
      <c r="C196">
        <v>156734</v>
      </c>
      <c r="D196" t="s">
        <v>648</v>
      </c>
      <c r="E196" t="s">
        <v>121</v>
      </c>
      <c r="F196" t="s">
        <v>497</v>
      </c>
      <c r="G196" t="s">
        <v>498</v>
      </c>
      <c r="H196" t="s">
        <v>122</v>
      </c>
      <c r="I196" t="s">
        <v>122</v>
      </c>
      <c r="J196" s="127">
        <v>46085.321527777778</v>
      </c>
      <c r="K196" s="127"/>
      <c r="L196" s="127"/>
      <c r="M196" s="127"/>
      <c r="N196" t="s">
        <v>499</v>
      </c>
      <c r="O196" t="s">
        <v>122</v>
      </c>
      <c r="P196" t="s">
        <v>122</v>
      </c>
      <c r="Q196">
        <v>160616</v>
      </c>
      <c r="R196" t="s">
        <v>649</v>
      </c>
      <c r="S196" t="s">
        <v>650</v>
      </c>
      <c r="T196" t="s">
        <v>502</v>
      </c>
      <c r="U196" t="s">
        <v>503</v>
      </c>
    </row>
    <row r="197" spans="1:21" x14ac:dyDescent="0.25">
      <c r="A197" t="s">
        <v>118</v>
      </c>
      <c r="B197" t="s">
        <v>651</v>
      </c>
      <c r="C197">
        <v>156732</v>
      </c>
      <c r="D197" t="s">
        <v>652</v>
      </c>
      <c r="E197" t="s">
        <v>121</v>
      </c>
      <c r="F197" t="s">
        <v>497</v>
      </c>
      <c r="G197" t="s">
        <v>498</v>
      </c>
      <c r="H197" t="s">
        <v>122</v>
      </c>
      <c r="I197" t="s">
        <v>122</v>
      </c>
      <c r="J197" s="127">
        <v>46085.320138888892</v>
      </c>
      <c r="K197" s="127"/>
      <c r="L197" s="127"/>
      <c r="M197" s="127"/>
      <c r="N197" t="s">
        <v>499</v>
      </c>
      <c r="O197" t="s">
        <v>122</v>
      </c>
      <c r="P197" t="s">
        <v>122</v>
      </c>
      <c r="Q197">
        <v>160616</v>
      </c>
      <c r="R197" t="s">
        <v>649</v>
      </c>
      <c r="S197" t="s">
        <v>650</v>
      </c>
      <c r="T197" t="s">
        <v>502</v>
      </c>
      <c r="U197" t="s">
        <v>503</v>
      </c>
    </row>
    <row r="198" spans="1:21" x14ac:dyDescent="0.25">
      <c r="A198" t="s">
        <v>118</v>
      </c>
      <c r="B198" t="s">
        <v>653</v>
      </c>
      <c r="C198">
        <v>156730</v>
      </c>
      <c r="D198" t="s">
        <v>654</v>
      </c>
      <c r="E198" t="s">
        <v>121</v>
      </c>
      <c r="F198" t="s">
        <v>497</v>
      </c>
      <c r="G198" t="s">
        <v>498</v>
      </c>
      <c r="H198" t="s">
        <v>122</v>
      </c>
      <c r="I198" t="s">
        <v>122</v>
      </c>
      <c r="J198" s="127">
        <v>46085.316666666666</v>
      </c>
      <c r="K198" s="127"/>
      <c r="L198" s="127"/>
      <c r="M198" s="127"/>
      <c r="N198" t="s">
        <v>499</v>
      </c>
      <c r="O198" t="s">
        <v>122</v>
      </c>
      <c r="P198" t="s">
        <v>122</v>
      </c>
      <c r="Q198">
        <v>159884</v>
      </c>
      <c r="R198" t="s">
        <v>605</v>
      </c>
      <c r="S198" t="s">
        <v>606</v>
      </c>
      <c r="T198" t="s">
        <v>502</v>
      </c>
      <c r="U198" t="s">
        <v>503</v>
      </c>
    </row>
    <row r="199" spans="1:21" x14ac:dyDescent="0.25">
      <c r="A199" t="s">
        <v>118</v>
      </c>
      <c r="B199" t="s">
        <v>655</v>
      </c>
      <c r="C199">
        <v>156728</v>
      </c>
      <c r="D199" t="s">
        <v>656</v>
      </c>
      <c r="E199" t="s">
        <v>121</v>
      </c>
      <c r="F199" t="s">
        <v>497</v>
      </c>
      <c r="G199" t="s">
        <v>498</v>
      </c>
      <c r="H199" t="s">
        <v>122</v>
      </c>
      <c r="I199" t="s">
        <v>122</v>
      </c>
      <c r="J199" s="127">
        <v>46085.314583333333</v>
      </c>
      <c r="K199" s="127"/>
      <c r="L199" s="127"/>
      <c r="M199" s="127"/>
      <c r="N199" t="s">
        <v>499</v>
      </c>
      <c r="O199" t="s">
        <v>122</v>
      </c>
      <c r="P199" t="s">
        <v>122</v>
      </c>
      <c r="Q199">
        <v>153502</v>
      </c>
      <c r="R199" t="s">
        <v>615</v>
      </c>
      <c r="S199" t="s">
        <v>616</v>
      </c>
      <c r="T199" t="s">
        <v>502</v>
      </c>
      <c r="U199" t="s">
        <v>503</v>
      </c>
    </row>
    <row r="200" spans="1:21" x14ac:dyDescent="0.25">
      <c r="A200" t="s">
        <v>118</v>
      </c>
      <c r="B200" t="s">
        <v>657</v>
      </c>
      <c r="C200">
        <v>156726</v>
      </c>
      <c r="D200" t="s">
        <v>658</v>
      </c>
      <c r="E200" t="s">
        <v>121</v>
      </c>
      <c r="F200" t="s">
        <v>497</v>
      </c>
      <c r="G200" t="s">
        <v>498</v>
      </c>
      <c r="H200" t="s">
        <v>122</v>
      </c>
      <c r="I200" t="s">
        <v>122</v>
      </c>
      <c r="J200" s="127">
        <v>46085.3125</v>
      </c>
      <c r="K200" s="127"/>
      <c r="L200" s="127"/>
      <c r="M200" s="127"/>
      <c r="N200" t="s">
        <v>499</v>
      </c>
      <c r="O200" t="s">
        <v>122</v>
      </c>
      <c r="P200" t="s">
        <v>122</v>
      </c>
      <c r="Q200">
        <v>153412</v>
      </c>
      <c r="R200" t="s">
        <v>500</v>
      </c>
      <c r="S200" t="s">
        <v>501</v>
      </c>
      <c r="T200" t="s">
        <v>502</v>
      </c>
      <c r="U200" t="s">
        <v>503</v>
      </c>
    </row>
    <row r="201" spans="1:21" x14ac:dyDescent="0.25">
      <c r="A201" t="s">
        <v>118</v>
      </c>
      <c r="B201" t="s">
        <v>659</v>
      </c>
      <c r="C201">
        <v>156724</v>
      </c>
      <c r="D201" t="s">
        <v>660</v>
      </c>
      <c r="E201" t="s">
        <v>121</v>
      </c>
      <c r="F201" t="s">
        <v>497</v>
      </c>
      <c r="G201" t="s">
        <v>498</v>
      </c>
      <c r="H201" t="s">
        <v>122</v>
      </c>
      <c r="I201" t="s">
        <v>122</v>
      </c>
      <c r="J201" s="127">
        <v>46085.310416666667</v>
      </c>
      <c r="K201" s="127"/>
      <c r="L201" s="127"/>
      <c r="M201" s="127"/>
      <c r="N201" t="s">
        <v>499</v>
      </c>
      <c r="O201" t="s">
        <v>122</v>
      </c>
      <c r="P201" t="s">
        <v>122</v>
      </c>
      <c r="Q201">
        <v>153502</v>
      </c>
      <c r="R201" t="s">
        <v>615</v>
      </c>
      <c r="S201" t="s">
        <v>616</v>
      </c>
      <c r="T201" t="s">
        <v>502</v>
      </c>
      <c r="U201" t="s">
        <v>503</v>
      </c>
    </row>
    <row r="202" spans="1:21" x14ac:dyDescent="0.25">
      <c r="A202" t="s">
        <v>118</v>
      </c>
      <c r="B202" t="s">
        <v>661</v>
      </c>
      <c r="C202">
        <v>156722</v>
      </c>
      <c r="D202" t="s">
        <v>662</v>
      </c>
      <c r="E202" t="s">
        <v>121</v>
      </c>
      <c r="F202" t="s">
        <v>497</v>
      </c>
      <c r="G202" t="s">
        <v>498</v>
      </c>
      <c r="H202" t="s">
        <v>122</v>
      </c>
      <c r="I202" t="s">
        <v>122</v>
      </c>
      <c r="J202" s="127">
        <v>46085.309027777781</v>
      </c>
      <c r="K202" s="127"/>
      <c r="L202" s="127"/>
      <c r="M202" s="127"/>
      <c r="N202" t="s">
        <v>499</v>
      </c>
      <c r="O202" t="s">
        <v>122</v>
      </c>
      <c r="P202" t="s">
        <v>122</v>
      </c>
      <c r="Q202">
        <v>153502</v>
      </c>
      <c r="R202" t="s">
        <v>615</v>
      </c>
      <c r="S202" t="s">
        <v>616</v>
      </c>
      <c r="T202" t="s">
        <v>502</v>
      </c>
      <c r="U202" t="s">
        <v>503</v>
      </c>
    </row>
    <row r="203" spans="1:21" x14ac:dyDescent="0.25">
      <c r="A203" t="s">
        <v>118</v>
      </c>
      <c r="B203" t="s">
        <v>663</v>
      </c>
      <c r="C203">
        <v>156720</v>
      </c>
      <c r="D203" t="s">
        <v>664</v>
      </c>
      <c r="E203" t="s">
        <v>266</v>
      </c>
      <c r="F203" t="s">
        <v>497</v>
      </c>
      <c r="G203" t="s">
        <v>498</v>
      </c>
      <c r="H203" t="s">
        <v>122</v>
      </c>
      <c r="I203" t="s">
        <v>122</v>
      </c>
      <c r="J203" s="127">
        <v>46085.304861111108</v>
      </c>
      <c r="K203" s="127">
        <v>46104.545138888891</v>
      </c>
      <c r="L203" s="127">
        <v>46104</v>
      </c>
      <c r="M203" s="127"/>
      <c r="N203" t="s">
        <v>499</v>
      </c>
      <c r="O203" t="s">
        <v>122</v>
      </c>
      <c r="P203" t="s">
        <v>122</v>
      </c>
      <c r="Q203">
        <v>153412</v>
      </c>
      <c r="R203" t="s">
        <v>500</v>
      </c>
      <c r="S203" t="s">
        <v>501</v>
      </c>
      <c r="T203" t="s">
        <v>502</v>
      </c>
      <c r="U203" t="s">
        <v>503</v>
      </c>
    </row>
    <row r="204" spans="1:21" x14ac:dyDescent="0.25">
      <c r="A204" t="s">
        <v>118</v>
      </c>
      <c r="B204" t="s">
        <v>665</v>
      </c>
      <c r="C204">
        <v>156665</v>
      </c>
      <c r="D204" t="s">
        <v>666</v>
      </c>
      <c r="E204" t="s">
        <v>130</v>
      </c>
      <c r="F204" t="s">
        <v>79</v>
      </c>
      <c r="G204" t="s">
        <v>80</v>
      </c>
      <c r="H204" t="s">
        <v>122</v>
      </c>
      <c r="I204" t="s">
        <v>122</v>
      </c>
      <c r="J204" s="127">
        <v>46084.712500000001</v>
      </c>
      <c r="K204" s="127">
        <v>46084</v>
      </c>
      <c r="L204" s="127">
        <v>46086</v>
      </c>
      <c r="M204" s="127">
        <v>46101.717361111114</v>
      </c>
      <c r="N204" t="s">
        <v>75</v>
      </c>
      <c r="O204" t="s">
        <v>122</v>
      </c>
      <c r="P204" t="s">
        <v>122</v>
      </c>
      <c r="Q204">
        <v>156588</v>
      </c>
      <c r="R204" t="s">
        <v>489</v>
      </c>
      <c r="S204" t="s">
        <v>490</v>
      </c>
      <c r="T204" t="s">
        <v>471</v>
      </c>
      <c r="U204" t="s">
        <v>137</v>
      </c>
    </row>
    <row r="205" spans="1:21" x14ac:dyDescent="0.25">
      <c r="A205" t="s">
        <v>118</v>
      </c>
      <c r="B205" t="s">
        <v>667</v>
      </c>
      <c r="C205">
        <v>156552</v>
      </c>
      <c r="D205" t="s">
        <v>668</v>
      </c>
      <c r="E205" t="s">
        <v>121</v>
      </c>
      <c r="F205" t="s">
        <v>73</v>
      </c>
      <c r="G205" t="s">
        <v>74</v>
      </c>
      <c r="H205" t="s">
        <v>122</v>
      </c>
      <c r="I205" t="s">
        <v>122</v>
      </c>
      <c r="J205" s="127">
        <v>46084.493055555555</v>
      </c>
      <c r="K205" s="127"/>
      <c r="L205" s="127"/>
      <c r="M205" s="127"/>
      <c r="N205" t="s">
        <v>78</v>
      </c>
      <c r="O205" t="s">
        <v>122</v>
      </c>
      <c r="P205" t="s">
        <v>122</v>
      </c>
      <c r="Q205">
        <v>156544</v>
      </c>
      <c r="R205" t="s">
        <v>669</v>
      </c>
      <c r="S205" t="s">
        <v>668</v>
      </c>
      <c r="T205" t="s">
        <v>476</v>
      </c>
      <c r="U205" t="s">
        <v>462</v>
      </c>
    </row>
    <row r="206" spans="1:21" x14ac:dyDescent="0.25">
      <c r="A206" t="s">
        <v>118</v>
      </c>
      <c r="B206" t="s">
        <v>670</v>
      </c>
      <c r="C206">
        <v>156342</v>
      </c>
      <c r="D206" t="s">
        <v>671</v>
      </c>
      <c r="E206" t="s">
        <v>130</v>
      </c>
      <c r="F206" t="s">
        <v>73</v>
      </c>
      <c r="G206" t="s">
        <v>74</v>
      </c>
      <c r="H206" t="s">
        <v>122</v>
      </c>
      <c r="I206" t="s">
        <v>122</v>
      </c>
      <c r="J206" s="127">
        <v>46083.761805555558</v>
      </c>
      <c r="K206" s="127">
        <v>46084.537499999999</v>
      </c>
      <c r="L206" s="127">
        <v>46084</v>
      </c>
      <c r="M206" s="127">
        <v>46084.55972222222</v>
      </c>
      <c r="N206" t="s">
        <v>75</v>
      </c>
      <c r="O206" t="s">
        <v>122</v>
      </c>
      <c r="P206" t="s">
        <v>122</v>
      </c>
      <c r="Q206">
        <v>149664</v>
      </c>
      <c r="R206" t="s">
        <v>474</v>
      </c>
      <c r="S206" t="s">
        <v>475</v>
      </c>
      <c r="T206" t="s">
        <v>476</v>
      </c>
      <c r="U206" t="s">
        <v>137</v>
      </c>
    </row>
    <row r="207" spans="1:21" x14ac:dyDescent="0.25">
      <c r="A207" t="s">
        <v>253</v>
      </c>
      <c r="B207" t="s">
        <v>672</v>
      </c>
      <c r="C207">
        <v>156297</v>
      </c>
      <c r="D207" t="s">
        <v>673</v>
      </c>
      <c r="E207" t="s">
        <v>437</v>
      </c>
      <c r="F207" t="s">
        <v>453</v>
      </c>
      <c r="G207" t="s">
        <v>674</v>
      </c>
      <c r="H207" t="s">
        <v>122</v>
      </c>
      <c r="I207" t="s">
        <v>122</v>
      </c>
      <c r="J207" s="127">
        <v>46083.625694444447</v>
      </c>
      <c r="K207" s="127">
        <v>46083</v>
      </c>
      <c r="L207" s="127">
        <v>46083</v>
      </c>
      <c r="M207" s="127">
        <v>46084.469444444447</v>
      </c>
      <c r="N207" t="s">
        <v>122</v>
      </c>
      <c r="O207" t="s">
        <v>122</v>
      </c>
      <c r="P207" t="s">
        <v>122</v>
      </c>
      <c r="R207" t="s">
        <v>122</v>
      </c>
      <c r="S207" t="s">
        <v>122</v>
      </c>
      <c r="T207" t="s">
        <v>675</v>
      </c>
      <c r="U207" t="s">
        <v>450</v>
      </c>
    </row>
    <row r="208" spans="1:21" x14ac:dyDescent="0.25">
      <c r="A208" t="s">
        <v>118</v>
      </c>
      <c r="B208" t="s">
        <v>676</v>
      </c>
      <c r="C208">
        <v>156296</v>
      </c>
      <c r="D208" t="s">
        <v>677</v>
      </c>
      <c r="E208" t="s">
        <v>121</v>
      </c>
      <c r="F208" t="s">
        <v>122</v>
      </c>
      <c r="G208" t="s">
        <v>80</v>
      </c>
      <c r="H208" t="s">
        <v>122</v>
      </c>
      <c r="I208" t="s">
        <v>122</v>
      </c>
      <c r="J208" s="127">
        <v>46083.623611111114</v>
      </c>
      <c r="K208" s="127"/>
      <c r="L208" s="127"/>
      <c r="M208" s="127"/>
      <c r="N208" t="s">
        <v>78</v>
      </c>
      <c r="O208" t="s">
        <v>122</v>
      </c>
      <c r="P208" t="s">
        <v>122</v>
      </c>
      <c r="Q208">
        <v>155976</v>
      </c>
      <c r="R208" t="s">
        <v>678</v>
      </c>
      <c r="S208" t="s">
        <v>679</v>
      </c>
      <c r="T208" t="s">
        <v>471</v>
      </c>
      <c r="U208" t="s">
        <v>462</v>
      </c>
    </row>
    <row r="209" spans="1:21" x14ac:dyDescent="0.25">
      <c r="A209" t="s">
        <v>118</v>
      </c>
      <c r="B209" t="s">
        <v>680</v>
      </c>
      <c r="C209">
        <v>156185</v>
      </c>
      <c r="D209" t="s">
        <v>681</v>
      </c>
      <c r="E209" t="s">
        <v>121</v>
      </c>
      <c r="F209" t="s">
        <v>122</v>
      </c>
      <c r="G209" t="s">
        <v>80</v>
      </c>
      <c r="H209" t="s">
        <v>122</v>
      </c>
      <c r="I209" t="s">
        <v>122</v>
      </c>
      <c r="J209" s="127">
        <v>46083.477083333331</v>
      </c>
      <c r="K209" s="127"/>
      <c r="L209" s="127"/>
      <c r="M209" s="127"/>
      <c r="N209" t="s">
        <v>78</v>
      </c>
      <c r="O209" t="s">
        <v>122</v>
      </c>
      <c r="P209" t="s">
        <v>122</v>
      </c>
      <c r="Q209">
        <v>155976</v>
      </c>
      <c r="R209" t="s">
        <v>678</v>
      </c>
      <c r="S209" t="s">
        <v>679</v>
      </c>
      <c r="T209" t="s">
        <v>471</v>
      </c>
      <c r="U209" t="s">
        <v>462</v>
      </c>
    </row>
    <row r="210" spans="1:21" x14ac:dyDescent="0.25">
      <c r="A210" t="s">
        <v>127</v>
      </c>
      <c r="B210" t="s">
        <v>682</v>
      </c>
      <c r="C210">
        <v>156168</v>
      </c>
      <c r="D210" t="s">
        <v>683</v>
      </c>
      <c r="E210" t="s">
        <v>130</v>
      </c>
      <c r="F210" t="s">
        <v>453</v>
      </c>
      <c r="G210" t="s">
        <v>498</v>
      </c>
      <c r="H210" t="s">
        <v>122</v>
      </c>
      <c r="I210" t="s">
        <v>122</v>
      </c>
      <c r="J210" s="127">
        <v>46083.433333333334</v>
      </c>
      <c r="K210" s="127">
        <v>46083</v>
      </c>
      <c r="L210" s="127">
        <v>46083</v>
      </c>
      <c r="M210" s="127"/>
      <c r="N210" t="s">
        <v>122</v>
      </c>
      <c r="O210" t="s">
        <v>122</v>
      </c>
      <c r="P210" t="s">
        <v>122</v>
      </c>
      <c r="R210" t="s">
        <v>122</v>
      </c>
      <c r="S210" t="s">
        <v>122</v>
      </c>
      <c r="T210" t="s">
        <v>502</v>
      </c>
      <c r="U210" t="s">
        <v>450</v>
      </c>
    </row>
    <row r="211" spans="1:21" x14ac:dyDescent="0.25">
      <c r="A211" t="s">
        <v>118</v>
      </c>
      <c r="B211" t="s">
        <v>684</v>
      </c>
      <c r="C211">
        <v>155998</v>
      </c>
      <c r="D211" t="s">
        <v>685</v>
      </c>
      <c r="E211" t="s">
        <v>121</v>
      </c>
      <c r="F211" t="s">
        <v>122</v>
      </c>
      <c r="G211" t="s">
        <v>80</v>
      </c>
      <c r="H211" t="s">
        <v>122</v>
      </c>
      <c r="I211" t="s">
        <v>122</v>
      </c>
      <c r="J211" s="127">
        <v>46080.741666666669</v>
      </c>
      <c r="K211" s="127"/>
      <c r="L211" s="127"/>
      <c r="M211" s="127"/>
      <c r="N211" t="s">
        <v>78</v>
      </c>
      <c r="O211" t="s">
        <v>122</v>
      </c>
      <c r="P211" t="s">
        <v>122</v>
      </c>
      <c r="Q211">
        <v>155976</v>
      </c>
      <c r="R211" t="s">
        <v>678</v>
      </c>
      <c r="S211" t="s">
        <v>679</v>
      </c>
      <c r="T211" t="s">
        <v>471</v>
      </c>
      <c r="U211" t="s">
        <v>462</v>
      </c>
    </row>
    <row r="212" spans="1:21" x14ac:dyDescent="0.25">
      <c r="A212" t="s">
        <v>253</v>
      </c>
      <c r="B212" t="s">
        <v>686</v>
      </c>
      <c r="C212">
        <v>155992</v>
      </c>
      <c r="D212" t="s">
        <v>687</v>
      </c>
      <c r="E212" t="s">
        <v>437</v>
      </c>
      <c r="F212" t="s">
        <v>79</v>
      </c>
      <c r="G212" t="s">
        <v>74</v>
      </c>
      <c r="H212" t="s">
        <v>122</v>
      </c>
      <c r="I212" t="s">
        <v>122</v>
      </c>
      <c r="J212" s="127">
        <v>46080.695833333331</v>
      </c>
      <c r="K212" s="127">
        <v>46083</v>
      </c>
      <c r="L212" s="127">
        <v>46083</v>
      </c>
      <c r="M212" s="127">
        <v>46083.588194444441</v>
      </c>
      <c r="N212" t="s">
        <v>72</v>
      </c>
      <c r="O212" t="s">
        <v>122</v>
      </c>
      <c r="P212" t="s">
        <v>122</v>
      </c>
      <c r="Q212">
        <v>149148</v>
      </c>
      <c r="R212" t="s">
        <v>493</v>
      </c>
      <c r="S212" t="s">
        <v>494</v>
      </c>
      <c r="T212" t="s">
        <v>476</v>
      </c>
      <c r="U212" t="s">
        <v>126</v>
      </c>
    </row>
    <row r="213" spans="1:21" x14ac:dyDescent="0.25">
      <c r="A213" t="s">
        <v>118</v>
      </c>
      <c r="B213" t="s">
        <v>688</v>
      </c>
      <c r="C213">
        <v>155987</v>
      </c>
      <c r="D213" t="s">
        <v>689</v>
      </c>
      <c r="E213" t="s">
        <v>121</v>
      </c>
      <c r="F213" t="s">
        <v>122</v>
      </c>
      <c r="G213" t="s">
        <v>80</v>
      </c>
      <c r="H213" t="s">
        <v>122</v>
      </c>
      <c r="I213" t="s">
        <v>122</v>
      </c>
      <c r="J213" s="127">
        <v>46080.688194444447</v>
      </c>
      <c r="K213" s="127"/>
      <c r="L213" s="127"/>
      <c r="M213" s="127"/>
      <c r="N213" t="s">
        <v>78</v>
      </c>
      <c r="O213" t="s">
        <v>122</v>
      </c>
      <c r="P213" t="s">
        <v>122</v>
      </c>
      <c r="Q213">
        <v>155976</v>
      </c>
      <c r="R213" t="s">
        <v>678</v>
      </c>
      <c r="S213" t="s">
        <v>679</v>
      </c>
      <c r="T213" t="s">
        <v>471</v>
      </c>
      <c r="U213" t="s">
        <v>462</v>
      </c>
    </row>
    <row r="214" spans="1:21" x14ac:dyDescent="0.25">
      <c r="A214" t="s">
        <v>118</v>
      </c>
      <c r="B214" t="s">
        <v>690</v>
      </c>
      <c r="C214">
        <v>155963</v>
      </c>
      <c r="D214" t="s">
        <v>691</v>
      </c>
      <c r="E214" t="s">
        <v>121</v>
      </c>
      <c r="F214" t="s">
        <v>122</v>
      </c>
      <c r="G214" t="s">
        <v>74</v>
      </c>
      <c r="H214" t="s">
        <v>122</v>
      </c>
      <c r="I214" t="s">
        <v>122</v>
      </c>
      <c r="J214" s="127">
        <v>46080.625694444447</v>
      </c>
      <c r="K214" s="127"/>
      <c r="L214" s="127"/>
      <c r="M214" s="127"/>
      <c r="N214" t="s">
        <v>78</v>
      </c>
      <c r="O214" t="s">
        <v>122</v>
      </c>
      <c r="P214" t="s">
        <v>122</v>
      </c>
      <c r="Q214">
        <v>148934</v>
      </c>
      <c r="R214" t="s">
        <v>692</v>
      </c>
      <c r="S214" t="s">
        <v>693</v>
      </c>
      <c r="T214" t="s">
        <v>476</v>
      </c>
      <c r="U214" t="s">
        <v>462</v>
      </c>
    </row>
    <row r="215" spans="1:21" x14ac:dyDescent="0.25">
      <c r="A215" t="s">
        <v>118</v>
      </c>
      <c r="B215" t="s">
        <v>694</v>
      </c>
      <c r="C215">
        <v>155922</v>
      </c>
      <c r="D215" t="s">
        <v>695</v>
      </c>
      <c r="E215" t="s">
        <v>121</v>
      </c>
      <c r="F215" t="s">
        <v>497</v>
      </c>
      <c r="G215" t="s">
        <v>674</v>
      </c>
      <c r="H215" t="s">
        <v>498</v>
      </c>
      <c r="I215" t="s">
        <v>122</v>
      </c>
      <c r="J215" s="127">
        <v>46080.518750000003</v>
      </c>
      <c r="K215" s="127"/>
      <c r="L215" s="127"/>
      <c r="M215" s="127"/>
      <c r="N215" t="s">
        <v>499</v>
      </c>
      <c r="O215" t="s">
        <v>122</v>
      </c>
      <c r="P215" t="s">
        <v>122</v>
      </c>
      <c r="R215" t="s">
        <v>122</v>
      </c>
      <c r="S215" t="s">
        <v>122</v>
      </c>
      <c r="T215" t="s">
        <v>696</v>
      </c>
      <c r="U215" t="s">
        <v>503</v>
      </c>
    </row>
    <row r="216" spans="1:21" x14ac:dyDescent="0.25">
      <c r="A216" t="s">
        <v>253</v>
      </c>
      <c r="B216" t="s">
        <v>697</v>
      </c>
      <c r="C216">
        <v>155768</v>
      </c>
      <c r="D216" t="s">
        <v>698</v>
      </c>
      <c r="E216" t="s">
        <v>437</v>
      </c>
      <c r="F216" t="s">
        <v>453</v>
      </c>
      <c r="G216" t="s">
        <v>699</v>
      </c>
      <c r="H216" t="s">
        <v>122</v>
      </c>
      <c r="I216" t="s">
        <v>122</v>
      </c>
      <c r="J216" s="127">
        <v>46079.725694444445</v>
      </c>
      <c r="K216" s="127">
        <v>46087.615277777775</v>
      </c>
      <c r="L216" s="127">
        <v>46087.615277777775</v>
      </c>
      <c r="M216" s="127">
        <v>46090.475694444445</v>
      </c>
      <c r="N216" t="s">
        <v>72</v>
      </c>
      <c r="O216" t="s">
        <v>122</v>
      </c>
      <c r="P216" t="s">
        <v>122</v>
      </c>
      <c r="Q216">
        <v>149148</v>
      </c>
      <c r="R216" t="s">
        <v>493</v>
      </c>
      <c r="S216" t="s">
        <v>494</v>
      </c>
      <c r="T216" t="s">
        <v>700</v>
      </c>
      <c r="U216" t="s">
        <v>126</v>
      </c>
    </row>
    <row r="217" spans="1:21" x14ac:dyDescent="0.25">
      <c r="A217" t="s">
        <v>118</v>
      </c>
      <c r="B217" t="s">
        <v>701</v>
      </c>
      <c r="C217">
        <v>155766</v>
      </c>
      <c r="D217" t="s">
        <v>702</v>
      </c>
      <c r="E217" t="s">
        <v>703</v>
      </c>
      <c r="F217" t="s">
        <v>90</v>
      </c>
      <c r="G217" t="s">
        <v>74</v>
      </c>
      <c r="H217" t="s">
        <v>122</v>
      </c>
      <c r="I217" t="s">
        <v>122</v>
      </c>
      <c r="J217" s="127">
        <v>46079.709027777775</v>
      </c>
      <c r="K217" s="127"/>
      <c r="L217" s="127"/>
      <c r="M217" s="127"/>
      <c r="N217" t="s">
        <v>78</v>
      </c>
      <c r="O217" t="s">
        <v>122</v>
      </c>
      <c r="P217" t="s">
        <v>122</v>
      </c>
      <c r="R217" t="s">
        <v>122</v>
      </c>
      <c r="S217" t="s">
        <v>122</v>
      </c>
      <c r="T217" t="s">
        <v>476</v>
      </c>
      <c r="U217" t="s">
        <v>462</v>
      </c>
    </row>
    <row r="218" spans="1:21" x14ac:dyDescent="0.25">
      <c r="A218" t="s">
        <v>118</v>
      </c>
      <c r="B218" t="s">
        <v>704</v>
      </c>
      <c r="C218">
        <v>155765</v>
      </c>
      <c r="D218" t="s">
        <v>705</v>
      </c>
      <c r="E218" t="s">
        <v>703</v>
      </c>
      <c r="F218" t="s">
        <v>73</v>
      </c>
      <c r="G218" t="s">
        <v>74</v>
      </c>
      <c r="H218" t="s">
        <v>122</v>
      </c>
      <c r="I218" t="s">
        <v>122</v>
      </c>
      <c r="J218" s="127">
        <v>46079.694444444445</v>
      </c>
      <c r="K218" s="127">
        <v>46034.765972222223</v>
      </c>
      <c r="L218" s="127"/>
      <c r="M218" s="127"/>
      <c r="N218" t="s">
        <v>75</v>
      </c>
      <c r="O218" t="s">
        <v>122</v>
      </c>
      <c r="P218" t="s">
        <v>122</v>
      </c>
      <c r="Q218">
        <v>155764</v>
      </c>
      <c r="R218" t="s">
        <v>706</v>
      </c>
      <c r="S218" t="s">
        <v>707</v>
      </c>
      <c r="T218" t="s">
        <v>476</v>
      </c>
      <c r="U218" t="s">
        <v>137</v>
      </c>
    </row>
    <row r="219" spans="1:21" x14ac:dyDescent="0.25">
      <c r="A219" t="s">
        <v>142</v>
      </c>
      <c r="B219" t="s">
        <v>708</v>
      </c>
      <c r="C219">
        <v>155741</v>
      </c>
      <c r="D219" t="s">
        <v>709</v>
      </c>
      <c r="E219" t="s">
        <v>130</v>
      </c>
      <c r="F219" t="s">
        <v>79</v>
      </c>
      <c r="G219" t="s">
        <v>80</v>
      </c>
      <c r="H219" t="s">
        <v>122</v>
      </c>
      <c r="I219" t="s">
        <v>122</v>
      </c>
      <c r="J219" s="127">
        <v>46079.654166666667</v>
      </c>
      <c r="K219" s="127">
        <v>46083.531944444447</v>
      </c>
      <c r="L219" s="127">
        <v>46083</v>
      </c>
      <c r="M219" s="127">
        <v>46086.482638888891</v>
      </c>
      <c r="N219" t="s">
        <v>72</v>
      </c>
      <c r="O219" t="s">
        <v>122</v>
      </c>
      <c r="P219" t="s">
        <v>122</v>
      </c>
      <c r="Q219">
        <v>147867</v>
      </c>
      <c r="R219" t="s">
        <v>710</v>
      </c>
      <c r="S219" t="s">
        <v>711</v>
      </c>
      <c r="T219" t="s">
        <v>471</v>
      </c>
      <c r="U219" t="s">
        <v>126</v>
      </c>
    </row>
    <row r="220" spans="1:21" x14ac:dyDescent="0.25">
      <c r="A220" t="s">
        <v>253</v>
      </c>
      <c r="B220" t="s">
        <v>712</v>
      </c>
      <c r="C220">
        <v>155515</v>
      </c>
      <c r="D220" t="s">
        <v>713</v>
      </c>
      <c r="E220" t="s">
        <v>121</v>
      </c>
      <c r="F220" t="s">
        <v>79</v>
      </c>
      <c r="G220" t="s">
        <v>74</v>
      </c>
      <c r="H220" t="s">
        <v>122</v>
      </c>
      <c r="I220" t="s">
        <v>122</v>
      </c>
      <c r="J220" s="127">
        <v>46078.803472222222</v>
      </c>
      <c r="K220" s="127"/>
      <c r="L220" s="127"/>
      <c r="M220" s="127"/>
      <c r="N220" t="s">
        <v>72</v>
      </c>
      <c r="O220" t="s">
        <v>122</v>
      </c>
      <c r="P220" t="s">
        <v>122</v>
      </c>
      <c r="Q220">
        <v>149148</v>
      </c>
      <c r="R220" t="s">
        <v>493</v>
      </c>
      <c r="S220" t="s">
        <v>494</v>
      </c>
      <c r="T220" t="s">
        <v>476</v>
      </c>
      <c r="U220" t="s">
        <v>126</v>
      </c>
    </row>
    <row r="221" spans="1:21" x14ac:dyDescent="0.25">
      <c r="A221" t="s">
        <v>118</v>
      </c>
      <c r="B221" t="s">
        <v>714</v>
      </c>
      <c r="C221">
        <v>155510</v>
      </c>
      <c r="D221" t="s">
        <v>715</v>
      </c>
      <c r="E221" t="s">
        <v>130</v>
      </c>
      <c r="F221" t="s">
        <v>79</v>
      </c>
      <c r="G221" t="s">
        <v>80</v>
      </c>
      <c r="H221" t="s">
        <v>122</v>
      </c>
      <c r="I221" t="s">
        <v>122</v>
      </c>
      <c r="J221" s="127">
        <v>46078.759722222225</v>
      </c>
      <c r="K221" s="127">
        <v>46083.530555555553</v>
      </c>
      <c r="L221" s="127">
        <v>46084</v>
      </c>
      <c r="M221" s="127">
        <v>46101.69027777778</v>
      </c>
      <c r="N221" t="s">
        <v>716</v>
      </c>
      <c r="O221" t="s">
        <v>72</v>
      </c>
      <c r="P221" t="s">
        <v>122</v>
      </c>
      <c r="Q221">
        <v>147867</v>
      </c>
      <c r="R221" t="s">
        <v>710</v>
      </c>
      <c r="S221" t="s">
        <v>711</v>
      </c>
      <c r="T221" t="s">
        <v>471</v>
      </c>
      <c r="U221" t="s">
        <v>717</v>
      </c>
    </row>
    <row r="222" spans="1:21" x14ac:dyDescent="0.25">
      <c r="A222" t="s">
        <v>253</v>
      </c>
      <c r="B222" t="s">
        <v>718</v>
      </c>
      <c r="C222">
        <v>155507</v>
      </c>
      <c r="D222" t="s">
        <v>719</v>
      </c>
      <c r="E222" t="s">
        <v>437</v>
      </c>
      <c r="F222" t="s">
        <v>453</v>
      </c>
      <c r="G222" t="s">
        <v>74</v>
      </c>
      <c r="H222" t="s">
        <v>122</v>
      </c>
      <c r="I222" t="s">
        <v>122</v>
      </c>
      <c r="J222" s="127">
        <v>46078.74722222222</v>
      </c>
      <c r="K222" s="127">
        <v>46100</v>
      </c>
      <c r="L222" s="127">
        <v>46100</v>
      </c>
      <c r="M222" s="127">
        <v>46104.375</v>
      </c>
      <c r="N222" t="s">
        <v>72</v>
      </c>
      <c r="O222" t="s">
        <v>122</v>
      </c>
      <c r="P222" t="s">
        <v>122</v>
      </c>
      <c r="Q222">
        <v>149148</v>
      </c>
      <c r="R222" t="s">
        <v>493</v>
      </c>
      <c r="S222" t="s">
        <v>494</v>
      </c>
      <c r="T222" t="s">
        <v>476</v>
      </c>
      <c r="U222" t="s">
        <v>126</v>
      </c>
    </row>
    <row r="223" spans="1:21" x14ac:dyDescent="0.25">
      <c r="A223" t="s">
        <v>253</v>
      </c>
      <c r="B223" t="s">
        <v>720</v>
      </c>
      <c r="C223">
        <v>155505</v>
      </c>
      <c r="D223" t="s">
        <v>721</v>
      </c>
      <c r="E223" t="s">
        <v>437</v>
      </c>
      <c r="F223" t="s">
        <v>453</v>
      </c>
      <c r="G223" t="s">
        <v>74</v>
      </c>
      <c r="H223" t="s">
        <v>122</v>
      </c>
      <c r="I223" t="s">
        <v>122</v>
      </c>
      <c r="J223" s="127">
        <v>46078.742361111108</v>
      </c>
      <c r="K223" s="127">
        <v>46094</v>
      </c>
      <c r="L223" s="127">
        <v>46094</v>
      </c>
      <c r="M223" s="127">
        <v>46098.326388888891</v>
      </c>
      <c r="N223" t="s">
        <v>72</v>
      </c>
      <c r="O223" t="s">
        <v>122</v>
      </c>
      <c r="P223" t="s">
        <v>122</v>
      </c>
      <c r="Q223">
        <v>149148</v>
      </c>
      <c r="R223" t="s">
        <v>493</v>
      </c>
      <c r="S223" t="s">
        <v>494</v>
      </c>
      <c r="T223" t="s">
        <v>476</v>
      </c>
      <c r="U223" t="s">
        <v>126</v>
      </c>
    </row>
    <row r="224" spans="1:21" x14ac:dyDescent="0.25">
      <c r="A224" t="s">
        <v>118</v>
      </c>
      <c r="B224" t="s">
        <v>722</v>
      </c>
      <c r="C224">
        <v>155473</v>
      </c>
      <c r="D224" t="s">
        <v>723</v>
      </c>
      <c r="E224" t="s">
        <v>130</v>
      </c>
      <c r="F224" t="s">
        <v>79</v>
      </c>
      <c r="G224" t="s">
        <v>80</v>
      </c>
      <c r="H224" t="s">
        <v>122</v>
      </c>
      <c r="I224" t="s">
        <v>122</v>
      </c>
      <c r="J224" s="127">
        <v>46078.71597222222</v>
      </c>
      <c r="K224" s="127">
        <v>46083.526388888888</v>
      </c>
      <c r="L224" s="127">
        <v>46083</v>
      </c>
      <c r="M224" s="127">
        <v>46100.734027777777</v>
      </c>
      <c r="N224" t="s">
        <v>716</v>
      </c>
      <c r="O224" t="s">
        <v>72</v>
      </c>
      <c r="P224" t="s">
        <v>122</v>
      </c>
      <c r="Q224">
        <v>147867</v>
      </c>
      <c r="R224" t="s">
        <v>710</v>
      </c>
      <c r="S224" t="s">
        <v>711</v>
      </c>
      <c r="T224" t="s">
        <v>471</v>
      </c>
      <c r="U224" t="s">
        <v>717</v>
      </c>
    </row>
    <row r="225" spans="1:21" x14ac:dyDescent="0.25">
      <c r="A225" t="s">
        <v>253</v>
      </c>
      <c r="B225" t="s">
        <v>724</v>
      </c>
      <c r="C225">
        <v>155277</v>
      </c>
      <c r="D225" t="s">
        <v>725</v>
      </c>
      <c r="E225" t="s">
        <v>437</v>
      </c>
      <c r="F225" t="s">
        <v>79</v>
      </c>
      <c r="G225" t="s">
        <v>513</v>
      </c>
      <c r="H225" t="s">
        <v>122</v>
      </c>
      <c r="I225" t="s">
        <v>122</v>
      </c>
      <c r="J225" s="127">
        <v>46078.463888888888</v>
      </c>
      <c r="K225" s="127">
        <v>46078</v>
      </c>
      <c r="L225" s="127">
        <v>46078</v>
      </c>
      <c r="M225" s="127">
        <v>46080.444444444445</v>
      </c>
      <c r="N225" t="s">
        <v>72</v>
      </c>
      <c r="O225" t="s">
        <v>122</v>
      </c>
      <c r="P225" t="s">
        <v>122</v>
      </c>
      <c r="Q225">
        <v>149148</v>
      </c>
      <c r="R225" t="s">
        <v>493</v>
      </c>
      <c r="S225" t="s">
        <v>494</v>
      </c>
      <c r="T225" t="s">
        <v>546</v>
      </c>
      <c r="U225" t="s">
        <v>126</v>
      </c>
    </row>
    <row r="226" spans="1:21" x14ac:dyDescent="0.25">
      <c r="A226" t="s">
        <v>118</v>
      </c>
      <c r="B226" t="s">
        <v>726</v>
      </c>
      <c r="C226">
        <v>155233</v>
      </c>
      <c r="D226" t="s">
        <v>727</v>
      </c>
      <c r="E226" t="s">
        <v>121</v>
      </c>
      <c r="F226" t="s">
        <v>122</v>
      </c>
      <c r="G226" t="s">
        <v>80</v>
      </c>
      <c r="H226" t="s">
        <v>122</v>
      </c>
      <c r="I226" t="s">
        <v>122</v>
      </c>
      <c r="J226" s="127">
        <v>46078.387499999997</v>
      </c>
      <c r="K226" s="127"/>
      <c r="L226" s="127"/>
      <c r="M226" s="127"/>
      <c r="N226" t="s">
        <v>81</v>
      </c>
      <c r="O226" t="s">
        <v>122</v>
      </c>
      <c r="P226" t="s">
        <v>122</v>
      </c>
      <c r="Q226">
        <v>155096</v>
      </c>
      <c r="R226" t="s">
        <v>728</v>
      </c>
      <c r="S226" t="s">
        <v>729</v>
      </c>
      <c r="T226" t="s">
        <v>471</v>
      </c>
      <c r="U226" t="s">
        <v>486</v>
      </c>
    </row>
    <row r="227" spans="1:21" x14ac:dyDescent="0.25">
      <c r="A227" t="s">
        <v>118</v>
      </c>
      <c r="B227" t="s">
        <v>730</v>
      </c>
      <c r="C227">
        <v>155227</v>
      </c>
      <c r="D227" t="s">
        <v>731</v>
      </c>
      <c r="E227" t="s">
        <v>121</v>
      </c>
      <c r="F227" t="s">
        <v>122</v>
      </c>
      <c r="G227" t="s">
        <v>80</v>
      </c>
      <c r="H227" t="s">
        <v>122</v>
      </c>
      <c r="I227" t="s">
        <v>122</v>
      </c>
      <c r="J227" s="127">
        <v>46078.386805555558</v>
      </c>
      <c r="K227" s="127"/>
      <c r="L227" s="127"/>
      <c r="M227" s="127"/>
      <c r="N227" t="s">
        <v>81</v>
      </c>
      <c r="O227" t="s">
        <v>122</v>
      </c>
      <c r="P227" t="s">
        <v>122</v>
      </c>
      <c r="Q227">
        <v>155096</v>
      </c>
      <c r="R227" t="s">
        <v>728</v>
      </c>
      <c r="S227" t="s">
        <v>729</v>
      </c>
      <c r="T227" t="s">
        <v>471</v>
      </c>
      <c r="U227" t="s">
        <v>486</v>
      </c>
    </row>
    <row r="228" spans="1:21" x14ac:dyDescent="0.25">
      <c r="A228" t="s">
        <v>118</v>
      </c>
      <c r="B228" t="s">
        <v>732</v>
      </c>
      <c r="C228">
        <v>155213</v>
      </c>
      <c r="D228" t="s">
        <v>733</v>
      </c>
      <c r="E228" t="s">
        <v>223</v>
      </c>
      <c r="F228" t="s">
        <v>122</v>
      </c>
      <c r="G228" t="s">
        <v>80</v>
      </c>
      <c r="H228" t="s">
        <v>122</v>
      </c>
      <c r="I228" t="s">
        <v>122</v>
      </c>
      <c r="J228" s="127">
        <v>46078.339583333334</v>
      </c>
      <c r="K228" s="127"/>
      <c r="L228" s="127"/>
      <c r="M228" s="127">
        <v>46101.739583333336</v>
      </c>
      <c r="N228" t="s">
        <v>81</v>
      </c>
      <c r="O228" t="s">
        <v>122</v>
      </c>
      <c r="P228" t="s">
        <v>122</v>
      </c>
      <c r="Q228">
        <v>154916</v>
      </c>
      <c r="R228" t="s">
        <v>484</v>
      </c>
      <c r="S228" t="s">
        <v>485</v>
      </c>
      <c r="T228" t="s">
        <v>471</v>
      </c>
      <c r="U228" t="s">
        <v>486</v>
      </c>
    </row>
    <row r="229" spans="1:21" x14ac:dyDescent="0.25">
      <c r="A229" t="s">
        <v>118</v>
      </c>
      <c r="B229" t="s">
        <v>734</v>
      </c>
      <c r="C229">
        <v>155211</v>
      </c>
      <c r="D229" t="s">
        <v>735</v>
      </c>
      <c r="E229" t="s">
        <v>121</v>
      </c>
      <c r="F229" t="s">
        <v>122</v>
      </c>
      <c r="G229" t="s">
        <v>80</v>
      </c>
      <c r="H229" t="s">
        <v>122</v>
      </c>
      <c r="I229" t="s">
        <v>122</v>
      </c>
      <c r="J229" s="127">
        <v>46078.337500000001</v>
      </c>
      <c r="K229" s="127"/>
      <c r="L229" s="127"/>
      <c r="M229" s="127"/>
      <c r="N229" t="s">
        <v>81</v>
      </c>
      <c r="O229" t="s">
        <v>122</v>
      </c>
      <c r="P229" t="s">
        <v>122</v>
      </c>
      <c r="Q229">
        <v>154916</v>
      </c>
      <c r="R229" t="s">
        <v>484</v>
      </c>
      <c r="S229" t="s">
        <v>485</v>
      </c>
      <c r="T229" t="s">
        <v>471</v>
      </c>
      <c r="U229" t="s">
        <v>486</v>
      </c>
    </row>
    <row r="230" spans="1:21" x14ac:dyDescent="0.25">
      <c r="A230" t="s">
        <v>127</v>
      </c>
      <c r="B230" t="s">
        <v>736</v>
      </c>
      <c r="C230">
        <v>155209</v>
      </c>
      <c r="D230" t="s">
        <v>737</v>
      </c>
      <c r="E230" t="s">
        <v>121</v>
      </c>
      <c r="F230" t="s">
        <v>122</v>
      </c>
      <c r="G230" t="s">
        <v>738</v>
      </c>
      <c r="H230" t="s">
        <v>122</v>
      </c>
      <c r="I230" t="s">
        <v>122</v>
      </c>
      <c r="J230" s="127">
        <v>46078.334027777775</v>
      </c>
      <c r="K230" s="127"/>
      <c r="L230" s="127"/>
      <c r="M230" s="127"/>
      <c r="N230" t="s">
        <v>81</v>
      </c>
      <c r="O230" t="s">
        <v>122</v>
      </c>
      <c r="P230" t="s">
        <v>122</v>
      </c>
      <c r="Q230">
        <v>154949</v>
      </c>
      <c r="R230" t="s">
        <v>739</v>
      </c>
      <c r="S230" t="s">
        <v>740</v>
      </c>
      <c r="T230" t="s">
        <v>741</v>
      </c>
      <c r="U230" t="s">
        <v>486</v>
      </c>
    </row>
    <row r="231" spans="1:21" x14ac:dyDescent="0.25">
      <c r="A231" t="s">
        <v>118</v>
      </c>
      <c r="B231" t="s">
        <v>742</v>
      </c>
      <c r="C231">
        <v>155205</v>
      </c>
      <c r="D231" t="s">
        <v>743</v>
      </c>
      <c r="E231" t="s">
        <v>508</v>
      </c>
      <c r="F231" t="s">
        <v>497</v>
      </c>
      <c r="G231" t="s">
        <v>80</v>
      </c>
      <c r="H231" t="s">
        <v>122</v>
      </c>
      <c r="I231" t="s">
        <v>122</v>
      </c>
      <c r="J231" s="127">
        <v>46078.32916666667</v>
      </c>
      <c r="K231" s="127">
        <v>46091.515277777777</v>
      </c>
      <c r="L231" s="127">
        <v>46091.515277777777</v>
      </c>
      <c r="M231" s="127"/>
      <c r="N231" t="s">
        <v>81</v>
      </c>
      <c r="O231" t="s">
        <v>122</v>
      </c>
      <c r="P231" t="s">
        <v>122</v>
      </c>
      <c r="Q231">
        <v>155096</v>
      </c>
      <c r="R231" t="s">
        <v>728</v>
      </c>
      <c r="S231" t="s">
        <v>729</v>
      </c>
      <c r="T231" t="s">
        <v>471</v>
      </c>
      <c r="U231" t="s">
        <v>486</v>
      </c>
    </row>
    <row r="232" spans="1:21" x14ac:dyDescent="0.25">
      <c r="A232" t="s">
        <v>253</v>
      </c>
      <c r="B232" t="s">
        <v>744</v>
      </c>
      <c r="C232">
        <v>155164</v>
      </c>
      <c r="D232" t="s">
        <v>745</v>
      </c>
      <c r="E232" t="s">
        <v>437</v>
      </c>
      <c r="F232" t="s">
        <v>79</v>
      </c>
      <c r="G232" t="s">
        <v>513</v>
      </c>
      <c r="H232" t="s">
        <v>122</v>
      </c>
      <c r="I232" t="s">
        <v>122</v>
      </c>
      <c r="J232" s="127">
        <v>46077.722222222219</v>
      </c>
      <c r="K232" s="127">
        <v>46078.59652777778</v>
      </c>
      <c r="L232" s="127">
        <v>46078.59652777778</v>
      </c>
      <c r="M232" s="127">
        <v>46080.445833333331</v>
      </c>
      <c r="N232" t="s">
        <v>72</v>
      </c>
      <c r="O232" t="s">
        <v>122</v>
      </c>
      <c r="P232" t="s">
        <v>122</v>
      </c>
      <c r="Q232">
        <v>149148</v>
      </c>
      <c r="R232" t="s">
        <v>493</v>
      </c>
      <c r="S232" t="s">
        <v>494</v>
      </c>
      <c r="T232" t="s">
        <v>546</v>
      </c>
      <c r="U232" t="s">
        <v>126</v>
      </c>
    </row>
    <row r="233" spans="1:21" x14ac:dyDescent="0.25">
      <c r="A233" t="s">
        <v>253</v>
      </c>
      <c r="B233" t="s">
        <v>746</v>
      </c>
      <c r="C233">
        <v>155130</v>
      </c>
      <c r="D233" t="s">
        <v>747</v>
      </c>
      <c r="E233" t="s">
        <v>437</v>
      </c>
      <c r="F233" t="s">
        <v>73</v>
      </c>
      <c r="G233" t="s">
        <v>74</v>
      </c>
      <c r="H233" t="s">
        <v>122</v>
      </c>
      <c r="I233" t="s">
        <v>122</v>
      </c>
      <c r="J233" s="127">
        <v>46077.632638888892</v>
      </c>
      <c r="K233" s="127">
        <v>46077.884722222225</v>
      </c>
      <c r="L233" s="127">
        <v>46078.538194444445</v>
      </c>
      <c r="M233" s="127">
        <v>46092.410416666666</v>
      </c>
      <c r="N233" t="s">
        <v>75</v>
      </c>
      <c r="O233" t="s">
        <v>122</v>
      </c>
      <c r="P233" t="s">
        <v>122</v>
      </c>
      <c r="Q233">
        <v>149664</v>
      </c>
      <c r="R233" t="s">
        <v>474</v>
      </c>
      <c r="S233" t="s">
        <v>475</v>
      </c>
      <c r="T233" t="s">
        <v>476</v>
      </c>
      <c r="U233" t="s">
        <v>137</v>
      </c>
    </row>
    <row r="234" spans="1:21" x14ac:dyDescent="0.25">
      <c r="A234" t="s">
        <v>253</v>
      </c>
      <c r="B234" t="s">
        <v>748</v>
      </c>
      <c r="C234">
        <v>155114</v>
      </c>
      <c r="D234" t="s">
        <v>749</v>
      </c>
      <c r="E234" t="s">
        <v>223</v>
      </c>
      <c r="F234" t="s">
        <v>122</v>
      </c>
      <c r="G234" t="s">
        <v>513</v>
      </c>
      <c r="H234" t="s">
        <v>122</v>
      </c>
      <c r="I234" t="s">
        <v>122</v>
      </c>
      <c r="J234" s="127">
        <v>46077.555555555555</v>
      </c>
      <c r="K234" s="127"/>
      <c r="L234" s="127"/>
      <c r="M234" s="127">
        <v>46080.40347222222</v>
      </c>
      <c r="N234" t="s">
        <v>72</v>
      </c>
      <c r="O234" t="s">
        <v>122</v>
      </c>
      <c r="P234" t="s">
        <v>122</v>
      </c>
      <c r="Q234">
        <v>149148</v>
      </c>
      <c r="R234" t="s">
        <v>493</v>
      </c>
      <c r="S234" t="s">
        <v>494</v>
      </c>
      <c r="T234" t="s">
        <v>546</v>
      </c>
      <c r="U234" t="s">
        <v>126</v>
      </c>
    </row>
    <row r="235" spans="1:21" x14ac:dyDescent="0.25">
      <c r="A235" t="s">
        <v>557</v>
      </c>
      <c r="B235" t="s">
        <v>750</v>
      </c>
      <c r="C235">
        <v>155100</v>
      </c>
      <c r="D235" t="s">
        <v>751</v>
      </c>
      <c r="E235" t="s">
        <v>130</v>
      </c>
      <c r="F235" t="s">
        <v>497</v>
      </c>
      <c r="G235" t="s">
        <v>80</v>
      </c>
      <c r="H235" t="s">
        <v>122</v>
      </c>
      <c r="I235" t="s">
        <v>122</v>
      </c>
      <c r="J235" s="127">
        <v>46077.515972222223</v>
      </c>
      <c r="K235" s="127">
        <v>46080</v>
      </c>
      <c r="L235" s="127">
        <v>46085</v>
      </c>
      <c r="M235" s="127"/>
      <c r="N235" t="s">
        <v>81</v>
      </c>
      <c r="O235" t="s">
        <v>122</v>
      </c>
      <c r="P235" t="s">
        <v>122</v>
      </c>
      <c r="Q235">
        <v>155096</v>
      </c>
      <c r="R235" t="s">
        <v>728</v>
      </c>
      <c r="S235" t="s">
        <v>729</v>
      </c>
      <c r="T235" t="s">
        <v>471</v>
      </c>
      <c r="U235" t="s">
        <v>486</v>
      </c>
    </row>
    <row r="236" spans="1:21" x14ac:dyDescent="0.25">
      <c r="A236" t="s">
        <v>253</v>
      </c>
      <c r="B236" t="s">
        <v>752</v>
      </c>
      <c r="C236">
        <v>155086</v>
      </c>
      <c r="D236" t="s">
        <v>753</v>
      </c>
      <c r="E236" t="s">
        <v>437</v>
      </c>
      <c r="F236" t="s">
        <v>79</v>
      </c>
      <c r="G236" t="s">
        <v>74</v>
      </c>
      <c r="H236" t="s">
        <v>122</v>
      </c>
      <c r="I236" t="s">
        <v>122</v>
      </c>
      <c r="J236" s="127">
        <v>46077.447916666664</v>
      </c>
      <c r="K236" s="127">
        <v>46077</v>
      </c>
      <c r="L236" s="127">
        <v>46077</v>
      </c>
      <c r="M236" s="127">
        <v>46077.738888888889</v>
      </c>
      <c r="N236" t="s">
        <v>72</v>
      </c>
      <c r="O236" t="s">
        <v>122</v>
      </c>
      <c r="P236" t="s">
        <v>122</v>
      </c>
      <c r="Q236">
        <v>149148</v>
      </c>
      <c r="R236" t="s">
        <v>493</v>
      </c>
      <c r="S236" t="s">
        <v>494</v>
      </c>
      <c r="T236" t="s">
        <v>476</v>
      </c>
      <c r="U236" t="s">
        <v>126</v>
      </c>
    </row>
    <row r="237" spans="1:21" x14ac:dyDescent="0.25">
      <c r="A237" t="s">
        <v>127</v>
      </c>
      <c r="B237" t="s">
        <v>754</v>
      </c>
      <c r="C237">
        <v>154953</v>
      </c>
      <c r="D237" t="s">
        <v>755</v>
      </c>
      <c r="E237" t="s">
        <v>130</v>
      </c>
      <c r="F237" t="s">
        <v>497</v>
      </c>
      <c r="G237" t="s">
        <v>80</v>
      </c>
      <c r="H237" t="s">
        <v>122</v>
      </c>
      <c r="I237" t="s">
        <v>122</v>
      </c>
      <c r="J237" s="127">
        <v>46076.77847222222</v>
      </c>
      <c r="K237" s="127">
        <v>46087.519444444442</v>
      </c>
      <c r="L237" s="127">
        <v>46087</v>
      </c>
      <c r="M237" s="127">
        <v>46094.469444444447</v>
      </c>
      <c r="N237" t="s">
        <v>81</v>
      </c>
      <c r="O237" t="s">
        <v>122</v>
      </c>
      <c r="P237" t="s">
        <v>122</v>
      </c>
      <c r="Q237">
        <v>154949</v>
      </c>
      <c r="R237" t="s">
        <v>739</v>
      </c>
      <c r="S237" t="s">
        <v>740</v>
      </c>
      <c r="T237" t="s">
        <v>471</v>
      </c>
      <c r="U237" t="s">
        <v>486</v>
      </c>
    </row>
    <row r="238" spans="1:21" x14ac:dyDescent="0.25">
      <c r="A238" t="s">
        <v>127</v>
      </c>
      <c r="B238" t="s">
        <v>756</v>
      </c>
      <c r="C238">
        <v>154948</v>
      </c>
      <c r="D238" t="s">
        <v>757</v>
      </c>
      <c r="E238" t="s">
        <v>508</v>
      </c>
      <c r="F238" t="s">
        <v>497</v>
      </c>
      <c r="G238" t="s">
        <v>80</v>
      </c>
      <c r="H238" t="s">
        <v>122</v>
      </c>
      <c r="I238" t="s">
        <v>122</v>
      </c>
      <c r="J238" s="127">
        <v>46076.770138888889</v>
      </c>
      <c r="K238" s="127">
        <v>46080</v>
      </c>
      <c r="L238" s="127">
        <v>46097</v>
      </c>
      <c r="M238" s="127"/>
      <c r="N238" t="s">
        <v>81</v>
      </c>
      <c r="O238" t="s">
        <v>122</v>
      </c>
      <c r="P238" t="s">
        <v>122</v>
      </c>
      <c r="Q238">
        <v>154916</v>
      </c>
      <c r="R238" t="s">
        <v>484</v>
      </c>
      <c r="S238" t="s">
        <v>485</v>
      </c>
      <c r="T238" t="s">
        <v>471</v>
      </c>
      <c r="U238" t="s">
        <v>486</v>
      </c>
    </row>
    <row r="239" spans="1:21" x14ac:dyDescent="0.25">
      <c r="A239" t="s">
        <v>127</v>
      </c>
      <c r="B239" t="s">
        <v>758</v>
      </c>
      <c r="C239">
        <v>154922</v>
      </c>
      <c r="D239" t="s">
        <v>759</v>
      </c>
      <c r="E239" t="s">
        <v>760</v>
      </c>
      <c r="F239" t="s">
        <v>122</v>
      </c>
      <c r="G239" t="s">
        <v>80</v>
      </c>
      <c r="H239" t="s">
        <v>122</v>
      </c>
      <c r="I239" t="s">
        <v>122</v>
      </c>
      <c r="J239" s="127">
        <v>46076.754861111112</v>
      </c>
      <c r="K239" s="127">
        <v>46092</v>
      </c>
      <c r="L239" s="127">
        <v>46092</v>
      </c>
      <c r="M239" s="127"/>
      <c r="N239" t="s">
        <v>81</v>
      </c>
      <c r="O239" t="s">
        <v>122</v>
      </c>
      <c r="P239" t="s">
        <v>122</v>
      </c>
      <c r="Q239">
        <v>154916</v>
      </c>
      <c r="R239" t="s">
        <v>484</v>
      </c>
      <c r="S239" t="s">
        <v>485</v>
      </c>
      <c r="T239" t="s">
        <v>471</v>
      </c>
      <c r="U239" t="s">
        <v>486</v>
      </c>
    </row>
    <row r="240" spans="1:21" x14ac:dyDescent="0.25">
      <c r="A240" t="s">
        <v>118</v>
      </c>
      <c r="B240" t="s">
        <v>761</v>
      </c>
      <c r="C240">
        <v>154471</v>
      </c>
      <c r="D240" t="s">
        <v>762</v>
      </c>
      <c r="E240" t="s">
        <v>130</v>
      </c>
      <c r="F240" t="s">
        <v>79</v>
      </c>
      <c r="G240" t="s">
        <v>80</v>
      </c>
      <c r="H240" t="s">
        <v>122</v>
      </c>
      <c r="I240" t="s">
        <v>122</v>
      </c>
      <c r="J240" s="127">
        <v>46073.682638888888</v>
      </c>
      <c r="K240" s="127">
        <v>46100.613194444442</v>
      </c>
      <c r="L240" s="127">
        <v>46100</v>
      </c>
      <c r="M240" s="127">
        <v>46100.488194444442</v>
      </c>
      <c r="N240" t="s">
        <v>716</v>
      </c>
      <c r="O240" t="s">
        <v>763</v>
      </c>
      <c r="P240" t="s">
        <v>72</v>
      </c>
      <c r="Q240">
        <v>143070</v>
      </c>
      <c r="R240" t="s">
        <v>764</v>
      </c>
      <c r="S240" t="s">
        <v>765</v>
      </c>
      <c r="T240" t="s">
        <v>471</v>
      </c>
      <c r="U240" t="s">
        <v>766</v>
      </c>
    </row>
    <row r="241" spans="1:21" x14ac:dyDescent="0.25">
      <c r="A241" t="s">
        <v>253</v>
      </c>
      <c r="B241" t="s">
        <v>767</v>
      </c>
      <c r="C241">
        <v>154107</v>
      </c>
      <c r="D241" t="s">
        <v>768</v>
      </c>
      <c r="E241" t="s">
        <v>437</v>
      </c>
      <c r="F241" t="s">
        <v>453</v>
      </c>
      <c r="G241" t="s">
        <v>498</v>
      </c>
      <c r="H241" t="s">
        <v>122</v>
      </c>
      <c r="I241" t="s">
        <v>122</v>
      </c>
      <c r="J241" s="127">
        <v>46072.660416666666</v>
      </c>
      <c r="K241" s="127">
        <v>46091</v>
      </c>
      <c r="L241" s="127">
        <v>46091</v>
      </c>
      <c r="M241" s="127">
        <v>46094.338888888888</v>
      </c>
      <c r="N241" t="s">
        <v>122</v>
      </c>
      <c r="O241" t="s">
        <v>122</v>
      </c>
      <c r="P241" t="s">
        <v>122</v>
      </c>
      <c r="Q241">
        <v>154077</v>
      </c>
      <c r="R241" t="s">
        <v>637</v>
      </c>
      <c r="S241" t="s">
        <v>638</v>
      </c>
      <c r="T241" t="s">
        <v>502</v>
      </c>
      <c r="U241" t="s">
        <v>450</v>
      </c>
    </row>
    <row r="242" spans="1:21" x14ac:dyDescent="0.25">
      <c r="A242" t="s">
        <v>118</v>
      </c>
      <c r="B242" t="s">
        <v>769</v>
      </c>
      <c r="C242">
        <v>154087</v>
      </c>
      <c r="D242" t="s">
        <v>770</v>
      </c>
      <c r="E242" t="s">
        <v>266</v>
      </c>
      <c r="F242" t="s">
        <v>497</v>
      </c>
      <c r="G242" t="s">
        <v>498</v>
      </c>
      <c r="H242" t="s">
        <v>122</v>
      </c>
      <c r="I242" t="s">
        <v>122</v>
      </c>
      <c r="J242" s="127">
        <v>46072.643750000003</v>
      </c>
      <c r="K242" s="127">
        <v>46104.53125</v>
      </c>
      <c r="L242" s="127">
        <v>46104</v>
      </c>
      <c r="M242" s="127"/>
      <c r="N242" t="s">
        <v>499</v>
      </c>
      <c r="O242" t="s">
        <v>122</v>
      </c>
      <c r="P242" t="s">
        <v>122</v>
      </c>
      <c r="Q242">
        <v>153411</v>
      </c>
      <c r="R242" t="s">
        <v>578</v>
      </c>
      <c r="S242" t="s">
        <v>579</v>
      </c>
      <c r="T242" t="s">
        <v>502</v>
      </c>
      <c r="U242" t="s">
        <v>503</v>
      </c>
    </row>
    <row r="243" spans="1:21" x14ac:dyDescent="0.25">
      <c r="A243" t="s">
        <v>118</v>
      </c>
      <c r="B243" t="s">
        <v>771</v>
      </c>
      <c r="C243">
        <v>154085</v>
      </c>
      <c r="D243" t="s">
        <v>772</v>
      </c>
      <c r="E243" t="s">
        <v>121</v>
      </c>
      <c r="F243" t="s">
        <v>497</v>
      </c>
      <c r="G243" t="s">
        <v>498</v>
      </c>
      <c r="H243" t="s">
        <v>122</v>
      </c>
      <c r="I243" t="s">
        <v>122</v>
      </c>
      <c r="J243" s="127">
        <v>46072.640972222223</v>
      </c>
      <c r="K243" s="127"/>
      <c r="L243" s="127"/>
      <c r="M243" s="127"/>
      <c r="N243" t="s">
        <v>499</v>
      </c>
      <c r="O243" t="s">
        <v>122</v>
      </c>
      <c r="P243" t="s">
        <v>122</v>
      </c>
      <c r="Q243">
        <v>154077</v>
      </c>
      <c r="R243" t="s">
        <v>637</v>
      </c>
      <c r="S243" t="s">
        <v>638</v>
      </c>
      <c r="T243" t="s">
        <v>502</v>
      </c>
      <c r="U243" t="s">
        <v>503</v>
      </c>
    </row>
    <row r="244" spans="1:21" x14ac:dyDescent="0.25">
      <c r="A244" t="s">
        <v>118</v>
      </c>
      <c r="B244" t="s">
        <v>773</v>
      </c>
      <c r="C244">
        <v>154080</v>
      </c>
      <c r="D244" t="s">
        <v>774</v>
      </c>
      <c r="E244" t="s">
        <v>422</v>
      </c>
      <c r="F244" t="s">
        <v>497</v>
      </c>
      <c r="G244" t="s">
        <v>498</v>
      </c>
      <c r="H244" t="s">
        <v>122</v>
      </c>
      <c r="I244" t="s">
        <v>122</v>
      </c>
      <c r="J244" s="127">
        <v>46072.625694444447</v>
      </c>
      <c r="K244" s="127"/>
      <c r="L244" s="127"/>
      <c r="M244" s="127"/>
      <c r="N244" t="s">
        <v>499</v>
      </c>
      <c r="O244" t="s">
        <v>122</v>
      </c>
      <c r="P244" t="s">
        <v>122</v>
      </c>
      <c r="Q244">
        <v>153411</v>
      </c>
      <c r="R244" t="s">
        <v>578</v>
      </c>
      <c r="S244" t="s">
        <v>579</v>
      </c>
      <c r="T244" t="s">
        <v>502</v>
      </c>
      <c r="U244" t="s">
        <v>503</v>
      </c>
    </row>
    <row r="245" spans="1:21" x14ac:dyDescent="0.25">
      <c r="A245" t="s">
        <v>253</v>
      </c>
      <c r="B245" t="s">
        <v>775</v>
      </c>
      <c r="C245">
        <v>153392</v>
      </c>
      <c r="D245" t="s">
        <v>776</v>
      </c>
      <c r="E245" t="s">
        <v>437</v>
      </c>
      <c r="F245" t="s">
        <v>453</v>
      </c>
      <c r="G245" t="s">
        <v>498</v>
      </c>
      <c r="H245" t="s">
        <v>122</v>
      </c>
      <c r="I245" t="s">
        <v>122</v>
      </c>
      <c r="J245" s="127">
        <v>46066.659722222219</v>
      </c>
      <c r="K245" s="127">
        <v>46087.777083333334</v>
      </c>
      <c r="L245" s="127">
        <v>46087.777083333334</v>
      </c>
      <c r="M245" s="127">
        <v>46090.481249999997</v>
      </c>
      <c r="N245" t="s">
        <v>75</v>
      </c>
      <c r="O245" t="s">
        <v>122</v>
      </c>
      <c r="P245" t="s">
        <v>122</v>
      </c>
      <c r="Q245">
        <v>154077</v>
      </c>
      <c r="R245" t="s">
        <v>637</v>
      </c>
      <c r="S245" t="s">
        <v>638</v>
      </c>
      <c r="T245" t="s">
        <v>502</v>
      </c>
      <c r="U245" t="s">
        <v>137</v>
      </c>
    </row>
    <row r="246" spans="1:21" x14ac:dyDescent="0.25">
      <c r="A246" t="s">
        <v>253</v>
      </c>
      <c r="B246" t="s">
        <v>777</v>
      </c>
      <c r="C246">
        <v>153390</v>
      </c>
      <c r="D246" t="s">
        <v>778</v>
      </c>
      <c r="E246" t="s">
        <v>437</v>
      </c>
      <c r="F246" t="s">
        <v>453</v>
      </c>
      <c r="G246" t="s">
        <v>498</v>
      </c>
      <c r="H246" t="s">
        <v>122</v>
      </c>
      <c r="I246" t="s">
        <v>122</v>
      </c>
      <c r="J246" s="127">
        <v>46066.656944444447</v>
      </c>
      <c r="K246" s="127">
        <v>46090.711805555555</v>
      </c>
      <c r="L246" s="127">
        <v>46091.549305555556</v>
      </c>
      <c r="M246" s="127">
        <v>46092.368055555555</v>
      </c>
      <c r="N246" t="s">
        <v>75</v>
      </c>
      <c r="O246" t="s">
        <v>122</v>
      </c>
      <c r="P246" t="s">
        <v>122</v>
      </c>
      <c r="Q246">
        <v>154077</v>
      </c>
      <c r="R246" t="s">
        <v>637</v>
      </c>
      <c r="S246" t="s">
        <v>638</v>
      </c>
      <c r="T246" t="s">
        <v>502</v>
      </c>
      <c r="U246" t="s">
        <v>137</v>
      </c>
    </row>
    <row r="247" spans="1:21" x14ac:dyDescent="0.25">
      <c r="A247" t="s">
        <v>253</v>
      </c>
      <c r="B247" t="s">
        <v>779</v>
      </c>
      <c r="C247">
        <v>153388</v>
      </c>
      <c r="D247" t="s">
        <v>780</v>
      </c>
      <c r="E247" t="s">
        <v>437</v>
      </c>
      <c r="F247" t="s">
        <v>453</v>
      </c>
      <c r="G247" t="s">
        <v>498</v>
      </c>
      <c r="H247" t="s">
        <v>122</v>
      </c>
      <c r="I247" t="s">
        <v>122</v>
      </c>
      <c r="J247" s="127">
        <v>46066.652083333334</v>
      </c>
      <c r="K247" s="127">
        <v>46090.718055555553</v>
      </c>
      <c r="L247" s="127">
        <v>46091.645833333336</v>
      </c>
      <c r="M247" s="127">
        <v>46092.355555555558</v>
      </c>
      <c r="N247" t="s">
        <v>75</v>
      </c>
      <c r="O247" t="s">
        <v>122</v>
      </c>
      <c r="P247" t="s">
        <v>122</v>
      </c>
      <c r="Q247">
        <v>154077</v>
      </c>
      <c r="R247" t="s">
        <v>637</v>
      </c>
      <c r="S247" t="s">
        <v>638</v>
      </c>
      <c r="T247" t="s">
        <v>502</v>
      </c>
      <c r="U247" t="s">
        <v>137</v>
      </c>
    </row>
    <row r="248" spans="1:21" x14ac:dyDescent="0.25">
      <c r="A248" t="s">
        <v>118</v>
      </c>
      <c r="B248" t="s">
        <v>781</v>
      </c>
      <c r="C248">
        <v>153307</v>
      </c>
      <c r="D248" t="s">
        <v>782</v>
      </c>
      <c r="E248" t="s">
        <v>130</v>
      </c>
      <c r="F248" t="s">
        <v>73</v>
      </c>
      <c r="G248" t="s">
        <v>74</v>
      </c>
      <c r="H248" t="s">
        <v>122</v>
      </c>
      <c r="I248" t="s">
        <v>122</v>
      </c>
      <c r="J248" s="127">
        <v>46066.488888888889</v>
      </c>
      <c r="K248" s="127">
        <v>46072.53402777778</v>
      </c>
      <c r="L248" s="127">
        <v>46072</v>
      </c>
      <c r="M248" s="127">
        <v>46076.474999999999</v>
      </c>
      <c r="N248" t="s">
        <v>75</v>
      </c>
      <c r="O248" t="s">
        <v>122</v>
      </c>
      <c r="P248" t="s">
        <v>122</v>
      </c>
      <c r="Q248">
        <v>70450</v>
      </c>
      <c r="R248" t="s">
        <v>601</v>
      </c>
      <c r="S248" t="s">
        <v>602</v>
      </c>
      <c r="T248" t="s">
        <v>476</v>
      </c>
      <c r="U248" t="s">
        <v>137</v>
      </c>
    </row>
    <row r="249" spans="1:21" x14ac:dyDescent="0.25">
      <c r="A249" t="s">
        <v>118</v>
      </c>
      <c r="B249" t="s">
        <v>783</v>
      </c>
      <c r="C249">
        <v>153152</v>
      </c>
      <c r="D249" t="s">
        <v>784</v>
      </c>
      <c r="E249" t="s">
        <v>703</v>
      </c>
      <c r="F249" t="s">
        <v>73</v>
      </c>
      <c r="G249" t="s">
        <v>74</v>
      </c>
      <c r="H249" t="s">
        <v>122</v>
      </c>
      <c r="I249" t="s">
        <v>122</v>
      </c>
      <c r="J249" s="127">
        <v>46065.791666666664</v>
      </c>
      <c r="K249" s="127"/>
      <c r="L249" s="127"/>
      <c r="M249" s="127"/>
      <c r="N249" t="s">
        <v>75</v>
      </c>
      <c r="O249" t="s">
        <v>122</v>
      </c>
      <c r="P249" t="s">
        <v>122</v>
      </c>
      <c r="Q249">
        <v>148932</v>
      </c>
      <c r="R249" t="s">
        <v>785</v>
      </c>
      <c r="S249" t="s">
        <v>786</v>
      </c>
      <c r="T249" t="s">
        <v>476</v>
      </c>
      <c r="U249" t="s">
        <v>137</v>
      </c>
    </row>
    <row r="250" spans="1:21" x14ac:dyDescent="0.25">
      <c r="A250" t="s">
        <v>253</v>
      </c>
      <c r="B250" t="s">
        <v>787</v>
      </c>
      <c r="C250">
        <v>153147</v>
      </c>
      <c r="D250" t="s">
        <v>788</v>
      </c>
      <c r="E250" t="s">
        <v>437</v>
      </c>
      <c r="F250" t="s">
        <v>453</v>
      </c>
      <c r="G250" t="s">
        <v>498</v>
      </c>
      <c r="H250" t="s">
        <v>122</v>
      </c>
      <c r="I250" t="s">
        <v>122</v>
      </c>
      <c r="J250" s="127">
        <v>46065.743055555555</v>
      </c>
      <c r="K250" s="127">
        <v>46092</v>
      </c>
      <c r="L250" s="127">
        <v>46092</v>
      </c>
      <c r="M250" s="127">
        <v>46094.345138888886</v>
      </c>
      <c r="N250" t="s">
        <v>75</v>
      </c>
      <c r="O250" t="s">
        <v>122</v>
      </c>
      <c r="P250" t="s">
        <v>122</v>
      </c>
      <c r="Q250">
        <v>154077</v>
      </c>
      <c r="R250" t="s">
        <v>637</v>
      </c>
      <c r="S250" t="s">
        <v>638</v>
      </c>
      <c r="T250" t="s">
        <v>502</v>
      </c>
      <c r="U250" t="s">
        <v>137</v>
      </c>
    </row>
    <row r="251" spans="1:21" x14ac:dyDescent="0.25">
      <c r="A251" t="s">
        <v>253</v>
      </c>
      <c r="B251" t="s">
        <v>789</v>
      </c>
      <c r="C251">
        <v>153145</v>
      </c>
      <c r="D251" t="s">
        <v>790</v>
      </c>
      <c r="E251" t="s">
        <v>437</v>
      </c>
      <c r="F251" t="s">
        <v>79</v>
      </c>
      <c r="G251" t="s">
        <v>513</v>
      </c>
      <c r="H251" t="s">
        <v>122</v>
      </c>
      <c r="I251" t="s">
        <v>122</v>
      </c>
      <c r="J251" s="127">
        <v>46065.731249999997</v>
      </c>
      <c r="K251" s="127">
        <v>46078</v>
      </c>
      <c r="L251" s="127">
        <v>46078</v>
      </c>
      <c r="M251" s="127">
        <v>46080.443055555559</v>
      </c>
      <c r="N251" t="s">
        <v>72</v>
      </c>
      <c r="O251" t="s">
        <v>122</v>
      </c>
      <c r="P251" t="s">
        <v>122</v>
      </c>
      <c r="Q251">
        <v>149148</v>
      </c>
      <c r="R251" t="s">
        <v>493</v>
      </c>
      <c r="S251" t="s">
        <v>494</v>
      </c>
      <c r="T251" t="s">
        <v>546</v>
      </c>
      <c r="U251" t="s">
        <v>126</v>
      </c>
    </row>
    <row r="252" spans="1:21" x14ac:dyDescent="0.25">
      <c r="A252" t="s">
        <v>118</v>
      </c>
      <c r="B252" t="s">
        <v>791</v>
      </c>
      <c r="C252">
        <v>153100</v>
      </c>
      <c r="D252" t="s">
        <v>792</v>
      </c>
      <c r="E252" t="s">
        <v>508</v>
      </c>
      <c r="F252" t="s">
        <v>73</v>
      </c>
      <c r="G252" t="s">
        <v>74</v>
      </c>
      <c r="H252" t="s">
        <v>122</v>
      </c>
      <c r="I252" t="s">
        <v>122</v>
      </c>
      <c r="J252" s="127">
        <v>46065.620138888888</v>
      </c>
      <c r="K252" s="127">
        <v>46094.540972222225</v>
      </c>
      <c r="L252" s="127">
        <v>46094</v>
      </c>
      <c r="M252" s="127"/>
      <c r="N252" t="s">
        <v>75</v>
      </c>
      <c r="O252" t="s">
        <v>122</v>
      </c>
      <c r="P252" t="s">
        <v>122</v>
      </c>
      <c r="Q252">
        <v>149664</v>
      </c>
      <c r="R252" t="s">
        <v>474</v>
      </c>
      <c r="S252" t="s">
        <v>475</v>
      </c>
      <c r="T252" t="s">
        <v>476</v>
      </c>
      <c r="U252" t="s">
        <v>137</v>
      </c>
    </row>
    <row r="253" spans="1:21" x14ac:dyDescent="0.25">
      <c r="A253" t="s">
        <v>118</v>
      </c>
      <c r="B253" t="s">
        <v>793</v>
      </c>
      <c r="C253">
        <v>152996</v>
      </c>
      <c r="D253" t="s">
        <v>794</v>
      </c>
      <c r="E253" t="s">
        <v>249</v>
      </c>
      <c r="F253" t="s">
        <v>73</v>
      </c>
      <c r="G253" t="s">
        <v>80</v>
      </c>
      <c r="H253" t="s">
        <v>74</v>
      </c>
      <c r="I253" t="s">
        <v>122</v>
      </c>
      <c r="J253" s="127">
        <v>46065.498611111114</v>
      </c>
      <c r="K253" s="127">
        <v>46090.59375</v>
      </c>
      <c r="L253" s="127"/>
      <c r="M253" s="127"/>
      <c r="N253" t="s">
        <v>75</v>
      </c>
      <c r="O253" t="s">
        <v>122</v>
      </c>
      <c r="P253" t="s">
        <v>122</v>
      </c>
      <c r="Q253">
        <v>152988</v>
      </c>
      <c r="R253" t="s">
        <v>795</v>
      </c>
      <c r="S253" t="s">
        <v>796</v>
      </c>
      <c r="T253" t="s">
        <v>797</v>
      </c>
      <c r="U253" t="s">
        <v>137</v>
      </c>
    </row>
    <row r="254" spans="1:21" x14ac:dyDescent="0.25">
      <c r="A254" t="s">
        <v>118</v>
      </c>
      <c r="B254" t="s">
        <v>798</v>
      </c>
      <c r="C254">
        <v>152994</v>
      </c>
      <c r="D254" t="s">
        <v>799</v>
      </c>
      <c r="E254" t="s">
        <v>519</v>
      </c>
      <c r="F254" t="s">
        <v>73</v>
      </c>
      <c r="G254" t="s">
        <v>80</v>
      </c>
      <c r="H254" t="s">
        <v>74</v>
      </c>
      <c r="I254" t="s">
        <v>122</v>
      </c>
      <c r="J254" s="127">
        <v>46065.494444444441</v>
      </c>
      <c r="K254" s="127">
        <v>46084.502083333333</v>
      </c>
      <c r="L254" s="127">
        <v>46084</v>
      </c>
      <c r="M254" s="127"/>
      <c r="N254" t="s">
        <v>75</v>
      </c>
      <c r="O254" t="s">
        <v>122</v>
      </c>
      <c r="P254" t="s">
        <v>122</v>
      </c>
      <c r="Q254">
        <v>152988</v>
      </c>
      <c r="R254" t="s">
        <v>795</v>
      </c>
      <c r="S254" t="s">
        <v>796</v>
      </c>
      <c r="T254" t="s">
        <v>797</v>
      </c>
      <c r="U254" t="s">
        <v>137</v>
      </c>
    </row>
    <row r="255" spans="1:21" x14ac:dyDescent="0.25">
      <c r="A255" t="s">
        <v>118</v>
      </c>
      <c r="B255" t="s">
        <v>800</v>
      </c>
      <c r="C255">
        <v>152786</v>
      </c>
      <c r="D255" t="s">
        <v>801</v>
      </c>
      <c r="E255" t="s">
        <v>266</v>
      </c>
      <c r="F255" t="s">
        <v>79</v>
      </c>
      <c r="G255" t="s">
        <v>80</v>
      </c>
      <c r="H255" t="s">
        <v>122</v>
      </c>
      <c r="I255" t="s">
        <v>122</v>
      </c>
      <c r="J255" s="127">
        <v>46064.76458333333</v>
      </c>
      <c r="K255" s="127">
        <v>46104.720833333333</v>
      </c>
      <c r="L255" s="127">
        <v>46105</v>
      </c>
      <c r="M255" s="127"/>
      <c r="N255" t="s">
        <v>75</v>
      </c>
      <c r="O255" t="s">
        <v>122</v>
      </c>
      <c r="P255" t="s">
        <v>122</v>
      </c>
      <c r="Q255">
        <v>151403</v>
      </c>
      <c r="R255" t="s">
        <v>590</v>
      </c>
      <c r="S255" t="s">
        <v>591</v>
      </c>
      <c r="T255" t="s">
        <v>471</v>
      </c>
      <c r="U255" t="s">
        <v>137</v>
      </c>
    </row>
    <row r="256" spans="1:21" x14ac:dyDescent="0.25">
      <c r="A256" t="s">
        <v>118</v>
      </c>
      <c r="B256" t="s">
        <v>802</v>
      </c>
      <c r="C256">
        <v>151834</v>
      </c>
      <c r="D256" t="s">
        <v>803</v>
      </c>
      <c r="E256" t="s">
        <v>422</v>
      </c>
      <c r="F256" t="s">
        <v>76</v>
      </c>
      <c r="G256" t="s">
        <v>77</v>
      </c>
      <c r="H256" t="s">
        <v>122</v>
      </c>
      <c r="I256" t="s">
        <v>122</v>
      </c>
      <c r="J256" s="127">
        <v>46063.457638888889</v>
      </c>
      <c r="K256" s="127"/>
      <c r="L256" s="127"/>
      <c r="M256" s="127"/>
      <c r="N256" t="s">
        <v>75</v>
      </c>
      <c r="O256" t="s">
        <v>122</v>
      </c>
      <c r="P256" t="s">
        <v>122</v>
      </c>
      <c r="Q256">
        <v>149142</v>
      </c>
      <c r="R256" t="s">
        <v>804</v>
      </c>
      <c r="S256" t="s">
        <v>805</v>
      </c>
      <c r="T256" t="s">
        <v>481</v>
      </c>
      <c r="U256" t="s">
        <v>137</v>
      </c>
    </row>
    <row r="257" spans="1:21" x14ac:dyDescent="0.25">
      <c r="A257" t="s">
        <v>118</v>
      </c>
      <c r="B257" t="s">
        <v>806</v>
      </c>
      <c r="C257">
        <v>151710</v>
      </c>
      <c r="D257" t="s">
        <v>807</v>
      </c>
      <c r="E257" t="s">
        <v>121</v>
      </c>
      <c r="F257" t="s">
        <v>73</v>
      </c>
      <c r="G257" t="s">
        <v>74</v>
      </c>
      <c r="H257" t="s">
        <v>122</v>
      </c>
      <c r="I257" t="s">
        <v>122</v>
      </c>
      <c r="J257" s="127">
        <v>46062.661111111112</v>
      </c>
      <c r="K257" s="127"/>
      <c r="L257" s="127"/>
      <c r="M257" s="127"/>
      <c r="N257" t="s">
        <v>75</v>
      </c>
      <c r="O257" t="s">
        <v>122</v>
      </c>
      <c r="P257" t="s">
        <v>122</v>
      </c>
      <c r="Q257">
        <v>152988</v>
      </c>
      <c r="R257" t="s">
        <v>795</v>
      </c>
      <c r="S257" t="s">
        <v>796</v>
      </c>
      <c r="T257" t="s">
        <v>476</v>
      </c>
      <c r="U257" t="s">
        <v>137</v>
      </c>
    </row>
    <row r="258" spans="1:21" x14ac:dyDescent="0.25">
      <c r="A258" t="s">
        <v>253</v>
      </c>
      <c r="B258" t="s">
        <v>808</v>
      </c>
      <c r="C258">
        <v>151554</v>
      </c>
      <c r="D258" t="s">
        <v>809</v>
      </c>
      <c r="E258" t="s">
        <v>121</v>
      </c>
      <c r="F258" t="s">
        <v>122</v>
      </c>
      <c r="G258" t="s">
        <v>80</v>
      </c>
      <c r="H258" t="s">
        <v>122</v>
      </c>
      <c r="I258" t="s">
        <v>122</v>
      </c>
      <c r="J258" s="127">
        <v>46062.370138888888</v>
      </c>
      <c r="K258" s="127"/>
      <c r="L258" s="127"/>
      <c r="M258" s="127"/>
      <c r="N258" t="s">
        <v>72</v>
      </c>
      <c r="O258" t="s">
        <v>122</v>
      </c>
      <c r="P258" t="s">
        <v>122</v>
      </c>
      <c r="Q258">
        <v>149135</v>
      </c>
      <c r="R258" t="s">
        <v>810</v>
      </c>
      <c r="S258" t="s">
        <v>494</v>
      </c>
      <c r="T258" t="s">
        <v>471</v>
      </c>
      <c r="U258" t="s">
        <v>126</v>
      </c>
    </row>
    <row r="259" spans="1:21" x14ac:dyDescent="0.25">
      <c r="A259" t="s">
        <v>253</v>
      </c>
      <c r="B259" t="s">
        <v>811</v>
      </c>
      <c r="C259">
        <v>151351</v>
      </c>
      <c r="D259" t="s">
        <v>812</v>
      </c>
      <c r="E259" t="s">
        <v>437</v>
      </c>
      <c r="F259" t="s">
        <v>82</v>
      </c>
      <c r="G259" t="s">
        <v>80</v>
      </c>
      <c r="H259" t="s">
        <v>122</v>
      </c>
      <c r="I259" t="s">
        <v>122</v>
      </c>
      <c r="J259" s="127">
        <v>46059.504166666666</v>
      </c>
      <c r="K259" s="127">
        <v>46059</v>
      </c>
      <c r="L259" s="127">
        <v>46059</v>
      </c>
      <c r="M259" s="127">
        <v>46059.731249999997</v>
      </c>
      <c r="N259" t="s">
        <v>72</v>
      </c>
      <c r="O259" t="s">
        <v>122</v>
      </c>
      <c r="P259" t="s">
        <v>122</v>
      </c>
      <c r="Q259">
        <v>149135</v>
      </c>
      <c r="R259" t="s">
        <v>810</v>
      </c>
      <c r="S259" t="s">
        <v>494</v>
      </c>
      <c r="T259" t="s">
        <v>471</v>
      </c>
      <c r="U259" t="s">
        <v>126</v>
      </c>
    </row>
    <row r="260" spans="1:21" x14ac:dyDescent="0.25">
      <c r="A260" t="s">
        <v>127</v>
      </c>
      <c r="B260" t="s">
        <v>813</v>
      </c>
      <c r="C260">
        <v>151320</v>
      </c>
      <c r="D260" t="s">
        <v>814</v>
      </c>
      <c r="E260" t="s">
        <v>130</v>
      </c>
      <c r="F260" t="s">
        <v>82</v>
      </c>
      <c r="G260" t="s">
        <v>80</v>
      </c>
      <c r="H260" t="s">
        <v>122</v>
      </c>
      <c r="I260" t="s">
        <v>122</v>
      </c>
      <c r="J260" s="127">
        <v>46059.476388888892</v>
      </c>
      <c r="K260" s="127">
        <v>46059.823611111111</v>
      </c>
      <c r="L260" s="127">
        <v>46059.823611111111</v>
      </c>
      <c r="M260" s="127">
        <v>46062.628472222219</v>
      </c>
      <c r="N260" t="s">
        <v>72</v>
      </c>
      <c r="O260" t="s">
        <v>122</v>
      </c>
      <c r="P260" t="s">
        <v>122</v>
      </c>
      <c r="Q260">
        <v>149135</v>
      </c>
      <c r="R260" t="s">
        <v>810</v>
      </c>
      <c r="S260" t="s">
        <v>494</v>
      </c>
      <c r="T260" t="s">
        <v>471</v>
      </c>
      <c r="U260" t="s">
        <v>126</v>
      </c>
    </row>
    <row r="261" spans="1:21" x14ac:dyDescent="0.25">
      <c r="A261" t="s">
        <v>253</v>
      </c>
      <c r="B261" t="s">
        <v>815</v>
      </c>
      <c r="C261">
        <v>151309</v>
      </c>
      <c r="D261" t="s">
        <v>816</v>
      </c>
      <c r="E261" t="s">
        <v>437</v>
      </c>
      <c r="F261" t="s">
        <v>73</v>
      </c>
      <c r="G261" t="s">
        <v>74</v>
      </c>
      <c r="H261" t="s">
        <v>122</v>
      </c>
      <c r="I261" t="s">
        <v>122</v>
      </c>
      <c r="J261" s="127">
        <v>46059.423611111109</v>
      </c>
      <c r="K261" s="127">
        <v>46062</v>
      </c>
      <c r="L261" s="127">
        <v>46062</v>
      </c>
      <c r="M261" s="127">
        <v>46062.447222222225</v>
      </c>
      <c r="N261" t="s">
        <v>75</v>
      </c>
      <c r="O261" t="s">
        <v>122</v>
      </c>
      <c r="P261" t="s">
        <v>122</v>
      </c>
      <c r="R261" t="s">
        <v>122</v>
      </c>
      <c r="S261" t="s">
        <v>122</v>
      </c>
      <c r="T261" t="s">
        <v>476</v>
      </c>
      <c r="U261" t="s">
        <v>137</v>
      </c>
    </row>
    <row r="262" spans="1:21" x14ac:dyDescent="0.25">
      <c r="A262" t="s">
        <v>118</v>
      </c>
      <c r="B262" t="s">
        <v>817</v>
      </c>
      <c r="C262">
        <v>151296</v>
      </c>
      <c r="D262" t="s">
        <v>818</v>
      </c>
      <c r="E262" t="s">
        <v>130</v>
      </c>
      <c r="F262" t="s">
        <v>73</v>
      </c>
      <c r="G262" t="s">
        <v>74</v>
      </c>
      <c r="H262" t="s">
        <v>122</v>
      </c>
      <c r="I262" t="s">
        <v>122</v>
      </c>
      <c r="J262" s="127">
        <v>46059.364583333336</v>
      </c>
      <c r="K262" s="127">
        <v>46064.50277777778</v>
      </c>
      <c r="L262" s="127">
        <v>46064</v>
      </c>
      <c r="M262" s="127">
        <v>46066.406944444447</v>
      </c>
      <c r="N262" t="s">
        <v>75</v>
      </c>
      <c r="O262" t="s">
        <v>122</v>
      </c>
      <c r="P262" t="s">
        <v>122</v>
      </c>
      <c r="Q262">
        <v>70450</v>
      </c>
      <c r="R262" t="s">
        <v>601</v>
      </c>
      <c r="S262" t="s">
        <v>602</v>
      </c>
      <c r="T262" t="s">
        <v>476</v>
      </c>
      <c r="U262" t="s">
        <v>137</v>
      </c>
    </row>
    <row r="263" spans="1:21" x14ac:dyDescent="0.25">
      <c r="A263" t="s">
        <v>253</v>
      </c>
      <c r="B263" t="s">
        <v>819</v>
      </c>
      <c r="C263">
        <v>151295</v>
      </c>
      <c r="D263" t="s">
        <v>820</v>
      </c>
      <c r="E263" t="s">
        <v>223</v>
      </c>
      <c r="F263" t="s">
        <v>79</v>
      </c>
      <c r="G263" t="s">
        <v>513</v>
      </c>
      <c r="H263" t="s">
        <v>122</v>
      </c>
      <c r="I263" t="s">
        <v>122</v>
      </c>
      <c r="J263" s="127">
        <v>46059.332638888889</v>
      </c>
      <c r="K263" s="127"/>
      <c r="L263" s="127"/>
      <c r="M263" s="127">
        <v>46078.658333333333</v>
      </c>
      <c r="N263" t="s">
        <v>72</v>
      </c>
      <c r="O263" t="s">
        <v>122</v>
      </c>
      <c r="P263" t="s">
        <v>122</v>
      </c>
      <c r="Q263">
        <v>149148</v>
      </c>
      <c r="R263" t="s">
        <v>493</v>
      </c>
      <c r="S263" t="s">
        <v>494</v>
      </c>
      <c r="T263" t="s">
        <v>546</v>
      </c>
      <c r="U263" t="s">
        <v>126</v>
      </c>
    </row>
    <row r="264" spans="1:21" x14ac:dyDescent="0.25">
      <c r="A264" t="s">
        <v>253</v>
      </c>
      <c r="B264" t="s">
        <v>821</v>
      </c>
      <c r="C264">
        <v>151293</v>
      </c>
      <c r="D264" t="s">
        <v>822</v>
      </c>
      <c r="E264" t="s">
        <v>437</v>
      </c>
      <c r="F264" t="s">
        <v>79</v>
      </c>
      <c r="G264" t="s">
        <v>513</v>
      </c>
      <c r="H264" t="s">
        <v>122</v>
      </c>
      <c r="I264" t="s">
        <v>122</v>
      </c>
      <c r="J264" s="127">
        <v>46059.324999999997</v>
      </c>
      <c r="K264" s="127">
        <v>46059</v>
      </c>
      <c r="L264" s="127">
        <v>46059</v>
      </c>
      <c r="M264" s="127">
        <v>46059.65625</v>
      </c>
      <c r="N264" t="s">
        <v>72</v>
      </c>
      <c r="O264" t="s">
        <v>122</v>
      </c>
      <c r="P264" t="s">
        <v>122</v>
      </c>
      <c r="Q264">
        <v>149148</v>
      </c>
      <c r="R264" t="s">
        <v>493</v>
      </c>
      <c r="S264" t="s">
        <v>494</v>
      </c>
      <c r="T264" t="s">
        <v>546</v>
      </c>
      <c r="U264" t="s">
        <v>126</v>
      </c>
    </row>
    <row r="265" spans="1:21" x14ac:dyDescent="0.25">
      <c r="A265" t="s">
        <v>118</v>
      </c>
      <c r="B265" t="s">
        <v>823</v>
      </c>
      <c r="C265">
        <v>151221</v>
      </c>
      <c r="D265" t="s">
        <v>824</v>
      </c>
      <c r="E265" t="s">
        <v>825</v>
      </c>
      <c r="F265" t="s">
        <v>79</v>
      </c>
      <c r="G265" t="s">
        <v>80</v>
      </c>
      <c r="H265" t="s">
        <v>122</v>
      </c>
      <c r="I265" t="s">
        <v>122</v>
      </c>
      <c r="J265" s="127">
        <v>46058.752083333333</v>
      </c>
      <c r="K265" s="127">
        <v>46090</v>
      </c>
      <c r="L265" s="127">
        <v>46100</v>
      </c>
      <c r="M265" s="127"/>
      <c r="N265" t="s">
        <v>75</v>
      </c>
      <c r="O265" t="s">
        <v>122</v>
      </c>
      <c r="P265" t="s">
        <v>122</v>
      </c>
      <c r="Q265">
        <v>151171</v>
      </c>
      <c r="R265" t="s">
        <v>826</v>
      </c>
      <c r="S265" t="s">
        <v>827</v>
      </c>
      <c r="T265" t="s">
        <v>471</v>
      </c>
      <c r="U265" t="s">
        <v>137</v>
      </c>
    </row>
    <row r="266" spans="1:21" x14ac:dyDescent="0.25">
      <c r="A266" t="s">
        <v>127</v>
      </c>
      <c r="B266" t="s">
        <v>828</v>
      </c>
      <c r="C266">
        <v>151219</v>
      </c>
      <c r="D266" t="s">
        <v>829</v>
      </c>
      <c r="E266" t="s">
        <v>130</v>
      </c>
      <c r="F266" t="s">
        <v>79</v>
      </c>
      <c r="G266" t="s">
        <v>513</v>
      </c>
      <c r="H266" t="s">
        <v>122</v>
      </c>
      <c r="I266" t="s">
        <v>122</v>
      </c>
      <c r="J266" s="127">
        <v>46058.750694444447</v>
      </c>
      <c r="K266" s="127">
        <v>46059.606944444444</v>
      </c>
      <c r="L266" s="127">
        <v>46059.606944444444</v>
      </c>
      <c r="M266" s="127">
        <v>46059.714583333334</v>
      </c>
      <c r="N266" t="s">
        <v>72</v>
      </c>
      <c r="O266" t="s">
        <v>122</v>
      </c>
      <c r="P266" t="s">
        <v>122</v>
      </c>
      <c r="Q266">
        <v>149148</v>
      </c>
      <c r="R266" t="s">
        <v>493</v>
      </c>
      <c r="S266" t="s">
        <v>494</v>
      </c>
      <c r="T266" t="s">
        <v>546</v>
      </c>
      <c r="U266" t="s">
        <v>126</v>
      </c>
    </row>
    <row r="267" spans="1:21" x14ac:dyDescent="0.25">
      <c r="A267" t="s">
        <v>253</v>
      </c>
      <c r="B267" t="s">
        <v>830</v>
      </c>
      <c r="C267">
        <v>151209</v>
      </c>
      <c r="D267" t="s">
        <v>831</v>
      </c>
      <c r="E267" t="s">
        <v>223</v>
      </c>
      <c r="F267" t="s">
        <v>79</v>
      </c>
      <c r="G267" t="s">
        <v>540</v>
      </c>
      <c r="H267" t="s">
        <v>513</v>
      </c>
      <c r="I267" t="s">
        <v>122</v>
      </c>
      <c r="J267" s="127">
        <v>46058.714583333334</v>
      </c>
      <c r="K267" s="127"/>
      <c r="L267" s="127"/>
      <c r="M267" s="127">
        <v>46078.427083333336</v>
      </c>
      <c r="N267" t="s">
        <v>72</v>
      </c>
      <c r="O267" t="s">
        <v>122</v>
      </c>
      <c r="P267" t="s">
        <v>122</v>
      </c>
      <c r="Q267">
        <v>149148</v>
      </c>
      <c r="R267" t="s">
        <v>493</v>
      </c>
      <c r="S267" t="s">
        <v>494</v>
      </c>
      <c r="T267" t="s">
        <v>541</v>
      </c>
      <c r="U267" t="s">
        <v>126</v>
      </c>
    </row>
    <row r="268" spans="1:21" x14ac:dyDescent="0.25">
      <c r="A268" t="s">
        <v>253</v>
      </c>
      <c r="B268" t="s">
        <v>832</v>
      </c>
      <c r="C268">
        <v>151207</v>
      </c>
      <c r="D268" t="s">
        <v>833</v>
      </c>
      <c r="E268" t="s">
        <v>437</v>
      </c>
      <c r="F268" t="s">
        <v>82</v>
      </c>
      <c r="G268" t="s">
        <v>80</v>
      </c>
      <c r="H268" t="s">
        <v>122</v>
      </c>
      <c r="I268" t="s">
        <v>122</v>
      </c>
      <c r="J268" s="127">
        <v>46058.713888888888</v>
      </c>
      <c r="K268" s="127">
        <v>46059.097222222219</v>
      </c>
      <c r="L268" s="127">
        <v>46059</v>
      </c>
      <c r="M268" s="127">
        <v>46058.972222222219</v>
      </c>
      <c r="N268" t="s">
        <v>72</v>
      </c>
      <c r="O268" t="s">
        <v>122</v>
      </c>
      <c r="P268" t="s">
        <v>122</v>
      </c>
      <c r="Q268">
        <v>149135</v>
      </c>
      <c r="R268" t="s">
        <v>810</v>
      </c>
      <c r="S268" t="s">
        <v>494</v>
      </c>
      <c r="T268" t="s">
        <v>471</v>
      </c>
      <c r="U268" t="s">
        <v>126</v>
      </c>
    </row>
    <row r="269" spans="1:21" x14ac:dyDescent="0.25">
      <c r="A269" t="s">
        <v>118</v>
      </c>
      <c r="B269" t="s">
        <v>834</v>
      </c>
      <c r="C269">
        <v>151170</v>
      </c>
      <c r="D269" t="s">
        <v>824</v>
      </c>
      <c r="E269" t="s">
        <v>223</v>
      </c>
      <c r="F269" t="s">
        <v>79</v>
      </c>
      <c r="G269" t="s">
        <v>80</v>
      </c>
      <c r="H269" t="s">
        <v>122</v>
      </c>
      <c r="I269" t="s">
        <v>122</v>
      </c>
      <c r="J269" s="127">
        <v>46058.654861111114</v>
      </c>
      <c r="K269" s="127">
        <v>46090</v>
      </c>
      <c r="L269" s="127"/>
      <c r="M269" s="127">
        <v>46093.487500000003</v>
      </c>
      <c r="N269" t="s">
        <v>75</v>
      </c>
      <c r="O269" t="s">
        <v>122</v>
      </c>
      <c r="P269" t="s">
        <v>122</v>
      </c>
      <c r="Q269">
        <v>151171</v>
      </c>
      <c r="R269" t="s">
        <v>826</v>
      </c>
      <c r="S269" t="s">
        <v>827</v>
      </c>
      <c r="T269" t="s">
        <v>471</v>
      </c>
      <c r="U269" t="s">
        <v>137</v>
      </c>
    </row>
    <row r="270" spans="1:21" x14ac:dyDescent="0.25">
      <c r="A270" t="s">
        <v>118</v>
      </c>
      <c r="B270" t="s">
        <v>835</v>
      </c>
      <c r="C270">
        <v>151166</v>
      </c>
      <c r="D270" t="s">
        <v>836</v>
      </c>
      <c r="E270" t="s">
        <v>130</v>
      </c>
      <c r="F270" t="s">
        <v>79</v>
      </c>
      <c r="G270" t="s">
        <v>80</v>
      </c>
      <c r="H270" t="s">
        <v>122</v>
      </c>
      <c r="I270" t="s">
        <v>122</v>
      </c>
      <c r="J270" s="127">
        <v>46058.643055555556</v>
      </c>
      <c r="K270" s="127">
        <v>46083.525694444441</v>
      </c>
      <c r="L270" s="127">
        <v>46091.618750000001</v>
      </c>
      <c r="M270" s="127">
        <v>46101.561111111114</v>
      </c>
      <c r="N270" t="s">
        <v>75</v>
      </c>
      <c r="O270" t="s">
        <v>122</v>
      </c>
      <c r="P270" t="s">
        <v>122</v>
      </c>
      <c r="Q270">
        <v>151171</v>
      </c>
      <c r="R270" t="s">
        <v>826</v>
      </c>
      <c r="S270" t="s">
        <v>827</v>
      </c>
      <c r="T270" t="s">
        <v>471</v>
      </c>
      <c r="U270" t="s">
        <v>137</v>
      </c>
    </row>
    <row r="271" spans="1:21" x14ac:dyDescent="0.25">
      <c r="A271" t="s">
        <v>253</v>
      </c>
      <c r="B271" t="s">
        <v>837</v>
      </c>
      <c r="C271">
        <v>151163</v>
      </c>
      <c r="D271" t="s">
        <v>838</v>
      </c>
      <c r="E271" t="s">
        <v>437</v>
      </c>
      <c r="F271" t="s">
        <v>79</v>
      </c>
      <c r="G271" t="s">
        <v>513</v>
      </c>
      <c r="H271" t="s">
        <v>122</v>
      </c>
      <c r="I271" t="s">
        <v>122</v>
      </c>
      <c r="J271" s="127">
        <v>46058.631944444445</v>
      </c>
      <c r="K271" s="127">
        <v>46059</v>
      </c>
      <c r="L271" s="127">
        <v>46059</v>
      </c>
      <c r="M271" s="127">
        <v>46059.654861111114</v>
      </c>
      <c r="N271" t="s">
        <v>72</v>
      </c>
      <c r="O271" t="s">
        <v>122</v>
      </c>
      <c r="P271" t="s">
        <v>122</v>
      </c>
      <c r="Q271">
        <v>149148</v>
      </c>
      <c r="R271" t="s">
        <v>493</v>
      </c>
      <c r="S271" t="s">
        <v>494</v>
      </c>
      <c r="T271" t="s">
        <v>546</v>
      </c>
      <c r="U271" t="s">
        <v>126</v>
      </c>
    </row>
    <row r="272" spans="1:21" x14ac:dyDescent="0.25">
      <c r="A272" t="s">
        <v>118</v>
      </c>
      <c r="B272" t="s">
        <v>839</v>
      </c>
      <c r="C272">
        <v>151161</v>
      </c>
      <c r="D272" t="s">
        <v>840</v>
      </c>
      <c r="E272" t="s">
        <v>130</v>
      </c>
      <c r="F272" t="s">
        <v>79</v>
      </c>
      <c r="G272" t="s">
        <v>80</v>
      </c>
      <c r="H272" t="s">
        <v>122</v>
      </c>
      <c r="I272" t="s">
        <v>122</v>
      </c>
      <c r="J272" s="127">
        <v>46058.631249999999</v>
      </c>
      <c r="K272" s="127">
        <v>46071.707638888889</v>
      </c>
      <c r="L272" s="127">
        <v>46071</v>
      </c>
      <c r="M272" s="127">
        <v>46087.469444444447</v>
      </c>
      <c r="N272" t="s">
        <v>75</v>
      </c>
      <c r="O272" t="s">
        <v>122</v>
      </c>
      <c r="P272" t="s">
        <v>122</v>
      </c>
      <c r="Q272">
        <v>148387</v>
      </c>
      <c r="R272" t="s">
        <v>555</v>
      </c>
      <c r="S272" t="s">
        <v>556</v>
      </c>
      <c r="T272" t="s">
        <v>471</v>
      </c>
      <c r="U272" t="s">
        <v>137</v>
      </c>
    </row>
    <row r="273" spans="1:21" x14ac:dyDescent="0.25">
      <c r="A273" t="s">
        <v>253</v>
      </c>
      <c r="B273" t="s">
        <v>841</v>
      </c>
      <c r="C273">
        <v>151159</v>
      </c>
      <c r="D273" t="s">
        <v>842</v>
      </c>
      <c r="E273" t="s">
        <v>437</v>
      </c>
      <c r="F273" t="s">
        <v>79</v>
      </c>
      <c r="G273" t="s">
        <v>513</v>
      </c>
      <c r="H273" t="s">
        <v>122</v>
      </c>
      <c r="I273" t="s">
        <v>122</v>
      </c>
      <c r="J273" s="127">
        <v>46058.625</v>
      </c>
      <c r="K273" s="127">
        <v>46059</v>
      </c>
      <c r="L273" s="127">
        <v>46059</v>
      </c>
      <c r="M273" s="127">
        <v>46059.652083333334</v>
      </c>
      <c r="N273" t="s">
        <v>72</v>
      </c>
      <c r="O273" t="s">
        <v>122</v>
      </c>
      <c r="P273" t="s">
        <v>122</v>
      </c>
      <c r="Q273">
        <v>149148</v>
      </c>
      <c r="R273" t="s">
        <v>493</v>
      </c>
      <c r="S273" t="s">
        <v>494</v>
      </c>
      <c r="T273" t="s">
        <v>546</v>
      </c>
      <c r="U273" t="s">
        <v>126</v>
      </c>
    </row>
    <row r="274" spans="1:21" x14ac:dyDescent="0.25">
      <c r="A274" t="s">
        <v>118</v>
      </c>
      <c r="B274" t="s">
        <v>843</v>
      </c>
      <c r="C274">
        <v>151156</v>
      </c>
      <c r="D274" t="s">
        <v>844</v>
      </c>
      <c r="E274" t="s">
        <v>130</v>
      </c>
      <c r="F274" t="s">
        <v>79</v>
      </c>
      <c r="G274" t="s">
        <v>80</v>
      </c>
      <c r="H274" t="s">
        <v>122</v>
      </c>
      <c r="I274" t="s">
        <v>122</v>
      </c>
      <c r="J274" s="127">
        <v>46058.606249999997</v>
      </c>
      <c r="K274" s="127">
        <v>46071.707638888889</v>
      </c>
      <c r="L274" s="127">
        <v>46071</v>
      </c>
      <c r="M274" s="127">
        <v>46087.461111111108</v>
      </c>
      <c r="N274" t="s">
        <v>75</v>
      </c>
      <c r="O274" t="s">
        <v>122</v>
      </c>
      <c r="P274" t="s">
        <v>122</v>
      </c>
      <c r="Q274">
        <v>148387</v>
      </c>
      <c r="R274" t="s">
        <v>555</v>
      </c>
      <c r="S274" t="s">
        <v>556</v>
      </c>
      <c r="T274" t="s">
        <v>471</v>
      </c>
      <c r="U274" t="s">
        <v>137</v>
      </c>
    </row>
    <row r="275" spans="1:21" x14ac:dyDescent="0.25">
      <c r="A275" t="s">
        <v>127</v>
      </c>
      <c r="B275" t="s">
        <v>845</v>
      </c>
      <c r="C275">
        <v>151153</v>
      </c>
      <c r="D275" t="s">
        <v>846</v>
      </c>
      <c r="E275" t="s">
        <v>130</v>
      </c>
      <c r="F275" t="s">
        <v>90</v>
      </c>
      <c r="G275" t="s">
        <v>145</v>
      </c>
      <c r="H275" t="s">
        <v>80</v>
      </c>
      <c r="I275" t="s">
        <v>122</v>
      </c>
      <c r="J275" s="127">
        <v>46058.6</v>
      </c>
      <c r="K275" s="127">
        <v>46058</v>
      </c>
      <c r="L275" s="127">
        <v>46058</v>
      </c>
      <c r="M275" s="127">
        <v>46062.411805555559</v>
      </c>
      <c r="N275" t="s">
        <v>78</v>
      </c>
      <c r="O275" t="s">
        <v>122</v>
      </c>
      <c r="P275" t="s">
        <v>122</v>
      </c>
      <c r="Q275">
        <v>99226</v>
      </c>
      <c r="R275" t="s">
        <v>847</v>
      </c>
      <c r="S275" t="s">
        <v>848</v>
      </c>
      <c r="T275" t="s">
        <v>849</v>
      </c>
      <c r="U275" t="s">
        <v>462</v>
      </c>
    </row>
    <row r="276" spans="1:21" x14ac:dyDescent="0.25">
      <c r="A276" t="s">
        <v>118</v>
      </c>
      <c r="B276" t="s">
        <v>850</v>
      </c>
      <c r="C276">
        <v>151078</v>
      </c>
      <c r="D276" t="s">
        <v>851</v>
      </c>
      <c r="E276" t="s">
        <v>130</v>
      </c>
      <c r="F276" t="s">
        <v>73</v>
      </c>
      <c r="G276" t="s">
        <v>74</v>
      </c>
      <c r="H276" t="s">
        <v>122</v>
      </c>
      <c r="I276" t="s">
        <v>122</v>
      </c>
      <c r="J276" s="127">
        <v>46058.409722222219</v>
      </c>
      <c r="K276" s="127">
        <v>46078.542361111111</v>
      </c>
      <c r="L276" s="127">
        <v>46078</v>
      </c>
      <c r="M276" s="127">
        <v>46086.568055555559</v>
      </c>
      <c r="N276" t="s">
        <v>75</v>
      </c>
      <c r="O276" t="s">
        <v>122</v>
      </c>
      <c r="P276" t="s">
        <v>122</v>
      </c>
      <c r="Q276">
        <v>70450</v>
      </c>
      <c r="R276" t="s">
        <v>601</v>
      </c>
      <c r="S276" t="s">
        <v>602</v>
      </c>
      <c r="T276" t="s">
        <v>476</v>
      </c>
      <c r="U276" t="s">
        <v>137</v>
      </c>
    </row>
    <row r="277" spans="1:21" x14ac:dyDescent="0.25">
      <c r="A277" t="s">
        <v>253</v>
      </c>
      <c r="B277" t="s">
        <v>852</v>
      </c>
      <c r="C277">
        <v>150421</v>
      </c>
      <c r="D277" t="s">
        <v>853</v>
      </c>
      <c r="E277" t="s">
        <v>437</v>
      </c>
      <c r="F277" t="s">
        <v>79</v>
      </c>
      <c r="G277" t="s">
        <v>80</v>
      </c>
      <c r="H277" t="s">
        <v>122</v>
      </c>
      <c r="I277" t="s">
        <v>122</v>
      </c>
      <c r="J277" s="127">
        <v>46056.683333333334</v>
      </c>
      <c r="K277" s="127">
        <v>46058</v>
      </c>
      <c r="L277" s="127">
        <v>46062</v>
      </c>
      <c r="M277" s="127">
        <v>46072.468055555553</v>
      </c>
      <c r="N277" t="s">
        <v>72</v>
      </c>
      <c r="O277" t="s">
        <v>122</v>
      </c>
      <c r="P277" t="s">
        <v>122</v>
      </c>
      <c r="R277" t="s">
        <v>122</v>
      </c>
      <c r="S277" t="s">
        <v>122</v>
      </c>
      <c r="T277" t="s">
        <v>471</v>
      </c>
      <c r="U277" t="s">
        <v>126</v>
      </c>
    </row>
    <row r="278" spans="1:21" x14ac:dyDescent="0.25">
      <c r="A278" t="s">
        <v>142</v>
      </c>
      <c r="B278" t="s">
        <v>854</v>
      </c>
      <c r="C278">
        <v>150000</v>
      </c>
      <c r="D278" t="s">
        <v>855</v>
      </c>
      <c r="E278" t="s">
        <v>130</v>
      </c>
      <c r="F278" t="s">
        <v>497</v>
      </c>
      <c r="G278" t="s">
        <v>674</v>
      </c>
      <c r="H278" t="s">
        <v>122</v>
      </c>
      <c r="I278" t="s">
        <v>122</v>
      </c>
      <c r="J278" s="127">
        <v>46055.462500000001</v>
      </c>
      <c r="K278" s="127">
        <v>46062.769444444442</v>
      </c>
      <c r="L278" s="127">
        <v>46062</v>
      </c>
      <c r="M278" s="127">
        <v>46066.384722222225</v>
      </c>
      <c r="N278" t="s">
        <v>122</v>
      </c>
      <c r="O278" t="s">
        <v>122</v>
      </c>
      <c r="P278" t="s">
        <v>122</v>
      </c>
      <c r="Q278">
        <v>89270</v>
      </c>
      <c r="R278" t="s">
        <v>856</v>
      </c>
      <c r="S278" t="s">
        <v>857</v>
      </c>
      <c r="T278" t="s">
        <v>675</v>
      </c>
      <c r="U278" t="s">
        <v>450</v>
      </c>
    </row>
    <row r="279" spans="1:21" x14ac:dyDescent="0.25">
      <c r="A279" t="s">
        <v>118</v>
      </c>
      <c r="B279" t="s">
        <v>858</v>
      </c>
      <c r="C279">
        <v>149921</v>
      </c>
      <c r="D279" t="s">
        <v>859</v>
      </c>
      <c r="E279" t="s">
        <v>130</v>
      </c>
      <c r="F279" t="s">
        <v>79</v>
      </c>
      <c r="G279" t="s">
        <v>85</v>
      </c>
      <c r="H279" t="s">
        <v>122</v>
      </c>
      <c r="I279" t="s">
        <v>122</v>
      </c>
      <c r="J279" s="127">
        <v>46055.354861111111</v>
      </c>
      <c r="K279" s="127">
        <v>46055.572222222225</v>
      </c>
      <c r="L279" s="127">
        <v>46056</v>
      </c>
      <c r="M279" s="127">
        <v>46057.49722222222</v>
      </c>
      <c r="N279" t="s">
        <v>75</v>
      </c>
      <c r="O279" t="s">
        <v>122</v>
      </c>
      <c r="P279" t="s">
        <v>122</v>
      </c>
      <c r="Q279">
        <v>148302</v>
      </c>
      <c r="R279" t="s">
        <v>860</v>
      </c>
      <c r="S279" t="s">
        <v>861</v>
      </c>
      <c r="T279" t="s">
        <v>862</v>
      </c>
      <c r="U279" t="s">
        <v>137</v>
      </c>
    </row>
    <row r="280" spans="1:21" x14ac:dyDescent="0.25">
      <c r="A280" t="s">
        <v>118</v>
      </c>
      <c r="B280" t="s">
        <v>863</v>
      </c>
      <c r="C280">
        <v>149495</v>
      </c>
      <c r="D280" t="s">
        <v>864</v>
      </c>
      <c r="E280" t="s">
        <v>121</v>
      </c>
      <c r="F280" t="s">
        <v>122</v>
      </c>
      <c r="G280" t="s">
        <v>80</v>
      </c>
      <c r="H280" t="s">
        <v>122</v>
      </c>
      <c r="I280" t="s">
        <v>122</v>
      </c>
      <c r="J280" s="127">
        <v>46051.762499999997</v>
      </c>
      <c r="K280" s="127"/>
      <c r="L280" s="127"/>
      <c r="M280" s="127"/>
      <c r="N280" t="s">
        <v>75</v>
      </c>
      <c r="O280" t="s">
        <v>122</v>
      </c>
      <c r="P280" t="s">
        <v>122</v>
      </c>
      <c r="Q280">
        <v>70349</v>
      </c>
      <c r="R280" t="s">
        <v>865</v>
      </c>
      <c r="S280" t="s">
        <v>866</v>
      </c>
      <c r="T280" t="s">
        <v>471</v>
      </c>
      <c r="U280" t="s">
        <v>137</v>
      </c>
    </row>
    <row r="281" spans="1:21" x14ac:dyDescent="0.25">
      <c r="A281" t="s">
        <v>118</v>
      </c>
      <c r="B281" t="s">
        <v>867</v>
      </c>
      <c r="C281">
        <v>149487</v>
      </c>
      <c r="D281" t="s">
        <v>868</v>
      </c>
      <c r="E281" t="s">
        <v>121</v>
      </c>
      <c r="F281" t="s">
        <v>122</v>
      </c>
      <c r="G281" t="s">
        <v>80</v>
      </c>
      <c r="H281" t="s">
        <v>122</v>
      </c>
      <c r="I281" t="s">
        <v>122</v>
      </c>
      <c r="J281" s="127">
        <v>46051.745833333334</v>
      </c>
      <c r="K281" s="127"/>
      <c r="L281" s="127"/>
      <c r="M281" s="127"/>
      <c r="N281" t="s">
        <v>75</v>
      </c>
      <c r="O281" t="s">
        <v>122</v>
      </c>
      <c r="P281" t="s">
        <v>122</v>
      </c>
      <c r="Q281">
        <v>70349</v>
      </c>
      <c r="R281" t="s">
        <v>865</v>
      </c>
      <c r="S281" t="s">
        <v>866</v>
      </c>
      <c r="T281" t="s">
        <v>471</v>
      </c>
      <c r="U281" t="s">
        <v>137</v>
      </c>
    </row>
    <row r="282" spans="1:21" x14ac:dyDescent="0.25">
      <c r="A282" t="s">
        <v>253</v>
      </c>
      <c r="B282" t="s">
        <v>869</v>
      </c>
      <c r="C282">
        <v>149258</v>
      </c>
      <c r="D282" t="s">
        <v>870</v>
      </c>
      <c r="E282" t="s">
        <v>437</v>
      </c>
      <c r="F282" t="s">
        <v>79</v>
      </c>
      <c r="G282" t="s">
        <v>513</v>
      </c>
      <c r="H282" t="s">
        <v>122</v>
      </c>
      <c r="I282" t="s">
        <v>122</v>
      </c>
      <c r="J282" s="127">
        <v>46051.402083333334</v>
      </c>
      <c r="K282" s="127">
        <v>46063</v>
      </c>
      <c r="L282" s="127">
        <v>46063</v>
      </c>
      <c r="M282" s="127">
        <v>46065.724999999999</v>
      </c>
      <c r="N282" t="s">
        <v>72</v>
      </c>
      <c r="O282" t="s">
        <v>122</v>
      </c>
      <c r="P282" t="s">
        <v>122</v>
      </c>
      <c r="Q282">
        <v>149148</v>
      </c>
      <c r="R282" t="s">
        <v>493</v>
      </c>
      <c r="S282" t="s">
        <v>494</v>
      </c>
      <c r="T282" t="s">
        <v>546</v>
      </c>
      <c r="U282" t="s">
        <v>126</v>
      </c>
    </row>
    <row r="283" spans="1:21" x14ac:dyDescent="0.25">
      <c r="A283" t="s">
        <v>127</v>
      </c>
      <c r="B283" t="s">
        <v>871</v>
      </c>
      <c r="C283">
        <v>149244</v>
      </c>
      <c r="D283" t="s">
        <v>872</v>
      </c>
      <c r="E283" t="s">
        <v>130</v>
      </c>
      <c r="F283" t="s">
        <v>79</v>
      </c>
      <c r="G283" t="s">
        <v>540</v>
      </c>
      <c r="H283" t="s">
        <v>513</v>
      </c>
      <c r="I283" t="s">
        <v>122</v>
      </c>
      <c r="J283" s="127">
        <v>46051.39166666667</v>
      </c>
      <c r="K283" s="127">
        <v>46051.51666666667</v>
      </c>
      <c r="L283" s="127">
        <v>46051.51666666667</v>
      </c>
      <c r="M283" s="127">
        <v>46092.62222222222</v>
      </c>
      <c r="N283" t="s">
        <v>72</v>
      </c>
      <c r="O283" t="s">
        <v>122</v>
      </c>
      <c r="P283" t="s">
        <v>122</v>
      </c>
      <c r="Q283">
        <v>149148</v>
      </c>
      <c r="R283" t="s">
        <v>493</v>
      </c>
      <c r="S283" t="s">
        <v>494</v>
      </c>
      <c r="T283" t="s">
        <v>541</v>
      </c>
      <c r="U283" t="s">
        <v>126</v>
      </c>
    </row>
    <row r="284" spans="1:21" x14ac:dyDescent="0.25">
      <c r="A284" t="s">
        <v>253</v>
      </c>
      <c r="B284" t="s">
        <v>873</v>
      </c>
      <c r="C284">
        <v>149242</v>
      </c>
      <c r="D284" t="s">
        <v>842</v>
      </c>
      <c r="E284" t="s">
        <v>223</v>
      </c>
      <c r="F284" t="s">
        <v>79</v>
      </c>
      <c r="G284" t="s">
        <v>540</v>
      </c>
      <c r="H284" t="s">
        <v>513</v>
      </c>
      <c r="I284" t="s">
        <v>122</v>
      </c>
      <c r="J284" s="127">
        <v>46051.390972222223</v>
      </c>
      <c r="K284" s="127"/>
      <c r="L284" s="127"/>
      <c r="M284" s="127">
        <v>46056.877083333333</v>
      </c>
      <c r="N284" t="s">
        <v>72</v>
      </c>
      <c r="O284" t="s">
        <v>122</v>
      </c>
      <c r="P284" t="s">
        <v>122</v>
      </c>
      <c r="Q284">
        <v>149148</v>
      </c>
      <c r="R284" t="s">
        <v>493</v>
      </c>
      <c r="S284" t="s">
        <v>494</v>
      </c>
      <c r="T284" t="s">
        <v>541</v>
      </c>
      <c r="U284" t="s">
        <v>126</v>
      </c>
    </row>
    <row r="285" spans="1:21" x14ac:dyDescent="0.25">
      <c r="A285" t="s">
        <v>127</v>
      </c>
      <c r="B285" t="s">
        <v>874</v>
      </c>
      <c r="C285">
        <v>149240</v>
      </c>
      <c r="D285" t="s">
        <v>875</v>
      </c>
      <c r="E285" t="s">
        <v>130</v>
      </c>
      <c r="F285" t="s">
        <v>79</v>
      </c>
      <c r="G285" t="s">
        <v>540</v>
      </c>
      <c r="H285" t="s">
        <v>513</v>
      </c>
      <c r="I285" t="s">
        <v>122</v>
      </c>
      <c r="J285" s="127">
        <v>46051.38958333333</v>
      </c>
      <c r="K285" s="127">
        <v>46051.556250000001</v>
      </c>
      <c r="L285" s="127">
        <v>46051.556250000001</v>
      </c>
      <c r="M285" s="127">
        <v>46085.438194444447</v>
      </c>
      <c r="N285" t="s">
        <v>72</v>
      </c>
      <c r="O285" t="s">
        <v>122</v>
      </c>
      <c r="P285" t="s">
        <v>122</v>
      </c>
      <c r="Q285">
        <v>149148</v>
      </c>
      <c r="R285" t="s">
        <v>493</v>
      </c>
      <c r="S285" t="s">
        <v>494</v>
      </c>
      <c r="T285" t="s">
        <v>541</v>
      </c>
      <c r="U285" t="s">
        <v>126</v>
      </c>
    </row>
    <row r="286" spans="1:21" x14ac:dyDescent="0.25">
      <c r="A286" t="s">
        <v>253</v>
      </c>
      <c r="B286" t="s">
        <v>876</v>
      </c>
      <c r="C286">
        <v>149236</v>
      </c>
      <c r="D286" t="s">
        <v>838</v>
      </c>
      <c r="E286" t="s">
        <v>223</v>
      </c>
      <c r="F286" t="s">
        <v>79</v>
      </c>
      <c r="G286" t="s">
        <v>540</v>
      </c>
      <c r="H286" t="s">
        <v>513</v>
      </c>
      <c r="I286" t="s">
        <v>122</v>
      </c>
      <c r="J286" s="127">
        <v>46051.369444444441</v>
      </c>
      <c r="K286" s="127"/>
      <c r="L286" s="127"/>
      <c r="M286" s="127">
        <v>46056.877083333333</v>
      </c>
      <c r="N286" t="s">
        <v>72</v>
      </c>
      <c r="O286" t="s">
        <v>122</v>
      </c>
      <c r="P286" t="s">
        <v>122</v>
      </c>
      <c r="Q286">
        <v>149148</v>
      </c>
      <c r="R286" t="s">
        <v>493</v>
      </c>
      <c r="S286" t="s">
        <v>494</v>
      </c>
      <c r="T286" t="s">
        <v>541</v>
      </c>
      <c r="U286" t="s">
        <v>126</v>
      </c>
    </row>
    <row r="287" spans="1:21" x14ac:dyDescent="0.25">
      <c r="A287" t="s">
        <v>253</v>
      </c>
      <c r="B287" t="s">
        <v>877</v>
      </c>
      <c r="C287">
        <v>149195</v>
      </c>
      <c r="D287" t="s">
        <v>878</v>
      </c>
      <c r="E287" t="s">
        <v>223</v>
      </c>
      <c r="F287" t="s">
        <v>73</v>
      </c>
      <c r="G287" t="s">
        <v>74</v>
      </c>
      <c r="H287" t="s">
        <v>122</v>
      </c>
      <c r="I287" t="s">
        <v>122</v>
      </c>
      <c r="J287" s="127">
        <v>46050.989583333336</v>
      </c>
      <c r="K287" s="127"/>
      <c r="L287" s="127"/>
      <c r="M287" s="127">
        <v>46057.457638888889</v>
      </c>
      <c r="N287" t="s">
        <v>72</v>
      </c>
      <c r="O287" t="s">
        <v>122</v>
      </c>
      <c r="P287" t="s">
        <v>122</v>
      </c>
      <c r="Q287">
        <v>149139</v>
      </c>
      <c r="R287" t="s">
        <v>879</v>
      </c>
      <c r="S287" t="s">
        <v>494</v>
      </c>
      <c r="T287" t="s">
        <v>476</v>
      </c>
      <c r="U287" t="s">
        <v>126</v>
      </c>
    </row>
    <row r="288" spans="1:21" x14ac:dyDescent="0.25">
      <c r="A288" t="s">
        <v>253</v>
      </c>
      <c r="B288" t="s">
        <v>880</v>
      </c>
      <c r="C288">
        <v>149193</v>
      </c>
      <c r="D288" t="s">
        <v>881</v>
      </c>
      <c r="E288" t="s">
        <v>223</v>
      </c>
      <c r="F288" t="s">
        <v>73</v>
      </c>
      <c r="G288" t="s">
        <v>74</v>
      </c>
      <c r="H288" t="s">
        <v>122</v>
      </c>
      <c r="I288" t="s">
        <v>122</v>
      </c>
      <c r="J288" s="127">
        <v>46050.959027777775</v>
      </c>
      <c r="K288" s="127"/>
      <c r="L288" s="127"/>
      <c r="M288" s="127">
        <v>46056.523611111108</v>
      </c>
      <c r="N288" t="s">
        <v>72</v>
      </c>
      <c r="O288" t="s">
        <v>122</v>
      </c>
      <c r="P288" t="s">
        <v>122</v>
      </c>
      <c r="Q288">
        <v>149139</v>
      </c>
      <c r="R288" t="s">
        <v>879</v>
      </c>
      <c r="S288" t="s">
        <v>494</v>
      </c>
      <c r="T288" t="s">
        <v>476</v>
      </c>
      <c r="U288" t="s">
        <v>126</v>
      </c>
    </row>
    <row r="289" spans="1:21" x14ac:dyDescent="0.25">
      <c r="A289" t="s">
        <v>253</v>
      </c>
      <c r="B289" t="s">
        <v>882</v>
      </c>
      <c r="C289">
        <v>149191</v>
      </c>
      <c r="D289" t="s">
        <v>883</v>
      </c>
      <c r="E289" t="s">
        <v>223</v>
      </c>
      <c r="F289" t="s">
        <v>73</v>
      </c>
      <c r="G289" t="s">
        <v>74</v>
      </c>
      <c r="H289" t="s">
        <v>122</v>
      </c>
      <c r="I289" t="s">
        <v>122</v>
      </c>
      <c r="J289" s="127">
        <v>46050.909722222219</v>
      </c>
      <c r="K289" s="127"/>
      <c r="L289" s="127"/>
      <c r="M289" s="127">
        <v>46056.515972222223</v>
      </c>
      <c r="N289" t="s">
        <v>72</v>
      </c>
      <c r="O289" t="s">
        <v>122</v>
      </c>
      <c r="P289" t="s">
        <v>122</v>
      </c>
      <c r="Q289">
        <v>149139</v>
      </c>
      <c r="R289" t="s">
        <v>879</v>
      </c>
      <c r="S289" t="s">
        <v>494</v>
      </c>
      <c r="T289" t="s">
        <v>476</v>
      </c>
      <c r="U289" t="s">
        <v>126</v>
      </c>
    </row>
    <row r="290" spans="1:21" x14ac:dyDescent="0.25">
      <c r="A290" t="s">
        <v>127</v>
      </c>
      <c r="B290" t="s">
        <v>884</v>
      </c>
      <c r="C290">
        <v>149187</v>
      </c>
      <c r="D290" t="s">
        <v>814</v>
      </c>
      <c r="E290" t="s">
        <v>223</v>
      </c>
      <c r="F290" t="s">
        <v>73</v>
      </c>
      <c r="G290" t="s">
        <v>74</v>
      </c>
      <c r="H290" t="s">
        <v>122</v>
      </c>
      <c r="I290" t="s">
        <v>122</v>
      </c>
      <c r="J290" s="127">
        <v>46050.863194444442</v>
      </c>
      <c r="K290" s="127">
        <v>46051.557638888888</v>
      </c>
      <c r="L290" s="127">
        <v>46051.557638888888</v>
      </c>
      <c r="M290" s="127">
        <v>46057.457638888889</v>
      </c>
      <c r="N290" t="s">
        <v>72</v>
      </c>
      <c r="O290" t="s">
        <v>122</v>
      </c>
      <c r="P290" t="s">
        <v>122</v>
      </c>
      <c r="Q290">
        <v>149139</v>
      </c>
      <c r="R290" t="s">
        <v>879</v>
      </c>
      <c r="S290" t="s">
        <v>494</v>
      </c>
      <c r="T290" t="s">
        <v>476</v>
      </c>
      <c r="U290" t="s">
        <v>126</v>
      </c>
    </row>
    <row r="291" spans="1:21" x14ac:dyDescent="0.25">
      <c r="A291" t="s">
        <v>253</v>
      </c>
      <c r="B291" t="s">
        <v>885</v>
      </c>
      <c r="C291">
        <v>149175</v>
      </c>
      <c r="D291" t="s">
        <v>886</v>
      </c>
      <c r="E291" t="s">
        <v>223</v>
      </c>
      <c r="F291" t="s">
        <v>82</v>
      </c>
      <c r="G291" t="s">
        <v>80</v>
      </c>
      <c r="H291" t="s">
        <v>122</v>
      </c>
      <c r="I291" t="s">
        <v>122</v>
      </c>
      <c r="J291" s="127">
        <v>46050.78125</v>
      </c>
      <c r="K291" s="127">
        <v>46056.754166666666</v>
      </c>
      <c r="L291" s="127">
        <v>46056</v>
      </c>
      <c r="M291" s="127">
        <v>46056.649305555555</v>
      </c>
      <c r="N291" t="s">
        <v>72</v>
      </c>
      <c r="O291" t="s">
        <v>122</v>
      </c>
      <c r="P291" t="s">
        <v>122</v>
      </c>
      <c r="Q291">
        <v>149135</v>
      </c>
      <c r="R291" t="s">
        <v>810</v>
      </c>
      <c r="S291" t="s">
        <v>494</v>
      </c>
      <c r="T291" t="s">
        <v>471</v>
      </c>
      <c r="U291" t="s">
        <v>126</v>
      </c>
    </row>
    <row r="292" spans="1:21" x14ac:dyDescent="0.25">
      <c r="A292" t="s">
        <v>253</v>
      </c>
      <c r="B292" t="s">
        <v>887</v>
      </c>
      <c r="C292">
        <v>149173</v>
      </c>
      <c r="D292" t="s">
        <v>888</v>
      </c>
      <c r="E292" t="s">
        <v>223</v>
      </c>
      <c r="F292" t="s">
        <v>79</v>
      </c>
      <c r="G292" t="s">
        <v>540</v>
      </c>
      <c r="H292" t="s">
        <v>513</v>
      </c>
      <c r="I292" t="s">
        <v>122</v>
      </c>
      <c r="J292" s="127">
        <v>46050.773611111108</v>
      </c>
      <c r="K292" s="127"/>
      <c r="L292" s="127"/>
      <c r="M292" s="127">
        <v>46056.877083333333</v>
      </c>
      <c r="N292" t="s">
        <v>72</v>
      </c>
      <c r="O292" t="s">
        <v>122</v>
      </c>
      <c r="P292" t="s">
        <v>122</v>
      </c>
      <c r="Q292">
        <v>149148</v>
      </c>
      <c r="R292" t="s">
        <v>493</v>
      </c>
      <c r="S292" t="s">
        <v>494</v>
      </c>
      <c r="T292" t="s">
        <v>541</v>
      </c>
      <c r="U292" t="s">
        <v>126</v>
      </c>
    </row>
    <row r="293" spans="1:21" x14ac:dyDescent="0.25">
      <c r="A293" t="s">
        <v>253</v>
      </c>
      <c r="B293" t="s">
        <v>889</v>
      </c>
      <c r="C293">
        <v>149171</v>
      </c>
      <c r="D293" t="s">
        <v>890</v>
      </c>
      <c r="E293" t="s">
        <v>223</v>
      </c>
      <c r="F293" t="s">
        <v>82</v>
      </c>
      <c r="G293" t="s">
        <v>80</v>
      </c>
      <c r="H293" t="s">
        <v>122</v>
      </c>
      <c r="I293" t="s">
        <v>122</v>
      </c>
      <c r="J293" s="127">
        <v>46050.773611111108</v>
      </c>
      <c r="K293" s="127"/>
      <c r="L293" s="127"/>
      <c r="M293" s="127">
        <v>46056.649305555555</v>
      </c>
      <c r="N293" t="s">
        <v>72</v>
      </c>
      <c r="O293" t="s">
        <v>122</v>
      </c>
      <c r="P293" t="s">
        <v>122</v>
      </c>
      <c r="Q293">
        <v>149135</v>
      </c>
      <c r="R293" t="s">
        <v>810</v>
      </c>
      <c r="S293" t="s">
        <v>494</v>
      </c>
      <c r="T293" t="s">
        <v>471</v>
      </c>
      <c r="U293" t="s">
        <v>126</v>
      </c>
    </row>
    <row r="294" spans="1:21" x14ac:dyDescent="0.25">
      <c r="A294" t="s">
        <v>127</v>
      </c>
      <c r="B294" t="s">
        <v>891</v>
      </c>
      <c r="C294">
        <v>149166</v>
      </c>
      <c r="D294" t="s">
        <v>814</v>
      </c>
      <c r="E294" t="s">
        <v>223</v>
      </c>
      <c r="F294" t="s">
        <v>82</v>
      </c>
      <c r="G294" t="s">
        <v>80</v>
      </c>
      <c r="H294" t="s">
        <v>122</v>
      </c>
      <c r="I294" t="s">
        <v>122</v>
      </c>
      <c r="J294" s="127">
        <v>46050.771527777775</v>
      </c>
      <c r="K294" s="127">
        <v>46051.557638888888</v>
      </c>
      <c r="L294" s="127">
        <v>46051.557638888888</v>
      </c>
      <c r="M294" s="127">
        <v>46056.660416666666</v>
      </c>
      <c r="N294" t="s">
        <v>72</v>
      </c>
      <c r="O294" t="s">
        <v>122</v>
      </c>
      <c r="P294" t="s">
        <v>122</v>
      </c>
      <c r="Q294">
        <v>149135</v>
      </c>
      <c r="R294" t="s">
        <v>810</v>
      </c>
      <c r="S294" t="s">
        <v>494</v>
      </c>
      <c r="T294" t="s">
        <v>471</v>
      </c>
      <c r="U294" t="s">
        <v>126</v>
      </c>
    </row>
    <row r="295" spans="1:21" x14ac:dyDescent="0.25">
      <c r="A295" t="s">
        <v>253</v>
      </c>
      <c r="B295" t="s">
        <v>892</v>
      </c>
      <c r="C295">
        <v>149164</v>
      </c>
      <c r="D295" t="s">
        <v>893</v>
      </c>
      <c r="E295" t="s">
        <v>437</v>
      </c>
      <c r="F295" t="s">
        <v>79</v>
      </c>
      <c r="G295" t="s">
        <v>513</v>
      </c>
      <c r="H295" t="s">
        <v>122</v>
      </c>
      <c r="I295" t="s">
        <v>122</v>
      </c>
      <c r="J295" s="127">
        <v>46050.762499999997</v>
      </c>
      <c r="K295" s="127">
        <v>46065</v>
      </c>
      <c r="L295" s="127">
        <v>46065</v>
      </c>
      <c r="M295" s="127">
        <v>46072.421527777777</v>
      </c>
      <c r="N295" t="s">
        <v>75</v>
      </c>
      <c r="O295" t="s">
        <v>122</v>
      </c>
      <c r="P295" t="s">
        <v>122</v>
      </c>
      <c r="Q295">
        <v>149148</v>
      </c>
      <c r="R295" t="s">
        <v>493</v>
      </c>
      <c r="S295" t="s">
        <v>494</v>
      </c>
      <c r="T295" t="s">
        <v>546</v>
      </c>
      <c r="U295" t="s">
        <v>137</v>
      </c>
    </row>
    <row r="296" spans="1:21" x14ac:dyDescent="0.25">
      <c r="A296" t="s">
        <v>118</v>
      </c>
      <c r="B296" t="s">
        <v>894</v>
      </c>
      <c r="C296">
        <v>149146</v>
      </c>
      <c r="D296" t="s">
        <v>895</v>
      </c>
      <c r="E296" t="s">
        <v>422</v>
      </c>
      <c r="F296" t="s">
        <v>76</v>
      </c>
      <c r="G296" t="s">
        <v>77</v>
      </c>
      <c r="H296" t="s">
        <v>122</v>
      </c>
      <c r="I296" t="s">
        <v>122</v>
      </c>
      <c r="J296" s="127">
        <v>46050.656944444447</v>
      </c>
      <c r="K296" s="127"/>
      <c r="L296" s="127"/>
      <c r="M296" s="127"/>
      <c r="N296" t="s">
        <v>75</v>
      </c>
      <c r="O296" t="s">
        <v>122</v>
      </c>
      <c r="P296" t="s">
        <v>122</v>
      </c>
      <c r="Q296">
        <v>149142</v>
      </c>
      <c r="R296" t="s">
        <v>804</v>
      </c>
      <c r="S296" t="s">
        <v>805</v>
      </c>
      <c r="T296" t="s">
        <v>481</v>
      </c>
      <c r="U296" t="s">
        <v>137</v>
      </c>
    </row>
    <row r="297" spans="1:21" x14ac:dyDescent="0.25">
      <c r="A297" t="s">
        <v>118</v>
      </c>
      <c r="B297" t="s">
        <v>896</v>
      </c>
      <c r="C297">
        <v>149144</v>
      </c>
      <c r="D297" t="s">
        <v>897</v>
      </c>
      <c r="E297" t="s">
        <v>422</v>
      </c>
      <c r="F297" t="s">
        <v>76</v>
      </c>
      <c r="G297" t="s">
        <v>77</v>
      </c>
      <c r="H297" t="s">
        <v>122</v>
      </c>
      <c r="I297" t="s">
        <v>122</v>
      </c>
      <c r="J297" s="127">
        <v>46050.656944444447</v>
      </c>
      <c r="K297" s="127"/>
      <c r="L297" s="127"/>
      <c r="M297" s="127"/>
      <c r="N297" t="s">
        <v>75</v>
      </c>
      <c r="O297" t="s">
        <v>122</v>
      </c>
      <c r="P297" t="s">
        <v>122</v>
      </c>
      <c r="Q297">
        <v>149142</v>
      </c>
      <c r="R297" t="s">
        <v>804</v>
      </c>
      <c r="S297" t="s">
        <v>805</v>
      </c>
      <c r="T297" t="s">
        <v>481</v>
      </c>
      <c r="U297" t="s">
        <v>137</v>
      </c>
    </row>
    <row r="298" spans="1:21" x14ac:dyDescent="0.25">
      <c r="A298" t="s">
        <v>142</v>
      </c>
      <c r="B298" t="s">
        <v>898</v>
      </c>
      <c r="C298">
        <v>149073</v>
      </c>
      <c r="D298" t="s">
        <v>899</v>
      </c>
      <c r="E298" t="s">
        <v>130</v>
      </c>
      <c r="F298" t="s">
        <v>82</v>
      </c>
      <c r="G298" t="s">
        <v>80</v>
      </c>
      <c r="H298" t="s">
        <v>122</v>
      </c>
      <c r="I298" t="s">
        <v>122</v>
      </c>
      <c r="J298" s="127">
        <v>46050.453472222223</v>
      </c>
      <c r="K298" s="127">
        <v>46055.531944444447</v>
      </c>
      <c r="L298" s="127">
        <v>46055</v>
      </c>
      <c r="M298" s="127">
        <v>46059.353472222225</v>
      </c>
      <c r="N298" t="s">
        <v>75</v>
      </c>
      <c r="O298" t="s">
        <v>122</v>
      </c>
      <c r="P298" t="s">
        <v>122</v>
      </c>
      <c r="Q298">
        <v>101022</v>
      </c>
      <c r="R298" t="s">
        <v>900</v>
      </c>
      <c r="S298" t="s">
        <v>901</v>
      </c>
      <c r="T298" t="s">
        <v>471</v>
      </c>
      <c r="U298" t="s">
        <v>137</v>
      </c>
    </row>
    <row r="299" spans="1:21" x14ac:dyDescent="0.25">
      <c r="A299" t="s">
        <v>118</v>
      </c>
      <c r="B299" t="s">
        <v>902</v>
      </c>
      <c r="C299">
        <v>149053</v>
      </c>
      <c r="D299" t="s">
        <v>903</v>
      </c>
      <c r="E299" t="s">
        <v>130</v>
      </c>
      <c r="F299" t="s">
        <v>79</v>
      </c>
      <c r="G299" t="s">
        <v>80</v>
      </c>
      <c r="H299" t="s">
        <v>122</v>
      </c>
      <c r="I299" t="s">
        <v>122</v>
      </c>
      <c r="J299" s="127">
        <v>46050.42083333333</v>
      </c>
      <c r="K299" s="127">
        <v>46055.530555555553</v>
      </c>
      <c r="L299" s="127">
        <v>46055</v>
      </c>
      <c r="M299" s="127">
        <v>46072.475694444445</v>
      </c>
      <c r="N299" t="s">
        <v>716</v>
      </c>
      <c r="O299" t="s">
        <v>72</v>
      </c>
      <c r="P299" t="s">
        <v>122</v>
      </c>
      <c r="Q299">
        <v>147867</v>
      </c>
      <c r="R299" t="s">
        <v>710</v>
      </c>
      <c r="S299" t="s">
        <v>711</v>
      </c>
      <c r="T299" t="s">
        <v>471</v>
      </c>
      <c r="U299" t="s">
        <v>717</v>
      </c>
    </row>
    <row r="300" spans="1:21" x14ac:dyDescent="0.25">
      <c r="A300" t="s">
        <v>118</v>
      </c>
      <c r="B300" t="s">
        <v>904</v>
      </c>
      <c r="C300">
        <v>149006</v>
      </c>
      <c r="D300" t="s">
        <v>905</v>
      </c>
      <c r="E300" t="s">
        <v>130</v>
      </c>
      <c r="F300" t="s">
        <v>79</v>
      </c>
      <c r="G300" t="s">
        <v>85</v>
      </c>
      <c r="H300" t="s">
        <v>122</v>
      </c>
      <c r="I300" t="s">
        <v>122</v>
      </c>
      <c r="J300" s="127">
        <v>46050.347916666666</v>
      </c>
      <c r="K300" s="127">
        <v>46051.673611111109</v>
      </c>
      <c r="L300" s="127">
        <v>46051</v>
      </c>
      <c r="M300" s="127">
        <v>46073.445833333331</v>
      </c>
      <c r="N300" t="s">
        <v>75</v>
      </c>
      <c r="O300" t="s">
        <v>122</v>
      </c>
      <c r="P300" t="s">
        <v>122</v>
      </c>
      <c r="Q300">
        <v>148302</v>
      </c>
      <c r="R300" t="s">
        <v>860</v>
      </c>
      <c r="S300" t="s">
        <v>861</v>
      </c>
      <c r="T300" t="s">
        <v>862</v>
      </c>
      <c r="U300" t="s">
        <v>137</v>
      </c>
    </row>
    <row r="301" spans="1:21" x14ac:dyDescent="0.25">
      <c r="A301" t="s">
        <v>118</v>
      </c>
      <c r="B301" t="s">
        <v>906</v>
      </c>
      <c r="C301">
        <v>148641</v>
      </c>
      <c r="D301" t="s">
        <v>907</v>
      </c>
      <c r="E301" t="s">
        <v>130</v>
      </c>
      <c r="F301" t="s">
        <v>73</v>
      </c>
      <c r="G301" t="s">
        <v>74</v>
      </c>
      <c r="H301" t="s">
        <v>122</v>
      </c>
      <c r="I301" t="s">
        <v>122</v>
      </c>
      <c r="J301" s="127">
        <v>46048.760416666664</v>
      </c>
      <c r="K301" s="127">
        <v>46056.538194444445</v>
      </c>
      <c r="L301" s="127">
        <v>46056</v>
      </c>
      <c r="M301" s="127">
        <v>46100.619444444441</v>
      </c>
      <c r="N301" t="s">
        <v>75</v>
      </c>
      <c r="O301" t="s">
        <v>122</v>
      </c>
      <c r="P301" t="s">
        <v>122</v>
      </c>
      <c r="Q301">
        <v>148596</v>
      </c>
      <c r="R301" t="s">
        <v>908</v>
      </c>
      <c r="S301" t="s">
        <v>909</v>
      </c>
      <c r="T301" t="s">
        <v>476</v>
      </c>
      <c r="U301" t="s">
        <v>137</v>
      </c>
    </row>
    <row r="302" spans="1:21" x14ac:dyDescent="0.25">
      <c r="A302" t="s">
        <v>118</v>
      </c>
      <c r="B302" t="s">
        <v>910</v>
      </c>
      <c r="C302">
        <v>148630</v>
      </c>
      <c r="D302" t="s">
        <v>909</v>
      </c>
      <c r="E302" t="s">
        <v>130</v>
      </c>
      <c r="F302" t="s">
        <v>73</v>
      </c>
      <c r="G302" t="s">
        <v>74</v>
      </c>
      <c r="H302" t="s">
        <v>122</v>
      </c>
      <c r="I302" t="s">
        <v>122</v>
      </c>
      <c r="J302" s="127">
        <v>46048.690972222219</v>
      </c>
      <c r="K302" s="127">
        <v>46048.864583333336</v>
      </c>
      <c r="L302" s="127">
        <v>46048</v>
      </c>
      <c r="M302" s="127">
        <v>46056.671527777777</v>
      </c>
      <c r="N302" t="s">
        <v>75</v>
      </c>
      <c r="O302" t="s">
        <v>122</v>
      </c>
      <c r="P302" t="s">
        <v>122</v>
      </c>
      <c r="Q302">
        <v>148596</v>
      </c>
      <c r="R302" t="s">
        <v>908</v>
      </c>
      <c r="S302" t="s">
        <v>909</v>
      </c>
      <c r="T302" t="s">
        <v>476</v>
      </c>
      <c r="U302" t="s">
        <v>137</v>
      </c>
    </row>
    <row r="303" spans="1:21" x14ac:dyDescent="0.25">
      <c r="A303" t="s">
        <v>118</v>
      </c>
      <c r="B303" t="s">
        <v>911</v>
      </c>
      <c r="C303">
        <v>148598</v>
      </c>
      <c r="D303" t="s">
        <v>909</v>
      </c>
      <c r="E303" t="s">
        <v>223</v>
      </c>
      <c r="F303" t="s">
        <v>73</v>
      </c>
      <c r="G303" t="s">
        <v>74</v>
      </c>
      <c r="H303" t="s">
        <v>122</v>
      </c>
      <c r="I303" t="s">
        <v>122</v>
      </c>
      <c r="J303" s="127">
        <v>46048.620138888888</v>
      </c>
      <c r="K303" s="127"/>
      <c r="L303" s="127"/>
      <c r="M303" s="127">
        <v>46048.62222222222</v>
      </c>
      <c r="N303" t="s">
        <v>75</v>
      </c>
      <c r="O303" t="s">
        <v>122</v>
      </c>
      <c r="P303" t="s">
        <v>122</v>
      </c>
      <c r="Q303">
        <v>148596</v>
      </c>
      <c r="R303" t="s">
        <v>908</v>
      </c>
      <c r="S303" t="s">
        <v>909</v>
      </c>
      <c r="T303" t="s">
        <v>476</v>
      </c>
      <c r="U303" t="s">
        <v>137</v>
      </c>
    </row>
    <row r="304" spans="1:21" x14ac:dyDescent="0.25">
      <c r="A304" t="s">
        <v>118</v>
      </c>
      <c r="B304" t="s">
        <v>912</v>
      </c>
      <c r="C304">
        <v>148509</v>
      </c>
      <c r="D304" t="s">
        <v>913</v>
      </c>
      <c r="E304" t="s">
        <v>130</v>
      </c>
      <c r="F304" t="s">
        <v>79</v>
      </c>
      <c r="G304" t="s">
        <v>85</v>
      </c>
      <c r="H304" t="s">
        <v>122</v>
      </c>
      <c r="I304" t="s">
        <v>122</v>
      </c>
      <c r="J304" s="127">
        <v>46048.459027777775</v>
      </c>
      <c r="K304" s="127">
        <v>46055.588888888888</v>
      </c>
      <c r="L304" s="127">
        <v>46055</v>
      </c>
      <c r="M304" s="127">
        <v>46086.672222222223</v>
      </c>
      <c r="N304" t="s">
        <v>75</v>
      </c>
      <c r="O304" t="s">
        <v>122</v>
      </c>
      <c r="P304" t="s">
        <v>122</v>
      </c>
      <c r="Q304">
        <v>148301</v>
      </c>
      <c r="R304" t="s">
        <v>914</v>
      </c>
      <c r="S304" t="s">
        <v>915</v>
      </c>
      <c r="T304" t="s">
        <v>862</v>
      </c>
      <c r="U304" t="s">
        <v>137</v>
      </c>
    </row>
    <row r="305" spans="1:21" x14ac:dyDescent="0.25">
      <c r="A305" t="s">
        <v>118</v>
      </c>
      <c r="B305" t="s">
        <v>916</v>
      </c>
      <c r="C305">
        <v>148500</v>
      </c>
      <c r="D305" t="s">
        <v>917</v>
      </c>
      <c r="E305" t="s">
        <v>130</v>
      </c>
      <c r="F305" t="s">
        <v>79</v>
      </c>
      <c r="G305" t="s">
        <v>85</v>
      </c>
      <c r="H305" t="s">
        <v>122</v>
      </c>
      <c r="I305" t="s">
        <v>122</v>
      </c>
      <c r="J305" s="127">
        <v>46048.440972222219</v>
      </c>
      <c r="K305" s="127">
        <v>46050.609722222223</v>
      </c>
      <c r="L305" s="127">
        <v>46050</v>
      </c>
      <c r="M305" s="127">
        <v>46073.45</v>
      </c>
      <c r="N305" t="s">
        <v>75</v>
      </c>
      <c r="O305" t="s">
        <v>122</v>
      </c>
      <c r="P305" t="s">
        <v>122</v>
      </c>
      <c r="Q305">
        <v>148300</v>
      </c>
      <c r="R305" t="s">
        <v>918</v>
      </c>
      <c r="S305" t="s">
        <v>919</v>
      </c>
      <c r="T305" t="s">
        <v>862</v>
      </c>
      <c r="U305" t="s">
        <v>137</v>
      </c>
    </row>
    <row r="306" spans="1:21" x14ac:dyDescent="0.25">
      <c r="A306" t="s">
        <v>118</v>
      </c>
      <c r="B306" t="s">
        <v>920</v>
      </c>
      <c r="C306">
        <v>148492</v>
      </c>
      <c r="D306" t="s">
        <v>921</v>
      </c>
      <c r="E306" t="s">
        <v>130</v>
      </c>
      <c r="F306" t="s">
        <v>79</v>
      </c>
      <c r="G306" t="s">
        <v>85</v>
      </c>
      <c r="H306" t="s">
        <v>122</v>
      </c>
      <c r="I306" t="s">
        <v>122</v>
      </c>
      <c r="J306" s="127">
        <v>46048.428472222222</v>
      </c>
      <c r="K306" s="127">
        <v>46050.701388888891</v>
      </c>
      <c r="L306" s="127">
        <v>46050</v>
      </c>
      <c r="M306" s="127">
        <v>46073.408333333333</v>
      </c>
      <c r="N306" t="s">
        <v>75</v>
      </c>
      <c r="O306" t="s">
        <v>122</v>
      </c>
      <c r="P306" t="s">
        <v>122</v>
      </c>
      <c r="Q306">
        <v>148299</v>
      </c>
      <c r="R306" t="s">
        <v>922</v>
      </c>
      <c r="S306" t="s">
        <v>923</v>
      </c>
      <c r="T306" t="s">
        <v>862</v>
      </c>
      <c r="U306" t="s">
        <v>137</v>
      </c>
    </row>
    <row r="307" spans="1:21" x14ac:dyDescent="0.25">
      <c r="A307" t="s">
        <v>118</v>
      </c>
      <c r="B307" t="s">
        <v>924</v>
      </c>
      <c r="C307">
        <v>148241</v>
      </c>
      <c r="D307" t="s">
        <v>925</v>
      </c>
      <c r="E307" t="s">
        <v>130</v>
      </c>
      <c r="F307" t="s">
        <v>90</v>
      </c>
      <c r="G307" t="s">
        <v>145</v>
      </c>
      <c r="H307" t="s">
        <v>122</v>
      </c>
      <c r="I307" t="s">
        <v>122</v>
      </c>
      <c r="J307" s="127">
        <v>46044.726388888892</v>
      </c>
      <c r="K307" s="127">
        <v>46045.529166666667</v>
      </c>
      <c r="L307" s="127">
        <v>46045</v>
      </c>
      <c r="M307" s="127">
        <v>46049.427083333336</v>
      </c>
      <c r="N307" t="s">
        <v>78</v>
      </c>
      <c r="O307" t="s">
        <v>122</v>
      </c>
      <c r="P307" t="s">
        <v>122</v>
      </c>
      <c r="Q307">
        <v>99226</v>
      </c>
      <c r="R307" t="s">
        <v>847</v>
      </c>
      <c r="S307" t="s">
        <v>848</v>
      </c>
      <c r="T307" t="s">
        <v>148</v>
      </c>
      <c r="U307" t="s">
        <v>462</v>
      </c>
    </row>
    <row r="308" spans="1:21" x14ac:dyDescent="0.25">
      <c r="A308" t="s">
        <v>118</v>
      </c>
      <c r="B308" t="s">
        <v>926</v>
      </c>
      <c r="C308">
        <v>145839</v>
      </c>
      <c r="D308" t="s">
        <v>927</v>
      </c>
      <c r="E308" t="s">
        <v>130</v>
      </c>
      <c r="F308" t="s">
        <v>520</v>
      </c>
      <c r="G308" t="s">
        <v>74</v>
      </c>
      <c r="H308" t="s">
        <v>122</v>
      </c>
      <c r="I308" t="s">
        <v>122</v>
      </c>
      <c r="J308" s="127">
        <v>46030.645138888889</v>
      </c>
      <c r="K308" s="127">
        <v>46031.554166666669</v>
      </c>
      <c r="L308" s="127">
        <v>46031</v>
      </c>
      <c r="M308" s="127">
        <v>46058.425694444442</v>
      </c>
      <c r="N308" t="s">
        <v>78</v>
      </c>
      <c r="O308" t="s">
        <v>122</v>
      </c>
      <c r="P308" t="s">
        <v>122</v>
      </c>
      <c r="Q308">
        <v>108351</v>
      </c>
      <c r="R308" t="s">
        <v>928</v>
      </c>
      <c r="S308" t="s">
        <v>929</v>
      </c>
      <c r="T308" t="s">
        <v>476</v>
      </c>
      <c r="U308" t="s">
        <v>462</v>
      </c>
    </row>
    <row r="309" spans="1:21" x14ac:dyDescent="0.25">
      <c r="A309" t="s">
        <v>118</v>
      </c>
      <c r="B309" t="s">
        <v>930</v>
      </c>
      <c r="C309">
        <v>147936</v>
      </c>
      <c r="D309" t="s">
        <v>931</v>
      </c>
      <c r="E309" t="s">
        <v>130</v>
      </c>
      <c r="F309" t="s">
        <v>79</v>
      </c>
      <c r="G309" t="s">
        <v>80</v>
      </c>
      <c r="H309" t="s">
        <v>122</v>
      </c>
      <c r="I309" t="s">
        <v>122</v>
      </c>
      <c r="J309" s="127">
        <v>46043.604861111111</v>
      </c>
      <c r="K309" s="127">
        <v>46048.572916666664</v>
      </c>
      <c r="L309" s="127">
        <v>46049</v>
      </c>
      <c r="M309" s="127">
        <v>46065.443749999999</v>
      </c>
      <c r="N309" t="s">
        <v>716</v>
      </c>
      <c r="O309" t="s">
        <v>72</v>
      </c>
      <c r="P309" t="s">
        <v>122</v>
      </c>
      <c r="Q309">
        <v>147932</v>
      </c>
      <c r="R309" t="s">
        <v>932</v>
      </c>
      <c r="S309" t="s">
        <v>931</v>
      </c>
      <c r="T309" t="s">
        <v>471</v>
      </c>
      <c r="U309" t="s">
        <v>717</v>
      </c>
    </row>
    <row r="310" spans="1:21" x14ac:dyDescent="0.25">
      <c r="A310" t="s">
        <v>118</v>
      </c>
      <c r="B310" t="s">
        <v>933</v>
      </c>
      <c r="C310">
        <v>147894</v>
      </c>
      <c r="D310" t="s">
        <v>934</v>
      </c>
      <c r="E310" t="s">
        <v>130</v>
      </c>
      <c r="F310" t="s">
        <v>79</v>
      </c>
      <c r="G310" t="s">
        <v>80</v>
      </c>
      <c r="H310" t="s">
        <v>122</v>
      </c>
      <c r="I310" t="s">
        <v>122</v>
      </c>
      <c r="J310" s="127">
        <v>46043.487500000003</v>
      </c>
      <c r="K310" s="127">
        <v>46048.572916666664</v>
      </c>
      <c r="L310" s="127">
        <v>46049</v>
      </c>
      <c r="M310" s="127">
        <v>46063.623611111114</v>
      </c>
      <c r="N310" t="s">
        <v>716</v>
      </c>
      <c r="O310" t="s">
        <v>72</v>
      </c>
      <c r="P310" t="s">
        <v>122</v>
      </c>
      <c r="Q310">
        <v>147867</v>
      </c>
      <c r="R310" t="s">
        <v>710</v>
      </c>
      <c r="S310" t="s">
        <v>711</v>
      </c>
      <c r="T310" t="s">
        <v>471</v>
      </c>
      <c r="U310" t="s">
        <v>717</v>
      </c>
    </row>
    <row r="311" spans="1:21" x14ac:dyDescent="0.25">
      <c r="A311" t="s">
        <v>118</v>
      </c>
      <c r="B311" t="s">
        <v>935</v>
      </c>
      <c r="C311">
        <v>147890</v>
      </c>
      <c r="D311" t="s">
        <v>936</v>
      </c>
      <c r="E311" t="s">
        <v>130</v>
      </c>
      <c r="F311" t="s">
        <v>73</v>
      </c>
      <c r="G311" t="s">
        <v>74</v>
      </c>
      <c r="H311" t="s">
        <v>122</v>
      </c>
      <c r="I311" t="s">
        <v>122</v>
      </c>
      <c r="J311" s="127">
        <v>46043.457638888889</v>
      </c>
      <c r="K311" s="127">
        <v>46048.746527777781</v>
      </c>
      <c r="L311" s="127">
        <v>46049</v>
      </c>
      <c r="M311" s="127">
        <v>46094.413888888892</v>
      </c>
      <c r="N311" t="s">
        <v>75</v>
      </c>
      <c r="O311" t="s">
        <v>122</v>
      </c>
      <c r="P311" t="s">
        <v>122</v>
      </c>
      <c r="Q311">
        <v>148596</v>
      </c>
      <c r="R311" t="s">
        <v>908</v>
      </c>
      <c r="S311" t="s">
        <v>909</v>
      </c>
      <c r="T311" t="s">
        <v>476</v>
      </c>
      <c r="U311" t="s">
        <v>137</v>
      </c>
    </row>
    <row r="312" spans="1:21" x14ac:dyDescent="0.25">
      <c r="A312" t="s">
        <v>118</v>
      </c>
      <c r="B312" t="s">
        <v>937</v>
      </c>
      <c r="C312">
        <v>147875</v>
      </c>
      <c r="D312" t="s">
        <v>938</v>
      </c>
      <c r="E312" t="s">
        <v>223</v>
      </c>
      <c r="F312" t="s">
        <v>79</v>
      </c>
      <c r="G312" t="s">
        <v>80</v>
      </c>
      <c r="H312" t="s">
        <v>122</v>
      </c>
      <c r="I312" t="s">
        <v>122</v>
      </c>
      <c r="J312" s="127">
        <v>46043.388194444444</v>
      </c>
      <c r="K312" s="127">
        <v>46044.525694444441</v>
      </c>
      <c r="L312" s="127">
        <v>46044</v>
      </c>
      <c r="M312" s="127">
        <v>46078.756944444445</v>
      </c>
      <c r="N312" t="s">
        <v>716</v>
      </c>
      <c r="O312" t="s">
        <v>72</v>
      </c>
      <c r="P312" t="s">
        <v>122</v>
      </c>
      <c r="Q312">
        <v>147867</v>
      </c>
      <c r="R312" t="s">
        <v>710</v>
      </c>
      <c r="S312" t="s">
        <v>711</v>
      </c>
      <c r="T312" t="s">
        <v>471</v>
      </c>
      <c r="U312" t="s">
        <v>717</v>
      </c>
    </row>
    <row r="313" spans="1:21" x14ac:dyDescent="0.25">
      <c r="A313" t="s">
        <v>118</v>
      </c>
      <c r="B313" t="s">
        <v>939</v>
      </c>
      <c r="C313">
        <v>147555</v>
      </c>
      <c r="D313" t="s">
        <v>940</v>
      </c>
      <c r="E313" t="s">
        <v>130</v>
      </c>
      <c r="F313" t="s">
        <v>82</v>
      </c>
      <c r="G313" t="s">
        <v>80</v>
      </c>
      <c r="H313" t="s">
        <v>122</v>
      </c>
      <c r="I313" t="s">
        <v>122</v>
      </c>
      <c r="J313" s="127">
        <v>46041.75</v>
      </c>
      <c r="K313" s="127">
        <v>46043.526388888888</v>
      </c>
      <c r="L313" s="127">
        <v>46043</v>
      </c>
      <c r="M313" s="127">
        <v>46044.784722222219</v>
      </c>
      <c r="N313" t="s">
        <v>716</v>
      </c>
      <c r="O313" t="s">
        <v>72</v>
      </c>
      <c r="P313" t="s">
        <v>122</v>
      </c>
      <c r="Q313">
        <v>147636</v>
      </c>
      <c r="R313" t="s">
        <v>941</v>
      </c>
      <c r="S313" t="s">
        <v>942</v>
      </c>
      <c r="T313" t="s">
        <v>471</v>
      </c>
      <c r="U313" t="s">
        <v>717</v>
      </c>
    </row>
    <row r="314" spans="1:21" x14ac:dyDescent="0.25">
      <c r="A314" t="s">
        <v>118</v>
      </c>
      <c r="B314" t="s">
        <v>943</v>
      </c>
      <c r="C314">
        <v>147369</v>
      </c>
      <c r="D314" t="s">
        <v>944</v>
      </c>
      <c r="E314" t="s">
        <v>130</v>
      </c>
      <c r="F314" t="s">
        <v>79</v>
      </c>
      <c r="G314" t="s">
        <v>80</v>
      </c>
      <c r="H314" t="s">
        <v>122</v>
      </c>
      <c r="I314" t="s">
        <v>122</v>
      </c>
      <c r="J314" s="127">
        <v>46041.443749999999</v>
      </c>
      <c r="K314" s="127">
        <v>46041.572222222225</v>
      </c>
      <c r="L314" s="127">
        <v>46042</v>
      </c>
      <c r="M314" s="127">
        <v>46062.581944444442</v>
      </c>
      <c r="N314" t="s">
        <v>716</v>
      </c>
      <c r="O314" t="s">
        <v>72</v>
      </c>
      <c r="P314" t="s">
        <v>122</v>
      </c>
      <c r="Q314">
        <v>70328</v>
      </c>
      <c r="R314" t="s">
        <v>945</v>
      </c>
      <c r="S314" t="s">
        <v>946</v>
      </c>
      <c r="T314" t="s">
        <v>471</v>
      </c>
      <c r="U314" t="s">
        <v>717</v>
      </c>
    </row>
    <row r="315" spans="1:21" x14ac:dyDescent="0.25">
      <c r="A315" t="s">
        <v>118</v>
      </c>
      <c r="B315" t="s">
        <v>947</v>
      </c>
      <c r="C315">
        <v>147340</v>
      </c>
      <c r="D315" t="s">
        <v>948</v>
      </c>
      <c r="E315" t="s">
        <v>130</v>
      </c>
      <c r="F315" t="s">
        <v>76</v>
      </c>
      <c r="G315" t="s">
        <v>77</v>
      </c>
      <c r="H315" t="s">
        <v>122</v>
      </c>
      <c r="I315" t="s">
        <v>122</v>
      </c>
      <c r="J315" s="127">
        <v>46041.432638888888</v>
      </c>
      <c r="K315" s="127">
        <v>46041.559027777781</v>
      </c>
      <c r="L315" s="127">
        <v>46042</v>
      </c>
      <c r="M315" s="127">
        <v>46059.475694444445</v>
      </c>
      <c r="N315" t="s">
        <v>75</v>
      </c>
      <c r="O315" t="s">
        <v>122</v>
      </c>
      <c r="P315" t="s">
        <v>122</v>
      </c>
      <c r="Q315">
        <v>70414</v>
      </c>
      <c r="R315" t="s">
        <v>949</v>
      </c>
      <c r="S315" t="s">
        <v>950</v>
      </c>
      <c r="T315" t="s">
        <v>481</v>
      </c>
      <c r="U315" t="s">
        <v>137</v>
      </c>
    </row>
    <row r="316" spans="1:21" x14ac:dyDescent="0.25">
      <c r="A316" t="s">
        <v>118</v>
      </c>
      <c r="B316" t="s">
        <v>951</v>
      </c>
      <c r="C316">
        <v>147337</v>
      </c>
      <c r="D316" t="s">
        <v>952</v>
      </c>
      <c r="E316" t="s">
        <v>130</v>
      </c>
      <c r="F316" t="s">
        <v>76</v>
      </c>
      <c r="G316" t="s">
        <v>77</v>
      </c>
      <c r="H316" t="s">
        <v>122</v>
      </c>
      <c r="I316" t="s">
        <v>122</v>
      </c>
      <c r="J316" s="127">
        <v>46041.429861111108</v>
      </c>
      <c r="K316" s="127">
        <v>46041.556250000001</v>
      </c>
      <c r="L316" s="127">
        <v>46043</v>
      </c>
      <c r="M316" s="127">
        <v>46045.73541666667</v>
      </c>
      <c r="N316" t="s">
        <v>75</v>
      </c>
      <c r="O316" t="s">
        <v>122</v>
      </c>
      <c r="P316" t="s">
        <v>122</v>
      </c>
      <c r="Q316">
        <v>70406</v>
      </c>
      <c r="R316" t="s">
        <v>953</v>
      </c>
      <c r="S316" t="s">
        <v>954</v>
      </c>
      <c r="T316" t="s">
        <v>481</v>
      </c>
      <c r="U316" t="s">
        <v>137</v>
      </c>
    </row>
    <row r="317" spans="1:21" x14ac:dyDescent="0.25">
      <c r="A317" t="s">
        <v>118</v>
      </c>
      <c r="B317" t="s">
        <v>955</v>
      </c>
      <c r="C317">
        <v>147202</v>
      </c>
      <c r="D317" t="s">
        <v>956</v>
      </c>
      <c r="E317" t="s">
        <v>130</v>
      </c>
      <c r="F317" t="s">
        <v>82</v>
      </c>
      <c r="G317" t="s">
        <v>80</v>
      </c>
      <c r="H317" t="s">
        <v>122</v>
      </c>
      <c r="I317" t="s">
        <v>122</v>
      </c>
      <c r="J317" s="127">
        <v>46038.786805555559</v>
      </c>
      <c r="K317" s="127">
        <v>46041.565972222219</v>
      </c>
      <c r="L317" s="127">
        <v>46041</v>
      </c>
      <c r="M317" s="127">
        <v>46041.811805555553</v>
      </c>
      <c r="N317" t="s">
        <v>716</v>
      </c>
      <c r="O317" t="s">
        <v>72</v>
      </c>
      <c r="P317" t="s">
        <v>122</v>
      </c>
      <c r="Q317">
        <v>143071</v>
      </c>
      <c r="R317" t="s">
        <v>957</v>
      </c>
      <c r="S317" t="s">
        <v>958</v>
      </c>
      <c r="T317" t="s">
        <v>471</v>
      </c>
      <c r="U317" t="s">
        <v>717</v>
      </c>
    </row>
    <row r="318" spans="1:21" x14ac:dyDescent="0.25">
      <c r="A318" t="s">
        <v>118</v>
      </c>
      <c r="B318" t="s">
        <v>959</v>
      </c>
      <c r="C318">
        <v>147199</v>
      </c>
      <c r="D318" t="s">
        <v>960</v>
      </c>
      <c r="E318" t="s">
        <v>130</v>
      </c>
      <c r="F318" t="s">
        <v>73</v>
      </c>
      <c r="G318" t="s">
        <v>74</v>
      </c>
      <c r="H318" t="s">
        <v>122</v>
      </c>
      <c r="I318" t="s">
        <v>122</v>
      </c>
      <c r="J318" s="127">
        <v>46038.732638888891</v>
      </c>
      <c r="K318" s="127">
        <v>46042.53402777778</v>
      </c>
      <c r="L318" s="127">
        <v>46042</v>
      </c>
      <c r="M318" s="127">
        <v>46050.379861111112</v>
      </c>
      <c r="N318" t="s">
        <v>72</v>
      </c>
      <c r="O318" t="s">
        <v>122</v>
      </c>
      <c r="P318" t="s">
        <v>122</v>
      </c>
      <c r="Q318">
        <v>147444</v>
      </c>
      <c r="R318" t="s">
        <v>961</v>
      </c>
      <c r="S318" t="s">
        <v>960</v>
      </c>
      <c r="T318" t="s">
        <v>476</v>
      </c>
      <c r="U318" t="s">
        <v>126</v>
      </c>
    </row>
    <row r="319" spans="1:21" x14ac:dyDescent="0.25">
      <c r="A319" t="s">
        <v>118</v>
      </c>
      <c r="B319" t="s">
        <v>962</v>
      </c>
      <c r="C319">
        <v>147171</v>
      </c>
      <c r="D319" t="s">
        <v>963</v>
      </c>
      <c r="E319" t="s">
        <v>519</v>
      </c>
      <c r="F319" t="s">
        <v>90</v>
      </c>
      <c r="G319" t="s">
        <v>454</v>
      </c>
      <c r="H319" t="s">
        <v>122</v>
      </c>
      <c r="I319" t="s">
        <v>122</v>
      </c>
      <c r="J319" s="127">
        <v>46038.703472222223</v>
      </c>
      <c r="K319" s="127">
        <v>46077.541666666664</v>
      </c>
      <c r="L319" s="127">
        <v>46077</v>
      </c>
      <c r="M319" s="127"/>
      <c r="N319" t="s">
        <v>78</v>
      </c>
      <c r="O319" t="s">
        <v>122</v>
      </c>
      <c r="P319" t="s">
        <v>122</v>
      </c>
      <c r="Q319">
        <v>146602</v>
      </c>
      <c r="R319" t="s">
        <v>964</v>
      </c>
      <c r="S319" t="s">
        <v>965</v>
      </c>
      <c r="T319" t="s">
        <v>457</v>
      </c>
      <c r="U319" t="s">
        <v>462</v>
      </c>
    </row>
    <row r="320" spans="1:21" x14ac:dyDescent="0.25">
      <c r="A320" t="s">
        <v>118</v>
      </c>
      <c r="B320" t="s">
        <v>966</v>
      </c>
      <c r="C320">
        <v>147162</v>
      </c>
      <c r="D320" t="s">
        <v>967</v>
      </c>
      <c r="E320" t="s">
        <v>508</v>
      </c>
      <c r="F320" t="s">
        <v>90</v>
      </c>
      <c r="G320" t="s">
        <v>454</v>
      </c>
      <c r="H320" t="s">
        <v>122</v>
      </c>
      <c r="I320" t="s">
        <v>122</v>
      </c>
      <c r="J320" s="127">
        <v>46038.697916666664</v>
      </c>
      <c r="K320" s="127">
        <v>46076.506944444445</v>
      </c>
      <c r="L320" s="127">
        <v>46076</v>
      </c>
      <c r="M320" s="127"/>
      <c r="N320" t="s">
        <v>78</v>
      </c>
      <c r="O320" t="s">
        <v>122</v>
      </c>
      <c r="P320" t="s">
        <v>122</v>
      </c>
      <c r="Q320">
        <v>146602</v>
      </c>
      <c r="R320" t="s">
        <v>964</v>
      </c>
      <c r="S320" t="s">
        <v>965</v>
      </c>
      <c r="T320" t="s">
        <v>457</v>
      </c>
      <c r="U320" t="s">
        <v>462</v>
      </c>
    </row>
    <row r="321" spans="1:21" x14ac:dyDescent="0.25">
      <c r="A321" t="s">
        <v>118</v>
      </c>
      <c r="B321" t="s">
        <v>968</v>
      </c>
      <c r="C321">
        <v>146966</v>
      </c>
      <c r="D321" t="s">
        <v>969</v>
      </c>
      <c r="E321" t="s">
        <v>519</v>
      </c>
      <c r="F321" t="s">
        <v>970</v>
      </c>
      <c r="G321" t="s">
        <v>738</v>
      </c>
      <c r="H321" t="s">
        <v>122</v>
      </c>
      <c r="I321" t="s">
        <v>122</v>
      </c>
      <c r="J321" s="127">
        <v>46037.845833333333</v>
      </c>
      <c r="K321" s="127">
        <v>46052.581944444442</v>
      </c>
      <c r="L321" s="127">
        <v>46052</v>
      </c>
      <c r="M321" s="127"/>
      <c r="N321" t="s">
        <v>78</v>
      </c>
      <c r="O321" t="s">
        <v>122</v>
      </c>
      <c r="P321" t="s">
        <v>122</v>
      </c>
      <c r="Q321">
        <v>141193</v>
      </c>
      <c r="R321" t="s">
        <v>971</v>
      </c>
      <c r="S321" t="s">
        <v>972</v>
      </c>
      <c r="T321" t="s">
        <v>741</v>
      </c>
      <c r="U321" t="s">
        <v>462</v>
      </c>
    </row>
    <row r="322" spans="1:21" x14ac:dyDescent="0.25">
      <c r="A322" t="s">
        <v>118</v>
      </c>
      <c r="B322" t="s">
        <v>973</v>
      </c>
      <c r="C322">
        <v>146963</v>
      </c>
      <c r="D322" t="s">
        <v>974</v>
      </c>
      <c r="E322" t="s">
        <v>519</v>
      </c>
      <c r="F322" t="s">
        <v>970</v>
      </c>
      <c r="G322" t="s">
        <v>738</v>
      </c>
      <c r="H322" t="s">
        <v>122</v>
      </c>
      <c r="I322" t="s">
        <v>122</v>
      </c>
      <c r="J322" s="127">
        <v>46037.845138888886</v>
      </c>
      <c r="K322" s="127">
        <v>46052.584027777775</v>
      </c>
      <c r="L322" s="127">
        <v>46052</v>
      </c>
      <c r="M322" s="127"/>
      <c r="N322" t="s">
        <v>78</v>
      </c>
      <c r="O322" t="s">
        <v>122</v>
      </c>
      <c r="P322" t="s">
        <v>122</v>
      </c>
      <c r="Q322">
        <v>141193</v>
      </c>
      <c r="R322" t="s">
        <v>971</v>
      </c>
      <c r="S322" t="s">
        <v>972</v>
      </c>
      <c r="T322" t="s">
        <v>741</v>
      </c>
      <c r="U322" t="s">
        <v>462</v>
      </c>
    </row>
    <row r="323" spans="1:21" x14ac:dyDescent="0.25">
      <c r="A323" t="s">
        <v>118</v>
      </c>
      <c r="B323" t="s">
        <v>975</v>
      </c>
      <c r="C323">
        <v>146960</v>
      </c>
      <c r="D323" t="s">
        <v>976</v>
      </c>
      <c r="E323" t="s">
        <v>266</v>
      </c>
      <c r="F323" t="s">
        <v>970</v>
      </c>
      <c r="G323" t="s">
        <v>738</v>
      </c>
      <c r="H323" t="s">
        <v>122</v>
      </c>
      <c r="I323" t="s">
        <v>122</v>
      </c>
      <c r="J323" s="127">
        <v>46037.844444444447</v>
      </c>
      <c r="K323" s="127">
        <v>46052.584027777775</v>
      </c>
      <c r="L323" s="127">
        <v>46052</v>
      </c>
      <c r="M323" s="127"/>
      <c r="N323" t="s">
        <v>78</v>
      </c>
      <c r="O323" t="s">
        <v>122</v>
      </c>
      <c r="P323" t="s">
        <v>122</v>
      </c>
      <c r="Q323">
        <v>141193</v>
      </c>
      <c r="R323" t="s">
        <v>971</v>
      </c>
      <c r="S323" t="s">
        <v>972</v>
      </c>
      <c r="T323" t="s">
        <v>741</v>
      </c>
      <c r="U323" t="s">
        <v>462</v>
      </c>
    </row>
    <row r="324" spans="1:21" x14ac:dyDescent="0.25">
      <c r="A324" t="s">
        <v>118</v>
      </c>
      <c r="B324" t="s">
        <v>977</v>
      </c>
      <c r="C324">
        <v>146957</v>
      </c>
      <c r="D324" t="s">
        <v>978</v>
      </c>
      <c r="E324" t="s">
        <v>266</v>
      </c>
      <c r="F324" t="s">
        <v>970</v>
      </c>
      <c r="G324" t="s">
        <v>738</v>
      </c>
      <c r="H324" t="s">
        <v>122</v>
      </c>
      <c r="I324" t="s">
        <v>122</v>
      </c>
      <c r="J324" s="127">
        <v>46037.84375</v>
      </c>
      <c r="K324" s="127">
        <v>46052.584722222222</v>
      </c>
      <c r="L324" s="127">
        <v>46052</v>
      </c>
      <c r="M324" s="127"/>
      <c r="N324" t="s">
        <v>78</v>
      </c>
      <c r="O324" t="s">
        <v>122</v>
      </c>
      <c r="P324" t="s">
        <v>122</v>
      </c>
      <c r="Q324">
        <v>141193</v>
      </c>
      <c r="R324" t="s">
        <v>971</v>
      </c>
      <c r="S324" t="s">
        <v>972</v>
      </c>
      <c r="T324" t="s">
        <v>741</v>
      </c>
      <c r="U324" t="s">
        <v>462</v>
      </c>
    </row>
    <row r="325" spans="1:21" x14ac:dyDescent="0.25">
      <c r="A325" t="s">
        <v>118</v>
      </c>
      <c r="B325" t="s">
        <v>979</v>
      </c>
      <c r="C325">
        <v>146954</v>
      </c>
      <c r="D325" t="s">
        <v>980</v>
      </c>
      <c r="E325" t="s">
        <v>519</v>
      </c>
      <c r="F325" t="s">
        <v>970</v>
      </c>
      <c r="G325" t="s">
        <v>738</v>
      </c>
      <c r="H325" t="s">
        <v>122</v>
      </c>
      <c r="I325" t="s">
        <v>122</v>
      </c>
      <c r="J325" s="127">
        <v>46037.84375</v>
      </c>
      <c r="K325" s="127">
        <v>46052.642361111109</v>
      </c>
      <c r="L325" s="127">
        <v>46052</v>
      </c>
      <c r="M325" s="127"/>
      <c r="N325" t="s">
        <v>78</v>
      </c>
      <c r="O325" t="s">
        <v>122</v>
      </c>
      <c r="P325" t="s">
        <v>122</v>
      </c>
      <c r="Q325">
        <v>141193</v>
      </c>
      <c r="R325" t="s">
        <v>971</v>
      </c>
      <c r="S325" t="s">
        <v>972</v>
      </c>
      <c r="T325" t="s">
        <v>741</v>
      </c>
      <c r="U325" t="s">
        <v>462</v>
      </c>
    </row>
    <row r="326" spans="1:21" x14ac:dyDescent="0.25">
      <c r="A326" t="s">
        <v>118</v>
      </c>
      <c r="B326" t="s">
        <v>981</v>
      </c>
      <c r="C326">
        <v>146951</v>
      </c>
      <c r="D326" t="s">
        <v>982</v>
      </c>
      <c r="E326" t="s">
        <v>266</v>
      </c>
      <c r="F326" t="s">
        <v>970</v>
      </c>
      <c r="G326" t="s">
        <v>738</v>
      </c>
      <c r="H326" t="s">
        <v>122</v>
      </c>
      <c r="I326" t="s">
        <v>122</v>
      </c>
      <c r="J326" s="127">
        <v>46037.841666666667</v>
      </c>
      <c r="K326" s="127">
        <v>46052.642361111109</v>
      </c>
      <c r="L326" s="127">
        <v>46052</v>
      </c>
      <c r="M326" s="127"/>
      <c r="N326" t="s">
        <v>78</v>
      </c>
      <c r="O326" t="s">
        <v>122</v>
      </c>
      <c r="P326" t="s">
        <v>122</v>
      </c>
      <c r="Q326">
        <v>141193</v>
      </c>
      <c r="R326" t="s">
        <v>971</v>
      </c>
      <c r="S326" t="s">
        <v>972</v>
      </c>
      <c r="T326" t="s">
        <v>741</v>
      </c>
      <c r="U326" t="s">
        <v>462</v>
      </c>
    </row>
    <row r="327" spans="1:21" x14ac:dyDescent="0.25">
      <c r="A327" t="s">
        <v>118</v>
      </c>
      <c r="B327" t="s">
        <v>983</v>
      </c>
      <c r="C327">
        <v>146946</v>
      </c>
      <c r="D327" t="s">
        <v>984</v>
      </c>
      <c r="E327" t="s">
        <v>519</v>
      </c>
      <c r="F327" t="s">
        <v>970</v>
      </c>
      <c r="G327" t="s">
        <v>738</v>
      </c>
      <c r="H327" t="s">
        <v>122</v>
      </c>
      <c r="I327" t="s">
        <v>122</v>
      </c>
      <c r="J327" s="127">
        <v>46037.84097222222</v>
      </c>
      <c r="K327" s="127">
        <v>46052.642361111109</v>
      </c>
      <c r="L327" s="127">
        <v>46052</v>
      </c>
      <c r="M327" s="127"/>
      <c r="N327" t="s">
        <v>78</v>
      </c>
      <c r="O327" t="s">
        <v>122</v>
      </c>
      <c r="P327" t="s">
        <v>122</v>
      </c>
      <c r="Q327">
        <v>141193</v>
      </c>
      <c r="R327" t="s">
        <v>971</v>
      </c>
      <c r="S327" t="s">
        <v>972</v>
      </c>
      <c r="T327" t="s">
        <v>741</v>
      </c>
      <c r="U327" t="s">
        <v>462</v>
      </c>
    </row>
    <row r="328" spans="1:21" x14ac:dyDescent="0.25">
      <c r="A328" t="s">
        <v>118</v>
      </c>
      <c r="B328" t="s">
        <v>985</v>
      </c>
      <c r="C328">
        <v>146943</v>
      </c>
      <c r="D328" t="s">
        <v>986</v>
      </c>
      <c r="E328" t="s">
        <v>519</v>
      </c>
      <c r="F328" t="s">
        <v>970</v>
      </c>
      <c r="G328" t="s">
        <v>738</v>
      </c>
      <c r="H328" t="s">
        <v>122</v>
      </c>
      <c r="I328" t="s">
        <v>122</v>
      </c>
      <c r="J328" s="127">
        <v>46037.840277777781</v>
      </c>
      <c r="K328" s="127">
        <v>46052.643055555556</v>
      </c>
      <c r="L328" s="127">
        <v>46052</v>
      </c>
      <c r="M328" s="127"/>
      <c r="N328" t="s">
        <v>78</v>
      </c>
      <c r="O328" t="s">
        <v>122</v>
      </c>
      <c r="P328" t="s">
        <v>122</v>
      </c>
      <c r="Q328">
        <v>141193</v>
      </c>
      <c r="R328" t="s">
        <v>971</v>
      </c>
      <c r="S328" t="s">
        <v>972</v>
      </c>
      <c r="T328" t="s">
        <v>741</v>
      </c>
      <c r="U328" t="s">
        <v>462</v>
      </c>
    </row>
    <row r="329" spans="1:21" x14ac:dyDescent="0.25">
      <c r="A329" t="s">
        <v>118</v>
      </c>
      <c r="B329" t="s">
        <v>987</v>
      </c>
      <c r="C329">
        <v>146934</v>
      </c>
      <c r="D329" t="s">
        <v>988</v>
      </c>
      <c r="E329" t="s">
        <v>266</v>
      </c>
      <c r="F329" t="s">
        <v>535</v>
      </c>
      <c r="G329" t="s">
        <v>738</v>
      </c>
      <c r="H329" t="s">
        <v>122</v>
      </c>
      <c r="I329" t="s">
        <v>122</v>
      </c>
      <c r="J329" s="127">
        <v>46037.837500000001</v>
      </c>
      <c r="K329" s="127">
        <v>46050.743055555555</v>
      </c>
      <c r="L329" s="127">
        <v>46050</v>
      </c>
      <c r="M329" s="127"/>
      <c r="N329" t="s">
        <v>78</v>
      </c>
      <c r="O329" t="s">
        <v>122</v>
      </c>
      <c r="P329" t="s">
        <v>122</v>
      </c>
      <c r="Q329">
        <v>141193</v>
      </c>
      <c r="R329" t="s">
        <v>971</v>
      </c>
      <c r="S329" t="s">
        <v>972</v>
      </c>
      <c r="T329" t="s">
        <v>741</v>
      </c>
      <c r="U329" t="s">
        <v>462</v>
      </c>
    </row>
    <row r="330" spans="1:21" x14ac:dyDescent="0.25">
      <c r="A330" t="s">
        <v>118</v>
      </c>
      <c r="B330" t="s">
        <v>989</v>
      </c>
      <c r="C330">
        <v>146861</v>
      </c>
      <c r="D330" t="s">
        <v>990</v>
      </c>
      <c r="E330" t="s">
        <v>130</v>
      </c>
      <c r="F330" t="s">
        <v>76</v>
      </c>
      <c r="G330" t="s">
        <v>77</v>
      </c>
      <c r="H330" t="s">
        <v>122</v>
      </c>
      <c r="I330" t="s">
        <v>122</v>
      </c>
      <c r="J330" s="127">
        <v>46037.474999999999</v>
      </c>
      <c r="K330" s="127">
        <v>46037.600694444445</v>
      </c>
      <c r="L330" s="127">
        <v>46037</v>
      </c>
      <c r="M330" s="127">
        <v>46041.426388888889</v>
      </c>
      <c r="N330" t="s">
        <v>75</v>
      </c>
      <c r="O330" t="s">
        <v>122</v>
      </c>
      <c r="P330" t="s">
        <v>122</v>
      </c>
      <c r="Q330">
        <v>70414</v>
      </c>
      <c r="R330" t="s">
        <v>949</v>
      </c>
      <c r="S330" t="s">
        <v>950</v>
      </c>
      <c r="T330" t="s">
        <v>481</v>
      </c>
      <c r="U330" t="s">
        <v>137</v>
      </c>
    </row>
    <row r="331" spans="1:21" x14ac:dyDescent="0.25">
      <c r="A331" t="s">
        <v>127</v>
      </c>
      <c r="B331" t="s">
        <v>991</v>
      </c>
      <c r="C331">
        <v>146827</v>
      </c>
      <c r="D331" t="s">
        <v>992</v>
      </c>
      <c r="E331" t="s">
        <v>130</v>
      </c>
      <c r="F331" t="s">
        <v>82</v>
      </c>
      <c r="G331" t="s">
        <v>80</v>
      </c>
      <c r="H331" t="s">
        <v>122</v>
      </c>
      <c r="I331" t="s">
        <v>122</v>
      </c>
      <c r="J331" s="127">
        <v>46037.424305555556</v>
      </c>
      <c r="K331" s="127">
        <v>46037.549305555556</v>
      </c>
      <c r="L331" s="127">
        <v>46037</v>
      </c>
      <c r="M331" s="127">
        <v>46041.732638888891</v>
      </c>
      <c r="N331" t="s">
        <v>72</v>
      </c>
      <c r="O331" t="s">
        <v>122</v>
      </c>
      <c r="P331" t="s">
        <v>122</v>
      </c>
      <c r="Q331">
        <v>143071</v>
      </c>
      <c r="R331" t="s">
        <v>957</v>
      </c>
      <c r="S331" t="s">
        <v>958</v>
      </c>
      <c r="T331" t="s">
        <v>471</v>
      </c>
      <c r="U331" t="s">
        <v>126</v>
      </c>
    </row>
    <row r="332" spans="1:21" x14ac:dyDescent="0.25">
      <c r="A332" t="s">
        <v>127</v>
      </c>
      <c r="B332" t="s">
        <v>993</v>
      </c>
      <c r="C332">
        <v>146739</v>
      </c>
      <c r="D332" t="s">
        <v>994</v>
      </c>
      <c r="E332" t="s">
        <v>130</v>
      </c>
      <c r="F332" t="s">
        <v>73</v>
      </c>
      <c r="G332" t="s">
        <v>74</v>
      </c>
      <c r="H332" t="s">
        <v>122</v>
      </c>
      <c r="I332" t="s">
        <v>122</v>
      </c>
      <c r="J332" s="127">
        <v>46036.743055555555</v>
      </c>
      <c r="K332" s="127">
        <v>46037.659722222219</v>
      </c>
      <c r="L332" s="127">
        <v>46037.659722222219</v>
      </c>
      <c r="M332" s="127">
        <v>46038.520833333336</v>
      </c>
      <c r="N332" t="s">
        <v>72</v>
      </c>
      <c r="O332" t="s">
        <v>122</v>
      </c>
      <c r="P332" t="s">
        <v>122</v>
      </c>
      <c r="R332" t="s">
        <v>122</v>
      </c>
      <c r="S332" t="s">
        <v>122</v>
      </c>
      <c r="T332" t="s">
        <v>476</v>
      </c>
      <c r="U332" t="s">
        <v>126</v>
      </c>
    </row>
    <row r="333" spans="1:21" x14ac:dyDescent="0.25">
      <c r="A333" t="s">
        <v>118</v>
      </c>
      <c r="B333" t="s">
        <v>995</v>
      </c>
      <c r="C333">
        <v>146604</v>
      </c>
      <c r="D333" t="s">
        <v>996</v>
      </c>
      <c r="E333" t="s">
        <v>508</v>
      </c>
      <c r="F333" t="s">
        <v>90</v>
      </c>
      <c r="G333" t="s">
        <v>454</v>
      </c>
      <c r="H333" t="s">
        <v>122</v>
      </c>
      <c r="I333" t="s">
        <v>122</v>
      </c>
      <c r="J333" s="127">
        <v>46035.661111111112</v>
      </c>
      <c r="K333" s="127">
        <v>46064.546527777777</v>
      </c>
      <c r="L333" s="127">
        <v>46064</v>
      </c>
      <c r="M333" s="127"/>
      <c r="N333" t="s">
        <v>78</v>
      </c>
      <c r="O333" t="s">
        <v>122</v>
      </c>
      <c r="P333" t="s">
        <v>122</v>
      </c>
      <c r="Q333">
        <v>146602</v>
      </c>
      <c r="R333" t="s">
        <v>964</v>
      </c>
      <c r="S333" t="s">
        <v>965</v>
      </c>
      <c r="T333" t="s">
        <v>457</v>
      </c>
      <c r="U333" t="s">
        <v>462</v>
      </c>
    </row>
    <row r="334" spans="1:21" x14ac:dyDescent="0.25">
      <c r="A334" t="s">
        <v>118</v>
      </c>
      <c r="B334" t="s">
        <v>997</v>
      </c>
      <c r="C334">
        <v>146585</v>
      </c>
      <c r="D334" t="s">
        <v>998</v>
      </c>
      <c r="E334" t="s">
        <v>130</v>
      </c>
      <c r="F334" t="s">
        <v>76</v>
      </c>
      <c r="G334" t="s">
        <v>77</v>
      </c>
      <c r="H334" t="s">
        <v>122</v>
      </c>
      <c r="I334" t="s">
        <v>122</v>
      </c>
      <c r="J334" s="127">
        <v>46035.624305555553</v>
      </c>
      <c r="K334" s="127">
        <v>46036.493750000001</v>
      </c>
      <c r="L334" s="127">
        <v>46036</v>
      </c>
      <c r="M334" s="127">
        <v>46041.371527777781</v>
      </c>
      <c r="N334" t="s">
        <v>716</v>
      </c>
      <c r="O334" t="s">
        <v>72</v>
      </c>
      <c r="P334" t="s">
        <v>122</v>
      </c>
      <c r="Q334">
        <v>146583</v>
      </c>
      <c r="R334" t="s">
        <v>999</v>
      </c>
      <c r="S334" t="s">
        <v>1000</v>
      </c>
      <c r="T334" t="s">
        <v>481</v>
      </c>
      <c r="U334" t="s">
        <v>717</v>
      </c>
    </row>
    <row r="335" spans="1:21" x14ac:dyDescent="0.25">
      <c r="A335" t="s">
        <v>127</v>
      </c>
      <c r="B335" t="s">
        <v>1001</v>
      </c>
      <c r="C335">
        <v>146309</v>
      </c>
      <c r="D335" t="s">
        <v>1002</v>
      </c>
      <c r="E335" t="s">
        <v>130</v>
      </c>
      <c r="F335" t="s">
        <v>453</v>
      </c>
      <c r="G335" t="s">
        <v>80</v>
      </c>
      <c r="H335" t="s">
        <v>122</v>
      </c>
      <c r="I335" t="s">
        <v>122</v>
      </c>
      <c r="J335" s="127">
        <v>46034.625</v>
      </c>
      <c r="K335" s="127">
        <v>46034</v>
      </c>
      <c r="L335" s="127">
        <v>46035</v>
      </c>
      <c r="M335" s="127">
        <v>46101.736805555556</v>
      </c>
      <c r="N335" t="s">
        <v>1003</v>
      </c>
      <c r="O335" t="s">
        <v>78</v>
      </c>
      <c r="P335" t="s">
        <v>122</v>
      </c>
      <c r="R335" t="s">
        <v>122</v>
      </c>
      <c r="S335" t="s">
        <v>122</v>
      </c>
      <c r="T335" t="s">
        <v>471</v>
      </c>
      <c r="U335" t="s">
        <v>1004</v>
      </c>
    </row>
    <row r="336" spans="1:21" x14ac:dyDescent="0.25">
      <c r="A336" t="s">
        <v>127</v>
      </c>
      <c r="B336" t="s">
        <v>1005</v>
      </c>
      <c r="C336">
        <v>145992</v>
      </c>
      <c r="D336" t="s">
        <v>1006</v>
      </c>
      <c r="E336" t="s">
        <v>130</v>
      </c>
      <c r="F336" t="s">
        <v>73</v>
      </c>
      <c r="G336" t="s">
        <v>74</v>
      </c>
      <c r="H336" t="s">
        <v>122</v>
      </c>
      <c r="I336" t="s">
        <v>122</v>
      </c>
      <c r="J336" s="127">
        <v>46031.697222222225</v>
      </c>
      <c r="K336" s="127">
        <v>46031</v>
      </c>
      <c r="L336" s="127">
        <v>46036</v>
      </c>
      <c r="M336" s="127">
        <v>46037.542361111111</v>
      </c>
      <c r="N336" t="s">
        <v>72</v>
      </c>
      <c r="O336" t="s">
        <v>122</v>
      </c>
      <c r="P336" t="s">
        <v>122</v>
      </c>
      <c r="R336" t="s">
        <v>122</v>
      </c>
      <c r="S336" t="s">
        <v>122</v>
      </c>
      <c r="T336" t="s">
        <v>476</v>
      </c>
      <c r="U336" t="s">
        <v>126</v>
      </c>
    </row>
    <row r="337" spans="1:21" x14ac:dyDescent="0.25">
      <c r="A337" t="s">
        <v>118</v>
      </c>
      <c r="B337" t="s">
        <v>1007</v>
      </c>
      <c r="C337">
        <v>145783</v>
      </c>
      <c r="D337" t="s">
        <v>707</v>
      </c>
      <c r="E337" t="s">
        <v>223</v>
      </c>
      <c r="F337" t="s">
        <v>73</v>
      </c>
      <c r="G337" t="s">
        <v>95</v>
      </c>
      <c r="H337" t="s">
        <v>74</v>
      </c>
      <c r="I337" t="s">
        <v>122</v>
      </c>
      <c r="J337" s="127">
        <v>46030.427777777775</v>
      </c>
      <c r="K337" s="127">
        <v>46034.765972222223</v>
      </c>
      <c r="L337" s="127"/>
      <c r="M337" s="127">
        <v>46085.48333333333</v>
      </c>
      <c r="N337" t="s">
        <v>75</v>
      </c>
      <c r="O337" t="s">
        <v>122</v>
      </c>
      <c r="P337" t="s">
        <v>122</v>
      </c>
      <c r="Q337">
        <v>147443</v>
      </c>
      <c r="R337" t="s">
        <v>1008</v>
      </c>
      <c r="S337" t="s">
        <v>707</v>
      </c>
      <c r="T337" t="s">
        <v>1009</v>
      </c>
      <c r="U337" t="s">
        <v>137</v>
      </c>
    </row>
    <row r="338" spans="1:21" x14ac:dyDescent="0.25">
      <c r="A338" t="s">
        <v>118</v>
      </c>
      <c r="B338" t="s">
        <v>1010</v>
      </c>
      <c r="C338">
        <v>145745</v>
      </c>
      <c r="D338" t="s">
        <v>1011</v>
      </c>
      <c r="E338" t="s">
        <v>130</v>
      </c>
      <c r="F338" t="s">
        <v>73</v>
      </c>
      <c r="G338" t="s">
        <v>74</v>
      </c>
      <c r="H338" t="s">
        <v>122</v>
      </c>
      <c r="I338" t="s">
        <v>122</v>
      </c>
      <c r="J338" s="127">
        <v>46030.404166666667</v>
      </c>
      <c r="K338" s="127">
        <v>46030.961805555555</v>
      </c>
      <c r="L338" s="127">
        <v>46030</v>
      </c>
      <c r="M338" s="127">
        <v>46037.519444444442</v>
      </c>
      <c r="N338" t="s">
        <v>72</v>
      </c>
      <c r="O338" t="s">
        <v>122</v>
      </c>
      <c r="P338" t="s">
        <v>122</v>
      </c>
      <c r="R338" t="s">
        <v>122</v>
      </c>
      <c r="S338" t="s">
        <v>122</v>
      </c>
      <c r="T338" t="s">
        <v>476</v>
      </c>
      <c r="U338" t="s">
        <v>126</v>
      </c>
    </row>
    <row r="339" spans="1:21" x14ac:dyDescent="0.25">
      <c r="A339" t="s">
        <v>118</v>
      </c>
      <c r="B339" t="s">
        <v>1012</v>
      </c>
      <c r="C339">
        <v>145646</v>
      </c>
      <c r="D339" t="s">
        <v>1013</v>
      </c>
      <c r="E339" t="s">
        <v>130</v>
      </c>
      <c r="F339" t="s">
        <v>82</v>
      </c>
      <c r="G339" t="s">
        <v>80</v>
      </c>
      <c r="H339" t="s">
        <v>122</v>
      </c>
      <c r="I339" t="s">
        <v>122</v>
      </c>
      <c r="J339" s="127">
        <v>46029.668749999997</v>
      </c>
      <c r="K339" s="127">
        <v>46030.525694444441</v>
      </c>
      <c r="L339" s="127">
        <v>46030</v>
      </c>
      <c r="M339" s="127">
        <v>46042.408333333333</v>
      </c>
      <c r="N339" t="s">
        <v>72</v>
      </c>
      <c r="O339" t="s">
        <v>122</v>
      </c>
      <c r="P339" t="s">
        <v>122</v>
      </c>
      <c r="Q339">
        <v>143071</v>
      </c>
      <c r="R339" t="s">
        <v>957</v>
      </c>
      <c r="S339" t="s">
        <v>958</v>
      </c>
      <c r="T339" t="s">
        <v>471</v>
      </c>
      <c r="U339" t="s">
        <v>126</v>
      </c>
    </row>
    <row r="340" spans="1:21" x14ac:dyDescent="0.25">
      <c r="A340" t="s">
        <v>118</v>
      </c>
      <c r="B340" t="s">
        <v>1014</v>
      </c>
      <c r="C340">
        <v>145608</v>
      </c>
      <c r="D340" t="s">
        <v>1015</v>
      </c>
      <c r="E340" t="s">
        <v>130</v>
      </c>
      <c r="F340" t="s">
        <v>82</v>
      </c>
      <c r="G340" t="s">
        <v>80</v>
      </c>
      <c r="H340" t="s">
        <v>122</v>
      </c>
      <c r="I340" t="s">
        <v>122</v>
      </c>
      <c r="J340" s="127">
        <v>46029.584027777775</v>
      </c>
      <c r="K340" s="127">
        <v>46030.525694444441</v>
      </c>
      <c r="L340" s="127">
        <v>46030</v>
      </c>
      <c r="M340" s="127">
        <v>46038.515972222223</v>
      </c>
      <c r="N340" t="s">
        <v>72</v>
      </c>
      <c r="O340" t="s">
        <v>122</v>
      </c>
      <c r="P340" t="s">
        <v>122</v>
      </c>
      <c r="Q340">
        <v>70328</v>
      </c>
      <c r="R340" t="s">
        <v>945</v>
      </c>
      <c r="S340" t="s">
        <v>946</v>
      </c>
      <c r="T340" t="s">
        <v>471</v>
      </c>
      <c r="U340" t="s">
        <v>126</v>
      </c>
    </row>
    <row r="341" spans="1:21" x14ac:dyDescent="0.25">
      <c r="A341" t="s">
        <v>253</v>
      </c>
      <c r="B341" t="s">
        <v>1016</v>
      </c>
      <c r="C341">
        <v>145573</v>
      </c>
      <c r="D341" t="s">
        <v>1017</v>
      </c>
      <c r="E341" t="s">
        <v>437</v>
      </c>
      <c r="F341" t="s">
        <v>79</v>
      </c>
      <c r="G341" t="s">
        <v>540</v>
      </c>
      <c r="H341" t="s">
        <v>122</v>
      </c>
      <c r="I341" t="s">
        <v>122</v>
      </c>
      <c r="J341" s="127">
        <v>46029.424305555556</v>
      </c>
      <c r="K341" s="127">
        <v>46030.60833333333</v>
      </c>
      <c r="L341" s="127">
        <v>46030.60833333333</v>
      </c>
      <c r="M341" s="127">
        <v>46038.414583333331</v>
      </c>
      <c r="N341" t="s">
        <v>72</v>
      </c>
      <c r="O341" t="s">
        <v>122</v>
      </c>
      <c r="P341" t="s">
        <v>122</v>
      </c>
      <c r="R341" t="s">
        <v>122</v>
      </c>
      <c r="S341" t="s">
        <v>122</v>
      </c>
      <c r="T341" t="s">
        <v>1018</v>
      </c>
      <c r="U341" t="s">
        <v>126</v>
      </c>
    </row>
    <row r="342" spans="1:21" x14ac:dyDescent="0.25">
      <c r="A342" t="s">
        <v>118</v>
      </c>
      <c r="B342" t="s">
        <v>1019</v>
      </c>
      <c r="C342">
        <v>144504</v>
      </c>
      <c r="D342" t="s">
        <v>1020</v>
      </c>
      <c r="E342" t="s">
        <v>130</v>
      </c>
      <c r="F342" t="s">
        <v>79</v>
      </c>
      <c r="G342" t="s">
        <v>80</v>
      </c>
      <c r="H342" t="s">
        <v>122</v>
      </c>
      <c r="I342" t="s">
        <v>122</v>
      </c>
      <c r="J342" s="127">
        <v>46028.745833333334</v>
      </c>
      <c r="K342" s="127">
        <v>46029.495138888888</v>
      </c>
      <c r="L342" s="127">
        <v>46029</v>
      </c>
      <c r="M342" s="127">
        <v>46073.686111111114</v>
      </c>
      <c r="N342" t="s">
        <v>72</v>
      </c>
      <c r="O342" t="s">
        <v>122</v>
      </c>
      <c r="P342" t="s">
        <v>122</v>
      </c>
      <c r="Q342">
        <v>143070</v>
      </c>
      <c r="R342" t="s">
        <v>764</v>
      </c>
      <c r="S342" t="s">
        <v>765</v>
      </c>
      <c r="T342" t="s">
        <v>471</v>
      </c>
      <c r="U342" t="s">
        <v>126</v>
      </c>
    </row>
    <row r="343" spans="1:21" x14ac:dyDescent="0.25">
      <c r="A343" t="s">
        <v>253</v>
      </c>
      <c r="B343" t="s">
        <v>1021</v>
      </c>
      <c r="C343">
        <v>144254</v>
      </c>
      <c r="D343" t="s">
        <v>1022</v>
      </c>
      <c r="E343" t="s">
        <v>437</v>
      </c>
      <c r="F343" t="s">
        <v>76</v>
      </c>
      <c r="G343" t="s">
        <v>77</v>
      </c>
      <c r="H343" t="s">
        <v>122</v>
      </c>
      <c r="I343" t="s">
        <v>122</v>
      </c>
      <c r="J343" s="127">
        <v>46028.384027777778</v>
      </c>
      <c r="K343" s="127">
        <v>46028</v>
      </c>
      <c r="L343" s="127">
        <v>46028</v>
      </c>
      <c r="M343" s="127">
        <v>46029.65347222222</v>
      </c>
      <c r="N343" t="s">
        <v>72</v>
      </c>
      <c r="O343" t="s">
        <v>122</v>
      </c>
      <c r="P343" t="s">
        <v>122</v>
      </c>
      <c r="R343" t="s">
        <v>122</v>
      </c>
      <c r="S343" t="s">
        <v>122</v>
      </c>
      <c r="T343" t="s">
        <v>481</v>
      </c>
      <c r="U343" t="s">
        <v>126</v>
      </c>
    </row>
    <row r="344" spans="1:21" x14ac:dyDescent="0.25">
      <c r="A344" t="s">
        <v>118</v>
      </c>
      <c r="B344" t="s">
        <v>1023</v>
      </c>
      <c r="C344">
        <v>142985</v>
      </c>
      <c r="D344" t="s">
        <v>1024</v>
      </c>
      <c r="E344" t="s">
        <v>130</v>
      </c>
      <c r="F344" t="s">
        <v>73</v>
      </c>
      <c r="G344" t="s">
        <v>74</v>
      </c>
      <c r="H344" t="s">
        <v>122</v>
      </c>
      <c r="I344" t="s">
        <v>122</v>
      </c>
      <c r="J344" s="127">
        <v>46027.441666666666</v>
      </c>
      <c r="K344" s="127">
        <v>46027.599305555559</v>
      </c>
      <c r="L344" s="127">
        <v>46027</v>
      </c>
      <c r="M344" s="127">
        <v>46029.62777777778</v>
      </c>
      <c r="N344" t="s">
        <v>72</v>
      </c>
      <c r="O344" t="s">
        <v>122</v>
      </c>
      <c r="P344" t="s">
        <v>122</v>
      </c>
      <c r="Q344">
        <v>143024</v>
      </c>
      <c r="R344" t="s">
        <v>1025</v>
      </c>
      <c r="S344" t="s">
        <v>1026</v>
      </c>
      <c r="T344" t="s">
        <v>476</v>
      </c>
      <c r="U344" t="s">
        <v>126</v>
      </c>
    </row>
    <row r="345" spans="1:21" x14ac:dyDescent="0.25">
      <c r="A345" t="s">
        <v>118</v>
      </c>
      <c r="B345" t="s">
        <v>1027</v>
      </c>
      <c r="C345">
        <v>142977</v>
      </c>
      <c r="D345" t="s">
        <v>1028</v>
      </c>
      <c r="E345" t="s">
        <v>130</v>
      </c>
      <c r="F345" t="s">
        <v>82</v>
      </c>
      <c r="G345" t="s">
        <v>80</v>
      </c>
      <c r="H345" t="s">
        <v>122</v>
      </c>
      <c r="I345" t="s">
        <v>122</v>
      </c>
      <c r="J345" s="127">
        <v>46027.433333333334</v>
      </c>
      <c r="K345" s="127">
        <v>46028.525694444441</v>
      </c>
      <c r="L345" s="127">
        <v>46028</v>
      </c>
      <c r="M345" s="127">
        <v>46031.654166666667</v>
      </c>
      <c r="N345" t="s">
        <v>72</v>
      </c>
      <c r="O345" t="s">
        <v>122</v>
      </c>
      <c r="P345" t="s">
        <v>122</v>
      </c>
      <c r="Q345">
        <v>145864</v>
      </c>
      <c r="R345" t="s">
        <v>1029</v>
      </c>
      <c r="S345" t="s">
        <v>1030</v>
      </c>
      <c r="T345" t="s">
        <v>471</v>
      </c>
      <c r="U345" t="s">
        <v>126</v>
      </c>
    </row>
    <row r="346" spans="1:21" x14ac:dyDescent="0.25">
      <c r="A346" t="s">
        <v>118</v>
      </c>
      <c r="B346" t="s">
        <v>1031</v>
      </c>
      <c r="C346">
        <v>142973</v>
      </c>
      <c r="D346" t="s">
        <v>1032</v>
      </c>
      <c r="E346" t="s">
        <v>130</v>
      </c>
      <c r="F346" t="s">
        <v>82</v>
      </c>
      <c r="G346" t="s">
        <v>80</v>
      </c>
      <c r="H346" t="s">
        <v>122</v>
      </c>
      <c r="I346" t="s">
        <v>122</v>
      </c>
      <c r="J346" s="127">
        <v>46027.426388888889</v>
      </c>
      <c r="K346" s="127">
        <v>46028.523611111108</v>
      </c>
      <c r="L346" s="127">
        <v>46028</v>
      </c>
      <c r="M346" s="127">
        <v>46031.629166666666</v>
      </c>
      <c r="N346" t="s">
        <v>72</v>
      </c>
      <c r="O346" t="s">
        <v>122</v>
      </c>
      <c r="P346" t="s">
        <v>122</v>
      </c>
      <c r="Q346">
        <v>119707</v>
      </c>
      <c r="R346" t="s">
        <v>1033</v>
      </c>
      <c r="S346" t="s">
        <v>1034</v>
      </c>
      <c r="T346" t="s">
        <v>471</v>
      </c>
      <c r="U346" t="s">
        <v>126</v>
      </c>
    </row>
    <row r="347" spans="1:21" x14ac:dyDescent="0.25">
      <c r="A347" t="s">
        <v>253</v>
      </c>
      <c r="B347" t="s">
        <v>1035</v>
      </c>
      <c r="C347">
        <v>141634</v>
      </c>
      <c r="D347" t="s">
        <v>1036</v>
      </c>
      <c r="E347" t="s">
        <v>437</v>
      </c>
      <c r="F347" t="s">
        <v>73</v>
      </c>
      <c r="G347" t="s">
        <v>74</v>
      </c>
      <c r="H347" t="s">
        <v>122</v>
      </c>
      <c r="I347" t="s">
        <v>122</v>
      </c>
      <c r="J347" s="127">
        <v>46024.720833333333</v>
      </c>
      <c r="K347" s="127">
        <v>46027</v>
      </c>
      <c r="L347" s="127">
        <v>46030</v>
      </c>
      <c r="M347" s="127">
        <v>46030.488194444442</v>
      </c>
      <c r="N347" t="s">
        <v>72</v>
      </c>
      <c r="O347" t="s">
        <v>122</v>
      </c>
      <c r="P347" t="s">
        <v>122</v>
      </c>
      <c r="Q347">
        <v>75088</v>
      </c>
      <c r="R347" t="s">
        <v>1037</v>
      </c>
      <c r="S347" t="s">
        <v>1038</v>
      </c>
      <c r="T347" t="s">
        <v>476</v>
      </c>
      <c r="U347" t="s">
        <v>126</v>
      </c>
    </row>
    <row r="348" spans="1:21" x14ac:dyDescent="0.25">
      <c r="A348" t="s">
        <v>127</v>
      </c>
      <c r="B348" t="s">
        <v>1039</v>
      </c>
      <c r="C348">
        <v>141300</v>
      </c>
      <c r="D348" t="s">
        <v>1040</v>
      </c>
      <c r="E348" t="s">
        <v>223</v>
      </c>
      <c r="F348" t="s">
        <v>122</v>
      </c>
      <c r="G348" t="s">
        <v>540</v>
      </c>
      <c r="H348" t="s">
        <v>122</v>
      </c>
      <c r="I348" t="s">
        <v>122</v>
      </c>
      <c r="J348" s="127">
        <v>46021.840277777781</v>
      </c>
      <c r="K348" s="127"/>
      <c r="L348" s="127"/>
      <c r="M348" s="127">
        <v>46021.841666666667</v>
      </c>
      <c r="N348" t="s">
        <v>72</v>
      </c>
      <c r="O348" t="s">
        <v>122</v>
      </c>
      <c r="P348" t="s">
        <v>122</v>
      </c>
      <c r="Q348">
        <v>94161</v>
      </c>
      <c r="R348" t="s">
        <v>1041</v>
      </c>
      <c r="S348" t="s">
        <v>1042</v>
      </c>
      <c r="T348" t="s">
        <v>1018</v>
      </c>
      <c r="U348" t="s">
        <v>126</v>
      </c>
    </row>
    <row r="349" spans="1:21" x14ac:dyDescent="0.25">
      <c r="A349" t="s">
        <v>253</v>
      </c>
      <c r="B349" t="s">
        <v>1043</v>
      </c>
      <c r="C349">
        <v>141297</v>
      </c>
      <c r="D349" t="s">
        <v>1044</v>
      </c>
      <c r="E349" t="s">
        <v>437</v>
      </c>
      <c r="F349" t="s">
        <v>73</v>
      </c>
      <c r="G349" t="s">
        <v>74</v>
      </c>
      <c r="H349" t="s">
        <v>122</v>
      </c>
      <c r="I349" t="s">
        <v>122</v>
      </c>
      <c r="J349" s="127">
        <v>46021.768055555556</v>
      </c>
      <c r="K349" s="127">
        <v>46024</v>
      </c>
      <c r="L349" s="127">
        <v>46024</v>
      </c>
      <c r="M349" s="127">
        <v>46029.394444444442</v>
      </c>
      <c r="N349" t="s">
        <v>72</v>
      </c>
      <c r="O349" t="s">
        <v>122</v>
      </c>
      <c r="P349" t="s">
        <v>122</v>
      </c>
      <c r="Q349">
        <v>94191</v>
      </c>
      <c r="R349" t="s">
        <v>1045</v>
      </c>
      <c r="S349" t="s">
        <v>1046</v>
      </c>
      <c r="T349" t="s">
        <v>476</v>
      </c>
      <c r="U349" t="s">
        <v>126</v>
      </c>
    </row>
    <row r="350" spans="1:21" x14ac:dyDescent="0.25">
      <c r="A350" t="s">
        <v>118</v>
      </c>
      <c r="B350" t="s">
        <v>1047</v>
      </c>
      <c r="C350">
        <v>141189</v>
      </c>
      <c r="D350" t="s">
        <v>1048</v>
      </c>
      <c r="E350" t="s">
        <v>130</v>
      </c>
      <c r="F350" t="s">
        <v>535</v>
      </c>
      <c r="G350" t="s">
        <v>738</v>
      </c>
      <c r="H350" t="s">
        <v>122</v>
      </c>
      <c r="I350" t="s">
        <v>122</v>
      </c>
      <c r="J350" s="127">
        <v>46021.481249999997</v>
      </c>
      <c r="K350" s="127">
        <v>46048.625</v>
      </c>
      <c r="L350" s="127">
        <v>46048</v>
      </c>
      <c r="M350" s="127">
        <v>46101.693749999999</v>
      </c>
      <c r="N350" t="s">
        <v>78</v>
      </c>
      <c r="O350" t="s">
        <v>122</v>
      </c>
      <c r="P350" t="s">
        <v>122</v>
      </c>
      <c r="Q350">
        <v>141186</v>
      </c>
      <c r="R350" t="s">
        <v>1049</v>
      </c>
      <c r="S350" t="s">
        <v>1050</v>
      </c>
      <c r="T350" t="s">
        <v>741</v>
      </c>
      <c r="U350" t="s">
        <v>462</v>
      </c>
    </row>
    <row r="351" spans="1:21" x14ac:dyDescent="0.25">
      <c r="A351" t="s">
        <v>253</v>
      </c>
      <c r="B351" t="s">
        <v>1051</v>
      </c>
      <c r="C351">
        <v>140680</v>
      </c>
      <c r="D351" t="s">
        <v>1052</v>
      </c>
      <c r="E351" t="s">
        <v>223</v>
      </c>
      <c r="F351" t="s">
        <v>73</v>
      </c>
      <c r="G351" t="s">
        <v>74</v>
      </c>
      <c r="H351" t="s">
        <v>122</v>
      </c>
      <c r="I351" t="s">
        <v>122</v>
      </c>
      <c r="J351" s="127">
        <v>46020.797222222223</v>
      </c>
      <c r="K351" s="127">
        <v>46021</v>
      </c>
      <c r="L351" s="127">
        <v>46021</v>
      </c>
      <c r="M351" s="127">
        <v>46027.434027777781</v>
      </c>
      <c r="N351" t="s">
        <v>72</v>
      </c>
      <c r="O351" t="s">
        <v>122</v>
      </c>
      <c r="P351" t="s">
        <v>122</v>
      </c>
      <c r="Q351">
        <v>75088</v>
      </c>
      <c r="R351" t="s">
        <v>1037</v>
      </c>
      <c r="S351" t="s">
        <v>1038</v>
      </c>
      <c r="T351" t="s">
        <v>476</v>
      </c>
      <c r="U351" t="s">
        <v>126</v>
      </c>
    </row>
    <row r="352" spans="1:21" x14ac:dyDescent="0.25">
      <c r="A352" t="s">
        <v>127</v>
      </c>
      <c r="B352" t="s">
        <v>1053</v>
      </c>
      <c r="C352">
        <v>140663</v>
      </c>
      <c r="D352" t="s">
        <v>1054</v>
      </c>
      <c r="E352" t="s">
        <v>266</v>
      </c>
      <c r="F352" t="s">
        <v>453</v>
      </c>
      <c r="G352" t="s">
        <v>80</v>
      </c>
      <c r="H352" t="s">
        <v>122</v>
      </c>
      <c r="I352" t="s">
        <v>122</v>
      </c>
      <c r="J352" s="127">
        <v>46020.727083333331</v>
      </c>
      <c r="K352" s="127">
        <v>46021</v>
      </c>
      <c r="L352" s="127">
        <v>46058</v>
      </c>
      <c r="M352" s="127"/>
      <c r="N352" t="s">
        <v>1003</v>
      </c>
      <c r="O352" t="s">
        <v>78</v>
      </c>
      <c r="P352" t="s">
        <v>122</v>
      </c>
      <c r="R352" t="s">
        <v>122</v>
      </c>
      <c r="S352" t="s">
        <v>122</v>
      </c>
      <c r="T352" t="s">
        <v>471</v>
      </c>
      <c r="U352" t="s">
        <v>1004</v>
      </c>
    </row>
    <row r="353" spans="1:21" x14ac:dyDescent="0.25">
      <c r="A353" t="s">
        <v>118</v>
      </c>
      <c r="B353" t="s">
        <v>1055</v>
      </c>
      <c r="C353">
        <v>140617</v>
      </c>
      <c r="D353" t="s">
        <v>1056</v>
      </c>
      <c r="E353" t="s">
        <v>130</v>
      </c>
      <c r="F353" t="s">
        <v>90</v>
      </c>
      <c r="G353" t="s">
        <v>738</v>
      </c>
      <c r="H353" t="s">
        <v>122</v>
      </c>
      <c r="I353" t="s">
        <v>122</v>
      </c>
      <c r="J353" s="127">
        <v>46020.604166666664</v>
      </c>
      <c r="K353" s="127">
        <v>46036.850694444445</v>
      </c>
      <c r="L353" s="127">
        <v>46036</v>
      </c>
      <c r="M353" s="127">
        <v>46102.046527777777</v>
      </c>
      <c r="N353" t="s">
        <v>78</v>
      </c>
      <c r="O353" t="s">
        <v>122</v>
      </c>
      <c r="P353" t="s">
        <v>122</v>
      </c>
      <c r="Q353">
        <v>148524</v>
      </c>
      <c r="R353" t="s">
        <v>1057</v>
      </c>
      <c r="S353" t="s">
        <v>1058</v>
      </c>
      <c r="T353" t="s">
        <v>741</v>
      </c>
      <c r="U353" t="s">
        <v>462</v>
      </c>
    </row>
    <row r="354" spans="1:21" x14ac:dyDescent="0.25">
      <c r="A354" t="s">
        <v>118</v>
      </c>
      <c r="B354" t="s">
        <v>1059</v>
      </c>
      <c r="C354">
        <v>140610</v>
      </c>
      <c r="D354" t="s">
        <v>1060</v>
      </c>
      <c r="E354" t="s">
        <v>130</v>
      </c>
      <c r="F354" t="s">
        <v>90</v>
      </c>
      <c r="G354" t="s">
        <v>738</v>
      </c>
      <c r="H354" t="s">
        <v>122</v>
      </c>
      <c r="I354" t="s">
        <v>122</v>
      </c>
      <c r="J354" s="127">
        <v>46020.593055555553</v>
      </c>
      <c r="K354" s="127">
        <v>46043.53402777778</v>
      </c>
      <c r="L354" s="127">
        <v>46043</v>
      </c>
      <c r="M354" s="127">
        <v>46065.8125</v>
      </c>
      <c r="N354" t="s">
        <v>78</v>
      </c>
      <c r="O354" t="s">
        <v>122</v>
      </c>
      <c r="P354" t="s">
        <v>122</v>
      </c>
      <c r="Q354">
        <v>140605</v>
      </c>
      <c r="R354" t="s">
        <v>1061</v>
      </c>
      <c r="S354" t="s">
        <v>1062</v>
      </c>
      <c r="T354" t="s">
        <v>741</v>
      </c>
      <c r="U354" t="s">
        <v>462</v>
      </c>
    </row>
    <row r="355" spans="1:21" x14ac:dyDescent="0.25">
      <c r="A355" t="s">
        <v>118</v>
      </c>
      <c r="B355" t="s">
        <v>1063</v>
      </c>
      <c r="C355">
        <v>140525</v>
      </c>
      <c r="D355" t="s">
        <v>1064</v>
      </c>
      <c r="E355" t="s">
        <v>223</v>
      </c>
      <c r="F355" t="s">
        <v>76</v>
      </c>
      <c r="G355" t="s">
        <v>77</v>
      </c>
      <c r="H355" t="s">
        <v>122</v>
      </c>
      <c r="I355" t="s">
        <v>122</v>
      </c>
      <c r="J355" s="127">
        <v>46020.410416666666</v>
      </c>
      <c r="K355" s="127">
        <v>46020.547222222223</v>
      </c>
      <c r="L355" s="127">
        <v>46027</v>
      </c>
      <c r="M355" s="127">
        <v>46036.726388888892</v>
      </c>
      <c r="N355" t="s">
        <v>75</v>
      </c>
      <c r="O355" t="s">
        <v>122</v>
      </c>
      <c r="P355" t="s">
        <v>122</v>
      </c>
      <c r="Q355">
        <v>70414</v>
      </c>
      <c r="R355" t="s">
        <v>949</v>
      </c>
      <c r="S355" t="s">
        <v>950</v>
      </c>
      <c r="T355" t="s">
        <v>481</v>
      </c>
      <c r="U355" t="s">
        <v>137</v>
      </c>
    </row>
    <row r="356" spans="1:21" x14ac:dyDescent="0.25">
      <c r="A356" t="s">
        <v>118</v>
      </c>
      <c r="B356" t="s">
        <v>1065</v>
      </c>
      <c r="C356">
        <v>138971</v>
      </c>
      <c r="D356" t="s">
        <v>1066</v>
      </c>
      <c r="E356" t="s">
        <v>223</v>
      </c>
      <c r="F356" t="s">
        <v>122</v>
      </c>
      <c r="G356" t="s">
        <v>80</v>
      </c>
      <c r="H356" t="s">
        <v>122</v>
      </c>
      <c r="I356" t="s">
        <v>122</v>
      </c>
      <c r="J356" s="127">
        <v>46014.709027777775</v>
      </c>
      <c r="K356" s="127"/>
      <c r="L356" s="127"/>
      <c r="M356" s="127">
        <v>46014.711805555555</v>
      </c>
      <c r="N356" t="s">
        <v>72</v>
      </c>
      <c r="O356" t="s">
        <v>122</v>
      </c>
      <c r="P356" t="s">
        <v>122</v>
      </c>
      <c r="R356" t="s">
        <v>122</v>
      </c>
      <c r="S356" t="s">
        <v>122</v>
      </c>
      <c r="T356" t="s">
        <v>471</v>
      </c>
      <c r="U356" t="s">
        <v>126</v>
      </c>
    </row>
    <row r="357" spans="1:21" x14ac:dyDescent="0.25">
      <c r="A357" t="s">
        <v>118</v>
      </c>
      <c r="B357" t="s">
        <v>1067</v>
      </c>
      <c r="C357">
        <v>138663</v>
      </c>
      <c r="D357" t="s">
        <v>1068</v>
      </c>
      <c r="E357" t="s">
        <v>130</v>
      </c>
      <c r="F357" t="s">
        <v>82</v>
      </c>
      <c r="G357" t="s">
        <v>80</v>
      </c>
      <c r="H357" t="s">
        <v>122</v>
      </c>
      <c r="I357" t="s">
        <v>122</v>
      </c>
      <c r="J357" s="127">
        <v>46014.419444444444</v>
      </c>
      <c r="K357" s="127">
        <v>46015.59375</v>
      </c>
      <c r="L357" s="127">
        <v>46017</v>
      </c>
      <c r="M357" s="127">
        <v>46020.519444444442</v>
      </c>
      <c r="N357" t="s">
        <v>72</v>
      </c>
      <c r="O357" t="s">
        <v>122</v>
      </c>
      <c r="P357" t="s">
        <v>122</v>
      </c>
      <c r="Q357">
        <v>138976</v>
      </c>
      <c r="R357" t="s">
        <v>1069</v>
      </c>
      <c r="S357" t="s">
        <v>1070</v>
      </c>
      <c r="T357" t="s">
        <v>471</v>
      </c>
      <c r="U357" t="s">
        <v>126</v>
      </c>
    </row>
    <row r="358" spans="1:21" x14ac:dyDescent="0.25">
      <c r="A358" t="s">
        <v>118</v>
      </c>
      <c r="B358" t="s">
        <v>1071</v>
      </c>
      <c r="C358">
        <v>138431</v>
      </c>
      <c r="D358" t="s">
        <v>1072</v>
      </c>
      <c r="E358" t="s">
        <v>130</v>
      </c>
      <c r="F358" t="s">
        <v>82</v>
      </c>
      <c r="G358" t="s">
        <v>80</v>
      </c>
      <c r="H358" t="s">
        <v>122</v>
      </c>
      <c r="I358" t="s">
        <v>122</v>
      </c>
      <c r="J358" s="127">
        <v>46014.410416666666</v>
      </c>
      <c r="K358" s="127">
        <v>46021.541666666664</v>
      </c>
      <c r="L358" s="127">
        <v>46021</v>
      </c>
      <c r="M358" s="127">
        <v>46024.790277777778</v>
      </c>
      <c r="N358" t="s">
        <v>72</v>
      </c>
      <c r="O358" t="s">
        <v>122</v>
      </c>
      <c r="P358" t="s">
        <v>122</v>
      </c>
      <c r="Q358">
        <v>138976</v>
      </c>
      <c r="R358" t="s">
        <v>1069</v>
      </c>
      <c r="S358" t="s">
        <v>1070</v>
      </c>
      <c r="T358" t="s">
        <v>471</v>
      </c>
      <c r="U358" t="s">
        <v>126</v>
      </c>
    </row>
    <row r="359" spans="1:21" x14ac:dyDescent="0.25">
      <c r="A359" t="s">
        <v>253</v>
      </c>
      <c r="B359" t="s">
        <v>1073</v>
      </c>
      <c r="C359">
        <v>137785</v>
      </c>
      <c r="D359" t="s">
        <v>1074</v>
      </c>
      <c r="E359" t="s">
        <v>437</v>
      </c>
      <c r="F359" t="s">
        <v>82</v>
      </c>
      <c r="G359" t="s">
        <v>80</v>
      </c>
      <c r="H359" t="s">
        <v>122</v>
      </c>
      <c r="I359" t="s">
        <v>122</v>
      </c>
      <c r="J359" s="127">
        <v>46013.629861111112</v>
      </c>
      <c r="K359" s="127">
        <v>46014</v>
      </c>
      <c r="L359" s="127">
        <v>46014</v>
      </c>
      <c r="M359" s="127">
        <v>46014.568055555559</v>
      </c>
      <c r="N359" t="s">
        <v>72</v>
      </c>
      <c r="O359" t="s">
        <v>122</v>
      </c>
      <c r="P359" t="s">
        <v>122</v>
      </c>
      <c r="R359" t="s">
        <v>122</v>
      </c>
      <c r="S359" t="s">
        <v>122</v>
      </c>
      <c r="T359" t="s">
        <v>471</v>
      </c>
      <c r="U359" t="s">
        <v>126</v>
      </c>
    </row>
    <row r="360" spans="1:21" x14ac:dyDescent="0.25">
      <c r="A360" t="s">
        <v>142</v>
      </c>
      <c r="B360" t="s">
        <v>1075</v>
      </c>
      <c r="C360">
        <v>137759</v>
      </c>
      <c r="D360" t="s">
        <v>1076</v>
      </c>
      <c r="E360" t="s">
        <v>130</v>
      </c>
      <c r="F360" t="s">
        <v>73</v>
      </c>
      <c r="G360" t="s">
        <v>74</v>
      </c>
      <c r="H360" t="s">
        <v>122</v>
      </c>
      <c r="I360" t="s">
        <v>122</v>
      </c>
      <c r="J360" s="127">
        <v>46013.606249999997</v>
      </c>
      <c r="K360" s="127">
        <v>46017.838888888888</v>
      </c>
      <c r="L360" s="127">
        <v>46017.838888888888</v>
      </c>
      <c r="M360" s="127">
        <v>46062.678472222222</v>
      </c>
      <c r="N360" t="s">
        <v>75</v>
      </c>
      <c r="O360" t="s">
        <v>122</v>
      </c>
      <c r="P360" t="s">
        <v>122</v>
      </c>
      <c r="R360" t="s">
        <v>122</v>
      </c>
      <c r="S360" t="s">
        <v>122</v>
      </c>
      <c r="T360" t="s">
        <v>476</v>
      </c>
      <c r="U360" t="s">
        <v>137</v>
      </c>
    </row>
    <row r="361" spans="1:21" x14ac:dyDescent="0.25">
      <c r="A361" t="s">
        <v>253</v>
      </c>
      <c r="B361" t="s">
        <v>1077</v>
      </c>
      <c r="C361">
        <v>137704</v>
      </c>
      <c r="D361" t="s">
        <v>1078</v>
      </c>
      <c r="E361" t="s">
        <v>437</v>
      </c>
      <c r="F361" t="s">
        <v>82</v>
      </c>
      <c r="G361" t="s">
        <v>80</v>
      </c>
      <c r="H361" t="s">
        <v>122</v>
      </c>
      <c r="I361" t="s">
        <v>122</v>
      </c>
      <c r="J361" s="127">
        <v>46013.47152777778</v>
      </c>
      <c r="K361" s="127">
        <v>46013</v>
      </c>
      <c r="L361" s="127">
        <v>46013</v>
      </c>
      <c r="M361" s="127">
        <v>46021.577777777777</v>
      </c>
      <c r="N361" t="s">
        <v>72</v>
      </c>
      <c r="O361" t="s">
        <v>122</v>
      </c>
      <c r="P361" t="s">
        <v>122</v>
      </c>
      <c r="R361" t="s">
        <v>122</v>
      </c>
      <c r="S361" t="s">
        <v>122</v>
      </c>
      <c r="T361" t="s">
        <v>471</v>
      </c>
      <c r="U361" t="s">
        <v>126</v>
      </c>
    </row>
    <row r="362" spans="1:21" x14ac:dyDescent="0.25">
      <c r="A362" t="s">
        <v>118</v>
      </c>
      <c r="B362" t="s">
        <v>1079</v>
      </c>
      <c r="C362">
        <v>129180</v>
      </c>
      <c r="D362" t="s">
        <v>1080</v>
      </c>
      <c r="E362" t="s">
        <v>130</v>
      </c>
      <c r="F362" t="s">
        <v>76</v>
      </c>
      <c r="G362" t="s">
        <v>77</v>
      </c>
      <c r="H362" t="s">
        <v>122</v>
      </c>
      <c r="I362" t="s">
        <v>122</v>
      </c>
      <c r="J362" s="127">
        <v>46006.423611111109</v>
      </c>
      <c r="K362" s="127">
        <v>46006.556944444441</v>
      </c>
      <c r="L362" s="127">
        <v>46007</v>
      </c>
      <c r="M362" s="127">
        <v>46013.418749999997</v>
      </c>
      <c r="N362" t="s">
        <v>75</v>
      </c>
      <c r="O362" t="s">
        <v>122</v>
      </c>
      <c r="P362" t="s">
        <v>122</v>
      </c>
      <c r="Q362">
        <v>70406</v>
      </c>
      <c r="R362" t="s">
        <v>953</v>
      </c>
      <c r="S362" t="s">
        <v>954</v>
      </c>
      <c r="T362" t="s">
        <v>481</v>
      </c>
      <c r="U362" t="s">
        <v>137</v>
      </c>
    </row>
    <row r="363" spans="1:21" x14ac:dyDescent="0.25">
      <c r="A363" t="s">
        <v>118</v>
      </c>
      <c r="B363" t="s">
        <v>1081</v>
      </c>
      <c r="C363">
        <v>68076</v>
      </c>
      <c r="D363" t="s">
        <v>1082</v>
      </c>
      <c r="E363" t="s">
        <v>130</v>
      </c>
      <c r="F363" t="s">
        <v>90</v>
      </c>
      <c r="G363" t="s">
        <v>454</v>
      </c>
      <c r="H363" t="s">
        <v>122</v>
      </c>
      <c r="I363" t="s">
        <v>122</v>
      </c>
      <c r="J363" s="127">
        <v>45937.736111111109</v>
      </c>
      <c r="K363" s="127">
        <v>46020.563888888886</v>
      </c>
      <c r="L363" s="127">
        <v>46020</v>
      </c>
      <c r="M363" s="127">
        <v>46037.4</v>
      </c>
      <c r="N363" t="s">
        <v>78</v>
      </c>
      <c r="O363" t="s">
        <v>122</v>
      </c>
      <c r="P363" t="s">
        <v>122</v>
      </c>
      <c r="Q363">
        <v>64398</v>
      </c>
      <c r="R363" t="s">
        <v>1083</v>
      </c>
      <c r="S363" t="s">
        <v>1084</v>
      </c>
      <c r="T363" t="s">
        <v>457</v>
      </c>
      <c r="U363" t="s">
        <v>462</v>
      </c>
    </row>
    <row r="364" spans="1:21" x14ac:dyDescent="0.25">
      <c r="A364" t="s">
        <v>118</v>
      </c>
      <c r="B364" t="s">
        <v>1085</v>
      </c>
      <c r="C364">
        <v>68074</v>
      </c>
      <c r="D364" t="s">
        <v>1086</v>
      </c>
      <c r="E364" t="s">
        <v>130</v>
      </c>
      <c r="F364" t="s">
        <v>90</v>
      </c>
      <c r="G364" t="s">
        <v>454</v>
      </c>
      <c r="H364" t="s">
        <v>122</v>
      </c>
      <c r="I364" t="s">
        <v>122</v>
      </c>
      <c r="J364" s="127">
        <v>45937.73541666667</v>
      </c>
      <c r="K364" s="127">
        <v>46017.692361111112</v>
      </c>
      <c r="L364" s="127">
        <v>46017</v>
      </c>
      <c r="M364" s="127">
        <v>46037.4</v>
      </c>
      <c r="N364" t="s">
        <v>78</v>
      </c>
      <c r="O364" t="s">
        <v>122</v>
      </c>
      <c r="P364" t="s">
        <v>122</v>
      </c>
      <c r="Q364">
        <v>64398</v>
      </c>
      <c r="R364" t="s">
        <v>1083</v>
      </c>
      <c r="S364" t="s">
        <v>1084</v>
      </c>
      <c r="T364" t="s">
        <v>457</v>
      </c>
      <c r="U364" t="s">
        <v>462</v>
      </c>
    </row>
    <row r="365" spans="1:21" x14ac:dyDescent="0.25">
      <c r="A365" t="s">
        <v>118</v>
      </c>
      <c r="B365" t="s">
        <v>1087</v>
      </c>
      <c r="C365">
        <v>134237</v>
      </c>
      <c r="D365" t="s">
        <v>1088</v>
      </c>
      <c r="E365" t="s">
        <v>223</v>
      </c>
      <c r="F365" t="s">
        <v>122</v>
      </c>
      <c r="G365" t="s">
        <v>80</v>
      </c>
      <c r="H365" t="s">
        <v>122</v>
      </c>
      <c r="I365" t="s">
        <v>122</v>
      </c>
      <c r="J365" s="127">
        <v>46008.665972222225</v>
      </c>
      <c r="K365" s="127"/>
      <c r="L365" s="127"/>
      <c r="M365" s="127">
        <v>46017.589583333334</v>
      </c>
      <c r="N365" t="s">
        <v>72</v>
      </c>
      <c r="O365" t="s">
        <v>122</v>
      </c>
      <c r="P365" t="s">
        <v>122</v>
      </c>
      <c r="Q365">
        <v>70328</v>
      </c>
      <c r="R365" t="s">
        <v>945</v>
      </c>
      <c r="S365" t="s">
        <v>946</v>
      </c>
      <c r="T365" t="s">
        <v>471</v>
      </c>
      <c r="U365" t="s">
        <v>126</v>
      </c>
    </row>
    <row r="366" spans="1:21" x14ac:dyDescent="0.25">
      <c r="A366" t="s">
        <v>118</v>
      </c>
      <c r="B366" t="s">
        <v>1089</v>
      </c>
      <c r="C366">
        <v>134235</v>
      </c>
      <c r="D366" t="s">
        <v>1090</v>
      </c>
      <c r="E366" t="s">
        <v>130</v>
      </c>
      <c r="F366" t="s">
        <v>82</v>
      </c>
      <c r="G366" t="s">
        <v>80</v>
      </c>
      <c r="H366" t="s">
        <v>122</v>
      </c>
      <c r="I366" t="s">
        <v>122</v>
      </c>
      <c r="J366" s="127">
        <v>46008.665277777778</v>
      </c>
      <c r="K366" s="127">
        <v>46010.961111111108</v>
      </c>
      <c r="L366" s="127">
        <v>46011</v>
      </c>
      <c r="M366" s="127">
        <v>46021.619444444441</v>
      </c>
      <c r="N366" t="s">
        <v>72</v>
      </c>
      <c r="O366" t="s">
        <v>122</v>
      </c>
      <c r="P366" t="s">
        <v>122</v>
      </c>
      <c r="Q366">
        <v>70328</v>
      </c>
      <c r="R366" t="s">
        <v>945</v>
      </c>
      <c r="S366" t="s">
        <v>946</v>
      </c>
      <c r="T366" t="s">
        <v>471</v>
      </c>
      <c r="U366" t="s">
        <v>126</v>
      </c>
    </row>
    <row r="367" spans="1:21" x14ac:dyDescent="0.25">
      <c r="A367" t="s">
        <v>118</v>
      </c>
      <c r="B367" t="s">
        <v>1091</v>
      </c>
      <c r="C367">
        <v>134208</v>
      </c>
      <c r="D367" t="s">
        <v>1092</v>
      </c>
      <c r="E367" t="s">
        <v>223</v>
      </c>
      <c r="F367" t="s">
        <v>535</v>
      </c>
      <c r="G367" t="s">
        <v>80</v>
      </c>
      <c r="H367" t="s">
        <v>122</v>
      </c>
      <c r="I367" t="s">
        <v>122</v>
      </c>
      <c r="J367" s="127">
        <v>46008.473611111112</v>
      </c>
      <c r="K367" s="127"/>
      <c r="L367" s="127"/>
      <c r="M367" s="127">
        <v>46014.495833333334</v>
      </c>
      <c r="N367" t="s">
        <v>72</v>
      </c>
      <c r="O367" t="s">
        <v>122</v>
      </c>
      <c r="P367" t="s">
        <v>122</v>
      </c>
      <c r="Q367">
        <v>119707</v>
      </c>
      <c r="R367" t="s">
        <v>1033</v>
      </c>
      <c r="S367" t="s">
        <v>1034</v>
      </c>
      <c r="T367" t="s">
        <v>471</v>
      </c>
      <c r="U367" t="s">
        <v>126</v>
      </c>
    </row>
    <row r="368" spans="1:21" x14ac:dyDescent="0.25">
      <c r="A368" t="s">
        <v>253</v>
      </c>
      <c r="B368" t="s">
        <v>1093</v>
      </c>
      <c r="C368">
        <v>133157</v>
      </c>
      <c r="D368" t="s">
        <v>1094</v>
      </c>
      <c r="E368" t="s">
        <v>437</v>
      </c>
      <c r="F368" t="s">
        <v>453</v>
      </c>
      <c r="G368" t="s">
        <v>674</v>
      </c>
      <c r="H368" t="s">
        <v>122</v>
      </c>
      <c r="I368" t="s">
        <v>122</v>
      </c>
      <c r="J368" s="127">
        <v>46008.393055555556</v>
      </c>
      <c r="K368" s="127">
        <v>46008</v>
      </c>
      <c r="L368" s="127">
        <v>46008</v>
      </c>
      <c r="M368" s="127">
        <v>46011.593055555553</v>
      </c>
      <c r="N368" t="s">
        <v>122</v>
      </c>
      <c r="O368" t="s">
        <v>122</v>
      </c>
      <c r="P368" t="s">
        <v>122</v>
      </c>
      <c r="R368" t="s">
        <v>122</v>
      </c>
      <c r="S368" t="s">
        <v>122</v>
      </c>
      <c r="T368" t="s">
        <v>675</v>
      </c>
      <c r="U368" t="s">
        <v>450</v>
      </c>
    </row>
    <row r="369" spans="1:21" x14ac:dyDescent="0.25">
      <c r="A369" t="s">
        <v>118</v>
      </c>
      <c r="B369" t="s">
        <v>1095</v>
      </c>
      <c r="C369">
        <v>132385</v>
      </c>
      <c r="D369" t="s">
        <v>1096</v>
      </c>
      <c r="E369" t="s">
        <v>130</v>
      </c>
      <c r="F369" t="s">
        <v>79</v>
      </c>
      <c r="G369" t="s">
        <v>80</v>
      </c>
      <c r="H369" t="s">
        <v>122</v>
      </c>
      <c r="I369" t="s">
        <v>122</v>
      </c>
      <c r="J369" s="127">
        <v>46007.741666666669</v>
      </c>
      <c r="K369" s="127">
        <v>46056.593055555553</v>
      </c>
      <c r="L369" s="127">
        <v>46059</v>
      </c>
      <c r="M369" s="127">
        <v>46086.586805555555</v>
      </c>
      <c r="N369" t="s">
        <v>75</v>
      </c>
      <c r="O369" t="s">
        <v>122</v>
      </c>
      <c r="P369" t="s">
        <v>122</v>
      </c>
      <c r="Q369">
        <v>101022</v>
      </c>
      <c r="R369" t="s">
        <v>900</v>
      </c>
      <c r="S369" t="s">
        <v>901</v>
      </c>
      <c r="T369" t="s">
        <v>471</v>
      </c>
      <c r="U369" t="s">
        <v>137</v>
      </c>
    </row>
    <row r="370" spans="1:21" x14ac:dyDescent="0.25">
      <c r="A370" t="s">
        <v>127</v>
      </c>
      <c r="B370" t="s">
        <v>1097</v>
      </c>
      <c r="C370">
        <v>132380</v>
      </c>
      <c r="D370" t="s">
        <v>1098</v>
      </c>
      <c r="E370" t="s">
        <v>223</v>
      </c>
      <c r="F370" t="s">
        <v>122</v>
      </c>
      <c r="G370" t="s">
        <v>74</v>
      </c>
      <c r="H370" t="s">
        <v>122</v>
      </c>
      <c r="I370" t="s">
        <v>122</v>
      </c>
      <c r="J370" s="127">
        <v>46007.729861111111</v>
      </c>
      <c r="K370" s="127"/>
      <c r="L370" s="127"/>
      <c r="M370" s="127">
        <v>46048.685416666667</v>
      </c>
      <c r="N370" t="s">
        <v>72</v>
      </c>
      <c r="O370" t="s">
        <v>122</v>
      </c>
      <c r="P370" t="s">
        <v>122</v>
      </c>
      <c r="Q370">
        <v>75088</v>
      </c>
      <c r="R370" t="s">
        <v>1037</v>
      </c>
      <c r="S370" t="s">
        <v>1038</v>
      </c>
      <c r="T370" t="s">
        <v>476</v>
      </c>
      <c r="U370" t="s">
        <v>126</v>
      </c>
    </row>
    <row r="371" spans="1:21" x14ac:dyDescent="0.25">
      <c r="A371" t="s">
        <v>127</v>
      </c>
      <c r="B371" t="s">
        <v>1099</v>
      </c>
      <c r="C371">
        <v>132378</v>
      </c>
      <c r="D371" t="s">
        <v>1098</v>
      </c>
      <c r="E371" t="s">
        <v>223</v>
      </c>
      <c r="F371" t="s">
        <v>122</v>
      </c>
      <c r="G371" t="s">
        <v>74</v>
      </c>
      <c r="H371" t="s">
        <v>122</v>
      </c>
      <c r="I371" t="s">
        <v>122</v>
      </c>
      <c r="J371" s="127">
        <v>46007.729166666664</v>
      </c>
      <c r="K371" s="127"/>
      <c r="L371" s="127"/>
      <c r="M371" s="127">
        <v>46048.685416666667</v>
      </c>
      <c r="N371" t="s">
        <v>72</v>
      </c>
      <c r="O371" t="s">
        <v>122</v>
      </c>
      <c r="P371" t="s">
        <v>122</v>
      </c>
      <c r="Q371">
        <v>94191</v>
      </c>
      <c r="R371" t="s">
        <v>1045</v>
      </c>
      <c r="S371" t="s">
        <v>1046</v>
      </c>
      <c r="T371" t="s">
        <v>476</v>
      </c>
      <c r="U371" t="s">
        <v>126</v>
      </c>
    </row>
    <row r="372" spans="1:21" x14ac:dyDescent="0.25">
      <c r="A372" t="s">
        <v>118</v>
      </c>
      <c r="B372" t="s">
        <v>1100</v>
      </c>
      <c r="C372">
        <v>132367</v>
      </c>
      <c r="D372" t="s">
        <v>1101</v>
      </c>
      <c r="E372" t="s">
        <v>130</v>
      </c>
      <c r="F372" t="s">
        <v>79</v>
      </c>
      <c r="G372" t="s">
        <v>80</v>
      </c>
      <c r="H372" t="s">
        <v>122</v>
      </c>
      <c r="I372" t="s">
        <v>122</v>
      </c>
      <c r="J372" s="127">
        <v>46007.679166666669</v>
      </c>
      <c r="K372" s="127">
        <v>46055</v>
      </c>
      <c r="L372" s="127">
        <v>46056</v>
      </c>
      <c r="M372" s="127">
        <v>46086.586111111108</v>
      </c>
      <c r="N372" t="s">
        <v>75</v>
      </c>
      <c r="O372" t="s">
        <v>122</v>
      </c>
      <c r="P372" t="s">
        <v>122</v>
      </c>
      <c r="Q372">
        <v>101022</v>
      </c>
      <c r="R372" t="s">
        <v>900</v>
      </c>
      <c r="S372" t="s">
        <v>901</v>
      </c>
      <c r="T372" t="s">
        <v>471</v>
      </c>
      <c r="U372" t="s">
        <v>137</v>
      </c>
    </row>
    <row r="373" spans="1:21" x14ac:dyDescent="0.25">
      <c r="A373" t="s">
        <v>118</v>
      </c>
      <c r="B373" t="s">
        <v>1102</v>
      </c>
      <c r="C373">
        <v>129261</v>
      </c>
      <c r="D373" t="s">
        <v>1103</v>
      </c>
      <c r="E373" t="s">
        <v>130</v>
      </c>
      <c r="F373" t="s">
        <v>82</v>
      </c>
      <c r="G373" t="s">
        <v>80</v>
      </c>
      <c r="H373" t="s">
        <v>122</v>
      </c>
      <c r="I373" t="s">
        <v>122</v>
      </c>
      <c r="J373" s="127">
        <v>46006.584722222222</v>
      </c>
      <c r="K373" s="127">
        <v>46012.722222222219</v>
      </c>
      <c r="L373" s="127">
        <v>46012</v>
      </c>
      <c r="M373" s="127">
        <v>46014.566666666666</v>
      </c>
      <c r="N373" t="s">
        <v>72</v>
      </c>
      <c r="O373" t="s">
        <v>122</v>
      </c>
      <c r="P373" t="s">
        <v>122</v>
      </c>
      <c r="Q373">
        <v>70295</v>
      </c>
      <c r="R373" t="s">
        <v>1104</v>
      </c>
      <c r="S373" t="s">
        <v>1105</v>
      </c>
      <c r="T373" t="s">
        <v>471</v>
      </c>
      <c r="U373" t="s">
        <v>126</v>
      </c>
    </row>
    <row r="374" spans="1:21" x14ac:dyDescent="0.25">
      <c r="A374" t="s">
        <v>118</v>
      </c>
      <c r="B374" t="s">
        <v>1106</v>
      </c>
      <c r="C374">
        <v>129235</v>
      </c>
      <c r="D374" t="s">
        <v>1107</v>
      </c>
      <c r="E374" t="s">
        <v>130</v>
      </c>
      <c r="F374" t="s">
        <v>82</v>
      </c>
      <c r="G374" t="s">
        <v>80</v>
      </c>
      <c r="H374" t="s">
        <v>122</v>
      </c>
      <c r="I374" t="s">
        <v>122</v>
      </c>
      <c r="J374" s="127">
        <v>46006.492361111108</v>
      </c>
      <c r="K374" s="127">
        <v>46012.72152777778</v>
      </c>
      <c r="L374" s="127">
        <v>46012</v>
      </c>
      <c r="M374" s="127">
        <v>46013.46875</v>
      </c>
      <c r="N374" t="s">
        <v>72</v>
      </c>
      <c r="O374" t="s">
        <v>122</v>
      </c>
      <c r="P374" t="s">
        <v>122</v>
      </c>
      <c r="Q374">
        <v>138972</v>
      </c>
      <c r="R374" t="s">
        <v>1108</v>
      </c>
      <c r="S374" t="s">
        <v>1109</v>
      </c>
      <c r="T374" t="s">
        <v>471</v>
      </c>
      <c r="U374" t="s">
        <v>126</v>
      </c>
    </row>
    <row r="375" spans="1:21" x14ac:dyDescent="0.25">
      <c r="A375" t="s">
        <v>118</v>
      </c>
      <c r="B375" t="s">
        <v>1110</v>
      </c>
      <c r="C375">
        <v>129232</v>
      </c>
      <c r="D375" t="s">
        <v>1111</v>
      </c>
      <c r="E375" t="s">
        <v>130</v>
      </c>
      <c r="F375" t="s">
        <v>82</v>
      </c>
      <c r="G375" t="s">
        <v>80</v>
      </c>
      <c r="H375" t="s">
        <v>122</v>
      </c>
      <c r="I375" t="s">
        <v>122</v>
      </c>
      <c r="J375" s="127">
        <v>46006.482638888891</v>
      </c>
      <c r="K375" s="127">
        <v>46012.720833333333</v>
      </c>
      <c r="L375" s="127">
        <v>46012</v>
      </c>
      <c r="M375" s="127">
        <v>46013.388194444444</v>
      </c>
      <c r="N375" t="s">
        <v>72</v>
      </c>
      <c r="O375" t="s">
        <v>122</v>
      </c>
      <c r="P375" t="s">
        <v>122</v>
      </c>
      <c r="Q375">
        <v>138972</v>
      </c>
      <c r="R375" t="s">
        <v>1108</v>
      </c>
      <c r="S375" t="s">
        <v>1109</v>
      </c>
      <c r="T375" t="s">
        <v>471</v>
      </c>
      <c r="U375" t="s">
        <v>126</v>
      </c>
    </row>
    <row r="376" spans="1:21" x14ac:dyDescent="0.25">
      <c r="A376" t="s">
        <v>142</v>
      </c>
      <c r="B376" t="s">
        <v>1112</v>
      </c>
      <c r="C376">
        <v>127521</v>
      </c>
      <c r="D376" t="s">
        <v>1113</v>
      </c>
      <c r="E376" t="s">
        <v>130</v>
      </c>
      <c r="F376" t="s">
        <v>497</v>
      </c>
      <c r="G376" t="s">
        <v>674</v>
      </c>
      <c r="H376" t="s">
        <v>122</v>
      </c>
      <c r="I376" t="s">
        <v>122</v>
      </c>
      <c r="J376" s="127">
        <v>46003.777083333334</v>
      </c>
      <c r="K376" s="127">
        <v>46056.701388888891</v>
      </c>
      <c r="L376" s="127">
        <v>46056</v>
      </c>
      <c r="M376" s="127">
        <v>46058.631249999999</v>
      </c>
      <c r="N376" t="s">
        <v>122</v>
      </c>
      <c r="O376" t="s">
        <v>122</v>
      </c>
      <c r="P376" t="s">
        <v>122</v>
      </c>
      <c r="Q376">
        <v>127519</v>
      </c>
      <c r="R376" t="s">
        <v>1114</v>
      </c>
      <c r="S376" t="s">
        <v>1115</v>
      </c>
      <c r="T376" t="s">
        <v>675</v>
      </c>
      <c r="U376" t="s">
        <v>450</v>
      </c>
    </row>
    <row r="377" spans="1:21" x14ac:dyDescent="0.25">
      <c r="A377" t="s">
        <v>253</v>
      </c>
      <c r="B377" t="s">
        <v>1116</v>
      </c>
      <c r="C377">
        <v>127506</v>
      </c>
      <c r="D377" t="s">
        <v>1117</v>
      </c>
      <c r="E377" t="s">
        <v>437</v>
      </c>
      <c r="F377" t="s">
        <v>79</v>
      </c>
      <c r="G377" t="s">
        <v>513</v>
      </c>
      <c r="H377" t="s">
        <v>122</v>
      </c>
      <c r="I377" t="s">
        <v>122</v>
      </c>
      <c r="J377" s="127">
        <v>46003.715277777781</v>
      </c>
      <c r="K377" s="127">
        <v>46003</v>
      </c>
      <c r="L377" s="127">
        <v>46006</v>
      </c>
      <c r="M377" s="127">
        <v>46014.509027777778</v>
      </c>
      <c r="N377" t="s">
        <v>72</v>
      </c>
      <c r="O377" t="s">
        <v>122</v>
      </c>
      <c r="P377" t="s">
        <v>122</v>
      </c>
      <c r="Q377">
        <v>74488</v>
      </c>
      <c r="R377" t="s">
        <v>1118</v>
      </c>
      <c r="S377" t="s">
        <v>1119</v>
      </c>
      <c r="T377" t="s">
        <v>546</v>
      </c>
      <c r="U377" t="s">
        <v>126</v>
      </c>
    </row>
    <row r="378" spans="1:21" x14ac:dyDescent="0.25">
      <c r="A378" t="s">
        <v>118</v>
      </c>
      <c r="B378" t="s">
        <v>1120</v>
      </c>
      <c r="C378">
        <v>127495</v>
      </c>
      <c r="D378" t="s">
        <v>1121</v>
      </c>
      <c r="E378" t="s">
        <v>130</v>
      </c>
      <c r="F378" t="s">
        <v>73</v>
      </c>
      <c r="G378" t="s">
        <v>74</v>
      </c>
      <c r="H378" t="s">
        <v>122</v>
      </c>
      <c r="I378" t="s">
        <v>122</v>
      </c>
      <c r="J378" s="127">
        <v>46003.691666666666</v>
      </c>
      <c r="K378" s="127">
        <v>46003.881249999999</v>
      </c>
      <c r="L378" s="127">
        <v>46006</v>
      </c>
      <c r="M378" s="127">
        <v>46024.574305555558</v>
      </c>
      <c r="N378" t="s">
        <v>72</v>
      </c>
      <c r="O378" t="s">
        <v>122</v>
      </c>
      <c r="P378" t="s">
        <v>122</v>
      </c>
      <c r="Q378">
        <v>75088</v>
      </c>
      <c r="R378" t="s">
        <v>1037</v>
      </c>
      <c r="S378" t="s">
        <v>1038</v>
      </c>
      <c r="T378" t="s">
        <v>476</v>
      </c>
      <c r="U378" t="s">
        <v>126</v>
      </c>
    </row>
    <row r="379" spans="1:21" x14ac:dyDescent="0.25">
      <c r="A379" t="s">
        <v>118</v>
      </c>
      <c r="B379" t="s">
        <v>1122</v>
      </c>
      <c r="C379">
        <v>127488</v>
      </c>
      <c r="D379" t="s">
        <v>1123</v>
      </c>
      <c r="E379" t="s">
        <v>130</v>
      </c>
      <c r="F379" t="s">
        <v>73</v>
      </c>
      <c r="G379" t="s">
        <v>74</v>
      </c>
      <c r="H379" t="s">
        <v>122</v>
      </c>
      <c r="I379" t="s">
        <v>122</v>
      </c>
      <c r="J379" s="127">
        <v>46003.684027777781</v>
      </c>
      <c r="K379" s="127">
        <v>46006.52847222222</v>
      </c>
      <c r="L379" s="127">
        <v>46008</v>
      </c>
      <c r="M379" s="127">
        <v>46021.432638888888</v>
      </c>
      <c r="N379" t="s">
        <v>72</v>
      </c>
      <c r="O379" t="s">
        <v>122</v>
      </c>
      <c r="P379" t="s">
        <v>122</v>
      </c>
      <c r="Q379">
        <v>75088</v>
      </c>
      <c r="R379" t="s">
        <v>1037</v>
      </c>
      <c r="S379" t="s">
        <v>1038</v>
      </c>
      <c r="T379" t="s">
        <v>476</v>
      </c>
      <c r="U379" t="s">
        <v>126</v>
      </c>
    </row>
    <row r="380" spans="1:21" x14ac:dyDescent="0.25">
      <c r="A380" t="s">
        <v>118</v>
      </c>
      <c r="B380" t="s">
        <v>1124</v>
      </c>
      <c r="C380">
        <v>127468</v>
      </c>
      <c r="D380" t="s">
        <v>1125</v>
      </c>
      <c r="E380" t="s">
        <v>130</v>
      </c>
      <c r="F380" t="s">
        <v>90</v>
      </c>
      <c r="G380" t="s">
        <v>80</v>
      </c>
      <c r="H380" t="s">
        <v>122</v>
      </c>
      <c r="I380" t="s">
        <v>122</v>
      </c>
      <c r="J380" s="127">
        <v>46003.629166666666</v>
      </c>
      <c r="K380" s="127">
        <v>46006.573611111111</v>
      </c>
      <c r="L380" s="127">
        <v>46006</v>
      </c>
      <c r="M380" s="127">
        <v>46038.506249999999</v>
      </c>
      <c r="N380" t="s">
        <v>78</v>
      </c>
      <c r="O380" t="s">
        <v>122</v>
      </c>
      <c r="P380" t="s">
        <v>122</v>
      </c>
      <c r="Q380">
        <v>99226</v>
      </c>
      <c r="R380" t="s">
        <v>847</v>
      </c>
      <c r="S380" t="s">
        <v>848</v>
      </c>
      <c r="T380" t="s">
        <v>471</v>
      </c>
      <c r="U380" t="s">
        <v>462</v>
      </c>
    </row>
    <row r="381" spans="1:21" x14ac:dyDescent="0.25">
      <c r="A381" t="s">
        <v>118</v>
      </c>
      <c r="B381" t="s">
        <v>1126</v>
      </c>
      <c r="C381">
        <v>125619</v>
      </c>
      <c r="D381" t="s">
        <v>1127</v>
      </c>
      <c r="E381" t="s">
        <v>130</v>
      </c>
      <c r="F381" t="s">
        <v>82</v>
      </c>
      <c r="G381" t="s">
        <v>80</v>
      </c>
      <c r="H381" t="s">
        <v>122</v>
      </c>
      <c r="I381" t="s">
        <v>122</v>
      </c>
      <c r="J381" s="127">
        <v>46002.411111111112</v>
      </c>
      <c r="K381" s="127">
        <v>46010.961111111108</v>
      </c>
      <c r="L381" s="127">
        <v>46011</v>
      </c>
      <c r="M381" s="127">
        <v>46024.632638888892</v>
      </c>
      <c r="N381" t="s">
        <v>72</v>
      </c>
      <c r="O381" t="s">
        <v>122</v>
      </c>
      <c r="P381" t="s">
        <v>122</v>
      </c>
      <c r="Q381">
        <v>70328</v>
      </c>
      <c r="R381" t="s">
        <v>945</v>
      </c>
      <c r="S381" t="s">
        <v>946</v>
      </c>
      <c r="T381" t="s">
        <v>471</v>
      </c>
      <c r="U381" t="s">
        <v>126</v>
      </c>
    </row>
    <row r="382" spans="1:21" x14ac:dyDescent="0.25">
      <c r="A382" t="s">
        <v>118</v>
      </c>
      <c r="B382" t="s">
        <v>1128</v>
      </c>
      <c r="C382">
        <v>124755</v>
      </c>
      <c r="D382" t="s">
        <v>1129</v>
      </c>
      <c r="E382" t="s">
        <v>223</v>
      </c>
      <c r="F382" t="s">
        <v>73</v>
      </c>
      <c r="G382" t="s">
        <v>74</v>
      </c>
      <c r="H382" t="s">
        <v>122</v>
      </c>
      <c r="I382" t="s">
        <v>122</v>
      </c>
      <c r="J382" s="127">
        <v>46001.688888888886</v>
      </c>
      <c r="K382" s="127"/>
      <c r="L382" s="127"/>
      <c r="M382" s="127">
        <v>46020.409722222219</v>
      </c>
      <c r="N382" t="s">
        <v>72</v>
      </c>
      <c r="O382" t="s">
        <v>122</v>
      </c>
      <c r="P382" t="s">
        <v>122</v>
      </c>
      <c r="R382" t="s">
        <v>122</v>
      </c>
      <c r="S382" t="s">
        <v>122</v>
      </c>
      <c r="T382" t="s">
        <v>476</v>
      </c>
      <c r="U382" t="s">
        <v>126</v>
      </c>
    </row>
    <row r="383" spans="1:21" x14ac:dyDescent="0.25">
      <c r="A383" t="s">
        <v>118</v>
      </c>
      <c r="B383" t="s">
        <v>1130</v>
      </c>
      <c r="C383">
        <v>124714</v>
      </c>
      <c r="D383" t="s">
        <v>1131</v>
      </c>
      <c r="E383" t="s">
        <v>223</v>
      </c>
      <c r="F383" t="s">
        <v>122</v>
      </c>
      <c r="G383" t="s">
        <v>80</v>
      </c>
      <c r="H383" t="s">
        <v>122</v>
      </c>
      <c r="I383" t="s">
        <v>122</v>
      </c>
      <c r="J383" s="127">
        <v>46001.470138888886</v>
      </c>
      <c r="K383" s="127"/>
      <c r="L383" s="127"/>
      <c r="M383" s="127">
        <v>46009.42291666667</v>
      </c>
      <c r="N383" t="s">
        <v>72</v>
      </c>
      <c r="O383" t="s">
        <v>122</v>
      </c>
      <c r="P383" t="s">
        <v>122</v>
      </c>
      <c r="Q383">
        <v>70327</v>
      </c>
      <c r="R383" t="s">
        <v>1132</v>
      </c>
      <c r="S383" t="s">
        <v>1133</v>
      </c>
      <c r="T383" t="s">
        <v>471</v>
      </c>
      <c r="U383" t="s">
        <v>126</v>
      </c>
    </row>
    <row r="384" spans="1:21" x14ac:dyDescent="0.25">
      <c r="A384" t="s">
        <v>118</v>
      </c>
      <c r="B384" t="s">
        <v>1134</v>
      </c>
      <c r="C384">
        <v>124681</v>
      </c>
      <c r="D384" t="s">
        <v>1135</v>
      </c>
      <c r="E384" t="s">
        <v>223</v>
      </c>
      <c r="F384" t="s">
        <v>122</v>
      </c>
      <c r="G384" t="s">
        <v>80</v>
      </c>
      <c r="H384" t="s">
        <v>122</v>
      </c>
      <c r="I384" t="s">
        <v>122</v>
      </c>
      <c r="J384" s="127">
        <v>46001.429166666669</v>
      </c>
      <c r="K384" s="127"/>
      <c r="L384" s="127"/>
      <c r="M384" s="127">
        <v>46009.42291666667</v>
      </c>
      <c r="N384" t="s">
        <v>72</v>
      </c>
      <c r="O384" t="s">
        <v>122</v>
      </c>
      <c r="P384" t="s">
        <v>122</v>
      </c>
      <c r="Q384">
        <v>70327</v>
      </c>
      <c r="R384" t="s">
        <v>1132</v>
      </c>
      <c r="S384" t="s">
        <v>1133</v>
      </c>
      <c r="T384" t="s">
        <v>471</v>
      </c>
      <c r="U384" t="s">
        <v>126</v>
      </c>
    </row>
    <row r="385" spans="1:21" x14ac:dyDescent="0.25">
      <c r="A385" t="s">
        <v>118</v>
      </c>
      <c r="B385" t="s">
        <v>1136</v>
      </c>
      <c r="C385">
        <v>124676</v>
      </c>
      <c r="D385" t="s">
        <v>1137</v>
      </c>
      <c r="E385" t="s">
        <v>223</v>
      </c>
      <c r="F385" t="s">
        <v>122</v>
      </c>
      <c r="G385" t="s">
        <v>80</v>
      </c>
      <c r="H385" t="s">
        <v>122</v>
      </c>
      <c r="I385" t="s">
        <v>122</v>
      </c>
      <c r="J385" s="127">
        <v>46001.415277777778</v>
      </c>
      <c r="K385" s="127"/>
      <c r="L385" s="127"/>
      <c r="M385" s="127">
        <v>46009.42291666667</v>
      </c>
      <c r="N385" t="s">
        <v>72</v>
      </c>
      <c r="O385" t="s">
        <v>122</v>
      </c>
      <c r="P385" t="s">
        <v>122</v>
      </c>
      <c r="Q385">
        <v>70327</v>
      </c>
      <c r="R385" t="s">
        <v>1132</v>
      </c>
      <c r="S385" t="s">
        <v>1133</v>
      </c>
      <c r="T385" t="s">
        <v>471</v>
      </c>
      <c r="U385" t="s">
        <v>126</v>
      </c>
    </row>
    <row r="386" spans="1:21" x14ac:dyDescent="0.25">
      <c r="A386" t="s">
        <v>118</v>
      </c>
      <c r="B386" t="s">
        <v>1138</v>
      </c>
      <c r="C386">
        <v>123819</v>
      </c>
      <c r="D386" t="s">
        <v>1139</v>
      </c>
      <c r="E386" t="s">
        <v>223</v>
      </c>
      <c r="F386" t="s">
        <v>122</v>
      </c>
      <c r="G386" t="s">
        <v>74</v>
      </c>
      <c r="H386" t="s">
        <v>122</v>
      </c>
      <c r="I386" t="s">
        <v>122</v>
      </c>
      <c r="J386" s="127">
        <v>46000.704861111109</v>
      </c>
      <c r="K386" s="127">
        <v>46000.759722222225</v>
      </c>
      <c r="L386" s="127">
        <v>46000</v>
      </c>
      <c r="M386" s="127">
        <v>46000.705555555556</v>
      </c>
      <c r="N386" t="s">
        <v>72</v>
      </c>
      <c r="O386" t="s">
        <v>122</v>
      </c>
      <c r="P386" t="s">
        <v>122</v>
      </c>
      <c r="Q386">
        <v>123811</v>
      </c>
      <c r="R386" t="s">
        <v>1140</v>
      </c>
      <c r="S386" t="s">
        <v>1141</v>
      </c>
      <c r="T386" t="s">
        <v>476</v>
      </c>
      <c r="U386" t="s">
        <v>126</v>
      </c>
    </row>
    <row r="387" spans="1:21" x14ac:dyDescent="0.25">
      <c r="A387" t="s">
        <v>118</v>
      </c>
      <c r="B387" t="s">
        <v>1142</v>
      </c>
      <c r="C387">
        <v>123812</v>
      </c>
      <c r="D387" t="s">
        <v>1143</v>
      </c>
      <c r="E387" t="s">
        <v>223</v>
      </c>
      <c r="F387" t="s">
        <v>122</v>
      </c>
      <c r="G387" t="s">
        <v>74</v>
      </c>
      <c r="H387" t="s">
        <v>122</v>
      </c>
      <c r="I387" t="s">
        <v>122</v>
      </c>
      <c r="J387" s="127">
        <v>46000.704861111109</v>
      </c>
      <c r="K387" s="127"/>
      <c r="L387" s="127"/>
      <c r="M387" s="127">
        <v>46045.436111111114</v>
      </c>
      <c r="N387" t="s">
        <v>72</v>
      </c>
      <c r="O387" t="s">
        <v>122</v>
      </c>
      <c r="P387" t="s">
        <v>122</v>
      </c>
      <c r="Q387">
        <v>123811</v>
      </c>
      <c r="R387" t="s">
        <v>1140</v>
      </c>
      <c r="S387" t="s">
        <v>1141</v>
      </c>
      <c r="T387" t="s">
        <v>476</v>
      </c>
      <c r="U387" t="s">
        <v>126</v>
      </c>
    </row>
    <row r="388" spans="1:21" x14ac:dyDescent="0.25">
      <c r="A388" t="s">
        <v>118</v>
      </c>
      <c r="B388" t="s">
        <v>1144</v>
      </c>
      <c r="C388">
        <v>123696</v>
      </c>
      <c r="D388" t="s">
        <v>1145</v>
      </c>
      <c r="E388" t="s">
        <v>130</v>
      </c>
      <c r="F388" t="s">
        <v>79</v>
      </c>
      <c r="G388" t="s">
        <v>540</v>
      </c>
      <c r="H388" t="s">
        <v>122</v>
      </c>
      <c r="I388" t="s">
        <v>122</v>
      </c>
      <c r="J388" s="127">
        <v>46000.405555555553</v>
      </c>
      <c r="K388" s="127">
        <v>46000.53125</v>
      </c>
      <c r="L388" s="127">
        <v>46000</v>
      </c>
      <c r="M388" s="127">
        <v>46000.665277777778</v>
      </c>
      <c r="N388" t="s">
        <v>72</v>
      </c>
      <c r="O388" t="s">
        <v>122</v>
      </c>
      <c r="P388" t="s">
        <v>122</v>
      </c>
      <c r="Q388">
        <v>94144</v>
      </c>
      <c r="R388" t="s">
        <v>1146</v>
      </c>
      <c r="S388" t="s">
        <v>1147</v>
      </c>
      <c r="T388" t="s">
        <v>1018</v>
      </c>
      <c r="U388" t="s">
        <v>126</v>
      </c>
    </row>
    <row r="389" spans="1:21" x14ac:dyDescent="0.25">
      <c r="A389" t="s">
        <v>118</v>
      </c>
      <c r="B389" t="s">
        <v>1148</v>
      </c>
      <c r="C389">
        <v>122687</v>
      </c>
      <c r="D389" t="s">
        <v>1149</v>
      </c>
      <c r="E389" t="s">
        <v>130</v>
      </c>
      <c r="F389" t="s">
        <v>73</v>
      </c>
      <c r="G389" t="s">
        <v>74</v>
      </c>
      <c r="H389" t="s">
        <v>122</v>
      </c>
      <c r="I389" t="s">
        <v>122</v>
      </c>
      <c r="J389" s="127">
        <v>45999.625</v>
      </c>
      <c r="K389" s="127">
        <v>46062.597916666666</v>
      </c>
      <c r="L389" s="127">
        <v>46062</v>
      </c>
      <c r="M389" s="127">
        <v>46076.400694444441</v>
      </c>
      <c r="N389" t="s">
        <v>75</v>
      </c>
      <c r="O389" t="s">
        <v>122</v>
      </c>
      <c r="P389" t="s">
        <v>122</v>
      </c>
      <c r="Q389">
        <v>70450</v>
      </c>
      <c r="R389" t="s">
        <v>601</v>
      </c>
      <c r="S389" t="s">
        <v>602</v>
      </c>
      <c r="T389" t="s">
        <v>476</v>
      </c>
      <c r="U389" t="s">
        <v>137</v>
      </c>
    </row>
    <row r="390" spans="1:21" x14ac:dyDescent="0.25">
      <c r="A390" t="s">
        <v>127</v>
      </c>
      <c r="B390" t="s">
        <v>1150</v>
      </c>
      <c r="C390">
        <v>121739</v>
      </c>
      <c r="D390" t="s">
        <v>1151</v>
      </c>
      <c r="E390" t="s">
        <v>130</v>
      </c>
      <c r="F390" t="s">
        <v>79</v>
      </c>
      <c r="G390" t="s">
        <v>540</v>
      </c>
      <c r="H390" t="s">
        <v>122</v>
      </c>
      <c r="I390" t="s">
        <v>122</v>
      </c>
      <c r="J390" s="127">
        <v>45996.693749999999</v>
      </c>
      <c r="K390" s="127">
        <v>46006.554166666669</v>
      </c>
      <c r="L390" s="127">
        <v>46009</v>
      </c>
      <c r="M390" s="127">
        <v>46015.497916666667</v>
      </c>
      <c r="N390" t="s">
        <v>72</v>
      </c>
      <c r="O390" t="s">
        <v>122</v>
      </c>
      <c r="P390" t="s">
        <v>122</v>
      </c>
      <c r="Q390">
        <v>94141</v>
      </c>
      <c r="R390" t="s">
        <v>1152</v>
      </c>
      <c r="S390" t="s">
        <v>1153</v>
      </c>
      <c r="T390" t="s">
        <v>1018</v>
      </c>
      <c r="U390" t="s">
        <v>126</v>
      </c>
    </row>
    <row r="391" spans="1:21" x14ac:dyDescent="0.25">
      <c r="A391" t="s">
        <v>118</v>
      </c>
      <c r="B391" t="s">
        <v>1154</v>
      </c>
      <c r="C391">
        <v>121721</v>
      </c>
      <c r="D391" t="s">
        <v>1155</v>
      </c>
      <c r="E391" t="s">
        <v>130</v>
      </c>
      <c r="F391" t="s">
        <v>82</v>
      </c>
      <c r="G391" t="s">
        <v>80</v>
      </c>
      <c r="H391" t="s">
        <v>122</v>
      </c>
      <c r="I391" t="s">
        <v>122</v>
      </c>
      <c r="J391" s="127">
        <v>45996.632638888892</v>
      </c>
      <c r="K391" s="127">
        <v>46006.569444444445</v>
      </c>
      <c r="L391" s="127">
        <v>46007</v>
      </c>
      <c r="M391" s="127">
        <v>46010.654166666667</v>
      </c>
      <c r="N391" t="s">
        <v>72</v>
      </c>
      <c r="O391" t="s">
        <v>122</v>
      </c>
      <c r="P391" t="s">
        <v>122</v>
      </c>
      <c r="Q391">
        <v>138973</v>
      </c>
      <c r="R391" t="s">
        <v>1156</v>
      </c>
      <c r="S391" t="s">
        <v>1157</v>
      </c>
      <c r="T391" t="s">
        <v>471</v>
      </c>
      <c r="U391" t="s">
        <v>126</v>
      </c>
    </row>
    <row r="392" spans="1:21" x14ac:dyDescent="0.25">
      <c r="A392" t="s">
        <v>118</v>
      </c>
      <c r="B392" t="s">
        <v>1158</v>
      </c>
      <c r="C392">
        <v>121700</v>
      </c>
      <c r="D392" t="s">
        <v>1159</v>
      </c>
      <c r="E392" t="s">
        <v>130</v>
      </c>
      <c r="F392" t="s">
        <v>79</v>
      </c>
      <c r="G392" t="s">
        <v>540</v>
      </c>
      <c r="H392" t="s">
        <v>122</v>
      </c>
      <c r="I392" t="s">
        <v>122</v>
      </c>
      <c r="J392" s="127">
        <v>45996.561111111114</v>
      </c>
      <c r="K392" s="127">
        <v>46003.51458333333</v>
      </c>
      <c r="L392" s="127">
        <v>46008</v>
      </c>
      <c r="M392" s="127">
        <v>46020.447222222225</v>
      </c>
      <c r="N392" t="s">
        <v>72</v>
      </c>
      <c r="O392" t="s">
        <v>122</v>
      </c>
      <c r="P392" t="s">
        <v>122</v>
      </c>
      <c r="Q392">
        <v>94141</v>
      </c>
      <c r="R392" t="s">
        <v>1152</v>
      </c>
      <c r="S392" t="s">
        <v>1153</v>
      </c>
      <c r="T392" t="s">
        <v>1018</v>
      </c>
      <c r="U392" t="s">
        <v>126</v>
      </c>
    </row>
    <row r="393" spans="1:21" x14ac:dyDescent="0.25">
      <c r="A393" t="s">
        <v>118</v>
      </c>
      <c r="B393" t="s">
        <v>1160</v>
      </c>
      <c r="C393">
        <v>121687</v>
      </c>
      <c r="D393" t="s">
        <v>1161</v>
      </c>
      <c r="E393" t="s">
        <v>130</v>
      </c>
      <c r="F393" t="s">
        <v>82</v>
      </c>
      <c r="G393" t="s">
        <v>80</v>
      </c>
      <c r="H393" t="s">
        <v>122</v>
      </c>
      <c r="I393" t="s">
        <v>122</v>
      </c>
      <c r="J393" s="127">
        <v>45996.472222222219</v>
      </c>
      <c r="K393" s="127">
        <v>46002.51458333333</v>
      </c>
      <c r="L393" s="127">
        <v>46002</v>
      </c>
      <c r="M393" s="127">
        <v>46006.62777777778</v>
      </c>
      <c r="N393" t="s">
        <v>72</v>
      </c>
      <c r="O393" t="s">
        <v>122</v>
      </c>
      <c r="P393" t="s">
        <v>122</v>
      </c>
      <c r="Q393">
        <v>138973</v>
      </c>
      <c r="R393" t="s">
        <v>1156</v>
      </c>
      <c r="S393" t="s">
        <v>1157</v>
      </c>
      <c r="T393" t="s">
        <v>471</v>
      </c>
      <c r="U393" t="s">
        <v>126</v>
      </c>
    </row>
    <row r="394" spans="1:21" x14ac:dyDescent="0.25">
      <c r="A394" t="s">
        <v>142</v>
      </c>
      <c r="B394" t="s">
        <v>1162</v>
      </c>
      <c r="C394">
        <v>120664</v>
      </c>
      <c r="D394" t="s">
        <v>1163</v>
      </c>
      <c r="E394" t="s">
        <v>130</v>
      </c>
      <c r="F394" t="s">
        <v>82</v>
      </c>
      <c r="G394" t="s">
        <v>80</v>
      </c>
      <c r="H394" t="s">
        <v>122</v>
      </c>
      <c r="I394" t="s">
        <v>122</v>
      </c>
      <c r="J394" s="127">
        <v>45995.652083333334</v>
      </c>
      <c r="K394" s="127">
        <v>46000.647222222222</v>
      </c>
      <c r="L394" s="127">
        <v>46000</v>
      </c>
      <c r="M394" s="127">
        <v>46006.396527777775</v>
      </c>
      <c r="N394" t="s">
        <v>72</v>
      </c>
      <c r="O394" t="s">
        <v>122</v>
      </c>
      <c r="P394" t="s">
        <v>122</v>
      </c>
      <c r="Q394">
        <v>70295</v>
      </c>
      <c r="R394" t="s">
        <v>1104</v>
      </c>
      <c r="S394" t="s">
        <v>1105</v>
      </c>
      <c r="T394" t="s">
        <v>471</v>
      </c>
      <c r="U394" t="s">
        <v>126</v>
      </c>
    </row>
    <row r="395" spans="1:21" x14ac:dyDescent="0.25">
      <c r="A395" t="s">
        <v>118</v>
      </c>
      <c r="B395" t="s">
        <v>1164</v>
      </c>
      <c r="C395">
        <v>119831</v>
      </c>
      <c r="D395" t="s">
        <v>1165</v>
      </c>
      <c r="E395" t="s">
        <v>223</v>
      </c>
      <c r="F395" t="s">
        <v>122</v>
      </c>
      <c r="G395" t="s">
        <v>80</v>
      </c>
      <c r="H395" t="s">
        <v>122</v>
      </c>
      <c r="I395" t="s">
        <v>122</v>
      </c>
      <c r="J395" s="127">
        <v>45994.727777777778</v>
      </c>
      <c r="K395" s="127"/>
      <c r="L395" s="127"/>
      <c r="M395" s="127">
        <v>46009.423611111109</v>
      </c>
      <c r="N395" t="s">
        <v>72</v>
      </c>
      <c r="O395" t="s">
        <v>122</v>
      </c>
      <c r="P395" t="s">
        <v>122</v>
      </c>
      <c r="Q395">
        <v>70311</v>
      </c>
      <c r="R395" t="s">
        <v>1166</v>
      </c>
      <c r="S395" t="s">
        <v>1167</v>
      </c>
      <c r="T395" t="s">
        <v>471</v>
      </c>
      <c r="U395" t="s">
        <v>126</v>
      </c>
    </row>
    <row r="396" spans="1:21" x14ac:dyDescent="0.25">
      <c r="A396" t="s">
        <v>118</v>
      </c>
      <c r="B396" t="s">
        <v>1168</v>
      </c>
      <c r="C396">
        <v>119829</v>
      </c>
      <c r="D396" t="s">
        <v>1169</v>
      </c>
      <c r="E396" t="s">
        <v>223</v>
      </c>
      <c r="F396" t="s">
        <v>122</v>
      </c>
      <c r="G396" t="s">
        <v>80</v>
      </c>
      <c r="H396" t="s">
        <v>122</v>
      </c>
      <c r="I396" t="s">
        <v>122</v>
      </c>
      <c r="J396" s="127">
        <v>45994.720138888886</v>
      </c>
      <c r="K396" s="127"/>
      <c r="L396" s="127"/>
      <c r="M396" s="127">
        <v>46009.423611111109</v>
      </c>
      <c r="N396" t="s">
        <v>72</v>
      </c>
      <c r="O396" t="s">
        <v>122</v>
      </c>
      <c r="P396" t="s">
        <v>122</v>
      </c>
      <c r="Q396">
        <v>70311</v>
      </c>
      <c r="R396" t="s">
        <v>1166</v>
      </c>
      <c r="S396" t="s">
        <v>1167</v>
      </c>
      <c r="T396" t="s">
        <v>471</v>
      </c>
      <c r="U396" t="s">
        <v>126</v>
      </c>
    </row>
    <row r="397" spans="1:21" x14ac:dyDescent="0.25">
      <c r="A397" t="s">
        <v>118</v>
      </c>
      <c r="B397" t="s">
        <v>1170</v>
      </c>
      <c r="C397">
        <v>119822</v>
      </c>
      <c r="D397" t="s">
        <v>1171</v>
      </c>
      <c r="E397" t="s">
        <v>223</v>
      </c>
      <c r="F397" t="s">
        <v>122</v>
      </c>
      <c r="G397" t="s">
        <v>80</v>
      </c>
      <c r="H397" t="s">
        <v>122</v>
      </c>
      <c r="I397" t="s">
        <v>122</v>
      </c>
      <c r="J397" s="127">
        <v>45994.707638888889</v>
      </c>
      <c r="K397" s="127"/>
      <c r="L397" s="127"/>
      <c r="M397" s="127">
        <v>46009.423611111109</v>
      </c>
      <c r="N397" t="s">
        <v>72</v>
      </c>
      <c r="O397" t="s">
        <v>122</v>
      </c>
      <c r="P397" t="s">
        <v>122</v>
      </c>
      <c r="Q397">
        <v>70311</v>
      </c>
      <c r="R397" t="s">
        <v>1166</v>
      </c>
      <c r="S397" t="s">
        <v>1167</v>
      </c>
      <c r="T397" t="s">
        <v>471</v>
      </c>
      <c r="U397" t="s">
        <v>126</v>
      </c>
    </row>
    <row r="398" spans="1:21" x14ac:dyDescent="0.25">
      <c r="A398" t="s">
        <v>118</v>
      </c>
      <c r="B398" t="s">
        <v>1172</v>
      </c>
      <c r="C398">
        <v>119808</v>
      </c>
      <c r="D398" t="s">
        <v>1173</v>
      </c>
      <c r="E398" t="s">
        <v>130</v>
      </c>
      <c r="F398" t="s">
        <v>535</v>
      </c>
      <c r="G398" t="s">
        <v>80</v>
      </c>
      <c r="H398" t="s">
        <v>122</v>
      </c>
      <c r="I398" t="s">
        <v>122</v>
      </c>
      <c r="J398" s="127">
        <v>45994.633333333331</v>
      </c>
      <c r="K398" s="127">
        <v>46014.089583333334</v>
      </c>
      <c r="L398" s="127">
        <v>46020</v>
      </c>
      <c r="M398" s="127">
        <v>46024.453472222223</v>
      </c>
      <c r="N398" t="s">
        <v>72</v>
      </c>
      <c r="O398" t="s">
        <v>122</v>
      </c>
      <c r="P398" t="s">
        <v>122</v>
      </c>
      <c r="Q398">
        <v>119707</v>
      </c>
      <c r="R398" t="s">
        <v>1033</v>
      </c>
      <c r="S398" t="s">
        <v>1034</v>
      </c>
      <c r="T398" t="s">
        <v>471</v>
      </c>
      <c r="U398" t="s">
        <v>126</v>
      </c>
    </row>
    <row r="399" spans="1:21" x14ac:dyDescent="0.25">
      <c r="A399" t="s">
        <v>118</v>
      </c>
      <c r="B399" t="s">
        <v>1174</v>
      </c>
      <c r="C399">
        <v>119802</v>
      </c>
      <c r="D399" t="s">
        <v>1175</v>
      </c>
      <c r="E399" t="s">
        <v>130</v>
      </c>
      <c r="F399" t="s">
        <v>82</v>
      </c>
      <c r="G399" t="s">
        <v>80</v>
      </c>
      <c r="H399" t="s">
        <v>122</v>
      </c>
      <c r="I399" t="s">
        <v>122</v>
      </c>
      <c r="J399" s="127">
        <v>45994.615972222222</v>
      </c>
      <c r="K399" s="127">
        <v>46012.719444444447</v>
      </c>
      <c r="L399" s="127">
        <v>46012</v>
      </c>
      <c r="M399" s="127">
        <v>46020.407638888886</v>
      </c>
      <c r="N399" t="s">
        <v>72</v>
      </c>
      <c r="O399" t="s">
        <v>122</v>
      </c>
      <c r="P399" t="s">
        <v>122</v>
      </c>
      <c r="Q399">
        <v>70309</v>
      </c>
      <c r="R399" t="s">
        <v>1176</v>
      </c>
      <c r="S399" t="s">
        <v>1177</v>
      </c>
      <c r="T399" t="s">
        <v>471</v>
      </c>
      <c r="U399" t="s">
        <v>126</v>
      </c>
    </row>
    <row r="400" spans="1:21" x14ac:dyDescent="0.25">
      <c r="A400" t="s">
        <v>118</v>
      </c>
      <c r="B400" t="s">
        <v>1178</v>
      </c>
      <c r="C400">
        <v>119785</v>
      </c>
      <c r="D400" t="s">
        <v>1179</v>
      </c>
      <c r="E400" t="s">
        <v>130</v>
      </c>
      <c r="F400" t="s">
        <v>535</v>
      </c>
      <c r="G400" t="s">
        <v>80</v>
      </c>
      <c r="H400" t="s">
        <v>122</v>
      </c>
      <c r="I400" t="s">
        <v>122</v>
      </c>
      <c r="J400" s="127">
        <v>45994.507638888892</v>
      </c>
      <c r="K400" s="127">
        <v>46014.088194444441</v>
      </c>
      <c r="L400" s="127">
        <v>46014</v>
      </c>
      <c r="M400" s="127">
        <v>46037.876388888886</v>
      </c>
      <c r="N400" t="s">
        <v>72</v>
      </c>
      <c r="O400" t="s">
        <v>122</v>
      </c>
      <c r="P400" t="s">
        <v>122</v>
      </c>
      <c r="Q400">
        <v>119707</v>
      </c>
      <c r="R400" t="s">
        <v>1033</v>
      </c>
      <c r="S400" t="s">
        <v>1034</v>
      </c>
      <c r="T400" t="s">
        <v>471</v>
      </c>
      <c r="U400" t="s">
        <v>126</v>
      </c>
    </row>
    <row r="401" spans="1:21" x14ac:dyDescent="0.25">
      <c r="A401" t="s">
        <v>118</v>
      </c>
      <c r="B401" t="s">
        <v>1180</v>
      </c>
      <c r="C401">
        <v>119783</v>
      </c>
      <c r="D401" t="s">
        <v>1181</v>
      </c>
      <c r="E401" t="s">
        <v>130</v>
      </c>
      <c r="F401" t="s">
        <v>82</v>
      </c>
      <c r="G401" t="s">
        <v>80</v>
      </c>
      <c r="H401" t="s">
        <v>122</v>
      </c>
      <c r="I401" t="s">
        <v>122</v>
      </c>
      <c r="J401" s="127">
        <v>45994.494444444441</v>
      </c>
      <c r="K401" s="127">
        <v>46006.577777777777</v>
      </c>
      <c r="L401" s="127">
        <v>46008</v>
      </c>
      <c r="M401" s="127">
        <v>46009.643055555556</v>
      </c>
      <c r="N401" t="s">
        <v>72</v>
      </c>
      <c r="O401" t="s">
        <v>122</v>
      </c>
      <c r="P401" t="s">
        <v>122</v>
      </c>
      <c r="Q401">
        <v>70309</v>
      </c>
      <c r="R401" t="s">
        <v>1176</v>
      </c>
      <c r="S401" t="s">
        <v>1177</v>
      </c>
      <c r="T401" t="s">
        <v>471</v>
      </c>
      <c r="U401" t="s">
        <v>126</v>
      </c>
    </row>
    <row r="402" spans="1:21" x14ac:dyDescent="0.25">
      <c r="A402" t="s">
        <v>118</v>
      </c>
      <c r="B402" t="s">
        <v>1182</v>
      </c>
      <c r="C402">
        <v>119737</v>
      </c>
      <c r="D402" t="s">
        <v>1183</v>
      </c>
      <c r="E402" t="s">
        <v>121</v>
      </c>
      <c r="F402" t="s">
        <v>122</v>
      </c>
      <c r="G402" t="s">
        <v>513</v>
      </c>
      <c r="H402" t="s">
        <v>122</v>
      </c>
      <c r="I402" t="s">
        <v>122</v>
      </c>
      <c r="J402" s="127">
        <v>45994.398611111108</v>
      </c>
      <c r="K402" s="127"/>
      <c r="L402" s="127"/>
      <c r="M402" s="127"/>
      <c r="N402" t="s">
        <v>78</v>
      </c>
      <c r="O402" t="s">
        <v>122</v>
      </c>
      <c r="P402" t="s">
        <v>122</v>
      </c>
      <c r="Q402">
        <v>65555</v>
      </c>
      <c r="R402" t="s">
        <v>1184</v>
      </c>
      <c r="S402" t="s">
        <v>1185</v>
      </c>
      <c r="T402" t="s">
        <v>546</v>
      </c>
      <c r="U402" t="s">
        <v>462</v>
      </c>
    </row>
    <row r="403" spans="1:21" x14ac:dyDescent="0.25">
      <c r="A403" t="s">
        <v>118</v>
      </c>
      <c r="B403" t="s">
        <v>1186</v>
      </c>
      <c r="C403">
        <v>119735</v>
      </c>
      <c r="D403" t="s">
        <v>1187</v>
      </c>
      <c r="E403" t="s">
        <v>121</v>
      </c>
      <c r="F403" t="s">
        <v>122</v>
      </c>
      <c r="G403" t="s">
        <v>513</v>
      </c>
      <c r="H403" t="s">
        <v>122</v>
      </c>
      <c r="I403" t="s">
        <v>122</v>
      </c>
      <c r="J403" s="127">
        <v>45994.397222222222</v>
      </c>
      <c r="K403" s="127"/>
      <c r="L403" s="127"/>
      <c r="M403" s="127"/>
      <c r="N403" t="s">
        <v>78</v>
      </c>
      <c r="O403" t="s">
        <v>122</v>
      </c>
      <c r="P403" t="s">
        <v>122</v>
      </c>
      <c r="Q403">
        <v>65555</v>
      </c>
      <c r="R403" t="s">
        <v>1184</v>
      </c>
      <c r="S403" t="s">
        <v>1185</v>
      </c>
      <c r="T403" t="s">
        <v>546</v>
      </c>
      <c r="U403" t="s">
        <v>462</v>
      </c>
    </row>
    <row r="404" spans="1:21" x14ac:dyDescent="0.25">
      <c r="A404" t="s">
        <v>118</v>
      </c>
      <c r="B404" t="s">
        <v>1188</v>
      </c>
      <c r="C404">
        <v>119733</v>
      </c>
      <c r="D404" t="s">
        <v>1189</v>
      </c>
      <c r="E404" t="s">
        <v>121</v>
      </c>
      <c r="F404" t="s">
        <v>122</v>
      </c>
      <c r="G404" t="s">
        <v>513</v>
      </c>
      <c r="H404" t="s">
        <v>122</v>
      </c>
      <c r="I404" t="s">
        <v>122</v>
      </c>
      <c r="J404" s="127">
        <v>45994.396527777775</v>
      </c>
      <c r="K404" s="127"/>
      <c r="L404" s="127"/>
      <c r="M404" s="127"/>
      <c r="N404" t="s">
        <v>78</v>
      </c>
      <c r="O404" t="s">
        <v>122</v>
      </c>
      <c r="P404" t="s">
        <v>122</v>
      </c>
      <c r="Q404">
        <v>65555</v>
      </c>
      <c r="R404" t="s">
        <v>1184</v>
      </c>
      <c r="S404" t="s">
        <v>1185</v>
      </c>
      <c r="T404" t="s">
        <v>546</v>
      </c>
      <c r="U404" t="s">
        <v>462</v>
      </c>
    </row>
    <row r="405" spans="1:21" x14ac:dyDescent="0.25">
      <c r="A405" t="s">
        <v>118</v>
      </c>
      <c r="B405" t="s">
        <v>1190</v>
      </c>
      <c r="C405">
        <v>118407</v>
      </c>
      <c r="D405" t="s">
        <v>1191</v>
      </c>
      <c r="E405" t="s">
        <v>130</v>
      </c>
      <c r="F405" t="s">
        <v>82</v>
      </c>
      <c r="G405" t="s">
        <v>80</v>
      </c>
      <c r="H405" t="s">
        <v>122</v>
      </c>
      <c r="I405" t="s">
        <v>122</v>
      </c>
      <c r="J405" s="127">
        <v>45993.748611111114</v>
      </c>
      <c r="K405" s="127">
        <v>46006.569444444445</v>
      </c>
      <c r="L405" s="127">
        <v>46006</v>
      </c>
      <c r="M405" s="127">
        <v>46014.361111111109</v>
      </c>
      <c r="N405" t="s">
        <v>72</v>
      </c>
      <c r="O405" t="s">
        <v>122</v>
      </c>
      <c r="P405" t="s">
        <v>122</v>
      </c>
      <c r="Q405">
        <v>70295</v>
      </c>
      <c r="R405" t="s">
        <v>1104</v>
      </c>
      <c r="S405" t="s">
        <v>1105</v>
      </c>
      <c r="T405" t="s">
        <v>471</v>
      </c>
      <c r="U405" t="s">
        <v>126</v>
      </c>
    </row>
    <row r="406" spans="1:21" x14ac:dyDescent="0.25">
      <c r="A406" t="s">
        <v>118</v>
      </c>
      <c r="B406" t="s">
        <v>1192</v>
      </c>
      <c r="C406">
        <v>116512</v>
      </c>
      <c r="D406" t="s">
        <v>1139</v>
      </c>
      <c r="E406" t="s">
        <v>130</v>
      </c>
      <c r="F406" t="s">
        <v>73</v>
      </c>
      <c r="G406" t="s">
        <v>74</v>
      </c>
      <c r="H406" t="s">
        <v>122</v>
      </c>
      <c r="I406" t="s">
        <v>122</v>
      </c>
      <c r="J406" s="127">
        <v>45992.486111111109</v>
      </c>
      <c r="K406" s="127">
        <v>46000.759722222225</v>
      </c>
      <c r="L406" s="127">
        <v>46000</v>
      </c>
      <c r="M406" s="127">
        <v>46008.415277777778</v>
      </c>
      <c r="N406" t="s">
        <v>72</v>
      </c>
      <c r="O406" t="s">
        <v>122</v>
      </c>
      <c r="P406" t="s">
        <v>122</v>
      </c>
      <c r="Q406">
        <v>75088</v>
      </c>
      <c r="R406" t="s">
        <v>1037</v>
      </c>
      <c r="S406" t="s">
        <v>1038</v>
      </c>
      <c r="T406" t="s">
        <v>476</v>
      </c>
      <c r="U406" t="s">
        <v>126</v>
      </c>
    </row>
    <row r="407" spans="1:21" x14ac:dyDescent="0.25">
      <c r="A407" t="s">
        <v>118</v>
      </c>
      <c r="B407" t="s">
        <v>1193</v>
      </c>
      <c r="C407">
        <v>116467</v>
      </c>
      <c r="D407" t="s">
        <v>1194</v>
      </c>
      <c r="E407" t="s">
        <v>130</v>
      </c>
      <c r="F407" t="s">
        <v>73</v>
      </c>
      <c r="G407" t="s">
        <v>74</v>
      </c>
      <c r="H407" t="s">
        <v>122</v>
      </c>
      <c r="I407" t="s">
        <v>122</v>
      </c>
      <c r="J407" s="127">
        <v>45992.42291666667</v>
      </c>
      <c r="K407" s="127">
        <v>46007.747916666667</v>
      </c>
      <c r="L407" s="127">
        <v>46007</v>
      </c>
      <c r="M407" s="127">
        <v>46010.703472222223</v>
      </c>
      <c r="N407" t="s">
        <v>72</v>
      </c>
      <c r="O407" t="s">
        <v>122</v>
      </c>
      <c r="P407" t="s">
        <v>122</v>
      </c>
      <c r="Q407">
        <v>70443</v>
      </c>
      <c r="R407" t="s">
        <v>1195</v>
      </c>
      <c r="S407" t="s">
        <v>1196</v>
      </c>
      <c r="T407" t="s">
        <v>476</v>
      </c>
      <c r="U407" t="s">
        <v>126</v>
      </c>
    </row>
    <row r="408" spans="1:21" x14ac:dyDescent="0.25">
      <c r="A408" t="s">
        <v>142</v>
      </c>
      <c r="B408" t="s">
        <v>1197</v>
      </c>
      <c r="C408">
        <v>116440</v>
      </c>
      <c r="D408" t="s">
        <v>1198</v>
      </c>
      <c r="E408" t="s">
        <v>130</v>
      </c>
      <c r="F408" t="s">
        <v>82</v>
      </c>
      <c r="G408" t="s">
        <v>80</v>
      </c>
      <c r="H408" t="s">
        <v>122</v>
      </c>
      <c r="I408" t="s">
        <v>122</v>
      </c>
      <c r="J408" s="127">
        <v>45992.405555555553</v>
      </c>
      <c r="K408" s="127">
        <v>45994.513888888891</v>
      </c>
      <c r="L408" s="127">
        <v>45996</v>
      </c>
      <c r="M408" s="127">
        <v>45996.69027777778</v>
      </c>
      <c r="N408" t="s">
        <v>72</v>
      </c>
      <c r="O408" t="s">
        <v>122</v>
      </c>
      <c r="P408" t="s">
        <v>122</v>
      </c>
      <c r="Q408">
        <v>70344</v>
      </c>
      <c r="R408" t="s">
        <v>469</v>
      </c>
      <c r="S408" t="s">
        <v>470</v>
      </c>
      <c r="T408" t="s">
        <v>471</v>
      </c>
      <c r="U408" t="s">
        <v>126</v>
      </c>
    </row>
    <row r="409" spans="1:21" x14ac:dyDescent="0.25">
      <c r="A409" t="s">
        <v>118</v>
      </c>
      <c r="B409" t="s">
        <v>1199</v>
      </c>
      <c r="C409">
        <v>114981</v>
      </c>
      <c r="D409" t="s">
        <v>1200</v>
      </c>
      <c r="E409" t="s">
        <v>130</v>
      </c>
      <c r="F409" t="s">
        <v>82</v>
      </c>
      <c r="G409" t="s">
        <v>80</v>
      </c>
      <c r="H409" t="s">
        <v>122</v>
      </c>
      <c r="I409" t="s">
        <v>122</v>
      </c>
      <c r="J409" s="127">
        <v>45989.634027777778</v>
      </c>
      <c r="K409" s="127">
        <v>46010.961805555555</v>
      </c>
      <c r="L409" s="127">
        <v>46011</v>
      </c>
      <c r="M409" s="127">
        <v>46022.470833333333</v>
      </c>
      <c r="N409" t="s">
        <v>72</v>
      </c>
      <c r="O409" t="s">
        <v>122</v>
      </c>
      <c r="P409" t="s">
        <v>122</v>
      </c>
      <c r="Q409">
        <v>70328</v>
      </c>
      <c r="R409" t="s">
        <v>945</v>
      </c>
      <c r="S409" t="s">
        <v>946</v>
      </c>
      <c r="T409" t="s">
        <v>471</v>
      </c>
      <c r="U409" t="s">
        <v>126</v>
      </c>
    </row>
    <row r="410" spans="1:21" x14ac:dyDescent="0.25">
      <c r="A410" t="s">
        <v>118</v>
      </c>
      <c r="B410" t="s">
        <v>1201</v>
      </c>
      <c r="C410">
        <v>114977</v>
      </c>
      <c r="D410" t="s">
        <v>1202</v>
      </c>
      <c r="E410" t="s">
        <v>130</v>
      </c>
      <c r="F410" t="s">
        <v>82</v>
      </c>
      <c r="G410" t="s">
        <v>80</v>
      </c>
      <c r="H410" t="s">
        <v>122</v>
      </c>
      <c r="I410" t="s">
        <v>122</v>
      </c>
      <c r="J410" s="127">
        <v>45989.631249999999</v>
      </c>
      <c r="K410" s="127">
        <v>46010.961805555555</v>
      </c>
      <c r="L410" s="127">
        <v>46011</v>
      </c>
      <c r="M410" s="127">
        <v>46022.382638888892</v>
      </c>
      <c r="N410" t="s">
        <v>72</v>
      </c>
      <c r="O410" t="s">
        <v>122</v>
      </c>
      <c r="P410" t="s">
        <v>122</v>
      </c>
      <c r="Q410">
        <v>70328</v>
      </c>
      <c r="R410" t="s">
        <v>945</v>
      </c>
      <c r="S410" t="s">
        <v>946</v>
      </c>
      <c r="T410" t="s">
        <v>471</v>
      </c>
      <c r="U410" t="s">
        <v>126</v>
      </c>
    </row>
    <row r="411" spans="1:21" x14ac:dyDescent="0.25">
      <c r="A411" t="s">
        <v>118</v>
      </c>
      <c r="B411" t="s">
        <v>1203</v>
      </c>
      <c r="C411">
        <v>114942</v>
      </c>
      <c r="D411" t="s">
        <v>1204</v>
      </c>
      <c r="E411" t="s">
        <v>703</v>
      </c>
      <c r="F411" t="s">
        <v>122</v>
      </c>
      <c r="G411" t="s">
        <v>80</v>
      </c>
      <c r="H411" t="s">
        <v>122</v>
      </c>
      <c r="I411" t="s">
        <v>122</v>
      </c>
      <c r="J411" s="127">
        <v>45989.425694444442</v>
      </c>
      <c r="K411" s="127"/>
      <c r="L411" s="127"/>
      <c r="M411" s="127"/>
      <c r="N411" t="s">
        <v>75</v>
      </c>
      <c r="O411" t="s">
        <v>122</v>
      </c>
      <c r="P411" t="s">
        <v>122</v>
      </c>
      <c r="Q411">
        <v>148897</v>
      </c>
      <c r="R411" t="s">
        <v>1205</v>
      </c>
      <c r="S411" t="s">
        <v>1206</v>
      </c>
      <c r="T411" t="s">
        <v>471</v>
      </c>
      <c r="U411" t="s">
        <v>137</v>
      </c>
    </row>
    <row r="412" spans="1:21" x14ac:dyDescent="0.25">
      <c r="A412" t="s">
        <v>118</v>
      </c>
      <c r="B412" t="s">
        <v>1207</v>
      </c>
      <c r="C412">
        <v>111805</v>
      </c>
      <c r="D412" t="s">
        <v>1208</v>
      </c>
      <c r="E412" t="s">
        <v>130</v>
      </c>
      <c r="F412" t="s">
        <v>76</v>
      </c>
      <c r="G412" t="s">
        <v>80</v>
      </c>
      <c r="H412" t="s">
        <v>77</v>
      </c>
      <c r="I412" t="s">
        <v>122</v>
      </c>
      <c r="J412" s="127">
        <v>45987.808333333334</v>
      </c>
      <c r="K412" s="127">
        <v>46022.54583333333</v>
      </c>
      <c r="L412" s="127">
        <v>46022</v>
      </c>
      <c r="M412" s="127">
        <v>46038.70416666667</v>
      </c>
      <c r="N412" t="s">
        <v>72</v>
      </c>
      <c r="O412" t="s">
        <v>122</v>
      </c>
      <c r="P412" t="s">
        <v>122</v>
      </c>
      <c r="Q412">
        <v>70310</v>
      </c>
      <c r="R412" t="s">
        <v>1209</v>
      </c>
      <c r="S412" t="s">
        <v>1210</v>
      </c>
      <c r="T412" t="s">
        <v>1211</v>
      </c>
      <c r="U412" t="s">
        <v>126</v>
      </c>
    </row>
    <row r="413" spans="1:21" x14ac:dyDescent="0.25">
      <c r="A413" t="s">
        <v>118</v>
      </c>
      <c r="B413" t="s">
        <v>1212</v>
      </c>
      <c r="C413">
        <v>111803</v>
      </c>
      <c r="D413" t="s">
        <v>1213</v>
      </c>
      <c r="E413" t="s">
        <v>130</v>
      </c>
      <c r="F413" t="s">
        <v>76</v>
      </c>
      <c r="G413" t="s">
        <v>80</v>
      </c>
      <c r="H413" t="s">
        <v>77</v>
      </c>
      <c r="I413" t="s">
        <v>122</v>
      </c>
      <c r="J413" s="127">
        <v>45987.804166666669</v>
      </c>
      <c r="K413" s="127">
        <v>46022.54583333333</v>
      </c>
      <c r="L413" s="127">
        <v>46022</v>
      </c>
      <c r="M413" s="127">
        <v>46038.515972222223</v>
      </c>
      <c r="N413" t="s">
        <v>72</v>
      </c>
      <c r="O413" t="s">
        <v>122</v>
      </c>
      <c r="P413" t="s">
        <v>122</v>
      </c>
      <c r="Q413">
        <v>70310</v>
      </c>
      <c r="R413" t="s">
        <v>1209</v>
      </c>
      <c r="S413" t="s">
        <v>1210</v>
      </c>
      <c r="T413" t="s">
        <v>1211</v>
      </c>
      <c r="U413" t="s">
        <v>126</v>
      </c>
    </row>
    <row r="414" spans="1:21" x14ac:dyDescent="0.25">
      <c r="A414" t="s">
        <v>118</v>
      </c>
      <c r="B414" t="s">
        <v>1214</v>
      </c>
      <c r="C414">
        <v>111801</v>
      </c>
      <c r="D414" t="s">
        <v>1215</v>
      </c>
      <c r="E414" t="s">
        <v>130</v>
      </c>
      <c r="F414" t="s">
        <v>76</v>
      </c>
      <c r="G414" t="s">
        <v>80</v>
      </c>
      <c r="H414" t="s">
        <v>122</v>
      </c>
      <c r="I414" t="s">
        <v>122</v>
      </c>
      <c r="J414" s="127">
        <v>45987.791666666664</v>
      </c>
      <c r="K414" s="127">
        <v>46006.754861111112</v>
      </c>
      <c r="L414" s="127">
        <v>46006</v>
      </c>
      <c r="M414" s="127">
        <v>46027.772916666669</v>
      </c>
      <c r="N414" t="s">
        <v>72</v>
      </c>
      <c r="O414" t="s">
        <v>122</v>
      </c>
      <c r="P414" t="s">
        <v>122</v>
      </c>
      <c r="Q414">
        <v>70310</v>
      </c>
      <c r="R414" t="s">
        <v>1209</v>
      </c>
      <c r="S414" t="s">
        <v>1210</v>
      </c>
      <c r="T414" t="s">
        <v>471</v>
      </c>
      <c r="U414" t="s">
        <v>126</v>
      </c>
    </row>
    <row r="415" spans="1:21" x14ac:dyDescent="0.25">
      <c r="A415" t="s">
        <v>118</v>
      </c>
      <c r="B415" t="s">
        <v>1216</v>
      </c>
      <c r="C415">
        <v>109963</v>
      </c>
      <c r="D415" t="s">
        <v>1217</v>
      </c>
      <c r="E415" t="s">
        <v>130</v>
      </c>
      <c r="F415" t="s">
        <v>85</v>
      </c>
      <c r="G415" t="s">
        <v>85</v>
      </c>
      <c r="H415" t="s">
        <v>122</v>
      </c>
      <c r="I415" t="s">
        <v>122</v>
      </c>
      <c r="J415" s="127">
        <v>45986.386805555558</v>
      </c>
      <c r="K415" s="127">
        <v>46014.74722222222</v>
      </c>
      <c r="L415" s="127">
        <v>46014</v>
      </c>
      <c r="M415" s="127">
        <v>46014.625</v>
      </c>
      <c r="N415" t="s">
        <v>72</v>
      </c>
      <c r="O415" t="s">
        <v>122</v>
      </c>
      <c r="P415" t="s">
        <v>122</v>
      </c>
      <c r="Q415">
        <v>70181</v>
      </c>
      <c r="R415" t="s">
        <v>1218</v>
      </c>
      <c r="S415" t="s">
        <v>1219</v>
      </c>
      <c r="T415" t="s">
        <v>862</v>
      </c>
      <c r="U415" t="s">
        <v>126</v>
      </c>
    </row>
    <row r="416" spans="1:21" x14ac:dyDescent="0.25">
      <c r="A416" t="s">
        <v>118</v>
      </c>
      <c r="B416" t="s">
        <v>1220</v>
      </c>
      <c r="C416">
        <v>108360</v>
      </c>
      <c r="D416" t="s">
        <v>1221</v>
      </c>
      <c r="E416" t="s">
        <v>130</v>
      </c>
      <c r="F416" t="s">
        <v>90</v>
      </c>
      <c r="G416" t="s">
        <v>80</v>
      </c>
      <c r="H416" t="s">
        <v>122</v>
      </c>
      <c r="I416" t="s">
        <v>122</v>
      </c>
      <c r="J416" s="127">
        <v>45985.612500000003</v>
      </c>
      <c r="K416" s="127">
        <v>45989.523611111108</v>
      </c>
      <c r="L416" s="127">
        <v>45989.523611111108</v>
      </c>
      <c r="M416" s="127">
        <v>46001.40625</v>
      </c>
      <c r="N416" t="s">
        <v>78</v>
      </c>
      <c r="O416" t="s">
        <v>122</v>
      </c>
      <c r="P416" t="s">
        <v>122</v>
      </c>
      <c r="Q416">
        <v>99226</v>
      </c>
      <c r="R416" t="s">
        <v>847</v>
      </c>
      <c r="S416" t="s">
        <v>848</v>
      </c>
      <c r="T416" t="s">
        <v>471</v>
      </c>
      <c r="U416" t="s">
        <v>462</v>
      </c>
    </row>
    <row r="417" spans="1:21" x14ac:dyDescent="0.25">
      <c r="A417" t="s">
        <v>118</v>
      </c>
      <c r="B417" t="s">
        <v>1222</v>
      </c>
      <c r="C417">
        <v>108183</v>
      </c>
      <c r="D417" t="s">
        <v>1223</v>
      </c>
      <c r="E417" t="s">
        <v>223</v>
      </c>
      <c r="F417" t="s">
        <v>82</v>
      </c>
      <c r="G417" t="s">
        <v>80</v>
      </c>
      <c r="H417" t="s">
        <v>122</v>
      </c>
      <c r="I417" t="s">
        <v>122</v>
      </c>
      <c r="J417" s="127">
        <v>45985.393055555556</v>
      </c>
      <c r="K417" s="127"/>
      <c r="L417" s="127"/>
      <c r="M417" s="127">
        <v>46006.470833333333</v>
      </c>
      <c r="N417" t="s">
        <v>72</v>
      </c>
      <c r="O417" t="s">
        <v>122</v>
      </c>
      <c r="P417" t="s">
        <v>122</v>
      </c>
      <c r="Q417">
        <v>70295</v>
      </c>
      <c r="R417" t="s">
        <v>1104</v>
      </c>
      <c r="S417" t="s">
        <v>1105</v>
      </c>
      <c r="T417" t="s">
        <v>471</v>
      </c>
      <c r="U417" t="s">
        <v>126</v>
      </c>
    </row>
    <row r="418" spans="1:21" x14ac:dyDescent="0.25">
      <c r="A418" t="s">
        <v>127</v>
      </c>
      <c r="B418" t="s">
        <v>1224</v>
      </c>
      <c r="C418">
        <v>106702</v>
      </c>
      <c r="D418" t="s">
        <v>1225</v>
      </c>
      <c r="E418" t="s">
        <v>130</v>
      </c>
      <c r="F418" t="s">
        <v>453</v>
      </c>
      <c r="G418" t="s">
        <v>80</v>
      </c>
      <c r="H418" t="s">
        <v>122</v>
      </c>
      <c r="I418" t="s">
        <v>122</v>
      </c>
      <c r="J418" s="127">
        <v>45982.688888888886</v>
      </c>
      <c r="K418" s="127">
        <v>45989.711805555555</v>
      </c>
      <c r="L418" s="127">
        <v>46014</v>
      </c>
      <c r="M418" s="127">
        <v>46071.628472222219</v>
      </c>
      <c r="N418" t="s">
        <v>78</v>
      </c>
      <c r="O418" t="s">
        <v>122</v>
      </c>
      <c r="P418" t="s">
        <v>122</v>
      </c>
      <c r="Q418">
        <v>150124</v>
      </c>
      <c r="R418" t="s">
        <v>1226</v>
      </c>
      <c r="S418" t="s">
        <v>1227</v>
      </c>
      <c r="T418" t="s">
        <v>471</v>
      </c>
      <c r="U418" t="s">
        <v>462</v>
      </c>
    </row>
    <row r="419" spans="1:21" x14ac:dyDescent="0.25">
      <c r="A419" t="s">
        <v>118</v>
      </c>
      <c r="B419" t="s">
        <v>1228</v>
      </c>
      <c r="C419">
        <v>106647</v>
      </c>
      <c r="D419" t="s">
        <v>1191</v>
      </c>
      <c r="E419" t="s">
        <v>223</v>
      </c>
      <c r="F419" t="s">
        <v>122</v>
      </c>
      <c r="G419" t="s">
        <v>80</v>
      </c>
      <c r="H419" t="s">
        <v>122</v>
      </c>
      <c r="I419" t="s">
        <v>122</v>
      </c>
      <c r="J419" s="127">
        <v>45982.45</v>
      </c>
      <c r="K419" s="127"/>
      <c r="L419" s="127"/>
      <c r="M419" s="127">
        <v>45992.398611111108</v>
      </c>
      <c r="N419" t="s">
        <v>72</v>
      </c>
      <c r="O419" t="s">
        <v>122</v>
      </c>
      <c r="P419" t="s">
        <v>122</v>
      </c>
      <c r="Q419">
        <v>70295</v>
      </c>
      <c r="R419" t="s">
        <v>1104</v>
      </c>
      <c r="S419" t="s">
        <v>1105</v>
      </c>
      <c r="T419" t="s">
        <v>471</v>
      </c>
      <c r="U419" t="s">
        <v>126</v>
      </c>
    </row>
    <row r="420" spans="1:21" x14ac:dyDescent="0.25">
      <c r="A420" t="s">
        <v>118</v>
      </c>
      <c r="B420" t="s">
        <v>1229</v>
      </c>
      <c r="C420">
        <v>106643</v>
      </c>
      <c r="D420" t="s">
        <v>1230</v>
      </c>
      <c r="E420" t="s">
        <v>130</v>
      </c>
      <c r="F420" t="s">
        <v>82</v>
      </c>
      <c r="G420" t="s">
        <v>80</v>
      </c>
      <c r="H420" t="s">
        <v>122</v>
      </c>
      <c r="I420" t="s">
        <v>122</v>
      </c>
      <c r="J420" s="127">
        <v>45982.4375</v>
      </c>
      <c r="K420" s="127">
        <v>45986.822222222225</v>
      </c>
      <c r="L420" s="127">
        <v>45986.822222222225</v>
      </c>
      <c r="M420" s="127">
        <v>46003.40902777778</v>
      </c>
      <c r="N420" t="s">
        <v>72</v>
      </c>
      <c r="O420" t="s">
        <v>122</v>
      </c>
      <c r="P420" t="s">
        <v>122</v>
      </c>
      <c r="Q420">
        <v>138972</v>
      </c>
      <c r="R420" t="s">
        <v>1108</v>
      </c>
      <c r="S420" t="s">
        <v>1109</v>
      </c>
      <c r="T420" t="s">
        <v>471</v>
      </c>
      <c r="U420" t="s">
        <v>126</v>
      </c>
    </row>
    <row r="421" spans="1:21" x14ac:dyDescent="0.25">
      <c r="A421" t="s">
        <v>118</v>
      </c>
      <c r="B421" t="s">
        <v>1231</v>
      </c>
      <c r="C421">
        <v>106641</v>
      </c>
      <c r="D421" t="s">
        <v>1232</v>
      </c>
      <c r="E421" t="s">
        <v>130</v>
      </c>
      <c r="F421" t="s">
        <v>82</v>
      </c>
      <c r="G421" t="s">
        <v>80</v>
      </c>
      <c r="H421" t="s">
        <v>122</v>
      </c>
      <c r="I421" t="s">
        <v>122</v>
      </c>
      <c r="J421" s="127">
        <v>45982.430555555555</v>
      </c>
      <c r="K421" s="127">
        <v>46000.646527777775</v>
      </c>
      <c r="L421" s="127">
        <v>46000</v>
      </c>
      <c r="M421" s="127">
        <v>46003.677777777775</v>
      </c>
      <c r="N421" t="s">
        <v>72</v>
      </c>
      <c r="O421" t="s">
        <v>122</v>
      </c>
      <c r="P421" t="s">
        <v>122</v>
      </c>
      <c r="Q421">
        <v>70295</v>
      </c>
      <c r="R421" t="s">
        <v>1104</v>
      </c>
      <c r="S421" t="s">
        <v>1105</v>
      </c>
      <c r="T421" t="s">
        <v>471</v>
      </c>
      <c r="U421" t="s">
        <v>126</v>
      </c>
    </row>
    <row r="422" spans="1:21" x14ac:dyDescent="0.25">
      <c r="A422" t="s">
        <v>127</v>
      </c>
      <c r="B422" t="s">
        <v>1233</v>
      </c>
      <c r="C422">
        <v>105087</v>
      </c>
      <c r="D422" t="s">
        <v>1234</v>
      </c>
      <c r="E422" t="s">
        <v>130</v>
      </c>
      <c r="F422" t="s">
        <v>82</v>
      </c>
      <c r="G422" t="s">
        <v>80</v>
      </c>
      <c r="H422" t="s">
        <v>122</v>
      </c>
      <c r="I422" t="s">
        <v>122</v>
      </c>
      <c r="J422" s="127">
        <v>45980.714583333334</v>
      </c>
      <c r="K422" s="127">
        <v>45980.90902777778</v>
      </c>
      <c r="L422" s="127">
        <v>45980.90902777778</v>
      </c>
      <c r="M422" s="127">
        <v>45988.375</v>
      </c>
      <c r="N422" t="s">
        <v>72</v>
      </c>
      <c r="O422" t="s">
        <v>122</v>
      </c>
      <c r="P422" t="s">
        <v>122</v>
      </c>
      <c r="Q422">
        <v>70209</v>
      </c>
      <c r="R422" t="s">
        <v>1235</v>
      </c>
      <c r="S422" t="s">
        <v>1236</v>
      </c>
      <c r="T422" t="s">
        <v>471</v>
      </c>
      <c r="U422" t="s">
        <v>126</v>
      </c>
    </row>
    <row r="423" spans="1:21" x14ac:dyDescent="0.25">
      <c r="A423" t="s">
        <v>118</v>
      </c>
      <c r="B423" t="s">
        <v>1237</v>
      </c>
      <c r="C423">
        <v>103256</v>
      </c>
      <c r="D423" t="s">
        <v>1238</v>
      </c>
      <c r="E423" t="s">
        <v>130</v>
      </c>
      <c r="F423" t="s">
        <v>79</v>
      </c>
      <c r="G423" t="s">
        <v>540</v>
      </c>
      <c r="H423" t="s">
        <v>122</v>
      </c>
      <c r="I423" t="s">
        <v>122</v>
      </c>
      <c r="J423" s="127">
        <v>45979.885416666664</v>
      </c>
      <c r="K423" s="127">
        <v>46002.59097222222</v>
      </c>
      <c r="L423" s="127">
        <v>46002</v>
      </c>
      <c r="M423" s="127">
        <v>46007.647916666669</v>
      </c>
      <c r="N423" t="s">
        <v>72</v>
      </c>
      <c r="O423" t="s">
        <v>122</v>
      </c>
      <c r="P423" t="s">
        <v>122</v>
      </c>
      <c r="Q423">
        <v>94144</v>
      </c>
      <c r="R423" t="s">
        <v>1146</v>
      </c>
      <c r="S423" t="s">
        <v>1147</v>
      </c>
      <c r="T423" t="s">
        <v>1018</v>
      </c>
      <c r="U423" t="s">
        <v>126</v>
      </c>
    </row>
    <row r="424" spans="1:21" x14ac:dyDescent="0.25">
      <c r="A424" t="s">
        <v>118</v>
      </c>
      <c r="B424" t="s">
        <v>1239</v>
      </c>
      <c r="C424">
        <v>103205</v>
      </c>
      <c r="D424" t="s">
        <v>1240</v>
      </c>
      <c r="E424" t="s">
        <v>508</v>
      </c>
      <c r="F424" t="s">
        <v>520</v>
      </c>
      <c r="G424" t="s">
        <v>74</v>
      </c>
      <c r="H424" t="s">
        <v>122</v>
      </c>
      <c r="I424" t="s">
        <v>122</v>
      </c>
      <c r="J424" s="127">
        <v>45979.770833333336</v>
      </c>
      <c r="K424" s="127">
        <v>45995.569444444445</v>
      </c>
      <c r="L424" s="127">
        <v>45995</v>
      </c>
      <c r="M424" s="127"/>
      <c r="N424" t="s">
        <v>78</v>
      </c>
      <c r="O424" t="s">
        <v>122</v>
      </c>
      <c r="P424" t="s">
        <v>122</v>
      </c>
      <c r="Q424">
        <v>103195</v>
      </c>
      <c r="R424" t="s">
        <v>1241</v>
      </c>
      <c r="S424" t="s">
        <v>1242</v>
      </c>
      <c r="T424" t="s">
        <v>476</v>
      </c>
      <c r="U424" t="s">
        <v>462</v>
      </c>
    </row>
    <row r="425" spans="1:21" x14ac:dyDescent="0.25">
      <c r="A425" t="s">
        <v>118</v>
      </c>
      <c r="B425" t="s">
        <v>1243</v>
      </c>
      <c r="C425">
        <v>103181</v>
      </c>
      <c r="D425" t="s">
        <v>1244</v>
      </c>
      <c r="E425" t="s">
        <v>130</v>
      </c>
      <c r="F425" t="s">
        <v>535</v>
      </c>
      <c r="G425" t="s">
        <v>74</v>
      </c>
      <c r="H425" t="s">
        <v>122</v>
      </c>
      <c r="I425" t="s">
        <v>122</v>
      </c>
      <c r="J425" s="127">
        <v>45979.710416666669</v>
      </c>
      <c r="K425" s="127">
        <v>46010.961805555555</v>
      </c>
      <c r="L425" s="127">
        <v>46011</v>
      </c>
      <c r="M425" s="127">
        <v>46017.606944444444</v>
      </c>
      <c r="N425" t="s">
        <v>72</v>
      </c>
      <c r="O425" t="s">
        <v>122</v>
      </c>
      <c r="P425" t="s">
        <v>122</v>
      </c>
      <c r="Q425">
        <v>70447</v>
      </c>
      <c r="R425" t="s">
        <v>1245</v>
      </c>
      <c r="S425" t="s">
        <v>1246</v>
      </c>
      <c r="T425" t="s">
        <v>476</v>
      </c>
      <c r="U425" t="s">
        <v>126</v>
      </c>
    </row>
    <row r="426" spans="1:21" x14ac:dyDescent="0.25">
      <c r="A426" t="s">
        <v>118</v>
      </c>
      <c r="B426" t="s">
        <v>1247</v>
      </c>
      <c r="C426">
        <v>103178</v>
      </c>
      <c r="D426" t="s">
        <v>1248</v>
      </c>
      <c r="E426" t="s">
        <v>130</v>
      </c>
      <c r="F426" t="s">
        <v>535</v>
      </c>
      <c r="G426" t="s">
        <v>74</v>
      </c>
      <c r="H426" t="s">
        <v>122</v>
      </c>
      <c r="I426" t="s">
        <v>122</v>
      </c>
      <c r="J426" s="127">
        <v>45979.701388888891</v>
      </c>
      <c r="K426" s="127">
        <v>46010.961805555555</v>
      </c>
      <c r="L426" s="127">
        <v>46011</v>
      </c>
      <c r="M426" s="127">
        <v>46017.445833333331</v>
      </c>
      <c r="N426" t="s">
        <v>72</v>
      </c>
      <c r="O426" t="s">
        <v>122</v>
      </c>
      <c r="P426" t="s">
        <v>122</v>
      </c>
      <c r="Q426">
        <v>70447</v>
      </c>
      <c r="R426" t="s">
        <v>1245</v>
      </c>
      <c r="S426" t="s">
        <v>1246</v>
      </c>
      <c r="T426" t="s">
        <v>476</v>
      </c>
      <c r="U426" t="s">
        <v>126</v>
      </c>
    </row>
    <row r="427" spans="1:21" x14ac:dyDescent="0.25">
      <c r="A427" t="s">
        <v>118</v>
      </c>
      <c r="B427" t="s">
        <v>1249</v>
      </c>
      <c r="C427">
        <v>103092</v>
      </c>
      <c r="D427" t="s">
        <v>1250</v>
      </c>
      <c r="E427" t="s">
        <v>379</v>
      </c>
      <c r="F427" t="s">
        <v>122</v>
      </c>
      <c r="G427" t="s">
        <v>85</v>
      </c>
      <c r="H427" t="s">
        <v>122</v>
      </c>
      <c r="I427" t="s">
        <v>122</v>
      </c>
      <c r="J427" s="127">
        <v>45979.436111111114</v>
      </c>
      <c r="K427" s="127"/>
      <c r="L427" s="127"/>
      <c r="M427" s="127"/>
      <c r="N427" t="s">
        <v>75</v>
      </c>
      <c r="O427" t="s">
        <v>122</v>
      </c>
      <c r="P427" t="s">
        <v>122</v>
      </c>
      <c r="Q427">
        <v>97543</v>
      </c>
      <c r="R427" t="s">
        <v>1251</v>
      </c>
      <c r="S427" t="s">
        <v>1252</v>
      </c>
      <c r="T427" t="s">
        <v>862</v>
      </c>
      <c r="U427" t="s">
        <v>137</v>
      </c>
    </row>
    <row r="428" spans="1:21" x14ac:dyDescent="0.25">
      <c r="A428" t="s">
        <v>127</v>
      </c>
      <c r="B428" t="s">
        <v>1253</v>
      </c>
      <c r="C428">
        <v>103083</v>
      </c>
      <c r="D428" t="s">
        <v>1254</v>
      </c>
      <c r="E428" t="s">
        <v>508</v>
      </c>
      <c r="F428" t="s">
        <v>520</v>
      </c>
      <c r="G428" t="s">
        <v>74</v>
      </c>
      <c r="H428" t="s">
        <v>122</v>
      </c>
      <c r="I428" t="s">
        <v>122</v>
      </c>
      <c r="J428" s="127">
        <v>45979.415277777778</v>
      </c>
      <c r="K428" s="127">
        <v>45994.759027777778</v>
      </c>
      <c r="L428" s="127">
        <v>45996</v>
      </c>
      <c r="M428" s="127"/>
      <c r="N428" t="s">
        <v>78</v>
      </c>
      <c r="O428" t="s">
        <v>122</v>
      </c>
      <c r="P428" t="s">
        <v>122</v>
      </c>
      <c r="Q428">
        <v>103195</v>
      </c>
      <c r="R428" t="s">
        <v>1241</v>
      </c>
      <c r="S428" t="s">
        <v>1242</v>
      </c>
      <c r="T428" t="s">
        <v>476</v>
      </c>
      <c r="U428" t="s">
        <v>462</v>
      </c>
    </row>
    <row r="429" spans="1:21" x14ac:dyDescent="0.25">
      <c r="A429" t="s">
        <v>118</v>
      </c>
      <c r="B429" t="s">
        <v>1255</v>
      </c>
      <c r="C429">
        <v>101331</v>
      </c>
      <c r="D429" t="s">
        <v>1256</v>
      </c>
      <c r="E429" t="s">
        <v>130</v>
      </c>
      <c r="F429" t="s">
        <v>79</v>
      </c>
      <c r="G429" t="s">
        <v>540</v>
      </c>
      <c r="H429" t="s">
        <v>122</v>
      </c>
      <c r="I429" t="s">
        <v>122</v>
      </c>
      <c r="J429" s="127">
        <v>45978.834027777775</v>
      </c>
      <c r="K429" s="127">
        <v>46002.592361111114</v>
      </c>
      <c r="L429" s="127">
        <v>46002</v>
      </c>
      <c r="M429" s="127">
        <v>46007.463888888888</v>
      </c>
      <c r="N429" t="s">
        <v>72</v>
      </c>
      <c r="O429" t="s">
        <v>122</v>
      </c>
      <c r="P429" t="s">
        <v>122</v>
      </c>
      <c r="Q429">
        <v>94147</v>
      </c>
      <c r="R429" t="s">
        <v>1257</v>
      </c>
      <c r="S429" t="s">
        <v>1258</v>
      </c>
      <c r="T429" t="s">
        <v>1018</v>
      </c>
      <c r="U429" t="s">
        <v>126</v>
      </c>
    </row>
    <row r="430" spans="1:21" x14ac:dyDescent="0.25">
      <c r="A430" t="s">
        <v>118</v>
      </c>
      <c r="B430" t="s">
        <v>1259</v>
      </c>
      <c r="C430">
        <v>101280</v>
      </c>
      <c r="D430" t="s">
        <v>1260</v>
      </c>
      <c r="E430" t="s">
        <v>130</v>
      </c>
      <c r="F430" t="s">
        <v>535</v>
      </c>
      <c r="G430" t="s">
        <v>80</v>
      </c>
      <c r="H430" t="s">
        <v>122</v>
      </c>
      <c r="I430" t="s">
        <v>122</v>
      </c>
      <c r="J430" s="127">
        <v>45978.743055555555</v>
      </c>
      <c r="K430" s="127">
        <v>46014.089583333334</v>
      </c>
      <c r="L430" s="127">
        <v>46020</v>
      </c>
      <c r="M430" s="127">
        <v>46024.45416666667</v>
      </c>
      <c r="N430" t="s">
        <v>72</v>
      </c>
      <c r="O430" t="s">
        <v>122</v>
      </c>
      <c r="P430" t="s">
        <v>122</v>
      </c>
      <c r="Q430">
        <v>70331</v>
      </c>
      <c r="R430" t="s">
        <v>1261</v>
      </c>
      <c r="S430" t="s">
        <v>1262</v>
      </c>
      <c r="T430" t="s">
        <v>471</v>
      </c>
      <c r="U430" t="s">
        <v>126</v>
      </c>
    </row>
    <row r="431" spans="1:21" x14ac:dyDescent="0.25">
      <c r="A431" t="s">
        <v>118</v>
      </c>
      <c r="B431" t="s">
        <v>1263</v>
      </c>
      <c r="C431">
        <v>101255</v>
      </c>
      <c r="D431" t="s">
        <v>1264</v>
      </c>
      <c r="E431" t="s">
        <v>422</v>
      </c>
      <c r="F431" t="s">
        <v>76</v>
      </c>
      <c r="G431" t="s">
        <v>77</v>
      </c>
      <c r="H431" t="s">
        <v>122</v>
      </c>
      <c r="I431" t="s">
        <v>122</v>
      </c>
      <c r="J431" s="127">
        <v>45978.647916666669</v>
      </c>
      <c r="K431" s="127"/>
      <c r="L431" s="127"/>
      <c r="M431" s="127"/>
      <c r="N431" t="s">
        <v>75</v>
      </c>
      <c r="O431" t="s">
        <v>122</v>
      </c>
      <c r="P431" t="s">
        <v>122</v>
      </c>
      <c r="Q431">
        <v>71175</v>
      </c>
      <c r="R431" t="s">
        <v>1265</v>
      </c>
      <c r="S431" t="s">
        <v>1266</v>
      </c>
      <c r="T431" t="s">
        <v>481</v>
      </c>
      <c r="U431" t="s">
        <v>137</v>
      </c>
    </row>
    <row r="432" spans="1:21" x14ac:dyDescent="0.25">
      <c r="A432" t="s">
        <v>118</v>
      </c>
      <c r="B432" t="s">
        <v>1267</v>
      </c>
      <c r="C432">
        <v>101253</v>
      </c>
      <c r="D432" t="s">
        <v>1268</v>
      </c>
      <c r="E432" t="s">
        <v>130</v>
      </c>
      <c r="F432" t="s">
        <v>82</v>
      </c>
      <c r="G432" t="s">
        <v>80</v>
      </c>
      <c r="H432" t="s">
        <v>122</v>
      </c>
      <c r="I432" t="s">
        <v>122</v>
      </c>
      <c r="J432" s="127">
        <v>45978.647916666669</v>
      </c>
      <c r="K432" s="127">
        <v>46010.961805555555</v>
      </c>
      <c r="L432" s="127">
        <v>46012</v>
      </c>
      <c r="M432" s="127">
        <v>46022.363888888889</v>
      </c>
      <c r="N432" t="s">
        <v>72</v>
      </c>
      <c r="O432" t="s">
        <v>122</v>
      </c>
      <c r="P432" t="s">
        <v>122</v>
      </c>
      <c r="Q432">
        <v>70328</v>
      </c>
      <c r="R432" t="s">
        <v>945</v>
      </c>
      <c r="S432" t="s">
        <v>946</v>
      </c>
      <c r="T432" t="s">
        <v>471</v>
      </c>
      <c r="U432" t="s">
        <v>126</v>
      </c>
    </row>
    <row r="433" spans="1:21" x14ac:dyDescent="0.25">
      <c r="A433" t="s">
        <v>118</v>
      </c>
      <c r="B433" t="s">
        <v>1269</v>
      </c>
      <c r="C433">
        <v>101251</v>
      </c>
      <c r="D433" t="s">
        <v>1270</v>
      </c>
      <c r="E433" t="s">
        <v>422</v>
      </c>
      <c r="F433" t="s">
        <v>76</v>
      </c>
      <c r="G433" t="s">
        <v>77</v>
      </c>
      <c r="H433" t="s">
        <v>122</v>
      </c>
      <c r="I433" t="s">
        <v>122</v>
      </c>
      <c r="J433" s="127">
        <v>45978.647916666669</v>
      </c>
      <c r="K433" s="127"/>
      <c r="L433" s="127"/>
      <c r="M433" s="127"/>
      <c r="N433" t="s">
        <v>75</v>
      </c>
      <c r="O433" t="s">
        <v>122</v>
      </c>
      <c r="P433" t="s">
        <v>122</v>
      </c>
      <c r="Q433">
        <v>71175</v>
      </c>
      <c r="R433" t="s">
        <v>1265</v>
      </c>
      <c r="S433" t="s">
        <v>1266</v>
      </c>
      <c r="T433" t="s">
        <v>481</v>
      </c>
      <c r="U433" t="s">
        <v>137</v>
      </c>
    </row>
    <row r="434" spans="1:21" x14ac:dyDescent="0.25">
      <c r="A434" t="s">
        <v>118</v>
      </c>
      <c r="B434" t="s">
        <v>1271</v>
      </c>
      <c r="C434">
        <v>101249</v>
      </c>
      <c r="D434" t="s">
        <v>1272</v>
      </c>
      <c r="E434" t="s">
        <v>422</v>
      </c>
      <c r="F434" t="s">
        <v>76</v>
      </c>
      <c r="G434" t="s">
        <v>77</v>
      </c>
      <c r="H434" t="s">
        <v>122</v>
      </c>
      <c r="I434" t="s">
        <v>122</v>
      </c>
      <c r="J434" s="127">
        <v>45978.647222222222</v>
      </c>
      <c r="K434" s="127"/>
      <c r="L434" s="127"/>
      <c r="M434" s="127"/>
      <c r="N434" t="s">
        <v>75</v>
      </c>
      <c r="O434" t="s">
        <v>122</v>
      </c>
      <c r="P434" t="s">
        <v>122</v>
      </c>
      <c r="Q434">
        <v>71175</v>
      </c>
      <c r="R434" t="s">
        <v>1265</v>
      </c>
      <c r="S434" t="s">
        <v>1266</v>
      </c>
      <c r="T434" t="s">
        <v>481</v>
      </c>
      <c r="U434" t="s">
        <v>137</v>
      </c>
    </row>
    <row r="435" spans="1:21" x14ac:dyDescent="0.25">
      <c r="A435" t="s">
        <v>118</v>
      </c>
      <c r="B435" t="s">
        <v>1273</v>
      </c>
      <c r="C435">
        <v>101247</v>
      </c>
      <c r="D435" t="s">
        <v>1274</v>
      </c>
      <c r="E435" t="s">
        <v>121</v>
      </c>
      <c r="F435" t="s">
        <v>76</v>
      </c>
      <c r="G435" t="s">
        <v>77</v>
      </c>
      <c r="H435" t="s">
        <v>122</v>
      </c>
      <c r="I435" t="s">
        <v>122</v>
      </c>
      <c r="J435" s="127">
        <v>45978.647222222222</v>
      </c>
      <c r="K435" s="127"/>
      <c r="L435" s="127"/>
      <c r="M435" s="127"/>
      <c r="N435" t="s">
        <v>75</v>
      </c>
      <c r="O435" t="s">
        <v>122</v>
      </c>
      <c r="P435" t="s">
        <v>122</v>
      </c>
      <c r="Q435">
        <v>71153</v>
      </c>
      <c r="R435" t="s">
        <v>1275</v>
      </c>
      <c r="S435" t="s">
        <v>1276</v>
      </c>
      <c r="T435" t="s">
        <v>481</v>
      </c>
      <c r="U435" t="s">
        <v>137</v>
      </c>
    </row>
    <row r="436" spans="1:21" x14ac:dyDescent="0.25">
      <c r="A436" t="s">
        <v>118</v>
      </c>
      <c r="B436" t="s">
        <v>1277</v>
      </c>
      <c r="C436">
        <v>101245</v>
      </c>
      <c r="D436" t="s">
        <v>1278</v>
      </c>
      <c r="E436" t="s">
        <v>121</v>
      </c>
      <c r="F436" t="s">
        <v>76</v>
      </c>
      <c r="G436" t="s">
        <v>77</v>
      </c>
      <c r="H436" t="s">
        <v>122</v>
      </c>
      <c r="I436" t="s">
        <v>122</v>
      </c>
      <c r="J436" s="127">
        <v>45978.646527777775</v>
      </c>
      <c r="K436" s="127"/>
      <c r="L436" s="127"/>
      <c r="M436" s="127"/>
      <c r="N436" t="s">
        <v>75</v>
      </c>
      <c r="O436" t="s">
        <v>122</v>
      </c>
      <c r="P436" t="s">
        <v>122</v>
      </c>
      <c r="Q436">
        <v>71153</v>
      </c>
      <c r="R436" t="s">
        <v>1275</v>
      </c>
      <c r="S436" t="s">
        <v>1276</v>
      </c>
      <c r="T436" t="s">
        <v>481</v>
      </c>
      <c r="U436" t="s">
        <v>137</v>
      </c>
    </row>
    <row r="437" spans="1:21" x14ac:dyDescent="0.25">
      <c r="A437" t="s">
        <v>118</v>
      </c>
      <c r="B437" t="s">
        <v>1279</v>
      </c>
      <c r="C437">
        <v>101243</v>
      </c>
      <c r="D437" t="s">
        <v>1280</v>
      </c>
      <c r="E437" t="s">
        <v>121</v>
      </c>
      <c r="F437" t="s">
        <v>76</v>
      </c>
      <c r="G437" t="s">
        <v>77</v>
      </c>
      <c r="H437" t="s">
        <v>122</v>
      </c>
      <c r="I437" t="s">
        <v>122</v>
      </c>
      <c r="J437" s="127">
        <v>45978.646527777775</v>
      </c>
      <c r="K437" s="127"/>
      <c r="L437" s="127"/>
      <c r="M437" s="127"/>
      <c r="N437" t="s">
        <v>75</v>
      </c>
      <c r="O437" t="s">
        <v>122</v>
      </c>
      <c r="P437" t="s">
        <v>122</v>
      </c>
      <c r="Q437">
        <v>71153</v>
      </c>
      <c r="R437" t="s">
        <v>1275</v>
      </c>
      <c r="S437" t="s">
        <v>1276</v>
      </c>
      <c r="T437" t="s">
        <v>481</v>
      </c>
      <c r="U437" t="s">
        <v>137</v>
      </c>
    </row>
    <row r="438" spans="1:21" x14ac:dyDescent="0.25">
      <c r="A438" t="s">
        <v>118</v>
      </c>
      <c r="B438" t="s">
        <v>1281</v>
      </c>
      <c r="C438">
        <v>101241</v>
      </c>
      <c r="D438" t="s">
        <v>1282</v>
      </c>
      <c r="E438" t="s">
        <v>121</v>
      </c>
      <c r="F438" t="s">
        <v>76</v>
      </c>
      <c r="G438" t="s">
        <v>77</v>
      </c>
      <c r="H438" t="s">
        <v>122</v>
      </c>
      <c r="I438" t="s">
        <v>122</v>
      </c>
      <c r="J438" s="127">
        <v>45978.646527777775</v>
      </c>
      <c r="K438" s="127"/>
      <c r="L438" s="127"/>
      <c r="M438" s="127"/>
      <c r="N438" t="s">
        <v>75</v>
      </c>
      <c r="O438" t="s">
        <v>122</v>
      </c>
      <c r="P438" t="s">
        <v>122</v>
      </c>
      <c r="Q438">
        <v>71153</v>
      </c>
      <c r="R438" t="s">
        <v>1275</v>
      </c>
      <c r="S438" t="s">
        <v>1276</v>
      </c>
      <c r="T438" t="s">
        <v>481</v>
      </c>
      <c r="U438" t="s">
        <v>137</v>
      </c>
    </row>
    <row r="439" spans="1:21" x14ac:dyDescent="0.25">
      <c r="A439" t="s">
        <v>118</v>
      </c>
      <c r="B439" t="s">
        <v>1283</v>
      </c>
      <c r="C439">
        <v>101239</v>
      </c>
      <c r="D439" t="s">
        <v>1284</v>
      </c>
      <c r="E439" t="s">
        <v>121</v>
      </c>
      <c r="F439" t="s">
        <v>76</v>
      </c>
      <c r="G439" t="s">
        <v>77</v>
      </c>
      <c r="H439" t="s">
        <v>122</v>
      </c>
      <c r="I439" t="s">
        <v>122</v>
      </c>
      <c r="J439" s="127">
        <v>45978.645833333336</v>
      </c>
      <c r="K439" s="127"/>
      <c r="L439" s="127"/>
      <c r="M439" s="127"/>
      <c r="N439" t="s">
        <v>75</v>
      </c>
      <c r="O439" t="s">
        <v>122</v>
      </c>
      <c r="P439" t="s">
        <v>122</v>
      </c>
      <c r="Q439">
        <v>71153</v>
      </c>
      <c r="R439" t="s">
        <v>1275</v>
      </c>
      <c r="S439" t="s">
        <v>1276</v>
      </c>
      <c r="T439" t="s">
        <v>481</v>
      </c>
      <c r="U439" t="s">
        <v>137</v>
      </c>
    </row>
    <row r="440" spans="1:21" x14ac:dyDescent="0.25">
      <c r="A440" t="s">
        <v>118</v>
      </c>
      <c r="B440" t="s">
        <v>1285</v>
      </c>
      <c r="C440">
        <v>101237</v>
      </c>
      <c r="D440" t="s">
        <v>1286</v>
      </c>
      <c r="E440" t="s">
        <v>130</v>
      </c>
      <c r="F440" t="s">
        <v>82</v>
      </c>
      <c r="G440" t="s">
        <v>80</v>
      </c>
      <c r="H440" t="s">
        <v>122</v>
      </c>
      <c r="I440" t="s">
        <v>122</v>
      </c>
      <c r="J440" s="127">
        <v>45978.645833333336</v>
      </c>
      <c r="K440" s="127">
        <v>46010.961805555555</v>
      </c>
      <c r="L440" s="127">
        <v>46011</v>
      </c>
      <c r="M440" s="127">
        <v>46021.676388888889</v>
      </c>
      <c r="N440" t="s">
        <v>72</v>
      </c>
      <c r="O440" t="s">
        <v>122</v>
      </c>
      <c r="P440" t="s">
        <v>122</v>
      </c>
      <c r="Q440">
        <v>70328</v>
      </c>
      <c r="R440" t="s">
        <v>945</v>
      </c>
      <c r="S440" t="s">
        <v>946</v>
      </c>
      <c r="T440" t="s">
        <v>471</v>
      </c>
      <c r="U440" t="s">
        <v>126</v>
      </c>
    </row>
    <row r="441" spans="1:21" x14ac:dyDescent="0.25">
      <c r="A441" t="s">
        <v>118</v>
      </c>
      <c r="B441" t="s">
        <v>1287</v>
      </c>
      <c r="C441">
        <v>101235</v>
      </c>
      <c r="D441" t="s">
        <v>1288</v>
      </c>
      <c r="E441" t="s">
        <v>422</v>
      </c>
      <c r="F441" t="s">
        <v>76</v>
      </c>
      <c r="G441" t="s">
        <v>77</v>
      </c>
      <c r="H441" t="s">
        <v>122</v>
      </c>
      <c r="I441" t="s">
        <v>122</v>
      </c>
      <c r="J441" s="127">
        <v>45978.645833333336</v>
      </c>
      <c r="K441" s="127"/>
      <c r="L441" s="127"/>
      <c r="M441" s="127"/>
      <c r="N441" t="s">
        <v>75</v>
      </c>
      <c r="O441" t="s">
        <v>122</v>
      </c>
      <c r="P441" t="s">
        <v>122</v>
      </c>
      <c r="Q441">
        <v>71146</v>
      </c>
      <c r="R441" t="s">
        <v>1289</v>
      </c>
      <c r="S441" t="s">
        <v>1290</v>
      </c>
      <c r="T441" t="s">
        <v>481</v>
      </c>
      <c r="U441" t="s">
        <v>137</v>
      </c>
    </row>
    <row r="442" spans="1:21" x14ac:dyDescent="0.25">
      <c r="A442" t="s">
        <v>118</v>
      </c>
      <c r="B442" t="s">
        <v>1291</v>
      </c>
      <c r="C442">
        <v>101233</v>
      </c>
      <c r="D442" t="s">
        <v>1292</v>
      </c>
      <c r="E442" t="s">
        <v>422</v>
      </c>
      <c r="F442" t="s">
        <v>76</v>
      </c>
      <c r="G442" t="s">
        <v>77</v>
      </c>
      <c r="H442" t="s">
        <v>122</v>
      </c>
      <c r="I442" t="s">
        <v>122</v>
      </c>
      <c r="J442" s="127">
        <v>45978.645833333336</v>
      </c>
      <c r="K442" s="127"/>
      <c r="L442" s="127"/>
      <c r="M442" s="127"/>
      <c r="N442" t="s">
        <v>75</v>
      </c>
      <c r="O442" t="s">
        <v>122</v>
      </c>
      <c r="P442" t="s">
        <v>122</v>
      </c>
      <c r="Q442">
        <v>71146</v>
      </c>
      <c r="R442" t="s">
        <v>1289</v>
      </c>
      <c r="S442" t="s">
        <v>1290</v>
      </c>
      <c r="T442" t="s">
        <v>481</v>
      </c>
      <c r="U442" t="s">
        <v>137</v>
      </c>
    </row>
    <row r="443" spans="1:21" x14ac:dyDescent="0.25">
      <c r="A443" t="s">
        <v>118</v>
      </c>
      <c r="B443" t="s">
        <v>1293</v>
      </c>
      <c r="C443">
        <v>101231</v>
      </c>
      <c r="D443" t="s">
        <v>1294</v>
      </c>
      <c r="E443" t="s">
        <v>422</v>
      </c>
      <c r="F443" t="s">
        <v>76</v>
      </c>
      <c r="G443" t="s">
        <v>77</v>
      </c>
      <c r="H443" t="s">
        <v>122</v>
      </c>
      <c r="I443" t="s">
        <v>122</v>
      </c>
      <c r="J443" s="127">
        <v>45978.645138888889</v>
      </c>
      <c r="K443" s="127"/>
      <c r="L443" s="127"/>
      <c r="M443" s="127"/>
      <c r="N443" t="s">
        <v>75</v>
      </c>
      <c r="O443" t="s">
        <v>122</v>
      </c>
      <c r="P443" t="s">
        <v>122</v>
      </c>
      <c r="Q443">
        <v>70416</v>
      </c>
      <c r="R443" t="s">
        <v>479</v>
      </c>
      <c r="S443" t="s">
        <v>480</v>
      </c>
      <c r="T443" t="s">
        <v>481</v>
      </c>
      <c r="U443" t="s">
        <v>137</v>
      </c>
    </row>
    <row r="444" spans="1:21" x14ac:dyDescent="0.25">
      <c r="A444" t="s">
        <v>118</v>
      </c>
      <c r="B444" t="s">
        <v>1295</v>
      </c>
      <c r="C444">
        <v>101225</v>
      </c>
      <c r="D444" t="s">
        <v>1296</v>
      </c>
      <c r="E444" t="s">
        <v>422</v>
      </c>
      <c r="F444" t="s">
        <v>76</v>
      </c>
      <c r="G444" t="s">
        <v>77</v>
      </c>
      <c r="H444" t="s">
        <v>122</v>
      </c>
      <c r="I444" t="s">
        <v>122</v>
      </c>
      <c r="J444" s="127">
        <v>45978.644444444442</v>
      </c>
      <c r="K444" s="127"/>
      <c r="L444" s="127"/>
      <c r="M444" s="127"/>
      <c r="N444" t="s">
        <v>75</v>
      </c>
      <c r="O444" t="s">
        <v>122</v>
      </c>
      <c r="P444" t="s">
        <v>122</v>
      </c>
      <c r="Q444">
        <v>70416</v>
      </c>
      <c r="R444" t="s">
        <v>479</v>
      </c>
      <c r="S444" t="s">
        <v>480</v>
      </c>
      <c r="T444" t="s">
        <v>481</v>
      </c>
      <c r="U444" t="s">
        <v>137</v>
      </c>
    </row>
    <row r="445" spans="1:21" x14ac:dyDescent="0.25">
      <c r="A445" t="s">
        <v>118</v>
      </c>
      <c r="B445" t="s">
        <v>1297</v>
      </c>
      <c r="C445">
        <v>101223</v>
      </c>
      <c r="D445" t="s">
        <v>1298</v>
      </c>
      <c r="E445" t="s">
        <v>422</v>
      </c>
      <c r="F445" t="s">
        <v>76</v>
      </c>
      <c r="G445" t="s">
        <v>77</v>
      </c>
      <c r="H445" t="s">
        <v>122</v>
      </c>
      <c r="I445" t="s">
        <v>122</v>
      </c>
      <c r="J445" s="127">
        <v>45978.644444444442</v>
      </c>
      <c r="K445" s="127"/>
      <c r="L445" s="127"/>
      <c r="M445" s="127"/>
      <c r="N445" t="s">
        <v>75</v>
      </c>
      <c r="O445" t="s">
        <v>122</v>
      </c>
      <c r="P445" t="s">
        <v>122</v>
      </c>
      <c r="Q445">
        <v>70416</v>
      </c>
      <c r="R445" t="s">
        <v>479</v>
      </c>
      <c r="S445" t="s">
        <v>480</v>
      </c>
      <c r="T445" t="s">
        <v>481</v>
      </c>
      <c r="U445" t="s">
        <v>137</v>
      </c>
    </row>
    <row r="446" spans="1:21" x14ac:dyDescent="0.25">
      <c r="A446" t="s">
        <v>118</v>
      </c>
      <c r="B446" t="s">
        <v>1299</v>
      </c>
      <c r="C446">
        <v>101221</v>
      </c>
      <c r="D446" t="s">
        <v>1300</v>
      </c>
      <c r="E446" t="s">
        <v>422</v>
      </c>
      <c r="F446" t="s">
        <v>76</v>
      </c>
      <c r="G446" t="s">
        <v>77</v>
      </c>
      <c r="H446" t="s">
        <v>122</v>
      </c>
      <c r="I446" t="s">
        <v>122</v>
      </c>
      <c r="J446" s="127">
        <v>45978.643750000003</v>
      </c>
      <c r="K446" s="127"/>
      <c r="L446" s="127"/>
      <c r="M446" s="127"/>
      <c r="N446" t="s">
        <v>75</v>
      </c>
      <c r="O446" t="s">
        <v>122</v>
      </c>
      <c r="P446" t="s">
        <v>122</v>
      </c>
      <c r="Q446">
        <v>70416</v>
      </c>
      <c r="R446" t="s">
        <v>479</v>
      </c>
      <c r="S446" t="s">
        <v>480</v>
      </c>
      <c r="T446" t="s">
        <v>481</v>
      </c>
      <c r="U446" t="s">
        <v>137</v>
      </c>
    </row>
    <row r="447" spans="1:21" x14ac:dyDescent="0.25">
      <c r="A447" t="s">
        <v>118</v>
      </c>
      <c r="B447" t="s">
        <v>1301</v>
      </c>
      <c r="C447">
        <v>101219</v>
      </c>
      <c r="D447" t="s">
        <v>1302</v>
      </c>
      <c r="E447" t="s">
        <v>422</v>
      </c>
      <c r="F447" t="s">
        <v>76</v>
      </c>
      <c r="G447" t="s">
        <v>77</v>
      </c>
      <c r="H447" t="s">
        <v>122</v>
      </c>
      <c r="I447" t="s">
        <v>122</v>
      </c>
      <c r="J447" s="127">
        <v>45978.643750000003</v>
      </c>
      <c r="K447" s="127"/>
      <c r="L447" s="127"/>
      <c r="M447" s="127"/>
      <c r="N447" t="s">
        <v>75</v>
      </c>
      <c r="O447" t="s">
        <v>122</v>
      </c>
      <c r="P447" t="s">
        <v>122</v>
      </c>
      <c r="Q447">
        <v>70416</v>
      </c>
      <c r="R447" t="s">
        <v>479</v>
      </c>
      <c r="S447" t="s">
        <v>480</v>
      </c>
      <c r="T447" t="s">
        <v>481</v>
      </c>
      <c r="U447" t="s">
        <v>137</v>
      </c>
    </row>
    <row r="448" spans="1:21" x14ac:dyDescent="0.25">
      <c r="A448" t="s">
        <v>118</v>
      </c>
      <c r="B448" t="s">
        <v>1303</v>
      </c>
      <c r="C448">
        <v>101217</v>
      </c>
      <c r="D448" t="s">
        <v>1304</v>
      </c>
      <c r="E448" t="s">
        <v>422</v>
      </c>
      <c r="F448" t="s">
        <v>76</v>
      </c>
      <c r="G448" t="s">
        <v>77</v>
      </c>
      <c r="H448" t="s">
        <v>122</v>
      </c>
      <c r="I448" t="s">
        <v>122</v>
      </c>
      <c r="J448" s="127">
        <v>45978.643750000003</v>
      </c>
      <c r="K448" s="127"/>
      <c r="L448" s="127"/>
      <c r="M448" s="127"/>
      <c r="N448" t="s">
        <v>75</v>
      </c>
      <c r="O448" t="s">
        <v>122</v>
      </c>
      <c r="P448" t="s">
        <v>122</v>
      </c>
      <c r="Q448">
        <v>70416</v>
      </c>
      <c r="R448" t="s">
        <v>479</v>
      </c>
      <c r="S448" t="s">
        <v>480</v>
      </c>
      <c r="T448" t="s">
        <v>481</v>
      </c>
      <c r="U448" t="s">
        <v>137</v>
      </c>
    </row>
    <row r="449" spans="1:21" x14ac:dyDescent="0.25">
      <c r="A449" t="s">
        <v>118</v>
      </c>
      <c r="B449" t="s">
        <v>1305</v>
      </c>
      <c r="C449">
        <v>101208</v>
      </c>
      <c r="D449" t="s">
        <v>1306</v>
      </c>
      <c r="E449" t="s">
        <v>130</v>
      </c>
      <c r="F449" t="s">
        <v>76</v>
      </c>
      <c r="G449" t="s">
        <v>77</v>
      </c>
      <c r="H449" t="s">
        <v>122</v>
      </c>
      <c r="I449" t="s">
        <v>122</v>
      </c>
      <c r="J449" s="127">
        <v>45978.64166666667</v>
      </c>
      <c r="K449" s="127">
        <v>46062.554166666669</v>
      </c>
      <c r="L449" s="127">
        <v>46064</v>
      </c>
      <c r="M449" s="127">
        <v>46073.690972222219</v>
      </c>
      <c r="N449" t="s">
        <v>75</v>
      </c>
      <c r="O449" t="s">
        <v>122</v>
      </c>
      <c r="P449" t="s">
        <v>122</v>
      </c>
      <c r="Q449">
        <v>70414</v>
      </c>
      <c r="R449" t="s">
        <v>949</v>
      </c>
      <c r="S449" t="s">
        <v>950</v>
      </c>
      <c r="T449" t="s">
        <v>481</v>
      </c>
      <c r="U449" t="s">
        <v>137</v>
      </c>
    </row>
    <row r="450" spans="1:21" x14ac:dyDescent="0.25">
      <c r="A450" t="s">
        <v>118</v>
      </c>
      <c r="B450" t="s">
        <v>1307</v>
      </c>
      <c r="C450">
        <v>101205</v>
      </c>
      <c r="D450" t="s">
        <v>1308</v>
      </c>
      <c r="E450" t="s">
        <v>130</v>
      </c>
      <c r="F450" t="s">
        <v>76</v>
      </c>
      <c r="G450" t="s">
        <v>77</v>
      </c>
      <c r="H450" t="s">
        <v>122</v>
      </c>
      <c r="I450" t="s">
        <v>122</v>
      </c>
      <c r="J450" s="127">
        <v>45978.64166666667</v>
      </c>
      <c r="K450" s="127">
        <v>46062.554166666669</v>
      </c>
      <c r="L450" s="127">
        <v>46063</v>
      </c>
      <c r="M450" s="127">
        <v>46073.690972222219</v>
      </c>
      <c r="N450" t="s">
        <v>75</v>
      </c>
      <c r="O450" t="s">
        <v>122</v>
      </c>
      <c r="P450" t="s">
        <v>122</v>
      </c>
      <c r="Q450">
        <v>70414</v>
      </c>
      <c r="R450" t="s">
        <v>949</v>
      </c>
      <c r="S450" t="s">
        <v>950</v>
      </c>
      <c r="T450" t="s">
        <v>481</v>
      </c>
      <c r="U450" t="s">
        <v>137</v>
      </c>
    </row>
    <row r="451" spans="1:21" x14ac:dyDescent="0.25">
      <c r="A451" t="s">
        <v>118</v>
      </c>
      <c r="B451" t="s">
        <v>1309</v>
      </c>
      <c r="C451">
        <v>101203</v>
      </c>
      <c r="D451" t="s">
        <v>1310</v>
      </c>
      <c r="E451" t="s">
        <v>130</v>
      </c>
      <c r="F451" t="s">
        <v>76</v>
      </c>
      <c r="G451" t="s">
        <v>77</v>
      </c>
      <c r="H451" t="s">
        <v>122</v>
      </c>
      <c r="I451" t="s">
        <v>122</v>
      </c>
      <c r="J451" s="127">
        <v>45978.640972222223</v>
      </c>
      <c r="K451" s="127">
        <v>46055.54583333333</v>
      </c>
      <c r="L451" s="127">
        <v>46056</v>
      </c>
      <c r="M451" s="127">
        <v>46063.578472222223</v>
      </c>
      <c r="N451" t="s">
        <v>75</v>
      </c>
      <c r="O451" t="s">
        <v>122</v>
      </c>
      <c r="P451" t="s">
        <v>122</v>
      </c>
      <c r="Q451">
        <v>70414</v>
      </c>
      <c r="R451" t="s">
        <v>949</v>
      </c>
      <c r="S451" t="s">
        <v>950</v>
      </c>
      <c r="T451" t="s">
        <v>481</v>
      </c>
      <c r="U451" t="s">
        <v>137</v>
      </c>
    </row>
    <row r="452" spans="1:21" x14ac:dyDescent="0.25">
      <c r="A452" t="s">
        <v>118</v>
      </c>
      <c r="B452" t="s">
        <v>1311</v>
      </c>
      <c r="C452">
        <v>101201</v>
      </c>
      <c r="D452" t="s">
        <v>1312</v>
      </c>
      <c r="E452" t="s">
        <v>130</v>
      </c>
      <c r="F452" t="s">
        <v>76</v>
      </c>
      <c r="G452" t="s">
        <v>77</v>
      </c>
      <c r="H452" t="s">
        <v>122</v>
      </c>
      <c r="I452" t="s">
        <v>122</v>
      </c>
      <c r="J452" s="127">
        <v>45978.640972222223</v>
      </c>
      <c r="K452" s="127">
        <v>45992.55</v>
      </c>
      <c r="L452" s="127">
        <v>45994</v>
      </c>
      <c r="M452" s="127">
        <v>46003.443749999999</v>
      </c>
      <c r="N452" t="s">
        <v>75</v>
      </c>
      <c r="O452" t="s">
        <v>122</v>
      </c>
      <c r="P452" t="s">
        <v>122</v>
      </c>
      <c r="Q452">
        <v>70414</v>
      </c>
      <c r="R452" t="s">
        <v>949</v>
      </c>
      <c r="S452" t="s">
        <v>950</v>
      </c>
      <c r="T452" t="s">
        <v>481</v>
      </c>
      <c r="U452" t="s">
        <v>137</v>
      </c>
    </row>
    <row r="453" spans="1:21" x14ac:dyDescent="0.25">
      <c r="A453" t="s">
        <v>118</v>
      </c>
      <c r="B453" t="s">
        <v>1313</v>
      </c>
      <c r="C453">
        <v>101195</v>
      </c>
      <c r="D453" t="s">
        <v>1314</v>
      </c>
      <c r="E453" t="s">
        <v>130</v>
      </c>
      <c r="F453" t="s">
        <v>76</v>
      </c>
      <c r="G453" t="s">
        <v>77</v>
      </c>
      <c r="H453" t="s">
        <v>122</v>
      </c>
      <c r="I453" t="s">
        <v>122</v>
      </c>
      <c r="J453" s="127">
        <v>45978.640277777777</v>
      </c>
      <c r="K453" s="127">
        <v>45992.55</v>
      </c>
      <c r="L453" s="127">
        <v>45994</v>
      </c>
      <c r="M453" s="127">
        <v>46001.447222222225</v>
      </c>
      <c r="N453" t="s">
        <v>75</v>
      </c>
      <c r="O453" t="s">
        <v>122</v>
      </c>
      <c r="P453" t="s">
        <v>122</v>
      </c>
      <c r="Q453">
        <v>70414</v>
      </c>
      <c r="R453" t="s">
        <v>949</v>
      </c>
      <c r="S453" t="s">
        <v>950</v>
      </c>
      <c r="T453" t="s">
        <v>481</v>
      </c>
      <c r="U453" t="s">
        <v>137</v>
      </c>
    </row>
    <row r="454" spans="1:21" x14ac:dyDescent="0.25">
      <c r="A454" t="s">
        <v>118</v>
      </c>
      <c r="B454" t="s">
        <v>1315</v>
      </c>
      <c r="C454">
        <v>101193</v>
      </c>
      <c r="D454" t="s">
        <v>1316</v>
      </c>
      <c r="E454" t="s">
        <v>130</v>
      </c>
      <c r="F454" t="s">
        <v>76</v>
      </c>
      <c r="G454" t="s">
        <v>77</v>
      </c>
      <c r="H454" t="s">
        <v>122</v>
      </c>
      <c r="I454" t="s">
        <v>122</v>
      </c>
      <c r="J454" s="127">
        <v>45978.640277777777</v>
      </c>
      <c r="K454" s="127">
        <v>46062.554166666669</v>
      </c>
      <c r="L454" s="127">
        <v>46063</v>
      </c>
      <c r="M454" s="127">
        <v>46072.354166666664</v>
      </c>
      <c r="N454" t="s">
        <v>75</v>
      </c>
      <c r="O454" t="s">
        <v>122</v>
      </c>
      <c r="P454" t="s">
        <v>122</v>
      </c>
      <c r="Q454">
        <v>70414</v>
      </c>
      <c r="R454" t="s">
        <v>949</v>
      </c>
      <c r="S454" t="s">
        <v>950</v>
      </c>
      <c r="T454" t="s">
        <v>481</v>
      </c>
      <c r="U454" t="s">
        <v>137</v>
      </c>
    </row>
    <row r="455" spans="1:21" x14ac:dyDescent="0.25">
      <c r="A455" t="s">
        <v>118</v>
      </c>
      <c r="B455" t="s">
        <v>1317</v>
      </c>
      <c r="C455">
        <v>101191</v>
      </c>
      <c r="D455" t="s">
        <v>1318</v>
      </c>
      <c r="E455" t="s">
        <v>130</v>
      </c>
      <c r="F455" t="s">
        <v>76</v>
      </c>
      <c r="G455" t="s">
        <v>77</v>
      </c>
      <c r="H455" t="s">
        <v>122</v>
      </c>
      <c r="I455" t="s">
        <v>122</v>
      </c>
      <c r="J455" s="127">
        <v>45978.63958333333</v>
      </c>
      <c r="K455" s="127">
        <v>46092.566666666666</v>
      </c>
      <c r="L455" s="127">
        <v>46092</v>
      </c>
      <c r="M455" s="127">
        <v>46099.768055555556</v>
      </c>
      <c r="N455" t="s">
        <v>75</v>
      </c>
      <c r="O455" t="s">
        <v>122</v>
      </c>
      <c r="P455" t="s">
        <v>122</v>
      </c>
      <c r="Q455">
        <v>70413</v>
      </c>
      <c r="R455" t="s">
        <v>1319</v>
      </c>
      <c r="S455" t="s">
        <v>1320</v>
      </c>
      <c r="T455" t="s">
        <v>481</v>
      </c>
      <c r="U455" t="s">
        <v>137</v>
      </c>
    </row>
    <row r="456" spans="1:21" x14ac:dyDescent="0.25">
      <c r="A456" t="s">
        <v>118</v>
      </c>
      <c r="B456" t="s">
        <v>1321</v>
      </c>
      <c r="C456">
        <v>101189</v>
      </c>
      <c r="D456" t="s">
        <v>1322</v>
      </c>
      <c r="E456" t="s">
        <v>130</v>
      </c>
      <c r="F456" t="s">
        <v>76</v>
      </c>
      <c r="G456" t="s">
        <v>77</v>
      </c>
      <c r="H456" t="s">
        <v>122</v>
      </c>
      <c r="I456" t="s">
        <v>122</v>
      </c>
      <c r="J456" s="127">
        <v>45978.63958333333</v>
      </c>
      <c r="K456" s="127">
        <v>46090.551388888889</v>
      </c>
      <c r="L456" s="127">
        <v>46090.698611111111</v>
      </c>
      <c r="M456" s="127">
        <v>46100.636111111111</v>
      </c>
      <c r="N456" t="s">
        <v>75</v>
      </c>
      <c r="O456" t="s">
        <v>122</v>
      </c>
      <c r="P456" t="s">
        <v>122</v>
      </c>
      <c r="Q456">
        <v>70413</v>
      </c>
      <c r="R456" t="s">
        <v>1319</v>
      </c>
      <c r="S456" t="s">
        <v>1320</v>
      </c>
      <c r="T456" t="s">
        <v>481</v>
      </c>
      <c r="U456" t="s">
        <v>137</v>
      </c>
    </row>
    <row r="457" spans="1:21" x14ac:dyDescent="0.25">
      <c r="A457" t="s">
        <v>118</v>
      </c>
      <c r="B457" t="s">
        <v>1323</v>
      </c>
      <c r="C457">
        <v>101187</v>
      </c>
      <c r="D457" t="s">
        <v>1324</v>
      </c>
      <c r="E457" t="s">
        <v>130</v>
      </c>
      <c r="F457" t="s">
        <v>76</v>
      </c>
      <c r="G457" t="s">
        <v>77</v>
      </c>
      <c r="H457" t="s">
        <v>122</v>
      </c>
      <c r="I457" t="s">
        <v>122</v>
      </c>
      <c r="J457" s="127">
        <v>45978.638888888891</v>
      </c>
      <c r="K457" s="127">
        <v>46076.54791666667</v>
      </c>
      <c r="L457" s="127">
        <v>46077</v>
      </c>
      <c r="M457" s="127">
        <v>46099.76666666667</v>
      </c>
      <c r="N457" t="s">
        <v>75</v>
      </c>
      <c r="O457" t="s">
        <v>122</v>
      </c>
      <c r="P457" t="s">
        <v>122</v>
      </c>
      <c r="Q457">
        <v>70413</v>
      </c>
      <c r="R457" t="s">
        <v>1319</v>
      </c>
      <c r="S457" t="s">
        <v>1320</v>
      </c>
      <c r="T457" t="s">
        <v>481</v>
      </c>
      <c r="U457" t="s">
        <v>137</v>
      </c>
    </row>
    <row r="458" spans="1:21" x14ac:dyDescent="0.25">
      <c r="A458" t="s">
        <v>118</v>
      </c>
      <c r="B458" t="s">
        <v>1325</v>
      </c>
      <c r="C458">
        <v>101185</v>
      </c>
      <c r="D458" t="s">
        <v>1326</v>
      </c>
      <c r="E458" t="s">
        <v>130</v>
      </c>
      <c r="F458" t="s">
        <v>76</v>
      </c>
      <c r="G458" t="s">
        <v>77</v>
      </c>
      <c r="H458" t="s">
        <v>122</v>
      </c>
      <c r="I458" t="s">
        <v>122</v>
      </c>
      <c r="J458" s="127">
        <v>45978.638888888891</v>
      </c>
      <c r="K458" s="127">
        <v>46084.575694444444</v>
      </c>
      <c r="L458" s="127">
        <v>46085</v>
      </c>
      <c r="M458" s="127">
        <v>46099.765277777777</v>
      </c>
      <c r="N458" t="s">
        <v>75</v>
      </c>
      <c r="O458" t="s">
        <v>122</v>
      </c>
      <c r="P458" t="s">
        <v>122</v>
      </c>
      <c r="Q458">
        <v>70413</v>
      </c>
      <c r="R458" t="s">
        <v>1319</v>
      </c>
      <c r="S458" t="s">
        <v>1320</v>
      </c>
      <c r="T458" t="s">
        <v>481</v>
      </c>
      <c r="U458" t="s">
        <v>137</v>
      </c>
    </row>
    <row r="459" spans="1:21" x14ac:dyDescent="0.25">
      <c r="A459" t="s">
        <v>118</v>
      </c>
      <c r="B459" t="s">
        <v>1327</v>
      </c>
      <c r="C459">
        <v>101177</v>
      </c>
      <c r="D459" t="s">
        <v>1328</v>
      </c>
      <c r="E459" t="s">
        <v>266</v>
      </c>
      <c r="F459" t="s">
        <v>76</v>
      </c>
      <c r="G459" t="s">
        <v>77</v>
      </c>
      <c r="H459" t="s">
        <v>122</v>
      </c>
      <c r="I459" t="s">
        <v>122</v>
      </c>
      <c r="J459" s="127">
        <v>45978.637499999997</v>
      </c>
      <c r="K459" s="127">
        <v>46104.564583333333</v>
      </c>
      <c r="L459" s="127">
        <v>46104</v>
      </c>
      <c r="M459" s="127"/>
      <c r="N459" t="s">
        <v>75</v>
      </c>
      <c r="O459" t="s">
        <v>122</v>
      </c>
      <c r="P459" t="s">
        <v>122</v>
      </c>
      <c r="Q459">
        <v>70407</v>
      </c>
      <c r="R459" t="s">
        <v>1329</v>
      </c>
      <c r="S459" t="s">
        <v>1330</v>
      </c>
      <c r="T459" t="s">
        <v>481</v>
      </c>
      <c r="U459" t="s">
        <v>137</v>
      </c>
    </row>
    <row r="460" spans="1:21" x14ac:dyDescent="0.25">
      <c r="A460" t="s">
        <v>118</v>
      </c>
      <c r="B460" t="s">
        <v>1331</v>
      </c>
      <c r="C460">
        <v>101175</v>
      </c>
      <c r="D460" t="s">
        <v>1332</v>
      </c>
      <c r="E460" t="s">
        <v>130</v>
      </c>
      <c r="F460" t="s">
        <v>76</v>
      </c>
      <c r="G460" t="s">
        <v>77</v>
      </c>
      <c r="H460" t="s">
        <v>122</v>
      </c>
      <c r="I460" t="s">
        <v>122</v>
      </c>
      <c r="J460" s="127">
        <v>45978.636805555558</v>
      </c>
      <c r="K460" s="127">
        <v>46097.557638888888</v>
      </c>
      <c r="L460" s="127">
        <v>46097</v>
      </c>
      <c r="M460" s="127">
        <v>46101.655555555553</v>
      </c>
      <c r="N460" t="s">
        <v>75</v>
      </c>
      <c r="O460" t="s">
        <v>122</v>
      </c>
      <c r="P460" t="s">
        <v>122</v>
      </c>
      <c r="Q460">
        <v>70407</v>
      </c>
      <c r="R460" t="s">
        <v>1329</v>
      </c>
      <c r="S460" t="s">
        <v>1330</v>
      </c>
      <c r="T460" t="s">
        <v>481</v>
      </c>
      <c r="U460" t="s">
        <v>137</v>
      </c>
    </row>
    <row r="461" spans="1:21" x14ac:dyDescent="0.25">
      <c r="A461" t="s">
        <v>118</v>
      </c>
      <c r="B461" t="s">
        <v>1333</v>
      </c>
      <c r="C461">
        <v>101171</v>
      </c>
      <c r="D461" t="s">
        <v>1334</v>
      </c>
      <c r="E461" t="s">
        <v>130</v>
      </c>
      <c r="F461" t="s">
        <v>76</v>
      </c>
      <c r="G461" t="s">
        <v>77</v>
      </c>
      <c r="H461" t="s">
        <v>122</v>
      </c>
      <c r="I461" t="s">
        <v>122</v>
      </c>
      <c r="J461" s="127">
        <v>45978.636111111111</v>
      </c>
      <c r="K461" s="127">
        <v>46097.554861111108</v>
      </c>
      <c r="L461" s="127">
        <v>46097</v>
      </c>
      <c r="M461" s="127">
        <v>46101.657638888886</v>
      </c>
      <c r="N461" t="s">
        <v>75</v>
      </c>
      <c r="O461" t="s">
        <v>122</v>
      </c>
      <c r="P461" t="s">
        <v>122</v>
      </c>
      <c r="Q461">
        <v>70407</v>
      </c>
      <c r="R461" t="s">
        <v>1329</v>
      </c>
      <c r="S461" t="s">
        <v>1330</v>
      </c>
      <c r="T461" t="s">
        <v>481</v>
      </c>
      <c r="U461" t="s">
        <v>137</v>
      </c>
    </row>
    <row r="462" spans="1:21" x14ac:dyDescent="0.25">
      <c r="A462" t="s">
        <v>118</v>
      </c>
      <c r="B462" t="s">
        <v>1335</v>
      </c>
      <c r="C462">
        <v>101165</v>
      </c>
      <c r="D462" t="s">
        <v>1336</v>
      </c>
      <c r="E462" t="s">
        <v>130</v>
      </c>
      <c r="F462" t="s">
        <v>76</v>
      </c>
      <c r="G462" t="s">
        <v>77</v>
      </c>
      <c r="H462" t="s">
        <v>122</v>
      </c>
      <c r="I462" t="s">
        <v>122</v>
      </c>
      <c r="J462" s="127">
        <v>45978.634027777778</v>
      </c>
      <c r="K462" s="127">
        <v>46042.551388888889</v>
      </c>
      <c r="L462" s="127">
        <v>46042</v>
      </c>
      <c r="M462" s="127">
        <v>46050.441666666666</v>
      </c>
      <c r="N462" t="s">
        <v>75</v>
      </c>
      <c r="O462" t="s">
        <v>122</v>
      </c>
      <c r="P462" t="s">
        <v>122</v>
      </c>
      <c r="Q462">
        <v>70406</v>
      </c>
      <c r="R462" t="s">
        <v>953</v>
      </c>
      <c r="S462" t="s">
        <v>954</v>
      </c>
      <c r="T462" t="s">
        <v>481</v>
      </c>
      <c r="U462" t="s">
        <v>137</v>
      </c>
    </row>
    <row r="463" spans="1:21" x14ac:dyDescent="0.25">
      <c r="A463" t="s">
        <v>118</v>
      </c>
      <c r="B463" t="s">
        <v>1337</v>
      </c>
      <c r="C463">
        <v>101163</v>
      </c>
      <c r="D463" t="s">
        <v>1338</v>
      </c>
      <c r="E463" t="s">
        <v>130</v>
      </c>
      <c r="F463" t="s">
        <v>76</v>
      </c>
      <c r="G463" t="s">
        <v>77</v>
      </c>
      <c r="H463" t="s">
        <v>122</v>
      </c>
      <c r="I463" t="s">
        <v>122</v>
      </c>
      <c r="J463" s="127">
        <v>45978.633333333331</v>
      </c>
      <c r="K463" s="127">
        <v>45993.571527777778</v>
      </c>
      <c r="L463" s="127">
        <v>45999</v>
      </c>
      <c r="M463" s="127">
        <v>46042.451388888891</v>
      </c>
      <c r="N463" t="s">
        <v>75</v>
      </c>
      <c r="O463" t="s">
        <v>122</v>
      </c>
      <c r="P463" t="s">
        <v>122</v>
      </c>
      <c r="Q463">
        <v>70406</v>
      </c>
      <c r="R463" t="s">
        <v>953</v>
      </c>
      <c r="S463" t="s">
        <v>954</v>
      </c>
      <c r="T463" t="s">
        <v>481</v>
      </c>
      <c r="U463" t="s">
        <v>137</v>
      </c>
    </row>
    <row r="464" spans="1:21" x14ac:dyDescent="0.25">
      <c r="A464" t="s">
        <v>118</v>
      </c>
      <c r="B464" t="s">
        <v>1339</v>
      </c>
      <c r="C464">
        <v>101133</v>
      </c>
      <c r="D464" t="s">
        <v>1340</v>
      </c>
      <c r="E464" t="s">
        <v>703</v>
      </c>
      <c r="F464" t="s">
        <v>122</v>
      </c>
      <c r="G464" t="s">
        <v>80</v>
      </c>
      <c r="H464" t="s">
        <v>122</v>
      </c>
      <c r="I464" t="s">
        <v>122</v>
      </c>
      <c r="J464" s="127">
        <v>45978.588194444441</v>
      </c>
      <c r="K464" s="127"/>
      <c r="L464" s="127"/>
      <c r="M464" s="127"/>
      <c r="N464" t="s">
        <v>75</v>
      </c>
      <c r="O464" t="s">
        <v>122</v>
      </c>
      <c r="P464" t="s">
        <v>122</v>
      </c>
      <c r="Q464">
        <v>148897</v>
      </c>
      <c r="R464" t="s">
        <v>1205</v>
      </c>
      <c r="S464" t="s">
        <v>1206</v>
      </c>
      <c r="T464" t="s">
        <v>471</v>
      </c>
      <c r="U464" t="s">
        <v>137</v>
      </c>
    </row>
    <row r="465" spans="1:21" x14ac:dyDescent="0.25">
      <c r="A465" t="s">
        <v>118</v>
      </c>
      <c r="B465" t="s">
        <v>1341</v>
      </c>
      <c r="C465">
        <v>101131</v>
      </c>
      <c r="D465" t="s">
        <v>1342</v>
      </c>
      <c r="E465" t="s">
        <v>703</v>
      </c>
      <c r="F465" t="s">
        <v>122</v>
      </c>
      <c r="G465" t="s">
        <v>80</v>
      </c>
      <c r="H465" t="s">
        <v>122</v>
      </c>
      <c r="I465" t="s">
        <v>122</v>
      </c>
      <c r="J465" s="127">
        <v>45978.587500000001</v>
      </c>
      <c r="K465" s="127"/>
      <c r="L465" s="127"/>
      <c r="M465" s="127"/>
      <c r="N465" t="s">
        <v>75</v>
      </c>
      <c r="O465" t="s">
        <v>122</v>
      </c>
      <c r="P465" t="s">
        <v>122</v>
      </c>
      <c r="Q465">
        <v>70344</v>
      </c>
      <c r="R465" t="s">
        <v>469</v>
      </c>
      <c r="S465" t="s">
        <v>470</v>
      </c>
      <c r="T465" t="s">
        <v>471</v>
      </c>
      <c r="U465" t="s">
        <v>137</v>
      </c>
    </row>
    <row r="466" spans="1:21" x14ac:dyDescent="0.25">
      <c r="A466" t="s">
        <v>118</v>
      </c>
      <c r="B466" t="s">
        <v>1343</v>
      </c>
      <c r="C466">
        <v>101129</v>
      </c>
      <c r="D466" t="s">
        <v>1344</v>
      </c>
      <c r="E466" t="s">
        <v>703</v>
      </c>
      <c r="F466" t="s">
        <v>122</v>
      </c>
      <c r="G466" t="s">
        <v>80</v>
      </c>
      <c r="H466" t="s">
        <v>122</v>
      </c>
      <c r="I466" t="s">
        <v>122</v>
      </c>
      <c r="J466" s="127">
        <v>45978.586805555555</v>
      </c>
      <c r="K466" s="127"/>
      <c r="L466" s="127"/>
      <c r="M466" s="127"/>
      <c r="N466" t="s">
        <v>75</v>
      </c>
      <c r="O466" t="s">
        <v>122</v>
      </c>
      <c r="P466" t="s">
        <v>122</v>
      </c>
      <c r="Q466">
        <v>70344</v>
      </c>
      <c r="R466" t="s">
        <v>469</v>
      </c>
      <c r="S466" t="s">
        <v>470</v>
      </c>
      <c r="T466" t="s">
        <v>471</v>
      </c>
      <c r="U466" t="s">
        <v>137</v>
      </c>
    </row>
    <row r="467" spans="1:21" x14ac:dyDescent="0.25">
      <c r="A467" t="s">
        <v>118</v>
      </c>
      <c r="B467" t="s">
        <v>1345</v>
      </c>
      <c r="C467">
        <v>101068</v>
      </c>
      <c r="D467" t="s">
        <v>1346</v>
      </c>
      <c r="E467" t="s">
        <v>130</v>
      </c>
      <c r="F467" t="s">
        <v>73</v>
      </c>
      <c r="G467" t="s">
        <v>74</v>
      </c>
      <c r="H467" t="s">
        <v>122</v>
      </c>
      <c r="I467" t="s">
        <v>122</v>
      </c>
      <c r="J467" s="127">
        <v>45978.47152777778</v>
      </c>
      <c r="K467" s="127">
        <v>45980.760416666664</v>
      </c>
      <c r="L467" s="127">
        <v>45980.760416666664</v>
      </c>
      <c r="M467" s="127">
        <v>45999.412499999999</v>
      </c>
      <c r="N467" t="s">
        <v>72</v>
      </c>
      <c r="O467" t="s">
        <v>122</v>
      </c>
      <c r="P467" t="s">
        <v>122</v>
      </c>
      <c r="Q467">
        <v>94191</v>
      </c>
      <c r="R467" t="s">
        <v>1045</v>
      </c>
      <c r="S467" t="s">
        <v>1046</v>
      </c>
      <c r="T467" t="s">
        <v>476</v>
      </c>
      <c r="U467" t="s">
        <v>126</v>
      </c>
    </row>
    <row r="468" spans="1:21" x14ac:dyDescent="0.25">
      <c r="A468" t="s">
        <v>118</v>
      </c>
      <c r="B468" t="s">
        <v>1347</v>
      </c>
      <c r="C468">
        <v>101066</v>
      </c>
      <c r="D468" t="s">
        <v>1348</v>
      </c>
      <c r="E468" t="s">
        <v>223</v>
      </c>
      <c r="F468" t="s">
        <v>122</v>
      </c>
      <c r="G468" t="s">
        <v>80</v>
      </c>
      <c r="H468" t="s">
        <v>122</v>
      </c>
      <c r="I468" t="s">
        <v>122</v>
      </c>
      <c r="J468" s="127">
        <v>45978.467361111114</v>
      </c>
      <c r="K468" s="127"/>
      <c r="L468" s="127"/>
      <c r="M468" s="127">
        <v>46008.584722222222</v>
      </c>
      <c r="N468" t="s">
        <v>75</v>
      </c>
      <c r="O468" t="s">
        <v>122</v>
      </c>
      <c r="P468" t="s">
        <v>122</v>
      </c>
      <c r="Q468">
        <v>70349</v>
      </c>
      <c r="R468" t="s">
        <v>865</v>
      </c>
      <c r="S468" t="s">
        <v>866</v>
      </c>
      <c r="T468" t="s">
        <v>471</v>
      </c>
      <c r="U468" t="s">
        <v>137</v>
      </c>
    </row>
    <row r="469" spans="1:21" x14ac:dyDescent="0.25">
      <c r="A469" t="s">
        <v>127</v>
      </c>
      <c r="B469" t="s">
        <v>1349</v>
      </c>
      <c r="C469">
        <v>101003</v>
      </c>
      <c r="D469" t="s">
        <v>1350</v>
      </c>
      <c r="E469" t="s">
        <v>130</v>
      </c>
      <c r="F469" t="s">
        <v>82</v>
      </c>
      <c r="G469" t="s">
        <v>80</v>
      </c>
      <c r="H469" t="s">
        <v>122</v>
      </c>
      <c r="I469" t="s">
        <v>122</v>
      </c>
      <c r="J469" s="127">
        <v>45978.413194444445</v>
      </c>
      <c r="K469" s="127">
        <v>45978.540277777778</v>
      </c>
      <c r="L469" s="127">
        <v>45980.526388888888</v>
      </c>
      <c r="M469" s="127">
        <v>45989.446527777778</v>
      </c>
      <c r="N469" t="s">
        <v>72</v>
      </c>
      <c r="O469" t="s">
        <v>122</v>
      </c>
      <c r="P469" t="s">
        <v>122</v>
      </c>
      <c r="Q469">
        <v>70209</v>
      </c>
      <c r="R469" t="s">
        <v>1235</v>
      </c>
      <c r="S469" t="s">
        <v>1236</v>
      </c>
      <c r="T469" t="s">
        <v>471</v>
      </c>
      <c r="U469" t="s">
        <v>126</v>
      </c>
    </row>
    <row r="470" spans="1:21" x14ac:dyDescent="0.25">
      <c r="A470" t="s">
        <v>118</v>
      </c>
      <c r="B470" t="s">
        <v>1351</v>
      </c>
      <c r="C470">
        <v>100989</v>
      </c>
      <c r="D470" t="s">
        <v>1352</v>
      </c>
      <c r="E470" t="s">
        <v>130</v>
      </c>
      <c r="F470" t="s">
        <v>82</v>
      </c>
      <c r="G470" t="s">
        <v>80</v>
      </c>
      <c r="H470" t="s">
        <v>122</v>
      </c>
      <c r="I470" t="s">
        <v>122</v>
      </c>
      <c r="J470" s="127">
        <v>45978.393055555556</v>
      </c>
      <c r="K470" s="127">
        <v>45988.622916666667</v>
      </c>
      <c r="L470" s="127">
        <v>45988.622916666667</v>
      </c>
      <c r="M470" s="127">
        <v>46003.663888888892</v>
      </c>
      <c r="N470" t="s">
        <v>72</v>
      </c>
      <c r="O470" t="s">
        <v>122</v>
      </c>
      <c r="P470" t="s">
        <v>122</v>
      </c>
      <c r="Q470">
        <v>70314</v>
      </c>
      <c r="R470" t="s">
        <v>1353</v>
      </c>
      <c r="S470" t="s">
        <v>1354</v>
      </c>
      <c r="T470" t="s">
        <v>471</v>
      </c>
      <c r="U470" t="s">
        <v>126</v>
      </c>
    </row>
    <row r="471" spans="1:21" x14ac:dyDescent="0.25">
      <c r="A471" t="s">
        <v>118</v>
      </c>
      <c r="B471" t="s">
        <v>1355</v>
      </c>
      <c r="C471">
        <v>99299</v>
      </c>
      <c r="D471" t="s">
        <v>1356</v>
      </c>
      <c r="E471" t="s">
        <v>130</v>
      </c>
      <c r="F471" t="s">
        <v>79</v>
      </c>
      <c r="G471" t="s">
        <v>540</v>
      </c>
      <c r="H471" t="s">
        <v>122</v>
      </c>
      <c r="I471" t="s">
        <v>122</v>
      </c>
      <c r="J471" s="127">
        <v>45975.786805555559</v>
      </c>
      <c r="K471" s="127">
        <v>45999.551388888889</v>
      </c>
      <c r="L471" s="127">
        <v>45999</v>
      </c>
      <c r="M471" s="127">
        <v>45999.759027777778</v>
      </c>
      <c r="N471" t="s">
        <v>72</v>
      </c>
      <c r="O471" t="s">
        <v>122</v>
      </c>
      <c r="P471" t="s">
        <v>122</v>
      </c>
      <c r="Q471">
        <v>94147</v>
      </c>
      <c r="R471" t="s">
        <v>1257</v>
      </c>
      <c r="S471" t="s">
        <v>1258</v>
      </c>
      <c r="T471" t="s">
        <v>1018</v>
      </c>
      <c r="U471" t="s">
        <v>126</v>
      </c>
    </row>
    <row r="472" spans="1:21" x14ac:dyDescent="0.25">
      <c r="A472" t="s">
        <v>142</v>
      </c>
      <c r="B472" t="s">
        <v>1357</v>
      </c>
      <c r="C472">
        <v>97662</v>
      </c>
      <c r="D472" t="s">
        <v>1358</v>
      </c>
      <c r="E472" t="s">
        <v>130</v>
      </c>
      <c r="F472" t="s">
        <v>73</v>
      </c>
      <c r="G472" t="s">
        <v>74</v>
      </c>
      <c r="H472" t="s">
        <v>122</v>
      </c>
      <c r="I472" t="s">
        <v>122</v>
      </c>
      <c r="J472" s="127">
        <v>45975.409722222219</v>
      </c>
      <c r="K472" s="127">
        <v>45975.534722222219</v>
      </c>
      <c r="L472" s="127">
        <v>45975.535416666666</v>
      </c>
      <c r="M472" s="127">
        <v>45978.486805555556</v>
      </c>
      <c r="N472" t="s">
        <v>72</v>
      </c>
      <c r="O472" t="s">
        <v>122</v>
      </c>
      <c r="P472" t="s">
        <v>122</v>
      </c>
      <c r="R472" t="s">
        <v>122</v>
      </c>
      <c r="S472" t="s">
        <v>122</v>
      </c>
      <c r="T472" t="s">
        <v>476</v>
      </c>
      <c r="U472" t="s">
        <v>126</v>
      </c>
    </row>
    <row r="473" spans="1:21" x14ac:dyDescent="0.25">
      <c r="A473" t="s">
        <v>118</v>
      </c>
      <c r="B473" t="s">
        <v>1359</v>
      </c>
      <c r="C473">
        <v>97581</v>
      </c>
      <c r="D473" t="s">
        <v>1360</v>
      </c>
      <c r="E473" t="s">
        <v>130</v>
      </c>
      <c r="F473" t="s">
        <v>79</v>
      </c>
      <c r="G473" t="s">
        <v>513</v>
      </c>
      <c r="H473" t="s">
        <v>122</v>
      </c>
      <c r="I473" t="s">
        <v>122</v>
      </c>
      <c r="J473" s="127">
        <v>45974.730555555558</v>
      </c>
      <c r="K473" s="127">
        <v>45999.560416666667</v>
      </c>
      <c r="L473" s="127">
        <v>46000</v>
      </c>
      <c r="M473" s="127">
        <v>46006.679861111108</v>
      </c>
      <c r="N473" t="s">
        <v>72</v>
      </c>
      <c r="O473" t="s">
        <v>122</v>
      </c>
      <c r="P473" t="s">
        <v>122</v>
      </c>
      <c r="Q473">
        <v>95867</v>
      </c>
      <c r="R473" t="s">
        <v>1361</v>
      </c>
      <c r="S473" t="s">
        <v>1362</v>
      </c>
      <c r="T473" t="s">
        <v>546</v>
      </c>
      <c r="U473" t="s">
        <v>126</v>
      </c>
    </row>
    <row r="474" spans="1:21" x14ac:dyDescent="0.25">
      <c r="A474" t="s">
        <v>118</v>
      </c>
      <c r="B474" t="s">
        <v>1363</v>
      </c>
      <c r="C474">
        <v>97573</v>
      </c>
      <c r="D474" t="s">
        <v>1364</v>
      </c>
      <c r="E474" t="s">
        <v>130</v>
      </c>
      <c r="F474" t="s">
        <v>79</v>
      </c>
      <c r="G474" t="s">
        <v>540</v>
      </c>
      <c r="H474" t="s">
        <v>122</v>
      </c>
      <c r="I474" t="s">
        <v>122</v>
      </c>
      <c r="J474" s="127">
        <v>45974.725694444445</v>
      </c>
      <c r="K474" s="127">
        <v>45987.609027777777</v>
      </c>
      <c r="L474" s="127">
        <v>45993</v>
      </c>
      <c r="M474" s="127">
        <v>45996.561111111114</v>
      </c>
      <c r="N474" t="s">
        <v>72</v>
      </c>
      <c r="O474" t="s">
        <v>122</v>
      </c>
      <c r="P474" t="s">
        <v>122</v>
      </c>
      <c r="Q474">
        <v>94153</v>
      </c>
      <c r="R474" t="s">
        <v>1365</v>
      </c>
      <c r="S474" t="s">
        <v>1366</v>
      </c>
      <c r="T474" t="s">
        <v>1018</v>
      </c>
      <c r="U474" t="s">
        <v>126</v>
      </c>
    </row>
    <row r="475" spans="1:21" x14ac:dyDescent="0.25">
      <c r="A475" t="s">
        <v>118</v>
      </c>
      <c r="B475" t="s">
        <v>1367</v>
      </c>
      <c r="C475">
        <v>97571</v>
      </c>
      <c r="D475" t="s">
        <v>1368</v>
      </c>
      <c r="E475" t="s">
        <v>130</v>
      </c>
      <c r="F475" t="s">
        <v>79</v>
      </c>
      <c r="G475" t="s">
        <v>540</v>
      </c>
      <c r="H475" t="s">
        <v>122</v>
      </c>
      <c r="I475" t="s">
        <v>122</v>
      </c>
      <c r="J475" s="127">
        <v>45974.725694444445</v>
      </c>
      <c r="K475" s="127">
        <v>45987.609027777777</v>
      </c>
      <c r="L475" s="127">
        <v>45992</v>
      </c>
      <c r="M475" s="127">
        <v>45996.470833333333</v>
      </c>
      <c r="N475" t="s">
        <v>72</v>
      </c>
      <c r="O475" t="s">
        <v>122</v>
      </c>
      <c r="P475" t="s">
        <v>122</v>
      </c>
      <c r="Q475">
        <v>94153</v>
      </c>
      <c r="R475" t="s">
        <v>1365</v>
      </c>
      <c r="S475" t="s">
        <v>1366</v>
      </c>
      <c r="T475" t="s">
        <v>1018</v>
      </c>
      <c r="U475" t="s">
        <v>126</v>
      </c>
    </row>
    <row r="476" spans="1:21" x14ac:dyDescent="0.25">
      <c r="A476" t="s">
        <v>118</v>
      </c>
      <c r="B476" t="s">
        <v>1369</v>
      </c>
      <c r="C476">
        <v>95904</v>
      </c>
      <c r="D476" t="s">
        <v>1370</v>
      </c>
      <c r="E476" t="s">
        <v>130</v>
      </c>
      <c r="F476" t="s">
        <v>79</v>
      </c>
      <c r="G476" t="s">
        <v>540</v>
      </c>
      <c r="H476" t="s">
        <v>122</v>
      </c>
      <c r="I476" t="s">
        <v>122</v>
      </c>
      <c r="J476" s="127">
        <v>45973.64166666667</v>
      </c>
      <c r="K476" s="127">
        <v>45999.558333333334</v>
      </c>
      <c r="L476" s="127">
        <v>45999</v>
      </c>
      <c r="M476" s="127">
        <v>46002.436805555553</v>
      </c>
      <c r="N476" t="s">
        <v>72</v>
      </c>
      <c r="O476" t="s">
        <v>122</v>
      </c>
      <c r="P476" t="s">
        <v>122</v>
      </c>
      <c r="Q476">
        <v>94144</v>
      </c>
      <c r="R476" t="s">
        <v>1146</v>
      </c>
      <c r="S476" t="s">
        <v>1147</v>
      </c>
      <c r="T476" t="s">
        <v>1018</v>
      </c>
      <c r="U476" t="s">
        <v>126</v>
      </c>
    </row>
    <row r="477" spans="1:21" x14ac:dyDescent="0.25">
      <c r="A477" t="s">
        <v>118</v>
      </c>
      <c r="B477" t="s">
        <v>1371</v>
      </c>
      <c r="C477">
        <v>95902</v>
      </c>
      <c r="D477" t="s">
        <v>1372</v>
      </c>
      <c r="E477" t="s">
        <v>130</v>
      </c>
      <c r="F477" t="s">
        <v>79</v>
      </c>
      <c r="G477" t="s">
        <v>540</v>
      </c>
      <c r="H477" t="s">
        <v>122</v>
      </c>
      <c r="I477" t="s">
        <v>122</v>
      </c>
      <c r="J477" s="127">
        <v>45973.640972222223</v>
      </c>
      <c r="K477" s="127">
        <v>45999.554166666669</v>
      </c>
      <c r="L477" s="127">
        <v>45999</v>
      </c>
      <c r="M477" s="127">
        <v>46001.633333333331</v>
      </c>
      <c r="N477" t="s">
        <v>72</v>
      </c>
      <c r="O477" t="s">
        <v>122</v>
      </c>
      <c r="P477" t="s">
        <v>122</v>
      </c>
      <c r="Q477">
        <v>94144</v>
      </c>
      <c r="R477" t="s">
        <v>1146</v>
      </c>
      <c r="S477" t="s">
        <v>1147</v>
      </c>
      <c r="T477" t="s">
        <v>1018</v>
      </c>
      <c r="U477" t="s">
        <v>126</v>
      </c>
    </row>
    <row r="478" spans="1:21" x14ac:dyDescent="0.25">
      <c r="A478" t="s">
        <v>118</v>
      </c>
      <c r="B478" t="s">
        <v>1373</v>
      </c>
      <c r="C478">
        <v>95900</v>
      </c>
      <c r="D478" t="s">
        <v>1145</v>
      </c>
      <c r="E478" t="s">
        <v>223</v>
      </c>
      <c r="F478" t="s">
        <v>79</v>
      </c>
      <c r="G478" t="s">
        <v>540</v>
      </c>
      <c r="H478" t="s">
        <v>122</v>
      </c>
      <c r="I478" t="s">
        <v>122</v>
      </c>
      <c r="J478" s="127">
        <v>45973.636805555558</v>
      </c>
      <c r="K478" s="127">
        <v>45999.553472222222</v>
      </c>
      <c r="L478" s="127">
        <v>45999</v>
      </c>
      <c r="M478" s="127">
        <v>45999.76666666667</v>
      </c>
      <c r="N478" t="s">
        <v>72</v>
      </c>
      <c r="O478" t="s">
        <v>122</v>
      </c>
      <c r="P478" t="s">
        <v>122</v>
      </c>
      <c r="Q478">
        <v>94144</v>
      </c>
      <c r="R478" t="s">
        <v>1146</v>
      </c>
      <c r="S478" t="s">
        <v>1147</v>
      </c>
      <c r="T478" t="s">
        <v>1018</v>
      </c>
      <c r="U478" t="s">
        <v>126</v>
      </c>
    </row>
    <row r="479" spans="1:21" x14ac:dyDescent="0.25">
      <c r="A479" t="s">
        <v>142</v>
      </c>
      <c r="B479" t="s">
        <v>1374</v>
      </c>
      <c r="C479">
        <v>95816</v>
      </c>
      <c r="D479" t="s">
        <v>1375</v>
      </c>
      <c r="E479" t="s">
        <v>223</v>
      </c>
      <c r="F479" t="s">
        <v>82</v>
      </c>
      <c r="G479" t="s">
        <v>80</v>
      </c>
      <c r="H479" t="s">
        <v>122</v>
      </c>
      <c r="I479" t="s">
        <v>122</v>
      </c>
      <c r="J479" s="127">
        <v>45973.42083333333</v>
      </c>
      <c r="K479" s="127"/>
      <c r="L479" s="127"/>
      <c r="M479" s="127">
        <v>46013.956250000003</v>
      </c>
      <c r="N479" t="s">
        <v>72</v>
      </c>
      <c r="O479" t="s">
        <v>122</v>
      </c>
      <c r="P479" t="s">
        <v>122</v>
      </c>
      <c r="Q479">
        <v>70327</v>
      </c>
      <c r="R479" t="s">
        <v>1132</v>
      </c>
      <c r="S479" t="s">
        <v>1133</v>
      </c>
      <c r="T479" t="s">
        <v>471</v>
      </c>
      <c r="U479" t="s">
        <v>126</v>
      </c>
    </row>
    <row r="480" spans="1:21" x14ac:dyDescent="0.25">
      <c r="A480" t="s">
        <v>127</v>
      </c>
      <c r="B480" t="s">
        <v>1376</v>
      </c>
      <c r="C480">
        <v>94301</v>
      </c>
      <c r="D480" t="s">
        <v>1377</v>
      </c>
      <c r="E480" t="s">
        <v>130</v>
      </c>
      <c r="F480" t="s">
        <v>79</v>
      </c>
      <c r="G480" t="s">
        <v>540</v>
      </c>
      <c r="H480" t="s">
        <v>122</v>
      </c>
      <c r="I480" t="s">
        <v>122</v>
      </c>
      <c r="J480" s="127">
        <v>45972.854166666664</v>
      </c>
      <c r="K480" s="127">
        <v>45999.704861111109</v>
      </c>
      <c r="L480" s="127">
        <v>45999.704861111109</v>
      </c>
      <c r="M480" s="127">
        <v>45999.679861111108</v>
      </c>
      <c r="N480" t="s">
        <v>72</v>
      </c>
      <c r="O480" t="s">
        <v>122</v>
      </c>
      <c r="P480" t="s">
        <v>122</v>
      </c>
      <c r="Q480">
        <v>94141</v>
      </c>
      <c r="R480" t="s">
        <v>1152</v>
      </c>
      <c r="S480" t="s">
        <v>1153</v>
      </c>
      <c r="T480" t="s">
        <v>1018</v>
      </c>
      <c r="U480" t="s">
        <v>126</v>
      </c>
    </row>
    <row r="481" spans="1:21" x14ac:dyDescent="0.25">
      <c r="A481" t="s">
        <v>118</v>
      </c>
      <c r="B481" t="s">
        <v>1378</v>
      </c>
      <c r="C481">
        <v>94224</v>
      </c>
      <c r="D481" t="s">
        <v>1379</v>
      </c>
      <c r="E481" t="s">
        <v>130</v>
      </c>
      <c r="F481" t="s">
        <v>520</v>
      </c>
      <c r="G481" t="s">
        <v>95</v>
      </c>
      <c r="H481" t="s">
        <v>122</v>
      </c>
      <c r="I481" t="s">
        <v>122</v>
      </c>
      <c r="J481" s="127">
        <v>45972.611805555556</v>
      </c>
      <c r="K481" s="127">
        <v>46043.810416666667</v>
      </c>
      <c r="L481" s="127">
        <v>46043</v>
      </c>
      <c r="M481" s="127">
        <v>46043.685416666667</v>
      </c>
      <c r="N481" t="s">
        <v>72</v>
      </c>
      <c r="O481" t="s">
        <v>122</v>
      </c>
      <c r="P481" t="s">
        <v>122</v>
      </c>
      <c r="Q481">
        <v>80529</v>
      </c>
      <c r="R481" t="s">
        <v>1380</v>
      </c>
      <c r="S481" t="s">
        <v>1381</v>
      </c>
      <c r="T481" t="s">
        <v>1382</v>
      </c>
      <c r="U481" t="s">
        <v>126</v>
      </c>
    </row>
    <row r="482" spans="1:21" x14ac:dyDescent="0.25">
      <c r="A482" t="s">
        <v>118</v>
      </c>
      <c r="B482" t="s">
        <v>1383</v>
      </c>
      <c r="C482">
        <v>94222</v>
      </c>
      <c r="D482" t="s">
        <v>1384</v>
      </c>
      <c r="E482" t="s">
        <v>130</v>
      </c>
      <c r="F482" t="s">
        <v>520</v>
      </c>
      <c r="G482" t="s">
        <v>95</v>
      </c>
      <c r="H482" t="s">
        <v>122</v>
      </c>
      <c r="I482" t="s">
        <v>122</v>
      </c>
      <c r="J482" s="127">
        <v>45972.609027777777</v>
      </c>
      <c r="K482" s="127">
        <v>45972.763888888891</v>
      </c>
      <c r="L482" s="127">
        <v>45972.763888888891</v>
      </c>
      <c r="M482" s="127">
        <v>45972.63958333333</v>
      </c>
      <c r="N482" t="s">
        <v>72</v>
      </c>
      <c r="O482" t="s">
        <v>122</v>
      </c>
      <c r="P482" t="s">
        <v>122</v>
      </c>
      <c r="Q482">
        <v>80529</v>
      </c>
      <c r="R482" t="s">
        <v>1380</v>
      </c>
      <c r="S482" t="s">
        <v>1381</v>
      </c>
      <c r="T482" t="s">
        <v>1382</v>
      </c>
      <c r="U482" t="s">
        <v>126</v>
      </c>
    </row>
    <row r="483" spans="1:21" x14ac:dyDescent="0.25">
      <c r="A483" t="s">
        <v>118</v>
      </c>
      <c r="B483" t="s">
        <v>1385</v>
      </c>
      <c r="C483">
        <v>94220</v>
      </c>
      <c r="D483" t="s">
        <v>1386</v>
      </c>
      <c r="E483" t="s">
        <v>121</v>
      </c>
      <c r="F483" t="s">
        <v>122</v>
      </c>
      <c r="G483" t="s">
        <v>95</v>
      </c>
      <c r="H483" t="s">
        <v>122</v>
      </c>
      <c r="I483" t="s">
        <v>122</v>
      </c>
      <c r="J483" s="127">
        <v>45972.605555555558</v>
      </c>
      <c r="K483" s="127"/>
      <c r="L483" s="127"/>
      <c r="M483" s="127"/>
      <c r="N483" t="s">
        <v>72</v>
      </c>
      <c r="O483" t="s">
        <v>122</v>
      </c>
      <c r="P483" t="s">
        <v>122</v>
      </c>
      <c r="Q483">
        <v>80527</v>
      </c>
      <c r="R483" t="s">
        <v>1387</v>
      </c>
      <c r="S483" t="s">
        <v>1388</v>
      </c>
      <c r="T483" t="s">
        <v>1382</v>
      </c>
      <c r="U483" t="s">
        <v>126</v>
      </c>
    </row>
    <row r="484" spans="1:21" x14ac:dyDescent="0.25">
      <c r="A484" t="s">
        <v>118</v>
      </c>
      <c r="B484" t="s">
        <v>1389</v>
      </c>
      <c r="C484">
        <v>94218</v>
      </c>
      <c r="D484" t="s">
        <v>1390</v>
      </c>
      <c r="E484" t="s">
        <v>130</v>
      </c>
      <c r="F484" t="s">
        <v>520</v>
      </c>
      <c r="G484" t="s">
        <v>95</v>
      </c>
      <c r="H484" t="s">
        <v>122</v>
      </c>
      <c r="I484" t="s">
        <v>122</v>
      </c>
      <c r="J484" s="127">
        <v>45972.59652777778</v>
      </c>
      <c r="K484" s="127">
        <v>45972.762499999997</v>
      </c>
      <c r="L484" s="127">
        <v>45972.762499999997</v>
      </c>
      <c r="M484" s="127">
        <v>46037.698611111111</v>
      </c>
      <c r="N484" t="s">
        <v>72</v>
      </c>
      <c r="O484" t="s">
        <v>122</v>
      </c>
      <c r="P484" t="s">
        <v>122</v>
      </c>
      <c r="Q484">
        <v>80525</v>
      </c>
      <c r="R484" t="s">
        <v>1391</v>
      </c>
      <c r="S484" t="s">
        <v>1392</v>
      </c>
      <c r="T484" t="s">
        <v>1382</v>
      </c>
      <c r="U484" t="s">
        <v>126</v>
      </c>
    </row>
    <row r="485" spans="1:21" x14ac:dyDescent="0.25">
      <c r="A485" t="s">
        <v>118</v>
      </c>
      <c r="B485" t="s">
        <v>1393</v>
      </c>
      <c r="C485">
        <v>94199</v>
      </c>
      <c r="D485" t="s">
        <v>1394</v>
      </c>
      <c r="E485" t="s">
        <v>223</v>
      </c>
      <c r="F485" t="s">
        <v>73</v>
      </c>
      <c r="G485" t="s">
        <v>74</v>
      </c>
      <c r="H485" t="s">
        <v>122</v>
      </c>
      <c r="I485" t="s">
        <v>122</v>
      </c>
      <c r="J485" s="127">
        <v>45972.5</v>
      </c>
      <c r="K485" s="127"/>
      <c r="L485" s="127"/>
      <c r="M485" s="127">
        <v>45992.416666666664</v>
      </c>
      <c r="N485" t="s">
        <v>72</v>
      </c>
      <c r="O485" t="s">
        <v>122</v>
      </c>
      <c r="P485" t="s">
        <v>122</v>
      </c>
      <c r="Q485">
        <v>94191</v>
      </c>
      <c r="R485" t="s">
        <v>1045</v>
      </c>
      <c r="S485" t="s">
        <v>1046</v>
      </c>
      <c r="T485" t="s">
        <v>476</v>
      </c>
      <c r="U485" t="s">
        <v>126</v>
      </c>
    </row>
    <row r="486" spans="1:21" x14ac:dyDescent="0.25">
      <c r="A486" t="s">
        <v>118</v>
      </c>
      <c r="B486" t="s">
        <v>1395</v>
      </c>
      <c r="C486">
        <v>94194</v>
      </c>
      <c r="D486" t="s">
        <v>1396</v>
      </c>
      <c r="E486" t="s">
        <v>130</v>
      </c>
      <c r="F486" t="s">
        <v>73</v>
      </c>
      <c r="G486" t="s">
        <v>74</v>
      </c>
      <c r="H486" t="s">
        <v>122</v>
      </c>
      <c r="I486" t="s">
        <v>122</v>
      </c>
      <c r="J486" s="127">
        <v>45972.5</v>
      </c>
      <c r="K486" s="127">
        <v>45972</v>
      </c>
      <c r="L486" s="127">
        <v>45978.870833333334</v>
      </c>
      <c r="M486" s="127">
        <v>46002.333333333336</v>
      </c>
      <c r="N486" t="s">
        <v>72</v>
      </c>
      <c r="O486" t="s">
        <v>122</v>
      </c>
      <c r="P486" t="s">
        <v>122</v>
      </c>
      <c r="Q486">
        <v>94191</v>
      </c>
      <c r="R486" t="s">
        <v>1045</v>
      </c>
      <c r="S486" t="s">
        <v>1046</v>
      </c>
      <c r="T486" t="s">
        <v>476</v>
      </c>
      <c r="U486" t="s">
        <v>126</v>
      </c>
    </row>
    <row r="487" spans="1:21" x14ac:dyDescent="0.25">
      <c r="A487" t="s">
        <v>118</v>
      </c>
      <c r="B487" t="s">
        <v>1397</v>
      </c>
      <c r="C487">
        <v>94182</v>
      </c>
      <c r="D487" t="s">
        <v>1398</v>
      </c>
      <c r="E487" t="s">
        <v>130</v>
      </c>
      <c r="F487" t="s">
        <v>79</v>
      </c>
      <c r="G487" t="s">
        <v>540</v>
      </c>
      <c r="H487" t="s">
        <v>122</v>
      </c>
      <c r="I487" t="s">
        <v>122</v>
      </c>
      <c r="J487" s="127">
        <v>45972.461805555555</v>
      </c>
      <c r="K487" s="127">
        <v>45987.609027777777</v>
      </c>
      <c r="L487" s="127">
        <v>45987.609027777777</v>
      </c>
      <c r="M487" s="127">
        <v>45989.697222222225</v>
      </c>
      <c r="N487" t="s">
        <v>72</v>
      </c>
      <c r="O487" t="s">
        <v>122</v>
      </c>
      <c r="P487" t="s">
        <v>122</v>
      </c>
      <c r="Q487">
        <v>94141</v>
      </c>
      <c r="R487" t="s">
        <v>1152</v>
      </c>
      <c r="S487" t="s">
        <v>1153</v>
      </c>
      <c r="T487" t="s">
        <v>1018</v>
      </c>
      <c r="U487" t="s">
        <v>126</v>
      </c>
    </row>
    <row r="488" spans="1:21" x14ac:dyDescent="0.25">
      <c r="A488" t="s">
        <v>142</v>
      </c>
      <c r="B488" t="s">
        <v>1399</v>
      </c>
      <c r="C488">
        <v>94177</v>
      </c>
      <c r="D488" t="s">
        <v>1400</v>
      </c>
      <c r="E488" t="s">
        <v>130</v>
      </c>
      <c r="F488" t="s">
        <v>82</v>
      </c>
      <c r="G488" t="s">
        <v>80</v>
      </c>
      <c r="H488" t="s">
        <v>122</v>
      </c>
      <c r="I488" t="s">
        <v>122</v>
      </c>
      <c r="J488" s="127">
        <v>45972.455555555556</v>
      </c>
      <c r="K488" s="127">
        <v>45974.521527777775</v>
      </c>
      <c r="L488" s="127">
        <v>45974.521527777775</v>
      </c>
      <c r="M488" s="127">
        <v>45978.838888888888</v>
      </c>
      <c r="N488" t="s">
        <v>72</v>
      </c>
      <c r="O488" t="s">
        <v>122</v>
      </c>
      <c r="P488" t="s">
        <v>122</v>
      </c>
      <c r="Q488">
        <v>70310</v>
      </c>
      <c r="R488" t="s">
        <v>1209</v>
      </c>
      <c r="S488" t="s">
        <v>1210</v>
      </c>
      <c r="T488" t="s">
        <v>471</v>
      </c>
      <c r="U488" t="s">
        <v>126</v>
      </c>
    </row>
    <row r="489" spans="1:21" x14ac:dyDescent="0.25">
      <c r="A489" t="s">
        <v>118</v>
      </c>
      <c r="B489" t="s">
        <v>1401</v>
      </c>
      <c r="C489">
        <v>92439</v>
      </c>
      <c r="D489" t="s">
        <v>1402</v>
      </c>
      <c r="E489" t="s">
        <v>130</v>
      </c>
      <c r="F489" t="s">
        <v>76</v>
      </c>
      <c r="G489" t="s">
        <v>77</v>
      </c>
      <c r="H489" t="s">
        <v>122</v>
      </c>
      <c r="I489" t="s">
        <v>122</v>
      </c>
      <c r="J489" s="127">
        <v>45971.465277777781</v>
      </c>
      <c r="K489" s="127">
        <v>45971.688194444447</v>
      </c>
      <c r="L489" s="127">
        <v>45973.570138888892</v>
      </c>
      <c r="M489" s="127">
        <v>45985.747916666667</v>
      </c>
      <c r="N489" t="s">
        <v>72</v>
      </c>
      <c r="O489" t="s">
        <v>122</v>
      </c>
      <c r="P489" t="s">
        <v>122</v>
      </c>
      <c r="Q489">
        <v>70419</v>
      </c>
      <c r="R489" t="s">
        <v>1403</v>
      </c>
      <c r="S489" t="s">
        <v>1404</v>
      </c>
      <c r="T489" t="s">
        <v>481</v>
      </c>
      <c r="U489" t="s">
        <v>126</v>
      </c>
    </row>
    <row r="490" spans="1:21" x14ac:dyDescent="0.25">
      <c r="A490" t="s">
        <v>127</v>
      </c>
      <c r="B490" t="s">
        <v>1405</v>
      </c>
      <c r="C490">
        <v>89277</v>
      </c>
      <c r="D490" t="s">
        <v>1406</v>
      </c>
      <c r="E490" t="s">
        <v>703</v>
      </c>
      <c r="F490" t="s">
        <v>520</v>
      </c>
      <c r="G490" t="s">
        <v>454</v>
      </c>
      <c r="H490" t="s">
        <v>122</v>
      </c>
      <c r="I490" t="s">
        <v>122</v>
      </c>
      <c r="J490" s="127">
        <v>45967.751388888886</v>
      </c>
      <c r="K490" s="127"/>
      <c r="L490" s="127"/>
      <c r="M490" s="127"/>
      <c r="N490" t="s">
        <v>78</v>
      </c>
      <c r="O490" t="s">
        <v>122</v>
      </c>
      <c r="P490" t="s">
        <v>122</v>
      </c>
      <c r="Q490">
        <v>89280</v>
      </c>
      <c r="R490" t="s">
        <v>1407</v>
      </c>
      <c r="S490" t="s">
        <v>1408</v>
      </c>
      <c r="T490" t="s">
        <v>457</v>
      </c>
      <c r="U490" t="s">
        <v>462</v>
      </c>
    </row>
    <row r="491" spans="1:21" x14ac:dyDescent="0.25">
      <c r="A491" t="s">
        <v>118</v>
      </c>
      <c r="B491" t="s">
        <v>1409</v>
      </c>
      <c r="C491">
        <v>89276</v>
      </c>
      <c r="D491" t="s">
        <v>1410</v>
      </c>
      <c r="E491" t="s">
        <v>130</v>
      </c>
      <c r="F491" t="s">
        <v>497</v>
      </c>
      <c r="G491" t="s">
        <v>674</v>
      </c>
      <c r="H491" t="s">
        <v>122</v>
      </c>
      <c r="I491" t="s">
        <v>122</v>
      </c>
      <c r="J491" s="127">
        <v>45967.740972222222</v>
      </c>
      <c r="K491" s="127">
        <v>45973.713194444441</v>
      </c>
      <c r="L491" s="127">
        <v>45973.713888888888</v>
      </c>
      <c r="M491" s="127">
        <v>45974.588194444441</v>
      </c>
      <c r="N491" t="s">
        <v>122</v>
      </c>
      <c r="O491" t="s">
        <v>122</v>
      </c>
      <c r="P491" t="s">
        <v>122</v>
      </c>
      <c r="Q491">
        <v>89270</v>
      </c>
      <c r="R491" t="s">
        <v>856</v>
      </c>
      <c r="S491" t="s">
        <v>857</v>
      </c>
      <c r="T491" t="s">
        <v>675</v>
      </c>
      <c r="U491" t="s">
        <v>450</v>
      </c>
    </row>
    <row r="492" spans="1:21" x14ac:dyDescent="0.25">
      <c r="A492" t="s">
        <v>118</v>
      </c>
      <c r="B492" t="s">
        <v>1411</v>
      </c>
      <c r="C492">
        <v>89220</v>
      </c>
      <c r="D492" t="s">
        <v>1412</v>
      </c>
      <c r="E492" t="s">
        <v>130</v>
      </c>
      <c r="F492" t="s">
        <v>85</v>
      </c>
      <c r="G492" t="s">
        <v>85</v>
      </c>
      <c r="H492" t="s">
        <v>122</v>
      </c>
      <c r="I492" t="s">
        <v>122</v>
      </c>
      <c r="J492" s="127">
        <v>45967.451388888891</v>
      </c>
      <c r="K492" s="127">
        <v>46014.746527777781</v>
      </c>
      <c r="L492" s="127">
        <v>46014</v>
      </c>
      <c r="M492" s="127">
        <v>46014.625</v>
      </c>
      <c r="N492" t="s">
        <v>72</v>
      </c>
      <c r="O492" t="s">
        <v>122</v>
      </c>
      <c r="P492" t="s">
        <v>122</v>
      </c>
      <c r="Q492">
        <v>80342</v>
      </c>
      <c r="R492" t="s">
        <v>1413</v>
      </c>
      <c r="S492" t="s">
        <v>1414</v>
      </c>
      <c r="T492" t="s">
        <v>862</v>
      </c>
      <c r="U492" t="s">
        <v>126</v>
      </c>
    </row>
    <row r="493" spans="1:21" x14ac:dyDescent="0.25">
      <c r="A493" t="s">
        <v>118</v>
      </c>
      <c r="B493" t="s">
        <v>1415</v>
      </c>
      <c r="C493">
        <v>89208</v>
      </c>
      <c r="D493" t="s">
        <v>1416</v>
      </c>
      <c r="E493" t="s">
        <v>130</v>
      </c>
      <c r="F493" t="s">
        <v>85</v>
      </c>
      <c r="G493" t="s">
        <v>85</v>
      </c>
      <c r="H493" t="s">
        <v>122</v>
      </c>
      <c r="I493" t="s">
        <v>122</v>
      </c>
      <c r="J493" s="127">
        <v>45967.44027777778</v>
      </c>
      <c r="K493" s="127">
        <v>46014.746527777781</v>
      </c>
      <c r="L493" s="127">
        <v>46014</v>
      </c>
      <c r="M493" s="127">
        <v>46014.625</v>
      </c>
      <c r="N493" t="s">
        <v>72</v>
      </c>
      <c r="O493" t="s">
        <v>122</v>
      </c>
      <c r="P493" t="s">
        <v>122</v>
      </c>
      <c r="Q493">
        <v>70173</v>
      </c>
      <c r="R493" t="s">
        <v>1417</v>
      </c>
      <c r="S493" t="s">
        <v>1418</v>
      </c>
      <c r="T493" t="s">
        <v>862</v>
      </c>
      <c r="U493" t="s">
        <v>126</v>
      </c>
    </row>
    <row r="494" spans="1:21" x14ac:dyDescent="0.25">
      <c r="A494" t="s">
        <v>118</v>
      </c>
      <c r="B494" t="s">
        <v>1419</v>
      </c>
      <c r="C494">
        <v>89206</v>
      </c>
      <c r="D494" t="s">
        <v>1420</v>
      </c>
      <c r="E494" t="s">
        <v>130</v>
      </c>
      <c r="F494" t="s">
        <v>85</v>
      </c>
      <c r="G494" t="s">
        <v>85</v>
      </c>
      <c r="H494" t="s">
        <v>122</v>
      </c>
      <c r="I494" t="s">
        <v>122</v>
      </c>
      <c r="J494" s="127">
        <v>45967.438194444447</v>
      </c>
      <c r="K494" s="127">
        <v>46014.746527777781</v>
      </c>
      <c r="L494" s="127">
        <v>46014</v>
      </c>
      <c r="M494" s="127">
        <v>46014.624305555553</v>
      </c>
      <c r="N494" t="s">
        <v>72</v>
      </c>
      <c r="O494" t="s">
        <v>122</v>
      </c>
      <c r="P494" t="s">
        <v>122</v>
      </c>
      <c r="Q494">
        <v>70180</v>
      </c>
      <c r="R494" t="s">
        <v>1421</v>
      </c>
      <c r="S494" t="s">
        <v>1422</v>
      </c>
      <c r="T494" t="s">
        <v>862</v>
      </c>
      <c r="U494" t="s">
        <v>126</v>
      </c>
    </row>
    <row r="495" spans="1:21" x14ac:dyDescent="0.25">
      <c r="A495" t="s">
        <v>118</v>
      </c>
      <c r="B495" t="s">
        <v>1423</v>
      </c>
      <c r="C495">
        <v>89202</v>
      </c>
      <c r="D495" t="s">
        <v>1424</v>
      </c>
      <c r="E495" t="s">
        <v>130</v>
      </c>
      <c r="F495" t="s">
        <v>85</v>
      </c>
      <c r="G495" t="s">
        <v>85</v>
      </c>
      <c r="H495" t="s">
        <v>122</v>
      </c>
      <c r="I495" t="s">
        <v>122</v>
      </c>
      <c r="J495" s="127">
        <v>45967.436111111114</v>
      </c>
      <c r="K495" s="127">
        <v>46014.746527777781</v>
      </c>
      <c r="L495" s="127">
        <v>46014</v>
      </c>
      <c r="M495" s="127">
        <v>46014.624305555553</v>
      </c>
      <c r="N495" t="s">
        <v>72</v>
      </c>
      <c r="O495" t="s">
        <v>122</v>
      </c>
      <c r="P495" t="s">
        <v>122</v>
      </c>
      <c r="Q495">
        <v>70179</v>
      </c>
      <c r="R495" t="s">
        <v>1425</v>
      </c>
      <c r="S495" t="s">
        <v>1426</v>
      </c>
      <c r="T495" t="s">
        <v>862</v>
      </c>
      <c r="U495" t="s">
        <v>126</v>
      </c>
    </row>
    <row r="496" spans="1:21" x14ac:dyDescent="0.25">
      <c r="A496" t="s">
        <v>118</v>
      </c>
      <c r="B496" t="s">
        <v>1427</v>
      </c>
      <c r="C496">
        <v>89200</v>
      </c>
      <c r="D496" t="s">
        <v>1428</v>
      </c>
      <c r="E496" t="s">
        <v>130</v>
      </c>
      <c r="F496" t="s">
        <v>85</v>
      </c>
      <c r="G496" t="s">
        <v>85</v>
      </c>
      <c r="H496" t="s">
        <v>122</v>
      </c>
      <c r="I496" t="s">
        <v>122</v>
      </c>
      <c r="J496" s="127">
        <v>45967.434027777781</v>
      </c>
      <c r="K496" s="127">
        <v>46014.745833333334</v>
      </c>
      <c r="L496" s="127">
        <v>46014</v>
      </c>
      <c r="M496" s="127">
        <v>46014.624305555553</v>
      </c>
      <c r="N496" t="s">
        <v>72</v>
      </c>
      <c r="O496" t="s">
        <v>122</v>
      </c>
      <c r="P496" t="s">
        <v>122</v>
      </c>
      <c r="Q496">
        <v>70178</v>
      </c>
      <c r="R496" t="s">
        <v>1429</v>
      </c>
      <c r="S496" t="s">
        <v>1430</v>
      </c>
      <c r="T496" t="s">
        <v>862</v>
      </c>
      <c r="U496" t="s">
        <v>126</v>
      </c>
    </row>
    <row r="497" spans="1:21" x14ac:dyDescent="0.25">
      <c r="A497" t="s">
        <v>118</v>
      </c>
      <c r="B497" t="s">
        <v>1431</v>
      </c>
      <c r="C497">
        <v>89198</v>
      </c>
      <c r="D497" t="s">
        <v>1432</v>
      </c>
      <c r="E497" t="s">
        <v>130</v>
      </c>
      <c r="F497" t="s">
        <v>85</v>
      </c>
      <c r="G497" t="s">
        <v>85</v>
      </c>
      <c r="H497" t="s">
        <v>122</v>
      </c>
      <c r="I497" t="s">
        <v>122</v>
      </c>
      <c r="J497" s="127">
        <v>45967.425694444442</v>
      </c>
      <c r="K497" s="127">
        <v>46014.745833333334</v>
      </c>
      <c r="L497" s="127">
        <v>46014</v>
      </c>
      <c r="M497" s="127">
        <v>46014.624305555553</v>
      </c>
      <c r="N497" t="s">
        <v>72</v>
      </c>
      <c r="O497" t="s">
        <v>122</v>
      </c>
      <c r="P497" t="s">
        <v>122</v>
      </c>
      <c r="Q497">
        <v>70176</v>
      </c>
      <c r="R497" t="s">
        <v>1433</v>
      </c>
      <c r="S497" t="s">
        <v>1434</v>
      </c>
      <c r="T497" t="s">
        <v>862</v>
      </c>
      <c r="U497" t="s">
        <v>126</v>
      </c>
    </row>
    <row r="498" spans="1:21" x14ac:dyDescent="0.25">
      <c r="A498" t="s">
        <v>118</v>
      </c>
      <c r="B498" t="s">
        <v>1435</v>
      </c>
      <c r="C498">
        <v>89196</v>
      </c>
      <c r="D498" t="s">
        <v>1436</v>
      </c>
      <c r="E498" t="s">
        <v>130</v>
      </c>
      <c r="F498" t="s">
        <v>85</v>
      </c>
      <c r="G498" t="s">
        <v>85</v>
      </c>
      <c r="H498" t="s">
        <v>122</v>
      </c>
      <c r="I498" t="s">
        <v>122</v>
      </c>
      <c r="J498" s="127">
        <v>45967.42291666667</v>
      </c>
      <c r="K498" s="127">
        <v>46014.745833333334</v>
      </c>
      <c r="L498" s="127">
        <v>46014</v>
      </c>
      <c r="M498" s="127">
        <v>46014.623611111114</v>
      </c>
      <c r="N498" t="s">
        <v>72</v>
      </c>
      <c r="O498" t="s">
        <v>122</v>
      </c>
      <c r="P498" t="s">
        <v>122</v>
      </c>
      <c r="Q498">
        <v>70175</v>
      </c>
      <c r="R498" t="s">
        <v>1437</v>
      </c>
      <c r="S498" t="s">
        <v>1438</v>
      </c>
      <c r="T498" t="s">
        <v>862</v>
      </c>
      <c r="U498" t="s">
        <v>126</v>
      </c>
    </row>
    <row r="499" spans="1:21" x14ac:dyDescent="0.25">
      <c r="A499" t="s">
        <v>118</v>
      </c>
      <c r="B499" t="s">
        <v>1439</v>
      </c>
      <c r="C499">
        <v>89192</v>
      </c>
      <c r="D499" t="s">
        <v>1440</v>
      </c>
      <c r="E499" t="s">
        <v>130</v>
      </c>
      <c r="F499" t="s">
        <v>85</v>
      </c>
      <c r="G499" t="s">
        <v>85</v>
      </c>
      <c r="H499" t="s">
        <v>122</v>
      </c>
      <c r="I499" t="s">
        <v>122</v>
      </c>
      <c r="J499" s="127">
        <v>45967.415972222225</v>
      </c>
      <c r="K499" s="127">
        <v>46014.745833333334</v>
      </c>
      <c r="L499" s="127">
        <v>46014</v>
      </c>
      <c r="M499" s="127">
        <v>46014.623611111114</v>
      </c>
      <c r="N499" t="s">
        <v>72</v>
      </c>
      <c r="O499" t="s">
        <v>122</v>
      </c>
      <c r="P499" t="s">
        <v>122</v>
      </c>
      <c r="Q499">
        <v>70174</v>
      </c>
      <c r="R499" t="s">
        <v>1441</v>
      </c>
      <c r="S499" t="s">
        <v>1442</v>
      </c>
      <c r="T499" t="s">
        <v>862</v>
      </c>
      <c r="U499" t="s">
        <v>126</v>
      </c>
    </row>
    <row r="500" spans="1:21" x14ac:dyDescent="0.25">
      <c r="A500" t="s">
        <v>118</v>
      </c>
      <c r="B500" t="s">
        <v>1443</v>
      </c>
      <c r="C500">
        <v>85831</v>
      </c>
      <c r="D500" t="s">
        <v>1444</v>
      </c>
      <c r="E500" t="s">
        <v>130</v>
      </c>
      <c r="F500" t="s">
        <v>73</v>
      </c>
      <c r="G500" t="s">
        <v>74</v>
      </c>
      <c r="H500" t="s">
        <v>122</v>
      </c>
      <c r="I500" t="s">
        <v>122</v>
      </c>
      <c r="J500" s="127">
        <v>45965.590277777781</v>
      </c>
      <c r="K500" s="127">
        <v>45993.617361111108</v>
      </c>
      <c r="L500" s="127">
        <v>45993</v>
      </c>
      <c r="M500" s="127">
        <v>45999.418749999997</v>
      </c>
      <c r="N500" t="s">
        <v>72</v>
      </c>
      <c r="O500" t="s">
        <v>122</v>
      </c>
      <c r="P500" t="s">
        <v>122</v>
      </c>
      <c r="Q500">
        <v>75088</v>
      </c>
      <c r="R500" t="s">
        <v>1037</v>
      </c>
      <c r="S500" t="s">
        <v>1038</v>
      </c>
      <c r="T500" t="s">
        <v>476</v>
      </c>
      <c r="U500" t="s">
        <v>126</v>
      </c>
    </row>
    <row r="501" spans="1:21" x14ac:dyDescent="0.25">
      <c r="A501" t="s">
        <v>253</v>
      </c>
      <c r="B501" t="s">
        <v>1445</v>
      </c>
      <c r="C501">
        <v>84081</v>
      </c>
      <c r="D501" t="s">
        <v>1446</v>
      </c>
      <c r="E501" t="s">
        <v>437</v>
      </c>
      <c r="F501" t="s">
        <v>76</v>
      </c>
      <c r="G501" t="s">
        <v>74</v>
      </c>
      <c r="H501" t="s">
        <v>122</v>
      </c>
      <c r="I501" t="s">
        <v>122</v>
      </c>
      <c r="J501" s="127">
        <v>45964.675694444442</v>
      </c>
      <c r="K501" s="127">
        <v>45964</v>
      </c>
      <c r="L501" s="127">
        <v>45965</v>
      </c>
      <c r="M501" s="127">
        <v>45968.386111111111</v>
      </c>
      <c r="N501" t="s">
        <v>72</v>
      </c>
      <c r="O501" t="s">
        <v>122</v>
      </c>
      <c r="P501" t="s">
        <v>122</v>
      </c>
      <c r="R501" t="s">
        <v>122</v>
      </c>
      <c r="S501" t="s">
        <v>122</v>
      </c>
      <c r="T501" t="s">
        <v>476</v>
      </c>
      <c r="U501" t="s">
        <v>126</v>
      </c>
    </row>
    <row r="502" spans="1:21" x14ac:dyDescent="0.25">
      <c r="A502" t="s">
        <v>118</v>
      </c>
      <c r="B502" t="s">
        <v>1447</v>
      </c>
      <c r="C502">
        <v>83301</v>
      </c>
      <c r="D502" t="s">
        <v>1448</v>
      </c>
      <c r="E502" t="s">
        <v>130</v>
      </c>
      <c r="F502" t="s">
        <v>497</v>
      </c>
      <c r="G502" t="s">
        <v>674</v>
      </c>
      <c r="H502" t="s">
        <v>122</v>
      </c>
      <c r="I502" t="s">
        <v>122</v>
      </c>
      <c r="J502" s="127">
        <v>45964.392361111109</v>
      </c>
      <c r="K502" s="127">
        <v>45964.602777777778</v>
      </c>
      <c r="L502" s="127">
        <v>45964</v>
      </c>
      <c r="M502" s="127">
        <v>45968.612500000003</v>
      </c>
      <c r="N502" t="s">
        <v>122</v>
      </c>
      <c r="O502" t="s">
        <v>122</v>
      </c>
      <c r="P502" t="s">
        <v>122</v>
      </c>
      <c r="Q502">
        <v>75807</v>
      </c>
      <c r="R502" t="s">
        <v>1449</v>
      </c>
      <c r="S502" t="s">
        <v>1450</v>
      </c>
      <c r="T502" t="s">
        <v>675</v>
      </c>
      <c r="U502" t="s">
        <v>450</v>
      </c>
    </row>
    <row r="503" spans="1:21" x14ac:dyDescent="0.25">
      <c r="A503" t="s">
        <v>118</v>
      </c>
      <c r="B503" t="s">
        <v>1451</v>
      </c>
      <c r="C503">
        <v>82744</v>
      </c>
      <c r="D503" t="s">
        <v>1452</v>
      </c>
      <c r="E503" t="s">
        <v>130</v>
      </c>
      <c r="F503" t="s">
        <v>497</v>
      </c>
      <c r="G503" t="s">
        <v>674</v>
      </c>
      <c r="H503" t="s">
        <v>122</v>
      </c>
      <c r="I503" t="s">
        <v>122</v>
      </c>
      <c r="J503" s="127">
        <v>45964.380555555559</v>
      </c>
      <c r="K503" s="127">
        <v>45964.602777777778</v>
      </c>
      <c r="L503" s="127">
        <v>45964</v>
      </c>
      <c r="M503" s="127">
        <v>46020.386111111111</v>
      </c>
      <c r="N503" t="s">
        <v>122</v>
      </c>
      <c r="O503" t="s">
        <v>122</v>
      </c>
      <c r="P503" t="s">
        <v>122</v>
      </c>
      <c r="Q503">
        <v>75791</v>
      </c>
      <c r="R503" t="s">
        <v>1453</v>
      </c>
      <c r="S503" t="s">
        <v>1454</v>
      </c>
      <c r="T503" t="s">
        <v>675</v>
      </c>
      <c r="U503" t="s">
        <v>450</v>
      </c>
    </row>
    <row r="504" spans="1:21" x14ac:dyDescent="0.25">
      <c r="A504" t="s">
        <v>118</v>
      </c>
      <c r="B504" t="s">
        <v>1455</v>
      </c>
      <c r="C504">
        <v>80539</v>
      </c>
      <c r="D504" t="s">
        <v>1456</v>
      </c>
      <c r="E504" t="s">
        <v>130</v>
      </c>
      <c r="F504" t="s">
        <v>82</v>
      </c>
      <c r="G504" t="s">
        <v>80</v>
      </c>
      <c r="H504" t="s">
        <v>122</v>
      </c>
      <c r="I504" t="s">
        <v>122</v>
      </c>
      <c r="J504" s="127">
        <v>45960.753472222219</v>
      </c>
      <c r="K504" s="127">
        <v>45978.534722222219</v>
      </c>
      <c r="L504" s="127">
        <v>45978.845138888886</v>
      </c>
      <c r="M504" s="127">
        <v>45986.393055555556</v>
      </c>
      <c r="N504" t="s">
        <v>72</v>
      </c>
      <c r="O504" t="s">
        <v>122</v>
      </c>
      <c r="P504" t="s">
        <v>122</v>
      </c>
      <c r="Q504">
        <v>70209</v>
      </c>
      <c r="R504" t="s">
        <v>1235</v>
      </c>
      <c r="S504" t="s">
        <v>1236</v>
      </c>
      <c r="T504" t="s">
        <v>471</v>
      </c>
      <c r="U504" t="s">
        <v>126</v>
      </c>
    </row>
    <row r="505" spans="1:21" x14ac:dyDescent="0.25">
      <c r="A505" t="s">
        <v>118</v>
      </c>
      <c r="B505" t="s">
        <v>1457</v>
      </c>
      <c r="C505">
        <v>80537</v>
      </c>
      <c r="D505" t="s">
        <v>1458</v>
      </c>
      <c r="E505" t="s">
        <v>130</v>
      </c>
      <c r="F505" t="s">
        <v>82</v>
      </c>
      <c r="G505" t="s">
        <v>80</v>
      </c>
      <c r="H505" t="s">
        <v>122</v>
      </c>
      <c r="I505" t="s">
        <v>122</v>
      </c>
      <c r="J505" s="127">
        <v>45960.752083333333</v>
      </c>
      <c r="K505" s="127">
        <v>45972.781944444447</v>
      </c>
      <c r="L505" s="127">
        <v>45978.497916666667</v>
      </c>
      <c r="M505" s="127">
        <v>45980.511111111111</v>
      </c>
      <c r="N505" t="s">
        <v>72</v>
      </c>
      <c r="O505" t="s">
        <v>122</v>
      </c>
      <c r="P505" t="s">
        <v>122</v>
      </c>
      <c r="Q505">
        <v>70209</v>
      </c>
      <c r="R505" t="s">
        <v>1235</v>
      </c>
      <c r="S505" t="s">
        <v>1236</v>
      </c>
      <c r="T505" t="s">
        <v>471</v>
      </c>
      <c r="U505" t="s">
        <v>126</v>
      </c>
    </row>
    <row r="506" spans="1:21" x14ac:dyDescent="0.25">
      <c r="A506" t="s">
        <v>142</v>
      </c>
      <c r="B506" t="s">
        <v>1459</v>
      </c>
      <c r="C506">
        <v>80531</v>
      </c>
      <c r="D506" t="s">
        <v>1460</v>
      </c>
      <c r="E506" t="s">
        <v>130</v>
      </c>
      <c r="F506" t="s">
        <v>82</v>
      </c>
      <c r="G506" t="s">
        <v>80</v>
      </c>
      <c r="H506" t="s">
        <v>122</v>
      </c>
      <c r="I506" t="s">
        <v>122</v>
      </c>
      <c r="J506" s="127">
        <v>45960.711111111108</v>
      </c>
      <c r="K506" s="127">
        <v>45964.736111111109</v>
      </c>
      <c r="L506" s="127">
        <v>45965</v>
      </c>
      <c r="M506" s="127">
        <v>45967.410416666666</v>
      </c>
      <c r="N506" t="s">
        <v>72</v>
      </c>
      <c r="O506" t="s">
        <v>122</v>
      </c>
      <c r="P506" t="s">
        <v>122</v>
      </c>
      <c r="Q506">
        <v>70209</v>
      </c>
      <c r="R506" t="s">
        <v>1235</v>
      </c>
      <c r="S506" t="s">
        <v>1236</v>
      </c>
      <c r="T506" t="s">
        <v>471</v>
      </c>
      <c r="U506" t="s">
        <v>126</v>
      </c>
    </row>
    <row r="507" spans="1:21" x14ac:dyDescent="0.25">
      <c r="A507" t="s">
        <v>118</v>
      </c>
      <c r="B507" t="s">
        <v>1461</v>
      </c>
      <c r="C507">
        <v>80429</v>
      </c>
      <c r="D507" t="s">
        <v>1462</v>
      </c>
      <c r="E507" t="s">
        <v>130</v>
      </c>
      <c r="F507" t="s">
        <v>82</v>
      </c>
      <c r="G507" t="s">
        <v>80</v>
      </c>
      <c r="H507" t="s">
        <v>122</v>
      </c>
      <c r="I507" t="s">
        <v>122</v>
      </c>
      <c r="J507" s="127">
        <v>45960.651388888888</v>
      </c>
      <c r="K507" s="127">
        <v>45978.534722222219</v>
      </c>
      <c r="L507" s="127">
        <v>45982.481249999997</v>
      </c>
      <c r="M507" s="127">
        <v>45989.446527777778</v>
      </c>
      <c r="N507" t="s">
        <v>72</v>
      </c>
      <c r="O507" t="s">
        <v>122</v>
      </c>
      <c r="P507" t="s">
        <v>122</v>
      </c>
      <c r="Q507">
        <v>70209</v>
      </c>
      <c r="R507" t="s">
        <v>1235</v>
      </c>
      <c r="S507" t="s">
        <v>1236</v>
      </c>
      <c r="T507" t="s">
        <v>471</v>
      </c>
      <c r="U507" t="s">
        <v>126</v>
      </c>
    </row>
    <row r="508" spans="1:21" x14ac:dyDescent="0.25">
      <c r="A508" t="s">
        <v>118</v>
      </c>
      <c r="B508" t="s">
        <v>1463</v>
      </c>
      <c r="C508">
        <v>80427</v>
      </c>
      <c r="D508" t="s">
        <v>1464</v>
      </c>
      <c r="E508" t="s">
        <v>130</v>
      </c>
      <c r="F508" t="s">
        <v>82</v>
      </c>
      <c r="G508" t="s">
        <v>80</v>
      </c>
      <c r="H508" t="s">
        <v>122</v>
      </c>
      <c r="I508" t="s">
        <v>122</v>
      </c>
      <c r="J508" s="127">
        <v>45960.649305555555</v>
      </c>
      <c r="K508" s="127">
        <v>45972.781944444447</v>
      </c>
      <c r="L508" s="127">
        <v>45973.51666666667</v>
      </c>
      <c r="M508" s="127">
        <v>45980.631944444445</v>
      </c>
      <c r="N508" t="s">
        <v>72</v>
      </c>
      <c r="O508" t="s">
        <v>122</v>
      </c>
      <c r="P508" t="s">
        <v>122</v>
      </c>
      <c r="Q508">
        <v>70209</v>
      </c>
      <c r="R508" t="s">
        <v>1235</v>
      </c>
      <c r="S508" t="s">
        <v>1236</v>
      </c>
      <c r="T508" t="s">
        <v>471</v>
      </c>
      <c r="U508" t="s">
        <v>126</v>
      </c>
    </row>
    <row r="509" spans="1:21" x14ac:dyDescent="0.25">
      <c r="A509" t="s">
        <v>118</v>
      </c>
      <c r="B509" t="s">
        <v>1465</v>
      </c>
      <c r="C509">
        <v>80425</v>
      </c>
      <c r="D509" t="s">
        <v>1466</v>
      </c>
      <c r="E509" t="s">
        <v>130</v>
      </c>
      <c r="F509" t="s">
        <v>82</v>
      </c>
      <c r="G509" t="s">
        <v>80</v>
      </c>
      <c r="H509" t="s">
        <v>122</v>
      </c>
      <c r="I509" t="s">
        <v>122</v>
      </c>
      <c r="J509" s="127">
        <v>45960.645138888889</v>
      </c>
      <c r="K509" s="127">
        <v>45971.765277777777</v>
      </c>
      <c r="L509" s="127">
        <v>45971.767361111109</v>
      </c>
      <c r="M509" s="127">
        <v>45975.737500000003</v>
      </c>
      <c r="N509" t="s">
        <v>72</v>
      </c>
      <c r="O509" t="s">
        <v>122</v>
      </c>
      <c r="P509" t="s">
        <v>122</v>
      </c>
      <c r="Q509">
        <v>70209</v>
      </c>
      <c r="R509" t="s">
        <v>1235</v>
      </c>
      <c r="S509" t="s">
        <v>1236</v>
      </c>
      <c r="T509" t="s">
        <v>471</v>
      </c>
      <c r="U509" t="s">
        <v>126</v>
      </c>
    </row>
    <row r="510" spans="1:21" x14ac:dyDescent="0.25">
      <c r="A510" t="s">
        <v>118</v>
      </c>
      <c r="B510" t="s">
        <v>1467</v>
      </c>
      <c r="C510">
        <v>77395</v>
      </c>
      <c r="D510" t="s">
        <v>1468</v>
      </c>
      <c r="E510" t="s">
        <v>130</v>
      </c>
      <c r="F510" t="s">
        <v>497</v>
      </c>
      <c r="G510" t="s">
        <v>674</v>
      </c>
      <c r="H510" t="s">
        <v>122</v>
      </c>
      <c r="I510" t="s">
        <v>122</v>
      </c>
      <c r="J510" s="127">
        <v>45957.397222222222</v>
      </c>
      <c r="K510" s="127">
        <v>45958.555555555555</v>
      </c>
      <c r="L510" s="127">
        <v>45958</v>
      </c>
      <c r="M510" s="127">
        <v>45964.600694444445</v>
      </c>
      <c r="N510" t="s">
        <v>122</v>
      </c>
      <c r="O510" t="s">
        <v>122</v>
      </c>
      <c r="P510" t="s">
        <v>122</v>
      </c>
      <c r="Q510">
        <v>75791</v>
      </c>
      <c r="R510" t="s">
        <v>1453</v>
      </c>
      <c r="S510" t="s">
        <v>1454</v>
      </c>
      <c r="T510" t="s">
        <v>675</v>
      </c>
      <c r="U510" t="s">
        <v>450</v>
      </c>
    </row>
    <row r="511" spans="1:21" x14ac:dyDescent="0.25">
      <c r="A511" t="s">
        <v>118</v>
      </c>
      <c r="B511" t="s">
        <v>1469</v>
      </c>
      <c r="C511">
        <v>77043</v>
      </c>
      <c r="D511" t="s">
        <v>1470</v>
      </c>
      <c r="E511" t="s">
        <v>130</v>
      </c>
      <c r="F511" t="s">
        <v>497</v>
      </c>
      <c r="G511" t="s">
        <v>674</v>
      </c>
      <c r="H511" t="s">
        <v>122</v>
      </c>
      <c r="I511" t="s">
        <v>122</v>
      </c>
      <c r="J511" s="127">
        <v>45957.386111111111</v>
      </c>
      <c r="K511" s="127">
        <v>45958.555555555555</v>
      </c>
      <c r="L511" s="127">
        <v>45958</v>
      </c>
      <c r="M511" s="127">
        <v>45964.38958333333</v>
      </c>
      <c r="N511" t="s">
        <v>122</v>
      </c>
      <c r="O511" t="s">
        <v>122</v>
      </c>
      <c r="P511" t="s">
        <v>122</v>
      </c>
      <c r="Q511">
        <v>75791</v>
      </c>
      <c r="R511" t="s">
        <v>1453</v>
      </c>
      <c r="S511" t="s">
        <v>1454</v>
      </c>
      <c r="T511" t="s">
        <v>675</v>
      </c>
      <c r="U511" t="s">
        <v>450</v>
      </c>
    </row>
    <row r="512" spans="1:21" x14ac:dyDescent="0.25">
      <c r="A512" t="s">
        <v>118</v>
      </c>
      <c r="B512" t="s">
        <v>1471</v>
      </c>
      <c r="C512">
        <v>75639</v>
      </c>
      <c r="D512" t="s">
        <v>1472</v>
      </c>
      <c r="E512" t="s">
        <v>130</v>
      </c>
      <c r="F512" t="s">
        <v>73</v>
      </c>
      <c r="G512" t="s">
        <v>74</v>
      </c>
      <c r="H512" t="s">
        <v>122</v>
      </c>
      <c r="I512" t="s">
        <v>122</v>
      </c>
      <c r="J512" s="127">
        <v>45952.744444444441</v>
      </c>
      <c r="K512" s="127">
        <v>46011.530555555553</v>
      </c>
      <c r="L512" s="127">
        <v>46011</v>
      </c>
      <c r="M512" s="127">
        <v>46017.445138888892</v>
      </c>
      <c r="N512" t="s">
        <v>72</v>
      </c>
      <c r="O512" t="s">
        <v>122</v>
      </c>
      <c r="P512" t="s">
        <v>122</v>
      </c>
      <c r="Q512">
        <v>70448</v>
      </c>
      <c r="R512" t="s">
        <v>1473</v>
      </c>
      <c r="S512" t="s">
        <v>1474</v>
      </c>
      <c r="T512" t="s">
        <v>476</v>
      </c>
      <c r="U512" t="s">
        <v>126</v>
      </c>
    </row>
    <row r="513" spans="1:21" x14ac:dyDescent="0.25">
      <c r="A513" t="s">
        <v>118</v>
      </c>
      <c r="B513" t="s">
        <v>1475</v>
      </c>
      <c r="C513">
        <v>75143</v>
      </c>
      <c r="D513" t="s">
        <v>1476</v>
      </c>
      <c r="E513" t="s">
        <v>130</v>
      </c>
      <c r="F513" t="s">
        <v>82</v>
      </c>
      <c r="G513" t="s">
        <v>80</v>
      </c>
      <c r="H513" t="s">
        <v>122</v>
      </c>
      <c r="I513" t="s">
        <v>122</v>
      </c>
      <c r="J513" s="127">
        <v>45951.624305555553</v>
      </c>
      <c r="K513" s="127">
        <v>45957.73541666667</v>
      </c>
      <c r="L513" s="127">
        <v>45967</v>
      </c>
      <c r="M513" s="127">
        <v>45973.554861111108</v>
      </c>
      <c r="N513" t="s">
        <v>72</v>
      </c>
      <c r="O513" t="s">
        <v>122</v>
      </c>
      <c r="P513" t="s">
        <v>122</v>
      </c>
      <c r="Q513">
        <v>70209</v>
      </c>
      <c r="R513" t="s">
        <v>1235</v>
      </c>
      <c r="S513" t="s">
        <v>1236</v>
      </c>
      <c r="T513" t="s">
        <v>471</v>
      </c>
      <c r="U513" t="s">
        <v>126</v>
      </c>
    </row>
    <row r="514" spans="1:21" x14ac:dyDescent="0.25">
      <c r="A514" t="s">
        <v>253</v>
      </c>
      <c r="B514" t="s">
        <v>1477</v>
      </c>
      <c r="C514">
        <v>75134</v>
      </c>
      <c r="D514" t="s">
        <v>1478</v>
      </c>
      <c r="E514" t="s">
        <v>437</v>
      </c>
      <c r="F514" t="s">
        <v>76</v>
      </c>
      <c r="G514" t="s">
        <v>74</v>
      </c>
      <c r="H514" t="s">
        <v>122</v>
      </c>
      <c r="I514" t="s">
        <v>122</v>
      </c>
      <c r="J514" s="127">
        <v>45951.502083333333</v>
      </c>
      <c r="K514" s="127">
        <v>45953.595138888886</v>
      </c>
      <c r="L514" s="127">
        <v>45953</v>
      </c>
      <c r="M514" s="127">
        <v>45953.470833333333</v>
      </c>
      <c r="N514" t="s">
        <v>72</v>
      </c>
      <c r="O514" t="s">
        <v>122</v>
      </c>
      <c r="P514" t="s">
        <v>122</v>
      </c>
      <c r="R514" t="s">
        <v>122</v>
      </c>
      <c r="S514" t="s">
        <v>122</v>
      </c>
      <c r="T514" t="s">
        <v>476</v>
      </c>
      <c r="U514" t="s">
        <v>126</v>
      </c>
    </row>
    <row r="515" spans="1:21" x14ac:dyDescent="0.25">
      <c r="A515" t="s">
        <v>118</v>
      </c>
      <c r="B515" t="s">
        <v>1479</v>
      </c>
      <c r="C515">
        <v>75071</v>
      </c>
      <c r="D515" t="s">
        <v>1480</v>
      </c>
      <c r="E515" t="s">
        <v>130</v>
      </c>
      <c r="F515" t="s">
        <v>82</v>
      </c>
      <c r="G515" t="s">
        <v>80</v>
      </c>
      <c r="H515" t="s">
        <v>122</v>
      </c>
      <c r="I515" t="s">
        <v>122</v>
      </c>
      <c r="J515" s="127">
        <v>45951.416666666664</v>
      </c>
      <c r="K515" s="127">
        <v>45957.73541666667</v>
      </c>
      <c r="L515" s="127">
        <v>45967</v>
      </c>
      <c r="M515" s="127">
        <v>45989.504166666666</v>
      </c>
      <c r="N515" t="s">
        <v>72</v>
      </c>
      <c r="O515" t="s">
        <v>122</v>
      </c>
      <c r="P515" t="s">
        <v>122</v>
      </c>
      <c r="Q515">
        <v>70209</v>
      </c>
      <c r="R515" t="s">
        <v>1235</v>
      </c>
      <c r="S515" t="s">
        <v>1236</v>
      </c>
      <c r="T515" t="s">
        <v>471</v>
      </c>
      <c r="U515" t="s">
        <v>126</v>
      </c>
    </row>
    <row r="516" spans="1:21" x14ac:dyDescent="0.25">
      <c r="A516" t="s">
        <v>118</v>
      </c>
      <c r="B516" t="s">
        <v>1481</v>
      </c>
      <c r="C516">
        <v>75031</v>
      </c>
      <c r="D516" t="s">
        <v>1482</v>
      </c>
      <c r="E516" t="s">
        <v>130</v>
      </c>
      <c r="F516" t="s">
        <v>82</v>
      </c>
      <c r="G516" t="s">
        <v>80</v>
      </c>
      <c r="H516" t="s">
        <v>122</v>
      </c>
      <c r="I516" t="s">
        <v>122</v>
      </c>
      <c r="J516" s="127">
        <v>45951.399305555555</v>
      </c>
      <c r="K516" s="127">
        <v>45957.73541666667</v>
      </c>
      <c r="L516" s="127">
        <v>45967</v>
      </c>
      <c r="M516" s="127">
        <v>45973.772222222222</v>
      </c>
      <c r="N516" t="s">
        <v>72</v>
      </c>
      <c r="O516" t="s">
        <v>122</v>
      </c>
      <c r="P516" t="s">
        <v>122</v>
      </c>
      <c r="Q516">
        <v>70209</v>
      </c>
      <c r="R516" t="s">
        <v>1235</v>
      </c>
      <c r="S516" t="s">
        <v>1236</v>
      </c>
      <c r="T516" t="s">
        <v>471</v>
      </c>
      <c r="U516" t="s">
        <v>126</v>
      </c>
    </row>
    <row r="517" spans="1:21" x14ac:dyDescent="0.25">
      <c r="A517" t="s">
        <v>127</v>
      </c>
      <c r="B517" t="s">
        <v>1483</v>
      </c>
      <c r="C517">
        <v>74995</v>
      </c>
      <c r="D517" t="s">
        <v>1484</v>
      </c>
      <c r="E517" t="s">
        <v>223</v>
      </c>
      <c r="F517" t="s">
        <v>79</v>
      </c>
      <c r="G517" t="s">
        <v>513</v>
      </c>
      <c r="H517" t="s">
        <v>122</v>
      </c>
      <c r="I517" t="s">
        <v>122</v>
      </c>
      <c r="J517" s="127">
        <v>45951.375694444447</v>
      </c>
      <c r="K517" s="127">
        <v>45951.607638888891</v>
      </c>
      <c r="L517" s="127"/>
      <c r="M517" s="127">
        <v>45952.345138888886</v>
      </c>
      <c r="N517" t="s">
        <v>72</v>
      </c>
      <c r="O517" t="s">
        <v>122</v>
      </c>
      <c r="P517" t="s">
        <v>122</v>
      </c>
      <c r="Q517">
        <v>74488</v>
      </c>
      <c r="R517" t="s">
        <v>1118</v>
      </c>
      <c r="S517" t="s">
        <v>1119</v>
      </c>
      <c r="T517" t="s">
        <v>546</v>
      </c>
      <c r="U517" t="s">
        <v>126</v>
      </c>
    </row>
    <row r="518" spans="1:21" x14ac:dyDescent="0.25">
      <c r="A518" t="s">
        <v>118</v>
      </c>
      <c r="B518" t="s">
        <v>1485</v>
      </c>
      <c r="C518">
        <v>74971</v>
      </c>
      <c r="D518" t="s">
        <v>1486</v>
      </c>
      <c r="E518" t="s">
        <v>130</v>
      </c>
      <c r="F518" t="s">
        <v>79</v>
      </c>
      <c r="G518" t="s">
        <v>513</v>
      </c>
      <c r="H518" t="s">
        <v>122</v>
      </c>
      <c r="I518" t="s">
        <v>122</v>
      </c>
      <c r="J518" s="127">
        <v>45951.369444444441</v>
      </c>
      <c r="K518" s="127">
        <v>45951.60833333333</v>
      </c>
      <c r="L518" s="127">
        <v>45952</v>
      </c>
      <c r="M518" s="127">
        <v>45966.494444444441</v>
      </c>
      <c r="N518" t="s">
        <v>72</v>
      </c>
      <c r="O518" t="s">
        <v>122</v>
      </c>
      <c r="P518" t="s">
        <v>122</v>
      </c>
      <c r="Q518">
        <v>74488</v>
      </c>
      <c r="R518" t="s">
        <v>1118</v>
      </c>
      <c r="S518" t="s">
        <v>1119</v>
      </c>
      <c r="T518" t="s">
        <v>546</v>
      </c>
      <c r="U518" t="s">
        <v>126</v>
      </c>
    </row>
    <row r="519" spans="1:21" x14ac:dyDescent="0.25">
      <c r="A519" t="s">
        <v>118</v>
      </c>
      <c r="B519" t="s">
        <v>1487</v>
      </c>
      <c r="C519">
        <v>74969</v>
      </c>
      <c r="D519" t="s">
        <v>1488</v>
      </c>
      <c r="E519" t="s">
        <v>130</v>
      </c>
      <c r="F519" t="s">
        <v>79</v>
      </c>
      <c r="G519" t="s">
        <v>513</v>
      </c>
      <c r="H519" t="s">
        <v>122</v>
      </c>
      <c r="I519" t="s">
        <v>122</v>
      </c>
      <c r="J519" s="127">
        <v>45951.369444444441</v>
      </c>
      <c r="K519" s="127">
        <v>45951.577777777777</v>
      </c>
      <c r="L519" s="127">
        <v>45952</v>
      </c>
      <c r="M519" s="127">
        <v>45960.716666666667</v>
      </c>
      <c r="N519" t="s">
        <v>72</v>
      </c>
      <c r="O519" t="s">
        <v>122</v>
      </c>
      <c r="P519" t="s">
        <v>122</v>
      </c>
      <c r="Q519">
        <v>74488</v>
      </c>
      <c r="R519" t="s">
        <v>1118</v>
      </c>
      <c r="S519" t="s">
        <v>1119</v>
      </c>
      <c r="T519" t="s">
        <v>546</v>
      </c>
      <c r="U519" t="s">
        <v>126</v>
      </c>
    </row>
    <row r="520" spans="1:21" x14ac:dyDescent="0.25">
      <c r="A520" t="s">
        <v>118</v>
      </c>
      <c r="B520" t="s">
        <v>1489</v>
      </c>
      <c r="C520">
        <v>74967</v>
      </c>
      <c r="D520" t="s">
        <v>1490</v>
      </c>
      <c r="E520" t="s">
        <v>130</v>
      </c>
      <c r="F520" t="s">
        <v>79</v>
      </c>
      <c r="G520" t="s">
        <v>513</v>
      </c>
      <c r="H520" t="s">
        <v>122</v>
      </c>
      <c r="I520" t="s">
        <v>122</v>
      </c>
      <c r="J520" s="127">
        <v>45951.368750000001</v>
      </c>
      <c r="K520" s="127">
        <v>45951.574999999997</v>
      </c>
      <c r="L520" s="127">
        <v>45951</v>
      </c>
      <c r="M520" s="127">
        <v>45953.452777777777</v>
      </c>
      <c r="N520" t="s">
        <v>72</v>
      </c>
      <c r="O520" t="s">
        <v>122</v>
      </c>
      <c r="P520" t="s">
        <v>122</v>
      </c>
      <c r="Q520">
        <v>74488</v>
      </c>
      <c r="R520" t="s">
        <v>1118</v>
      </c>
      <c r="S520" t="s">
        <v>1119</v>
      </c>
      <c r="T520" t="s">
        <v>546</v>
      </c>
      <c r="U520" t="s">
        <v>126</v>
      </c>
    </row>
    <row r="521" spans="1:21" x14ac:dyDescent="0.25">
      <c r="A521" t="s">
        <v>118</v>
      </c>
      <c r="B521" t="s">
        <v>1491</v>
      </c>
      <c r="C521">
        <v>74848</v>
      </c>
      <c r="D521" t="s">
        <v>1492</v>
      </c>
      <c r="E521" t="s">
        <v>223</v>
      </c>
      <c r="F521" t="s">
        <v>122</v>
      </c>
      <c r="G521" t="s">
        <v>74</v>
      </c>
      <c r="H521" t="s">
        <v>513</v>
      </c>
      <c r="I521" t="s">
        <v>122</v>
      </c>
      <c r="J521" s="127">
        <v>45950.621527777781</v>
      </c>
      <c r="K521" s="127">
        <v>45964.552083333336</v>
      </c>
      <c r="L521" s="127"/>
      <c r="M521" s="127">
        <v>45994.649305555555</v>
      </c>
      <c r="N521" t="s">
        <v>72</v>
      </c>
      <c r="O521" t="s">
        <v>122</v>
      </c>
      <c r="P521" t="s">
        <v>122</v>
      </c>
      <c r="R521" t="s">
        <v>122</v>
      </c>
      <c r="S521" t="s">
        <v>122</v>
      </c>
      <c r="T521" t="s">
        <v>516</v>
      </c>
      <c r="U521" t="s">
        <v>126</v>
      </c>
    </row>
    <row r="522" spans="1:21" x14ac:dyDescent="0.25">
      <c r="A522" t="s">
        <v>118</v>
      </c>
      <c r="B522" t="s">
        <v>1493</v>
      </c>
      <c r="C522">
        <v>74824</v>
      </c>
      <c r="D522" t="s">
        <v>1119</v>
      </c>
      <c r="E522" t="s">
        <v>223</v>
      </c>
      <c r="F522" t="s">
        <v>122</v>
      </c>
      <c r="G522" t="s">
        <v>513</v>
      </c>
      <c r="H522" t="s">
        <v>122</v>
      </c>
      <c r="I522" t="s">
        <v>122</v>
      </c>
      <c r="J522" s="127">
        <v>45950.496527777781</v>
      </c>
      <c r="K522" s="127"/>
      <c r="L522" s="127"/>
      <c r="M522" s="127">
        <v>45953.74722222222</v>
      </c>
      <c r="N522" t="s">
        <v>72</v>
      </c>
      <c r="O522" t="s">
        <v>122</v>
      </c>
      <c r="P522" t="s">
        <v>122</v>
      </c>
      <c r="Q522">
        <v>74488</v>
      </c>
      <c r="R522" t="s">
        <v>1118</v>
      </c>
      <c r="S522" t="s">
        <v>1119</v>
      </c>
      <c r="T522" t="s">
        <v>546</v>
      </c>
      <c r="U522" t="s">
        <v>126</v>
      </c>
    </row>
    <row r="523" spans="1:21" x14ac:dyDescent="0.25">
      <c r="A523" t="s">
        <v>118</v>
      </c>
      <c r="B523" t="s">
        <v>1494</v>
      </c>
      <c r="C523">
        <v>74426</v>
      </c>
      <c r="D523" t="s">
        <v>1495</v>
      </c>
      <c r="E523" t="s">
        <v>130</v>
      </c>
      <c r="F523" t="s">
        <v>90</v>
      </c>
      <c r="G523" t="s">
        <v>80</v>
      </c>
      <c r="H523" t="s">
        <v>122</v>
      </c>
      <c r="I523" t="s">
        <v>122</v>
      </c>
      <c r="J523" s="127">
        <v>45947.427083333336</v>
      </c>
      <c r="K523" s="127">
        <v>45978.775694444441</v>
      </c>
      <c r="L523" s="127">
        <v>45989.522916666669</v>
      </c>
      <c r="M523" s="127">
        <v>46038.506944444445</v>
      </c>
      <c r="N523" t="s">
        <v>78</v>
      </c>
      <c r="O523" t="s">
        <v>122</v>
      </c>
      <c r="P523" t="s">
        <v>122</v>
      </c>
      <c r="Q523">
        <v>99226</v>
      </c>
      <c r="R523" t="s">
        <v>847</v>
      </c>
      <c r="S523" t="s">
        <v>848</v>
      </c>
      <c r="T523" t="s">
        <v>471</v>
      </c>
      <c r="U523" t="s">
        <v>462</v>
      </c>
    </row>
    <row r="524" spans="1:21" x14ac:dyDescent="0.25">
      <c r="A524" t="s">
        <v>127</v>
      </c>
      <c r="B524" t="s">
        <v>1496</v>
      </c>
      <c r="C524">
        <v>74301</v>
      </c>
      <c r="D524" t="s">
        <v>1497</v>
      </c>
      <c r="E524" t="s">
        <v>130</v>
      </c>
      <c r="F524" t="s">
        <v>76</v>
      </c>
      <c r="G524" t="s">
        <v>77</v>
      </c>
      <c r="H524" t="s">
        <v>122</v>
      </c>
      <c r="I524" t="s">
        <v>122</v>
      </c>
      <c r="J524" s="127">
        <v>45947.40347222222</v>
      </c>
      <c r="K524" s="127">
        <v>45954.526388888888</v>
      </c>
      <c r="L524" s="127">
        <v>45954</v>
      </c>
      <c r="M524" s="127">
        <v>45980.62222222222</v>
      </c>
      <c r="N524" t="s">
        <v>72</v>
      </c>
      <c r="O524" t="s">
        <v>122</v>
      </c>
      <c r="P524" t="s">
        <v>122</v>
      </c>
      <c r="Q524">
        <v>70419</v>
      </c>
      <c r="R524" t="s">
        <v>1403</v>
      </c>
      <c r="S524" t="s">
        <v>1404</v>
      </c>
      <c r="T524" t="s">
        <v>481</v>
      </c>
      <c r="U524" t="s">
        <v>126</v>
      </c>
    </row>
    <row r="525" spans="1:21" x14ac:dyDescent="0.25">
      <c r="A525" t="s">
        <v>127</v>
      </c>
      <c r="B525" t="s">
        <v>1498</v>
      </c>
      <c r="C525">
        <v>74300</v>
      </c>
      <c r="D525" t="s">
        <v>1499</v>
      </c>
      <c r="E525" t="s">
        <v>130</v>
      </c>
      <c r="F525" t="s">
        <v>76</v>
      </c>
      <c r="G525" t="s">
        <v>77</v>
      </c>
      <c r="H525" t="s">
        <v>122</v>
      </c>
      <c r="I525" t="s">
        <v>122</v>
      </c>
      <c r="J525" s="127">
        <v>45947.402083333334</v>
      </c>
      <c r="K525" s="127">
        <v>45954.556250000001</v>
      </c>
      <c r="L525" s="127">
        <v>45954</v>
      </c>
      <c r="M525" s="127">
        <v>45980.62222222222</v>
      </c>
      <c r="N525" t="s">
        <v>72</v>
      </c>
      <c r="O525" t="s">
        <v>122</v>
      </c>
      <c r="P525" t="s">
        <v>122</v>
      </c>
      <c r="Q525">
        <v>70419</v>
      </c>
      <c r="R525" t="s">
        <v>1403</v>
      </c>
      <c r="S525" t="s">
        <v>1404</v>
      </c>
      <c r="T525" t="s">
        <v>481</v>
      </c>
      <c r="U525" t="s">
        <v>126</v>
      </c>
    </row>
    <row r="526" spans="1:21" x14ac:dyDescent="0.25">
      <c r="A526" t="s">
        <v>127</v>
      </c>
      <c r="B526" t="s">
        <v>1500</v>
      </c>
      <c r="C526">
        <v>74070</v>
      </c>
      <c r="D526" t="s">
        <v>1501</v>
      </c>
      <c r="E526" t="s">
        <v>130</v>
      </c>
      <c r="F526" t="s">
        <v>82</v>
      </c>
      <c r="G526" t="s">
        <v>80</v>
      </c>
      <c r="H526" t="s">
        <v>122</v>
      </c>
      <c r="I526" t="s">
        <v>122</v>
      </c>
      <c r="J526" s="127">
        <v>45946.616666666669</v>
      </c>
      <c r="K526" s="127">
        <v>45947.520833333336</v>
      </c>
      <c r="L526" s="127">
        <v>45947</v>
      </c>
      <c r="M526" s="127">
        <v>45950.382638888892</v>
      </c>
      <c r="N526" t="s">
        <v>72</v>
      </c>
      <c r="O526" t="s">
        <v>122</v>
      </c>
      <c r="P526" t="s">
        <v>122</v>
      </c>
      <c r="Q526">
        <v>70282</v>
      </c>
      <c r="R526" t="s">
        <v>1502</v>
      </c>
      <c r="S526" t="s">
        <v>1503</v>
      </c>
      <c r="T526" t="s">
        <v>471</v>
      </c>
      <c r="U526" t="s">
        <v>126</v>
      </c>
    </row>
    <row r="527" spans="1:21" x14ac:dyDescent="0.25">
      <c r="A527" t="s">
        <v>118</v>
      </c>
      <c r="B527" t="s">
        <v>1504</v>
      </c>
      <c r="C527">
        <v>73414</v>
      </c>
      <c r="D527" t="s">
        <v>1505</v>
      </c>
      <c r="E527" t="s">
        <v>130</v>
      </c>
      <c r="F527" t="s">
        <v>76</v>
      </c>
      <c r="G527" t="s">
        <v>77</v>
      </c>
      <c r="H527" t="s">
        <v>122</v>
      </c>
      <c r="I527" t="s">
        <v>122</v>
      </c>
      <c r="J527" s="127">
        <v>45946.474999999999</v>
      </c>
      <c r="K527" s="127">
        <v>45978.575694444444</v>
      </c>
      <c r="L527" s="127">
        <v>45979.56527777778</v>
      </c>
      <c r="M527" s="127">
        <v>46008.642361111109</v>
      </c>
      <c r="N527" t="s">
        <v>72</v>
      </c>
      <c r="O527" t="s">
        <v>122</v>
      </c>
      <c r="P527" t="s">
        <v>122</v>
      </c>
      <c r="Q527">
        <v>70421</v>
      </c>
      <c r="R527" t="s">
        <v>1506</v>
      </c>
      <c r="S527" t="s">
        <v>1507</v>
      </c>
      <c r="T527" t="s">
        <v>481</v>
      </c>
      <c r="U527" t="s">
        <v>126</v>
      </c>
    </row>
    <row r="528" spans="1:21" x14ac:dyDescent="0.25">
      <c r="A528" t="s">
        <v>118</v>
      </c>
      <c r="B528" t="s">
        <v>1508</v>
      </c>
      <c r="C528">
        <v>73412</v>
      </c>
      <c r="D528" t="s">
        <v>1509</v>
      </c>
      <c r="E528" t="s">
        <v>130</v>
      </c>
      <c r="F528" t="s">
        <v>76</v>
      </c>
      <c r="G528" t="s">
        <v>77</v>
      </c>
      <c r="H528" t="s">
        <v>122</v>
      </c>
      <c r="I528" t="s">
        <v>122</v>
      </c>
      <c r="J528" s="127">
        <v>45946.474305555559</v>
      </c>
      <c r="K528" s="127">
        <v>46003.770138888889</v>
      </c>
      <c r="L528" s="127">
        <v>46003</v>
      </c>
      <c r="M528" s="127">
        <v>46008.65</v>
      </c>
      <c r="N528" t="s">
        <v>72</v>
      </c>
      <c r="O528" t="s">
        <v>122</v>
      </c>
      <c r="P528" t="s">
        <v>122</v>
      </c>
      <c r="Q528">
        <v>70421</v>
      </c>
      <c r="R528" t="s">
        <v>1506</v>
      </c>
      <c r="S528" t="s">
        <v>1507</v>
      </c>
      <c r="T528" t="s">
        <v>481</v>
      </c>
      <c r="U528" t="s">
        <v>126</v>
      </c>
    </row>
    <row r="529" spans="1:21" x14ac:dyDescent="0.25">
      <c r="A529" t="s">
        <v>118</v>
      </c>
      <c r="B529" t="s">
        <v>1510</v>
      </c>
      <c r="C529">
        <v>73410</v>
      </c>
      <c r="D529" t="s">
        <v>1511</v>
      </c>
      <c r="E529" t="s">
        <v>130</v>
      </c>
      <c r="F529" t="s">
        <v>76</v>
      </c>
      <c r="G529" t="s">
        <v>77</v>
      </c>
      <c r="H529" t="s">
        <v>122</v>
      </c>
      <c r="I529" t="s">
        <v>122</v>
      </c>
      <c r="J529" s="127">
        <v>45946.473611111112</v>
      </c>
      <c r="K529" s="127">
        <v>45964.56527777778</v>
      </c>
      <c r="L529" s="127">
        <v>45971.589583333334</v>
      </c>
      <c r="M529" s="127">
        <v>45975.460416666669</v>
      </c>
      <c r="N529" t="s">
        <v>72</v>
      </c>
      <c r="O529" t="s">
        <v>122</v>
      </c>
      <c r="P529" t="s">
        <v>122</v>
      </c>
      <c r="Q529">
        <v>70419</v>
      </c>
      <c r="R529" t="s">
        <v>1403</v>
      </c>
      <c r="S529" t="s">
        <v>1404</v>
      </c>
      <c r="T529" t="s">
        <v>481</v>
      </c>
      <c r="U529" t="s">
        <v>126</v>
      </c>
    </row>
    <row r="530" spans="1:21" x14ac:dyDescent="0.25">
      <c r="A530" t="s">
        <v>118</v>
      </c>
      <c r="B530" t="s">
        <v>1512</v>
      </c>
      <c r="C530">
        <v>73408</v>
      </c>
      <c r="D530" t="s">
        <v>1513</v>
      </c>
      <c r="E530" t="s">
        <v>130</v>
      </c>
      <c r="F530" t="s">
        <v>76</v>
      </c>
      <c r="G530" t="s">
        <v>77</v>
      </c>
      <c r="H530" t="s">
        <v>122</v>
      </c>
      <c r="I530" t="s">
        <v>122</v>
      </c>
      <c r="J530" s="127">
        <v>45946.473611111112</v>
      </c>
      <c r="K530" s="127">
        <v>45957.741666666669</v>
      </c>
      <c r="L530" s="127">
        <v>45959</v>
      </c>
      <c r="M530" s="127">
        <v>45989.436805555553</v>
      </c>
      <c r="N530" t="s">
        <v>72</v>
      </c>
      <c r="O530" t="s">
        <v>122</v>
      </c>
      <c r="P530" t="s">
        <v>122</v>
      </c>
      <c r="Q530">
        <v>70419</v>
      </c>
      <c r="R530" t="s">
        <v>1403</v>
      </c>
      <c r="S530" t="s">
        <v>1404</v>
      </c>
      <c r="T530" t="s">
        <v>481</v>
      </c>
      <c r="U530" t="s">
        <v>126</v>
      </c>
    </row>
    <row r="531" spans="1:21" x14ac:dyDescent="0.25">
      <c r="A531" t="s">
        <v>118</v>
      </c>
      <c r="B531" t="s">
        <v>1514</v>
      </c>
      <c r="C531">
        <v>73406</v>
      </c>
      <c r="D531" t="s">
        <v>1515</v>
      </c>
      <c r="E531" t="s">
        <v>130</v>
      </c>
      <c r="F531" t="s">
        <v>76</v>
      </c>
      <c r="G531" t="s">
        <v>77</v>
      </c>
      <c r="H531" t="s">
        <v>122</v>
      </c>
      <c r="I531" t="s">
        <v>122</v>
      </c>
      <c r="J531" s="127">
        <v>45946.473611111112</v>
      </c>
      <c r="K531" s="127">
        <v>45950.568055555559</v>
      </c>
      <c r="L531" s="127">
        <v>45959</v>
      </c>
      <c r="M531" s="127">
        <v>46000.386805555558</v>
      </c>
      <c r="N531" t="s">
        <v>72</v>
      </c>
      <c r="O531" t="s">
        <v>122</v>
      </c>
      <c r="P531" t="s">
        <v>122</v>
      </c>
      <c r="Q531">
        <v>70419</v>
      </c>
      <c r="R531" t="s">
        <v>1403</v>
      </c>
      <c r="S531" t="s">
        <v>1404</v>
      </c>
      <c r="T531" t="s">
        <v>481</v>
      </c>
      <c r="U531" t="s">
        <v>126</v>
      </c>
    </row>
    <row r="532" spans="1:21" x14ac:dyDescent="0.25">
      <c r="A532" t="s">
        <v>118</v>
      </c>
      <c r="B532" t="s">
        <v>1516</v>
      </c>
      <c r="C532">
        <v>73404</v>
      </c>
      <c r="D532" t="s">
        <v>1517</v>
      </c>
      <c r="E532" t="s">
        <v>130</v>
      </c>
      <c r="F532" t="s">
        <v>76</v>
      </c>
      <c r="G532" t="s">
        <v>77</v>
      </c>
      <c r="H532" t="s">
        <v>122</v>
      </c>
      <c r="I532" t="s">
        <v>122</v>
      </c>
      <c r="J532" s="127">
        <v>45946.473611111112</v>
      </c>
      <c r="K532" s="127">
        <v>45947.79791666667</v>
      </c>
      <c r="L532" s="127">
        <v>45950</v>
      </c>
      <c r="M532" s="127">
        <v>45985.746527777781</v>
      </c>
      <c r="N532" t="s">
        <v>72</v>
      </c>
      <c r="O532" t="s">
        <v>122</v>
      </c>
      <c r="P532" t="s">
        <v>122</v>
      </c>
      <c r="Q532">
        <v>70419</v>
      </c>
      <c r="R532" t="s">
        <v>1403</v>
      </c>
      <c r="S532" t="s">
        <v>1404</v>
      </c>
      <c r="T532" t="s">
        <v>481</v>
      </c>
      <c r="U532" t="s">
        <v>126</v>
      </c>
    </row>
    <row r="533" spans="1:21" x14ac:dyDescent="0.25">
      <c r="A533" t="s">
        <v>118</v>
      </c>
      <c r="B533" t="s">
        <v>1518</v>
      </c>
      <c r="C533">
        <v>73344</v>
      </c>
      <c r="D533" t="s">
        <v>1519</v>
      </c>
      <c r="E533" t="s">
        <v>130</v>
      </c>
      <c r="F533" t="s">
        <v>497</v>
      </c>
      <c r="G533" t="s">
        <v>498</v>
      </c>
      <c r="H533" t="s">
        <v>122</v>
      </c>
      <c r="I533" t="s">
        <v>122</v>
      </c>
      <c r="J533" s="127">
        <v>45945.804861111108</v>
      </c>
      <c r="K533" s="127">
        <v>45946.798611111109</v>
      </c>
      <c r="L533" s="127">
        <v>45946</v>
      </c>
      <c r="M533" s="127">
        <v>45973.623611111114</v>
      </c>
      <c r="N533" t="s">
        <v>122</v>
      </c>
      <c r="O533" t="s">
        <v>122</v>
      </c>
      <c r="P533" t="s">
        <v>122</v>
      </c>
      <c r="Q533">
        <v>75168</v>
      </c>
      <c r="R533" t="s">
        <v>1520</v>
      </c>
      <c r="S533" t="s">
        <v>1521</v>
      </c>
      <c r="T533" t="s">
        <v>502</v>
      </c>
      <c r="U533" t="s">
        <v>450</v>
      </c>
    </row>
    <row r="534" spans="1:21" x14ac:dyDescent="0.25">
      <c r="A534" t="s">
        <v>118</v>
      </c>
      <c r="B534" t="s">
        <v>1522</v>
      </c>
      <c r="C534">
        <v>73342</v>
      </c>
      <c r="D534" t="s">
        <v>1523</v>
      </c>
      <c r="E534" t="s">
        <v>130</v>
      </c>
      <c r="F534" t="s">
        <v>497</v>
      </c>
      <c r="G534" t="s">
        <v>498</v>
      </c>
      <c r="H534" t="s">
        <v>122</v>
      </c>
      <c r="I534" t="s">
        <v>122</v>
      </c>
      <c r="J534" s="127">
        <v>45945.793055555558</v>
      </c>
      <c r="K534" s="127">
        <v>45946.798611111109</v>
      </c>
      <c r="L534" s="127">
        <v>45946</v>
      </c>
      <c r="M534" s="127">
        <v>45964.383333333331</v>
      </c>
      <c r="N534" t="s">
        <v>122</v>
      </c>
      <c r="O534" t="s">
        <v>122</v>
      </c>
      <c r="P534" t="s">
        <v>122</v>
      </c>
      <c r="Q534">
        <v>73340</v>
      </c>
      <c r="R534" t="s">
        <v>1524</v>
      </c>
      <c r="S534" t="s">
        <v>1525</v>
      </c>
      <c r="T534" t="s">
        <v>502</v>
      </c>
      <c r="U534" t="s">
        <v>450</v>
      </c>
    </row>
    <row r="535" spans="1:21" x14ac:dyDescent="0.25">
      <c r="A535" t="s">
        <v>118</v>
      </c>
      <c r="B535" t="s">
        <v>1526</v>
      </c>
      <c r="C535">
        <v>71530</v>
      </c>
      <c r="D535" t="s">
        <v>1527</v>
      </c>
      <c r="E535" t="s">
        <v>130</v>
      </c>
      <c r="F535" t="s">
        <v>535</v>
      </c>
      <c r="G535" t="s">
        <v>74</v>
      </c>
      <c r="H535" t="s">
        <v>122</v>
      </c>
      <c r="I535" t="s">
        <v>122</v>
      </c>
      <c r="J535" s="127">
        <v>45943.645833333336</v>
      </c>
      <c r="K535" s="127">
        <v>45999.888888888891</v>
      </c>
      <c r="L535" s="127">
        <v>46011</v>
      </c>
      <c r="M535" s="127">
        <v>46036.495833333334</v>
      </c>
      <c r="N535" t="s">
        <v>72</v>
      </c>
      <c r="O535" t="s">
        <v>122</v>
      </c>
      <c r="P535" t="s">
        <v>122</v>
      </c>
      <c r="Q535">
        <v>94191</v>
      </c>
      <c r="R535" t="s">
        <v>1045</v>
      </c>
      <c r="S535" t="s">
        <v>1046</v>
      </c>
      <c r="T535" t="s">
        <v>476</v>
      </c>
      <c r="U535" t="s">
        <v>126</v>
      </c>
    </row>
    <row r="536" spans="1:21" x14ac:dyDescent="0.25">
      <c r="A536" t="s">
        <v>118</v>
      </c>
      <c r="B536" t="s">
        <v>1528</v>
      </c>
      <c r="C536">
        <v>71439</v>
      </c>
      <c r="D536" t="s">
        <v>1529</v>
      </c>
      <c r="E536" t="s">
        <v>130</v>
      </c>
      <c r="F536" t="s">
        <v>82</v>
      </c>
      <c r="G536" t="s">
        <v>80</v>
      </c>
      <c r="H536" t="s">
        <v>122</v>
      </c>
      <c r="I536" t="s">
        <v>122</v>
      </c>
      <c r="J536" s="127">
        <v>45943.492361111108</v>
      </c>
      <c r="K536" s="127">
        <v>45950.801388888889</v>
      </c>
      <c r="L536" s="127">
        <v>45950</v>
      </c>
      <c r="M536" s="127">
        <v>45954.48333333333</v>
      </c>
      <c r="N536" t="s">
        <v>72</v>
      </c>
      <c r="O536" t="s">
        <v>122</v>
      </c>
      <c r="P536" t="s">
        <v>122</v>
      </c>
      <c r="Q536">
        <v>70282</v>
      </c>
      <c r="R536" t="s">
        <v>1502</v>
      </c>
      <c r="S536" t="s">
        <v>1503</v>
      </c>
      <c r="T536" t="s">
        <v>471</v>
      </c>
      <c r="U536" t="s">
        <v>126</v>
      </c>
    </row>
    <row r="537" spans="1:21" x14ac:dyDescent="0.25">
      <c r="A537" t="s">
        <v>118</v>
      </c>
      <c r="B537" t="s">
        <v>1530</v>
      </c>
      <c r="C537">
        <v>71437</v>
      </c>
      <c r="D537" t="s">
        <v>1531</v>
      </c>
      <c r="E537" t="s">
        <v>130</v>
      </c>
      <c r="F537" t="s">
        <v>76</v>
      </c>
      <c r="G537" t="s">
        <v>77</v>
      </c>
      <c r="H537" t="s">
        <v>122</v>
      </c>
      <c r="I537" t="s">
        <v>122</v>
      </c>
      <c r="J537" s="127">
        <v>45943.490972222222</v>
      </c>
      <c r="K537" s="127">
        <v>45947.840277777781</v>
      </c>
      <c r="L537" s="127">
        <v>45950</v>
      </c>
      <c r="M537" s="127">
        <v>45975.469444444447</v>
      </c>
      <c r="N537" t="s">
        <v>72</v>
      </c>
      <c r="O537" t="s">
        <v>122</v>
      </c>
      <c r="P537" t="s">
        <v>122</v>
      </c>
      <c r="Q537">
        <v>70402</v>
      </c>
      <c r="R537" t="s">
        <v>1532</v>
      </c>
      <c r="S537" t="s">
        <v>1533</v>
      </c>
      <c r="T537" t="s">
        <v>481</v>
      </c>
      <c r="U537" t="s">
        <v>126</v>
      </c>
    </row>
    <row r="538" spans="1:21" x14ac:dyDescent="0.25">
      <c r="A538" t="s">
        <v>118</v>
      </c>
      <c r="B538" t="s">
        <v>1534</v>
      </c>
      <c r="C538">
        <v>71435</v>
      </c>
      <c r="D538" t="s">
        <v>1535</v>
      </c>
      <c r="E538" t="s">
        <v>130</v>
      </c>
      <c r="F538" t="s">
        <v>76</v>
      </c>
      <c r="G538" t="s">
        <v>77</v>
      </c>
      <c r="H538" t="s">
        <v>122</v>
      </c>
      <c r="I538" t="s">
        <v>122</v>
      </c>
      <c r="J538" s="127">
        <v>45943.486805555556</v>
      </c>
      <c r="K538" s="127">
        <v>45947.840277777781</v>
      </c>
      <c r="L538" s="127">
        <v>45950</v>
      </c>
      <c r="M538" s="127">
        <v>45975.46875</v>
      </c>
      <c r="N538" t="s">
        <v>72</v>
      </c>
      <c r="O538" t="s">
        <v>122</v>
      </c>
      <c r="P538" t="s">
        <v>122</v>
      </c>
      <c r="Q538">
        <v>70402</v>
      </c>
      <c r="R538" t="s">
        <v>1532</v>
      </c>
      <c r="S538" t="s">
        <v>1533</v>
      </c>
      <c r="T538" t="s">
        <v>481</v>
      </c>
      <c r="U538" t="s">
        <v>126</v>
      </c>
    </row>
    <row r="539" spans="1:21" x14ac:dyDescent="0.25">
      <c r="A539" t="s">
        <v>118</v>
      </c>
      <c r="B539" t="s">
        <v>1536</v>
      </c>
      <c r="C539">
        <v>71375</v>
      </c>
      <c r="D539" t="s">
        <v>1537</v>
      </c>
      <c r="E539" t="s">
        <v>130</v>
      </c>
      <c r="F539" t="s">
        <v>82</v>
      </c>
      <c r="G539" t="s">
        <v>80</v>
      </c>
      <c r="H539" t="s">
        <v>122</v>
      </c>
      <c r="I539" t="s">
        <v>122</v>
      </c>
      <c r="J539" s="127">
        <v>45943.484027777777</v>
      </c>
      <c r="K539" s="127">
        <v>45950.547222222223</v>
      </c>
      <c r="L539" s="127">
        <v>45950</v>
      </c>
      <c r="M539" s="127">
        <v>45954.749305555553</v>
      </c>
      <c r="N539" t="s">
        <v>72</v>
      </c>
      <c r="O539" t="s">
        <v>122</v>
      </c>
      <c r="P539" t="s">
        <v>122</v>
      </c>
      <c r="Q539">
        <v>70282</v>
      </c>
      <c r="R539" t="s">
        <v>1502</v>
      </c>
      <c r="S539" t="s">
        <v>1503</v>
      </c>
      <c r="T539" t="s">
        <v>471</v>
      </c>
      <c r="U539" t="s">
        <v>126</v>
      </c>
    </row>
    <row r="540" spans="1:21" x14ac:dyDescent="0.25">
      <c r="A540" t="s">
        <v>118</v>
      </c>
      <c r="B540" t="s">
        <v>1538</v>
      </c>
      <c r="C540">
        <v>71351</v>
      </c>
      <c r="D540" t="s">
        <v>1539</v>
      </c>
      <c r="E540" t="s">
        <v>130</v>
      </c>
      <c r="F540" t="s">
        <v>76</v>
      </c>
      <c r="G540" t="s">
        <v>77</v>
      </c>
      <c r="H540" t="s">
        <v>122</v>
      </c>
      <c r="I540" t="s">
        <v>122</v>
      </c>
      <c r="J540" s="127">
        <v>45943.480555555558</v>
      </c>
      <c r="K540" s="127">
        <v>45947.840277777781</v>
      </c>
      <c r="L540" s="127">
        <v>45954</v>
      </c>
      <c r="M540" s="127">
        <v>45975.461805555555</v>
      </c>
      <c r="N540" t="s">
        <v>72</v>
      </c>
      <c r="O540" t="s">
        <v>122</v>
      </c>
      <c r="P540" t="s">
        <v>122</v>
      </c>
      <c r="Q540">
        <v>70402</v>
      </c>
      <c r="R540" t="s">
        <v>1532</v>
      </c>
      <c r="S540" t="s">
        <v>1533</v>
      </c>
      <c r="T540" t="s">
        <v>481</v>
      </c>
      <c r="U540" t="s">
        <v>126</v>
      </c>
    </row>
    <row r="541" spans="1:21" x14ac:dyDescent="0.25">
      <c r="A541" t="s">
        <v>118</v>
      </c>
      <c r="B541" t="s">
        <v>1540</v>
      </c>
      <c r="C541">
        <v>71345</v>
      </c>
      <c r="D541" t="s">
        <v>1541</v>
      </c>
      <c r="E541" t="s">
        <v>130</v>
      </c>
      <c r="F541" t="s">
        <v>82</v>
      </c>
      <c r="G541" t="s">
        <v>80</v>
      </c>
      <c r="H541" t="s">
        <v>122</v>
      </c>
      <c r="I541" t="s">
        <v>122</v>
      </c>
      <c r="J541" s="127">
        <v>45943.469444444447</v>
      </c>
      <c r="K541" s="127">
        <v>45951.519444444442</v>
      </c>
      <c r="L541" s="127">
        <v>45954</v>
      </c>
      <c r="M541" s="127">
        <v>45954.762499999997</v>
      </c>
      <c r="N541" t="s">
        <v>72</v>
      </c>
      <c r="O541" t="s">
        <v>122</v>
      </c>
      <c r="P541" t="s">
        <v>122</v>
      </c>
      <c r="Q541">
        <v>70282</v>
      </c>
      <c r="R541" t="s">
        <v>1502</v>
      </c>
      <c r="S541" t="s">
        <v>1503</v>
      </c>
      <c r="T541" t="s">
        <v>471</v>
      </c>
      <c r="U541" t="s">
        <v>126</v>
      </c>
    </row>
    <row r="542" spans="1:21" x14ac:dyDescent="0.25">
      <c r="A542" t="s">
        <v>118</v>
      </c>
      <c r="B542" t="s">
        <v>1542</v>
      </c>
      <c r="C542">
        <v>71341</v>
      </c>
      <c r="D542" t="s">
        <v>1543</v>
      </c>
      <c r="E542" t="s">
        <v>130</v>
      </c>
      <c r="F542" t="s">
        <v>82</v>
      </c>
      <c r="G542" t="s">
        <v>80</v>
      </c>
      <c r="H542" t="s">
        <v>122</v>
      </c>
      <c r="I542" t="s">
        <v>122</v>
      </c>
      <c r="J542" s="127">
        <v>45943.466666666667</v>
      </c>
      <c r="K542" s="127">
        <v>45944.553472222222</v>
      </c>
      <c r="L542" s="127">
        <v>45944</v>
      </c>
      <c r="M542" s="127">
        <v>45953.655555555553</v>
      </c>
      <c r="N542" t="s">
        <v>72</v>
      </c>
      <c r="O542" t="s">
        <v>122</v>
      </c>
      <c r="P542" t="s">
        <v>122</v>
      </c>
      <c r="Q542">
        <v>70282</v>
      </c>
      <c r="R542" t="s">
        <v>1502</v>
      </c>
      <c r="S542" t="s">
        <v>1503</v>
      </c>
      <c r="T542" t="s">
        <v>471</v>
      </c>
      <c r="U542" t="s">
        <v>126</v>
      </c>
    </row>
    <row r="543" spans="1:21" x14ac:dyDescent="0.25">
      <c r="A543" t="s">
        <v>118</v>
      </c>
      <c r="B543" t="s">
        <v>1544</v>
      </c>
      <c r="C543">
        <v>70211</v>
      </c>
      <c r="D543" t="s">
        <v>1545</v>
      </c>
      <c r="E543" t="s">
        <v>130</v>
      </c>
      <c r="F543" t="s">
        <v>82</v>
      </c>
      <c r="G543" t="s">
        <v>80</v>
      </c>
      <c r="H543" t="s">
        <v>122</v>
      </c>
      <c r="I543" t="s">
        <v>122</v>
      </c>
      <c r="J543" s="127">
        <v>45939.446527777778</v>
      </c>
      <c r="K543" s="127">
        <v>45957.73541666667</v>
      </c>
      <c r="L543" s="127">
        <v>45958</v>
      </c>
      <c r="M543" s="127">
        <v>45972.467361111114</v>
      </c>
      <c r="N543" t="s">
        <v>72</v>
      </c>
      <c r="O543" t="s">
        <v>122</v>
      </c>
      <c r="P543" t="s">
        <v>122</v>
      </c>
      <c r="Q543">
        <v>70209</v>
      </c>
      <c r="R543" t="s">
        <v>1235</v>
      </c>
      <c r="S543" t="s">
        <v>1236</v>
      </c>
      <c r="T543" t="s">
        <v>471</v>
      </c>
      <c r="U543" t="s">
        <v>126</v>
      </c>
    </row>
    <row r="544" spans="1:21" x14ac:dyDescent="0.25">
      <c r="A544" t="s">
        <v>253</v>
      </c>
      <c r="B544" t="s">
        <v>1546</v>
      </c>
      <c r="C544">
        <v>70208</v>
      </c>
      <c r="D544" t="s">
        <v>1547</v>
      </c>
      <c r="E544" t="s">
        <v>437</v>
      </c>
      <c r="F544" t="s">
        <v>497</v>
      </c>
      <c r="G544" t="s">
        <v>674</v>
      </c>
      <c r="H544" t="s">
        <v>122</v>
      </c>
      <c r="I544" t="s">
        <v>122</v>
      </c>
      <c r="J544" s="127">
        <v>45939.441666666666</v>
      </c>
      <c r="K544" s="127">
        <v>45945.589583333334</v>
      </c>
      <c r="L544" s="127">
        <v>45945</v>
      </c>
      <c r="M544" s="127">
        <v>45964.382638888892</v>
      </c>
      <c r="N544" t="s">
        <v>122</v>
      </c>
      <c r="O544" t="s">
        <v>122</v>
      </c>
      <c r="P544" t="s">
        <v>122</v>
      </c>
      <c r="Q544">
        <v>75168</v>
      </c>
      <c r="R544" t="s">
        <v>1520</v>
      </c>
      <c r="S544" t="s">
        <v>1521</v>
      </c>
      <c r="T544" t="s">
        <v>675</v>
      </c>
      <c r="U544" t="s">
        <v>450</v>
      </c>
    </row>
    <row r="545" spans="1:21" x14ac:dyDescent="0.25">
      <c r="A545" t="s">
        <v>118</v>
      </c>
      <c r="B545" t="s">
        <v>1548</v>
      </c>
      <c r="C545">
        <v>146208</v>
      </c>
      <c r="D545" t="s">
        <v>1549</v>
      </c>
      <c r="E545" t="s">
        <v>130</v>
      </c>
      <c r="F545" t="s">
        <v>1550</v>
      </c>
      <c r="G545" t="s">
        <v>1551</v>
      </c>
      <c r="H545" t="s">
        <v>122</v>
      </c>
      <c r="I545" t="s">
        <v>122</v>
      </c>
      <c r="J545" s="127">
        <v>46034.42291666667</v>
      </c>
      <c r="K545" s="127">
        <v>46034.768750000003</v>
      </c>
      <c r="L545" s="127">
        <v>46034</v>
      </c>
      <c r="M545" s="127">
        <v>46041.374305555553</v>
      </c>
      <c r="N545" t="s">
        <v>72</v>
      </c>
      <c r="O545" t="s">
        <v>122</v>
      </c>
      <c r="P545" t="s">
        <v>122</v>
      </c>
      <c r="Q545">
        <v>127452</v>
      </c>
      <c r="R545" t="s">
        <v>1552</v>
      </c>
      <c r="S545" t="s">
        <v>1553</v>
      </c>
      <c r="T545" t="s">
        <v>1554</v>
      </c>
      <c r="U545" t="s">
        <v>126</v>
      </c>
    </row>
    <row r="546" spans="1:21" x14ac:dyDescent="0.25">
      <c r="A546" t="s">
        <v>118</v>
      </c>
      <c r="B546" t="s">
        <v>1555</v>
      </c>
      <c r="C546">
        <v>146204</v>
      </c>
      <c r="D546" t="s">
        <v>1556</v>
      </c>
      <c r="E546" t="s">
        <v>130</v>
      </c>
      <c r="F546" t="s">
        <v>1550</v>
      </c>
      <c r="G546" t="s">
        <v>1551</v>
      </c>
      <c r="H546" t="s">
        <v>122</v>
      </c>
      <c r="I546" t="s">
        <v>122</v>
      </c>
      <c r="J546" s="127">
        <v>46034.415972222225</v>
      </c>
      <c r="K546" s="127">
        <v>46034.768750000003</v>
      </c>
      <c r="L546" s="127">
        <v>46035</v>
      </c>
      <c r="M546" s="127">
        <v>46036.40902777778</v>
      </c>
      <c r="N546" t="s">
        <v>72</v>
      </c>
      <c r="O546" t="s">
        <v>122</v>
      </c>
      <c r="P546" t="s">
        <v>122</v>
      </c>
      <c r="Q546">
        <v>127452</v>
      </c>
      <c r="R546" t="s">
        <v>1552</v>
      </c>
      <c r="S546" t="s">
        <v>1553</v>
      </c>
      <c r="T546" t="s">
        <v>1554</v>
      </c>
      <c r="U546" t="s">
        <v>126</v>
      </c>
    </row>
    <row r="547" spans="1:21" x14ac:dyDescent="0.25">
      <c r="A547" t="s">
        <v>118</v>
      </c>
      <c r="B547" t="s">
        <v>1557</v>
      </c>
      <c r="C547">
        <v>144436</v>
      </c>
      <c r="D547" t="s">
        <v>1558</v>
      </c>
      <c r="E547" t="s">
        <v>121</v>
      </c>
      <c r="F547" t="s">
        <v>122</v>
      </c>
      <c r="G547" t="s">
        <v>1551</v>
      </c>
      <c r="H547" t="s">
        <v>122</v>
      </c>
      <c r="I547" t="s">
        <v>122</v>
      </c>
      <c r="J547" s="127">
        <v>46028.644444444442</v>
      </c>
      <c r="K547" s="127"/>
      <c r="L547" s="127"/>
      <c r="M547" s="127"/>
      <c r="N547" t="s">
        <v>72</v>
      </c>
      <c r="O547" t="s">
        <v>122</v>
      </c>
      <c r="P547" t="s">
        <v>122</v>
      </c>
      <c r="Q547">
        <v>148733</v>
      </c>
      <c r="R547" t="s">
        <v>1559</v>
      </c>
      <c r="S547" t="s">
        <v>1560</v>
      </c>
      <c r="T547" t="s">
        <v>1554</v>
      </c>
      <c r="U547" t="s">
        <v>126</v>
      </c>
    </row>
    <row r="548" spans="1:21" x14ac:dyDescent="0.25">
      <c r="A548" t="s">
        <v>118</v>
      </c>
      <c r="B548" t="s">
        <v>1561</v>
      </c>
      <c r="C548">
        <v>137686</v>
      </c>
      <c r="D548" t="s">
        <v>1562</v>
      </c>
      <c r="E548" t="s">
        <v>130</v>
      </c>
      <c r="F548" t="s">
        <v>1550</v>
      </c>
      <c r="G548" t="s">
        <v>1551</v>
      </c>
      <c r="H548" t="s">
        <v>122</v>
      </c>
      <c r="I548" t="s">
        <v>122</v>
      </c>
      <c r="J548" s="127">
        <v>46013.404861111114</v>
      </c>
      <c r="K548" s="127">
        <v>46014.53402777778</v>
      </c>
      <c r="L548" s="127">
        <v>46014</v>
      </c>
      <c r="M548" s="127">
        <v>46031.777777777781</v>
      </c>
      <c r="N548" t="s">
        <v>72</v>
      </c>
      <c r="O548" t="s">
        <v>122</v>
      </c>
      <c r="P548" t="s">
        <v>122</v>
      </c>
      <c r="Q548">
        <v>127452</v>
      </c>
      <c r="R548" t="s">
        <v>1552</v>
      </c>
      <c r="S548" t="s">
        <v>1553</v>
      </c>
      <c r="T548" t="s">
        <v>1554</v>
      </c>
      <c r="U548" t="s">
        <v>126</v>
      </c>
    </row>
    <row r="549" spans="1:21" x14ac:dyDescent="0.25">
      <c r="A549" t="s">
        <v>118</v>
      </c>
      <c r="B549" t="s">
        <v>1563</v>
      </c>
      <c r="C549">
        <v>132359</v>
      </c>
      <c r="D549" t="s">
        <v>1564</v>
      </c>
      <c r="E549" t="s">
        <v>508</v>
      </c>
      <c r="F549" t="s">
        <v>90</v>
      </c>
      <c r="G549" t="s">
        <v>74</v>
      </c>
      <c r="H549" t="s">
        <v>122</v>
      </c>
      <c r="I549" t="s">
        <v>122</v>
      </c>
      <c r="J549" s="127">
        <v>46007.660416666666</v>
      </c>
      <c r="K549" s="127">
        <v>46015.551388888889</v>
      </c>
      <c r="L549" s="127">
        <v>46015</v>
      </c>
      <c r="M549" s="127"/>
      <c r="N549" t="s">
        <v>78</v>
      </c>
      <c r="O549" t="s">
        <v>122</v>
      </c>
      <c r="P549" t="s">
        <v>122</v>
      </c>
      <c r="Q549">
        <v>108348</v>
      </c>
      <c r="R549" t="s">
        <v>1565</v>
      </c>
      <c r="S549" t="s">
        <v>1566</v>
      </c>
      <c r="T549" t="s">
        <v>476</v>
      </c>
      <c r="U549" t="s">
        <v>462</v>
      </c>
    </row>
    <row r="550" spans="1:21" x14ac:dyDescent="0.25">
      <c r="A550" t="s">
        <v>118</v>
      </c>
      <c r="B550" t="s">
        <v>1567</v>
      </c>
      <c r="C550">
        <v>63523</v>
      </c>
      <c r="D550" t="s">
        <v>1568</v>
      </c>
      <c r="E550" t="s">
        <v>121</v>
      </c>
      <c r="F550" t="s">
        <v>1569</v>
      </c>
      <c r="G550" t="s">
        <v>513</v>
      </c>
      <c r="H550" t="s">
        <v>122</v>
      </c>
      <c r="I550" t="s">
        <v>122</v>
      </c>
      <c r="J550" s="127">
        <v>45922.663888888892</v>
      </c>
      <c r="K550" s="127"/>
      <c r="L550" s="127"/>
      <c r="M550" s="127"/>
      <c r="N550" t="s">
        <v>78</v>
      </c>
      <c r="O550" t="s">
        <v>122</v>
      </c>
      <c r="P550" t="s">
        <v>122</v>
      </c>
      <c r="Q550">
        <v>58953</v>
      </c>
      <c r="R550" t="s">
        <v>1570</v>
      </c>
      <c r="S550" t="s">
        <v>1571</v>
      </c>
      <c r="T550" t="s">
        <v>546</v>
      </c>
      <c r="U550" t="s">
        <v>462</v>
      </c>
    </row>
    <row r="551" spans="1:21" x14ac:dyDescent="0.25">
      <c r="A551" t="s">
        <v>118</v>
      </c>
      <c r="B551" t="s">
        <v>1572</v>
      </c>
      <c r="C551">
        <v>159591</v>
      </c>
      <c r="D551" t="s">
        <v>1573</v>
      </c>
      <c r="E551" t="s">
        <v>760</v>
      </c>
      <c r="F551" t="s">
        <v>84</v>
      </c>
      <c r="G551" t="s">
        <v>91</v>
      </c>
      <c r="H551" t="s">
        <v>122</v>
      </c>
      <c r="I551" t="s">
        <v>122</v>
      </c>
      <c r="J551" s="127">
        <v>46098.476388888892</v>
      </c>
      <c r="K551" s="127">
        <v>46098.725694444445</v>
      </c>
      <c r="L551" s="127">
        <v>46098</v>
      </c>
      <c r="M551" s="127">
        <v>46100.630555555559</v>
      </c>
      <c r="N551" t="s">
        <v>75</v>
      </c>
      <c r="O551" t="s">
        <v>122</v>
      </c>
      <c r="P551" t="s">
        <v>122</v>
      </c>
      <c r="Q551">
        <v>145650</v>
      </c>
      <c r="R551" t="s">
        <v>1574</v>
      </c>
      <c r="S551" t="s">
        <v>1575</v>
      </c>
      <c r="T551" t="s">
        <v>1576</v>
      </c>
      <c r="U551" t="s">
        <v>137</v>
      </c>
    </row>
    <row r="552" spans="1:21" x14ac:dyDescent="0.25">
      <c r="A552" t="s">
        <v>118</v>
      </c>
      <c r="B552" t="s">
        <v>1577</v>
      </c>
      <c r="C552">
        <v>159409</v>
      </c>
      <c r="D552" t="s">
        <v>1578</v>
      </c>
      <c r="E552" t="s">
        <v>130</v>
      </c>
      <c r="F552" t="s">
        <v>84</v>
      </c>
      <c r="G552" t="s">
        <v>91</v>
      </c>
      <c r="H552" t="s">
        <v>122</v>
      </c>
      <c r="I552" t="s">
        <v>122</v>
      </c>
      <c r="J552" s="127">
        <v>46097.648611111108</v>
      </c>
      <c r="K552" s="127">
        <v>46099.589583333334</v>
      </c>
      <c r="L552" s="127">
        <v>46096</v>
      </c>
      <c r="M552" s="127">
        <v>46101.602083333331</v>
      </c>
      <c r="N552" t="s">
        <v>75</v>
      </c>
      <c r="O552" t="s">
        <v>122</v>
      </c>
      <c r="P552" t="s">
        <v>122</v>
      </c>
      <c r="Q552">
        <v>145598</v>
      </c>
      <c r="R552" t="s">
        <v>1579</v>
      </c>
      <c r="S552" t="s">
        <v>1580</v>
      </c>
      <c r="T552" t="s">
        <v>1576</v>
      </c>
      <c r="U552" t="s">
        <v>137</v>
      </c>
    </row>
    <row r="553" spans="1:21" x14ac:dyDescent="0.25">
      <c r="A553" t="s">
        <v>118</v>
      </c>
      <c r="B553" t="s">
        <v>1581</v>
      </c>
      <c r="C553">
        <v>158161</v>
      </c>
      <c r="D553" t="s">
        <v>1582</v>
      </c>
      <c r="E553" t="s">
        <v>130</v>
      </c>
      <c r="F553" t="s">
        <v>84</v>
      </c>
      <c r="G553" t="s">
        <v>91</v>
      </c>
      <c r="H553" t="s">
        <v>122</v>
      </c>
      <c r="I553" t="s">
        <v>122</v>
      </c>
      <c r="J553" s="127">
        <v>46091.469444444447</v>
      </c>
      <c r="K553" s="127">
        <v>46093.81527777778</v>
      </c>
      <c r="L553" s="127">
        <v>46093</v>
      </c>
      <c r="M553" s="127">
        <v>46100.493055555555</v>
      </c>
      <c r="N553" t="s">
        <v>75</v>
      </c>
      <c r="O553" t="s">
        <v>122</v>
      </c>
      <c r="P553" t="s">
        <v>122</v>
      </c>
      <c r="Q553">
        <v>145650</v>
      </c>
      <c r="R553" t="s">
        <v>1574</v>
      </c>
      <c r="S553" t="s">
        <v>1575</v>
      </c>
      <c r="T553" t="s">
        <v>1576</v>
      </c>
      <c r="U553" t="s">
        <v>137</v>
      </c>
    </row>
    <row r="554" spans="1:21" x14ac:dyDescent="0.25">
      <c r="A554" t="s">
        <v>118</v>
      </c>
      <c r="B554" t="s">
        <v>1583</v>
      </c>
      <c r="C554">
        <v>157644</v>
      </c>
      <c r="D554" t="s">
        <v>1584</v>
      </c>
      <c r="E554" t="s">
        <v>130</v>
      </c>
      <c r="F554" t="s">
        <v>84</v>
      </c>
      <c r="G554" t="s">
        <v>91</v>
      </c>
      <c r="H554" t="s">
        <v>122</v>
      </c>
      <c r="I554" t="s">
        <v>122</v>
      </c>
      <c r="J554" s="127">
        <v>46087.466666666667</v>
      </c>
      <c r="K554" s="127">
        <v>46087.593055555553</v>
      </c>
      <c r="L554" s="127">
        <v>46094</v>
      </c>
      <c r="M554" s="127">
        <v>46099.465277777781</v>
      </c>
      <c r="N554" t="s">
        <v>75</v>
      </c>
      <c r="O554" t="s">
        <v>122</v>
      </c>
      <c r="P554" t="s">
        <v>122</v>
      </c>
      <c r="Q554">
        <v>145598</v>
      </c>
      <c r="R554" t="s">
        <v>1579</v>
      </c>
      <c r="S554" t="s">
        <v>1580</v>
      </c>
      <c r="T554" t="s">
        <v>1576</v>
      </c>
      <c r="U554" t="s">
        <v>137</v>
      </c>
    </row>
    <row r="555" spans="1:21" x14ac:dyDescent="0.25">
      <c r="A555" t="s">
        <v>118</v>
      </c>
      <c r="B555" t="s">
        <v>1585</v>
      </c>
      <c r="C555">
        <v>156831</v>
      </c>
      <c r="D555" t="s">
        <v>1586</v>
      </c>
      <c r="E555" t="s">
        <v>130</v>
      </c>
      <c r="F555" t="s">
        <v>84</v>
      </c>
      <c r="G555" t="s">
        <v>91</v>
      </c>
      <c r="H555" t="s">
        <v>122</v>
      </c>
      <c r="I555" t="s">
        <v>122</v>
      </c>
      <c r="J555" s="127">
        <v>46085.507638888892</v>
      </c>
      <c r="K555" s="127">
        <v>46085.632638888892</v>
      </c>
      <c r="L555" s="127">
        <v>46093</v>
      </c>
      <c r="M555" s="127">
        <v>46098.731249999997</v>
      </c>
      <c r="N555" t="s">
        <v>75</v>
      </c>
      <c r="O555" t="s">
        <v>122</v>
      </c>
      <c r="P555" t="s">
        <v>122</v>
      </c>
      <c r="Q555">
        <v>157185</v>
      </c>
      <c r="R555" t="s">
        <v>1587</v>
      </c>
      <c r="S555" t="s">
        <v>1588</v>
      </c>
      <c r="T555" t="s">
        <v>1576</v>
      </c>
      <c r="U555" t="s">
        <v>137</v>
      </c>
    </row>
    <row r="556" spans="1:21" x14ac:dyDescent="0.25">
      <c r="A556" t="s">
        <v>118</v>
      </c>
      <c r="B556" t="s">
        <v>1589</v>
      </c>
      <c r="C556">
        <v>156829</v>
      </c>
      <c r="D556" t="s">
        <v>1590</v>
      </c>
      <c r="E556" t="s">
        <v>130</v>
      </c>
      <c r="F556" t="s">
        <v>84</v>
      </c>
      <c r="G556" t="s">
        <v>91</v>
      </c>
      <c r="H556" t="s">
        <v>122</v>
      </c>
      <c r="I556" t="s">
        <v>122</v>
      </c>
      <c r="J556" s="127">
        <v>46085.507638888892</v>
      </c>
      <c r="K556" s="127">
        <v>46085.632638888892</v>
      </c>
      <c r="L556" s="127">
        <v>46093</v>
      </c>
      <c r="M556" s="127">
        <v>46093.65</v>
      </c>
      <c r="N556" t="s">
        <v>75</v>
      </c>
      <c r="O556" t="s">
        <v>122</v>
      </c>
      <c r="P556" t="s">
        <v>122</v>
      </c>
      <c r="Q556">
        <v>157185</v>
      </c>
      <c r="R556" t="s">
        <v>1587</v>
      </c>
      <c r="S556" t="s">
        <v>1588</v>
      </c>
      <c r="T556" t="s">
        <v>1576</v>
      </c>
      <c r="U556" t="s">
        <v>137</v>
      </c>
    </row>
    <row r="557" spans="1:21" x14ac:dyDescent="0.25">
      <c r="A557" t="s">
        <v>118</v>
      </c>
      <c r="B557" t="s">
        <v>1591</v>
      </c>
      <c r="C557">
        <v>156823</v>
      </c>
      <c r="D557" t="s">
        <v>1592</v>
      </c>
      <c r="E557" t="s">
        <v>130</v>
      </c>
      <c r="F557" t="s">
        <v>84</v>
      </c>
      <c r="G557" t="s">
        <v>91</v>
      </c>
      <c r="H557" t="s">
        <v>122</v>
      </c>
      <c r="I557" t="s">
        <v>122</v>
      </c>
      <c r="J557" s="127">
        <v>46085.493055555555</v>
      </c>
      <c r="K557" s="127">
        <v>46085.618055555555</v>
      </c>
      <c r="L557" s="127">
        <v>46085</v>
      </c>
      <c r="M557" s="127">
        <v>46086.624305555553</v>
      </c>
      <c r="N557" t="s">
        <v>75</v>
      </c>
      <c r="O557" t="s">
        <v>122</v>
      </c>
      <c r="P557" t="s">
        <v>122</v>
      </c>
      <c r="Q557">
        <v>157185</v>
      </c>
      <c r="R557" t="s">
        <v>1587</v>
      </c>
      <c r="S557" t="s">
        <v>1588</v>
      </c>
      <c r="T557" t="s">
        <v>1576</v>
      </c>
      <c r="U557" t="s">
        <v>137</v>
      </c>
    </row>
    <row r="558" spans="1:21" x14ac:dyDescent="0.25">
      <c r="A558" t="s">
        <v>557</v>
      </c>
      <c r="B558" t="s">
        <v>1593</v>
      </c>
      <c r="C558">
        <v>156821</v>
      </c>
      <c r="D558" t="s">
        <v>1594</v>
      </c>
      <c r="E558" t="s">
        <v>437</v>
      </c>
      <c r="F558" t="s">
        <v>84</v>
      </c>
      <c r="G558" t="s">
        <v>91</v>
      </c>
      <c r="H558" t="s">
        <v>122</v>
      </c>
      <c r="I558" t="s">
        <v>122</v>
      </c>
      <c r="J558" s="127">
        <v>46085.492361111108</v>
      </c>
      <c r="K558" s="127">
        <v>46086.697916666664</v>
      </c>
      <c r="L558" s="127">
        <v>46085</v>
      </c>
      <c r="M558" s="127">
        <v>46099.472222222219</v>
      </c>
      <c r="N558" t="s">
        <v>75</v>
      </c>
      <c r="O558" t="s">
        <v>122</v>
      </c>
      <c r="P558" t="s">
        <v>122</v>
      </c>
      <c r="Q558">
        <v>157185</v>
      </c>
      <c r="R558" t="s">
        <v>1587</v>
      </c>
      <c r="S558" t="s">
        <v>1588</v>
      </c>
      <c r="T558" t="s">
        <v>1576</v>
      </c>
      <c r="U558" t="s">
        <v>137</v>
      </c>
    </row>
    <row r="559" spans="1:21" x14ac:dyDescent="0.25">
      <c r="A559" t="s">
        <v>118</v>
      </c>
      <c r="B559" t="s">
        <v>1595</v>
      </c>
      <c r="C559">
        <v>156819</v>
      </c>
      <c r="D559" t="s">
        <v>1596</v>
      </c>
      <c r="E559" t="s">
        <v>130</v>
      </c>
      <c r="F559" t="s">
        <v>84</v>
      </c>
      <c r="G559" t="s">
        <v>91</v>
      </c>
      <c r="H559" t="s">
        <v>122</v>
      </c>
      <c r="I559" t="s">
        <v>122</v>
      </c>
      <c r="J559" s="127">
        <v>46085.491666666669</v>
      </c>
      <c r="K559" s="127">
        <v>46085.616666666669</v>
      </c>
      <c r="L559" s="127">
        <v>46085</v>
      </c>
      <c r="M559" s="127">
        <v>46086.617361111108</v>
      </c>
      <c r="N559" t="s">
        <v>75</v>
      </c>
      <c r="O559" t="s">
        <v>122</v>
      </c>
      <c r="P559" t="s">
        <v>122</v>
      </c>
      <c r="Q559">
        <v>157185</v>
      </c>
      <c r="R559" t="s">
        <v>1587</v>
      </c>
      <c r="S559" t="s">
        <v>1588</v>
      </c>
      <c r="T559" t="s">
        <v>1576</v>
      </c>
      <c r="U559" t="s">
        <v>137</v>
      </c>
    </row>
    <row r="560" spans="1:21" x14ac:dyDescent="0.25">
      <c r="A560" t="s">
        <v>118</v>
      </c>
      <c r="B560" t="s">
        <v>1597</v>
      </c>
      <c r="C560">
        <v>156817</v>
      </c>
      <c r="D560" t="s">
        <v>1598</v>
      </c>
      <c r="E560" t="s">
        <v>130</v>
      </c>
      <c r="F560" t="s">
        <v>84</v>
      </c>
      <c r="G560" t="s">
        <v>91</v>
      </c>
      <c r="H560" t="s">
        <v>122</v>
      </c>
      <c r="I560" t="s">
        <v>122</v>
      </c>
      <c r="J560" s="127">
        <v>46085.491666666669</v>
      </c>
      <c r="K560" s="127">
        <v>46085.616666666669</v>
      </c>
      <c r="L560" s="127">
        <v>46085</v>
      </c>
      <c r="M560" s="127">
        <v>46087.386111111111</v>
      </c>
      <c r="N560" t="s">
        <v>75</v>
      </c>
      <c r="O560" t="s">
        <v>122</v>
      </c>
      <c r="P560" t="s">
        <v>122</v>
      </c>
      <c r="Q560">
        <v>157185</v>
      </c>
      <c r="R560" t="s">
        <v>1587</v>
      </c>
      <c r="S560" t="s">
        <v>1588</v>
      </c>
      <c r="T560" t="s">
        <v>1576</v>
      </c>
      <c r="U560" t="s">
        <v>137</v>
      </c>
    </row>
    <row r="561" spans="1:21" x14ac:dyDescent="0.25">
      <c r="A561" t="s">
        <v>557</v>
      </c>
      <c r="B561" t="s">
        <v>1599</v>
      </c>
      <c r="C561">
        <v>156815</v>
      </c>
      <c r="D561" t="s">
        <v>1600</v>
      </c>
      <c r="E561" t="s">
        <v>437</v>
      </c>
      <c r="F561" t="s">
        <v>84</v>
      </c>
      <c r="G561" t="s">
        <v>91</v>
      </c>
      <c r="H561" t="s">
        <v>122</v>
      </c>
      <c r="I561" t="s">
        <v>122</v>
      </c>
      <c r="J561" s="127">
        <v>46085.490972222222</v>
      </c>
      <c r="K561" s="127">
        <v>46086.688194444447</v>
      </c>
      <c r="L561" s="127">
        <v>46085</v>
      </c>
      <c r="M561" s="127">
        <v>46099.472222222219</v>
      </c>
      <c r="N561" t="s">
        <v>75</v>
      </c>
      <c r="O561" t="s">
        <v>122</v>
      </c>
      <c r="P561" t="s">
        <v>122</v>
      </c>
      <c r="Q561">
        <v>157185</v>
      </c>
      <c r="R561" t="s">
        <v>1587</v>
      </c>
      <c r="S561" t="s">
        <v>1588</v>
      </c>
      <c r="T561" t="s">
        <v>1576</v>
      </c>
      <c r="U561" t="s">
        <v>137</v>
      </c>
    </row>
    <row r="562" spans="1:21" x14ac:dyDescent="0.25">
      <c r="A562" t="s">
        <v>557</v>
      </c>
      <c r="B562" t="s">
        <v>1601</v>
      </c>
      <c r="C562">
        <v>151724</v>
      </c>
      <c r="D562" t="s">
        <v>1602</v>
      </c>
      <c r="E562" t="s">
        <v>223</v>
      </c>
      <c r="F562" t="s">
        <v>122</v>
      </c>
      <c r="G562" t="s">
        <v>91</v>
      </c>
      <c r="H562" t="s">
        <v>122</v>
      </c>
      <c r="I562" t="s">
        <v>122</v>
      </c>
      <c r="J562" s="127">
        <v>46062.686111111114</v>
      </c>
      <c r="K562" s="127"/>
      <c r="L562" s="127">
        <v>46041</v>
      </c>
      <c r="M562" s="127">
        <v>46101.431250000001</v>
      </c>
      <c r="N562" t="s">
        <v>72</v>
      </c>
      <c r="O562" t="s">
        <v>75</v>
      </c>
      <c r="P562" t="s">
        <v>122</v>
      </c>
      <c r="Q562">
        <v>145650</v>
      </c>
      <c r="R562" t="s">
        <v>1574</v>
      </c>
      <c r="S562" t="s">
        <v>1575</v>
      </c>
      <c r="T562" t="s">
        <v>1576</v>
      </c>
      <c r="U562" t="s">
        <v>1603</v>
      </c>
    </row>
    <row r="563" spans="1:21" x14ac:dyDescent="0.25">
      <c r="A563" t="s">
        <v>557</v>
      </c>
      <c r="B563" t="s">
        <v>1604</v>
      </c>
      <c r="C563">
        <v>150135</v>
      </c>
      <c r="D563" t="s">
        <v>1605</v>
      </c>
      <c r="E563" t="s">
        <v>422</v>
      </c>
      <c r="F563" t="s">
        <v>122</v>
      </c>
      <c r="G563" t="s">
        <v>91</v>
      </c>
      <c r="H563" t="s">
        <v>122</v>
      </c>
      <c r="I563" t="s">
        <v>122</v>
      </c>
      <c r="J563" s="127">
        <v>46055.631249999999</v>
      </c>
      <c r="K563" s="127"/>
      <c r="L563" s="127"/>
      <c r="M563" s="127"/>
      <c r="N563" t="s">
        <v>75</v>
      </c>
      <c r="O563" t="s">
        <v>122</v>
      </c>
      <c r="P563" t="s">
        <v>122</v>
      </c>
      <c r="Q563">
        <v>145598</v>
      </c>
      <c r="R563" t="s">
        <v>1579</v>
      </c>
      <c r="S563" t="s">
        <v>1580</v>
      </c>
      <c r="T563" t="s">
        <v>1576</v>
      </c>
      <c r="U563" t="s">
        <v>137</v>
      </c>
    </row>
    <row r="564" spans="1:21" x14ac:dyDescent="0.25">
      <c r="A564" t="s">
        <v>118</v>
      </c>
      <c r="B564" t="s">
        <v>1606</v>
      </c>
      <c r="C564">
        <v>150095</v>
      </c>
      <c r="D564" t="s">
        <v>1607</v>
      </c>
      <c r="E564" t="s">
        <v>437</v>
      </c>
      <c r="F564" t="s">
        <v>84</v>
      </c>
      <c r="G564" t="s">
        <v>91</v>
      </c>
      <c r="H564" t="s">
        <v>122</v>
      </c>
      <c r="I564" t="s">
        <v>122</v>
      </c>
      <c r="J564" s="127">
        <v>46055.587500000001</v>
      </c>
      <c r="K564" s="127">
        <v>46055.835416666669</v>
      </c>
      <c r="L564" s="127">
        <v>46055</v>
      </c>
      <c r="M564" s="127">
        <v>46072.4</v>
      </c>
      <c r="N564" t="s">
        <v>75</v>
      </c>
      <c r="O564" t="s">
        <v>122</v>
      </c>
      <c r="P564" t="s">
        <v>122</v>
      </c>
      <c r="Q564">
        <v>145598</v>
      </c>
      <c r="R564" t="s">
        <v>1579</v>
      </c>
      <c r="S564" t="s">
        <v>1580</v>
      </c>
      <c r="T564" t="s">
        <v>1576</v>
      </c>
      <c r="U564" t="s">
        <v>137</v>
      </c>
    </row>
    <row r="565" spans="1:21" x14ac:dyDescent="0.25">
      <c r="A565" t="s">
        <v>127</v>
      </c>
      <c r="B565" t="s">
        <v>1608</v>
      </c>
      <c r="C565">
        <v>148223</v>
      </c>
      <c r="D565" t="s">
        <v>1609</v>
      </c>
      <c r="E565" t="s">
        <v>223</v>
      </c>
      <c r="F565" t="s">
        <v>84</v>
      </c>
      <c r="G565" t="s">
        <v>91</v>
      </c>
      <c r="H565" t="s">
        <v>122</v>
      </c>
      <c r="I565" t="s">
        <v>122</v>
      </c>
      <c r="J565" s="127">
        <v>46044.660416666666</v>
      </c>
      <c r="K565" s="127">
        <v>46044.831944444442</v>
      </c>
      <c r="L565" s="127">
        <v>46101</v>
      </c>
      <c r="M565" s="127">
        <v>46101.421527777777</v>
      </c>
      <c r="N565" t="s">
        <v>72</v>
      </c>
      <c r="O565" t="s">
        <v>122</v>
      </c>
      <c r="P565" t="s">
        <v>122</v>
      </c>
      <c r="Q565">
        <v>145650</v>
      </c>
      <c r="R565" t="s">
        <v>1574</v>
      </c>
      <c r="S565" t="s">
        <v>1575</v>
      </c>
      <c r="T565" t="s">
        <v>1576</v>
      </c>
      <c r="U565" t="s">
        <v>126</v>
      </c>
    </row>
    <row r="566" spans="1:21" x14ac:dyDescent="0.25">
      <c r="A566" t="s">
        <v>118</v>
      </c>
      <c r="B566" t="s">
        <v>1610</v>
      </c>
      <c r="C566">
        <v>148109</v>
      </c>
      <c r="D566" t="s">
        <v>1607</v>
      </c>
      <c r="E566" t="s">
        <v>437</v>
      </c>
      <c r="F566" t="s">
        <v>84</v>
      </c>
      <c r="G566" t="s">
        <v>91</v>
      </c>
      <c r="H566" t="s">
        <v>122</v>
      </c>
      <c r="I566" t="s">
        <v>122</v>
      </c>
      <c r="J566" s="127">
        <v>46044.468055555553</v>
      </c>
      <c r="K566" s="127">
        <v>46052.738194444442</v>
      </c>
      <c r="L566" s="127">
        <v>46052</v>
      </c>
      <c r="M566" s="127">
        <v>46052.613888888889</v>
      </c>
      <c r="N566" t="s">
        <v>75</v>
      </c>
      <c r="O566" t="s">
        <v>122</v>
      </c>
      <c r="P566" t="s">
        <v>122</v>
      </c>
      <c r="Q566">
        <v>145598</v>
      </c>
      <c r="R566" t="s">
        <v>1579</v>
      </c>
      <c r="S566" t="s">
        <v>1580</v>
      </c>
      <c r="T566" t="s">
        <v>1576</v>
      </c>
      <c r="U566" t="s">
        <v>137</v>
      </c>
    </row>
    <row r="567" spans="1:21" x14ac:dyDescent="0.25">
      <c r="A567" t="s">
        <v>118</v>
      </c>
      <c r="B567" t="s">
        <v>1611</v>
      </c>
      <c r="C567">
        <v>147439</v>
      </c>
      <c r="D567" t="s">
        <v>1612</v>
      </c>
      <c r="E567" t="s">
        <v>130</v>
      </c>
      <c r="F567" t="s">
        <v>84</v>
      </c>
      <c r="G567" t="s">
        <v>91</v>
      </c>
      <c r="H567" t="s">
        <v>122</v>
      </c>
      <c r="I567" t="s">
        <v>122</v>
      </c>
      <c r="J567" s="127">
        <v>46041.601388888892</v>
      </c>
      <c r="K567" s="127">
        <v>46087.907638888886</v>
      </c>
      <c r="L567" s="127">
        <v>46087</v>
      </c>
      <c r="M567" s="127">
        <v>46087.782638888886</v>
      </c>
      <c r="N567" t="s">
        <v>75</v>
      </c>
      <c r="O567" t="s">
        <v>122</v>
      </c>
      <c r="P567" t="s">
        <v>122</v>
      </c>
      <c r="Q567">
        <v>145598</v>
      </c>
      <c r="R567" t="s">
        <v>1579</v>
      </c>
      <c r="S567" t="s">
        <v>1580</v>
      </c>
      <c r="T567" t="s">
        <v>1576</v>
      </c>
      <c r="U567" t="s">
        <v>137</v>
      </c>
    </row>
    <row r="568" spans="1:21" x14ac:dyDescent="0.25">
      <c r="A568" t="s">
        <v>557</v>
      </c>
      <c r="B568" t="s">
        <v>1613</v>
      </c>
      <c r="C568">
        <v>147407</v>
      </c>
      <c r="D568" t="s">
        <v>1614</v>
      </c>
      <c r="E568" t="s">
        <v>223</v>
      </c>
      <c r="F568" t="s">
        <v>84</v>
      </c>
      <c r="G568" t="s">
        <v>91</v>
      </c>
      <c r="H568" t="s">
        <v>122</v>
      </c>
      <c r="I568" t="s">
        <v>122</v>
      </c>
      <c r="J568" s="127">
        <v>46041.493055555555</v>
      </c>
      <c r="K568" s="127"/>
      <c r="L568" s="127">
        <v>46041</v>
      </c>
      <c r="M568" s="127">
        <v>46062.679166666669</v>
      </c>
      <c r="N568" t="s">
        <v>72</v>
      </c>
      <c r="O568" t="s">
        <v>122</v>
      </c>
      <c r="P568" t="s">
        <v>122</v>
      </c>
      <c r="Q568">
        <v>145650</v>
      </c>
      <c r="R568" t="s">
        <v>1574</v>
      </c>
      <c r="S568" t="s">
        <v>1575</v>
      </c>
      <c r="T568" t="s">
        <v>1576</v>
      </c>
      <c r="U568" t="s">
        <v>126</v>
      </c>
    </row>
    <row r="569" spans="1:21" x14ac:dyDescent="0.25">
      <c r="A569" t="s">
        <v>118</v>
      </c>
      <c r="B569" t="s">
        <v>1615</v>
      </c>
      <c r="C569">
        <v>147406</v>
      </c>
      <c r="D569" t="s">
        <v>1616</v>
      </c>
      <c r="E569" t="s">
        <v>266</v>
      </c>
      <c r="F569" t="s">
        <v>84</v>
      </c>
      <c r="G569" t="s">
        <v>91</v>
      </c>
      <c r="H569" t="s">
        <v>122</v>
      </c>
      <c r="I569" t="s">
        <v>122</v>
      </c>
      <c r="J569" s="127">
        <v>46041.490972222222</v>
      </c>
      <c r="K569" s="127">
        <v>46105.498611111114</v>
      </c>
      <c r="L569" s="127">
        <v>46105</v>
      </c>
      <c r="M569" s="127"/>
      <c r="N569" t="s">
        <v>72</v>
      </c>
      <c r="O569" t="s">
        <v>122</v>
      </c>
      <c r="P569" t="s">
        <v>122</v>
      </c>
      <c r="Q569">
        <v>145650</v>
      </c>
      <c r="R569" t="s">
        <v>1574</v>
      </c>
      <c r="S569" t="s">
        <v>1575</v>
      </c>
      <c r="T569" t="s">
        <v>1576</v>
      </c>
      <c r="U569" t="s">
        <v>126</v>
      </c>
    </row>
    <row r="570" spans="1:21" x14ac:dyDescent="0.25">
      <c r="A570" t="s">
        <v>557</v>
      </c>
      <c r="B570" t="s">
        <v>1617</v>
      </c>
      <c r="C570">
        <v>147166</v>
      </c>
      <c r="D570" t="s">
        <v>1618</v>
      </c>
      <c r="E570" t="s">
        <v>223</v>
      </c>
      <c r="F570" t="s">
        <v>84</v>
      </c>
      <c r="G570" t="s">
        <v>91</v>
      </c>
      <c r="H570" t="s">
        <v>122</v>
      </c>
      <c r="I570" t="s">
        <v>122</v>
      </c>
      <c r="J570" s="127">
        <v>46038.698611111111</v>
      </c>
      <c r="K570" s="127"/>
      <c r="L570" s="127">
        <v>46043</v>
      </c>
      <c r="M570" s="127">
        <v>46062.588888888888</v>
      </c>
      <c r="N570" t="s">
        <v>72</v>
      </c>
      <c r="O570" t="s">
        <v>122</v>
      </c>
      <c r="P570" t="s">
        <v>122</v>
      </c>
      <c r="Q570">
        <v>145650</v>
      </c>
      <c r="R570" t="s">
        <v>1574</v>
      </c>
      <c r="S570" t="s">
        <v>1575</v>
      </c>
      <c r="T570" t="s">
        <v>1576</v>
      </c>
      <c r="U570" t="s">
        <v>126</v>
      </c>
    </row>
    <row r="571" spans="1:21" x14ac:dyDescent="0.25">
      <c r="A571" t="s">
        <v>557</v>
      </c>
      <c r="B571" t="s">
        <v>1619</v>
      </c>
      <c r="C571">
        <v>147153</v>
      </c>
      <c r="D571" t="s">
        <v>1620</v>
      </c>
      <c r="E571" t="s">
        <v>437</v>
      </c>
      <c r="F571" t="s">
        <v>84</v>
      </c>
      <c r="G571" t="s">
        <v>91</v>
      </c>
      <c r="H571" t="s">
        <v>122</v>
      </c>
      <c r="I571" t="s">
        <v>122</v>
      </c>
      <c r="J571" s="127">
        <v>46038.684027777781</v>
      </c>
      <c r="K571" s="127">
        <v>46041.738888888889</v>
      </c>
      <c r="L571" s="127">
        <v>46041.738888888889</v>
      </c>
      <c r="M571" s="127">
        <v>46043.463888888888</v>
      </c>
      <c r="N571" t="s">
        <v>72</v>
      </c>
      <c r="O571" t="s">
        <v>122</v>
      </c>
      <c r="P571" t="s">
        <v>122</v>
      </c>
      <c r="Q571">
        <v>145650</v>
      </c>
      <c r="R571" t="s">
        <v>1574</v>
      </c>
      <c r="S571" t="s">
        <v>1575</v>
      </c>
      <c r="T571" t="s">
        <v>1576</v>
      </c>
      <c r="U571" t="s">
        <v>126</v>
      </c>
    </row>
    <row r="572" spans="1:21" x14ac:dyDescent="0.25">
      <c r="A572" t="s">
        <v>557</v>
      </c>
      <c r="B572" t="s">
        <v>1621</v>
      </c>
      <c r="C572">
        <v>147142</v>
      </c>
      <c r="D572" t="s">
        <v>1622</v>
      </c>
      <c r="E572" t="s">
        <v>223</v>
      </c>
      <c r="F572" t="s">
        <v>84</v>
      </c>
      <c r="G572" t="s">
        <v>91</v>
      </c>
      <c r="H572" t="s">
        <v>122</v>
      </c>
      <c r="I572" t="s">
        <v>122</v>
      </c>
      <c r="J572" s="127">
        <v>46038.665972222225</v>
      </c>
      <c r="K572" s="127"/>
      <c r="L572" s="127">
        <v>46041</v>
      </c>
      <c r="M572" s="127">
        <v>46051.419444444444</v>
      </c>
      <c r="N572" t="s">
        <v>72</v>
      </c>
      <c r="O572" t="s">
        <v>122</v>
      </c>
      <c r="P572" t="s">
        <v>122</v>
      </c>
      <c r="Q572">
        <v>145650</v>
      </c>
      <c r="R572" t="s">
        <v>1574</v>
      </c>
      <c r="S572" t="s">
        <v>1575</v>
      </c>
      <c r="T572" t="s">
        <v>1576</v>
      </c>
      <c r="U572" t="s">
        <v>126</v>
      </c>
    </row>
    <row r="573" spans="1:21" x14ac:dyDescent="0.25">
      <c r="A573" t="s">
        <v>557</v>
      </c>
      <c r="B573" t="s">
        <v>1623</v>
      </c>
      <c r="C573">
        <v>147138</v>
      </c>
      <c r="D573" t="s">
        <v>1624</v>
      </c>
      <c r="E573" t="s">
        <v>437</v>
      </c>
      <c r="F573" t="s">
        <v>84</v>
      </c>
      <c r="G573" t="s">
        <v>91</v>
      </c>
      <c r="H573" t="s">
        <v>122</v>
      </c>
      <c r="I573" t="s">
        <v>122</v>
      </c>
      <c r="J573" s="127">
        <v>46038.660416666666</v>
      </c>
      <c r="K573" s="127">
        <v>46101.830555555556</v>
      </c>
      <c r="L573" s="127">
        <v>46101.830555555556</v>
      </c>
      <c r="M573" s="127">
        <v>46101.705555555556</v>
      </c>
      <c r="N573" t="s">
        <v>72</v>
      </c>
      <c r="O573" t="s">
        <v>122</v>
      </c>
      <c r="P573" t="s">
        <v>122</v>
      </c>
      <c r="Q573">
        <v>145650</v>
      </c>
      <c r="R573" t="s">
        <v>1574</v>
      </c>
      <c r="S573" t="s">
        <v>1575</v>
      </c>
      <c r="T573" t="s">
        <v>1576</v>
      </c>
      <c r="U573" t="s">
        <v>126</v>
      </c>
    </row>
    <row r="574" spans="1:21" x14ac:dyDescent="0.25">
      <c r="A574" t="s">
        <v>118</v>
      </c>
      <c r="B574" t="s">
        <v>1625</v>
      </c>
      <c r="C574">
        <v>146537</v>
      </c>
      <c r="D574" t="s">
        <v>1626</v>
      </c>
      <c r="E574" t="s">
        <v>121</v>
      </c>
      <c r="F574" t="s">
        <v>122</v>
      </c>
      <c r="G574" t="s">
        <v>91</v>
      </c>
      <c r="H574" t="s">
        <v>122</v>
      </c>
      <c r="I574" t="s">
        <v>122</v>
      </c>
      <c r="J574" s="127">
        <v>46035.490972222222</v>
      </c>
      <c r="K574" s="127"/>
      <c r="L574" s="127"/>
      <c r="M574" s="127"/>
      <c r="N574" t="s">
        <v>75</v>
      </c>
      <c r="O574" t="s">
        <v>122</v>
      </c>
      <c r="P574" t="s">
        <v>122</v>
      </c>
      <c r="Q574">
        <v>146384</v>
      </c>
      <c r="R574" t="s">
        <v>1627</v>
      </c>
      <c r="S574" t="s">
        <v>1628</v>
      </c>
      <c r="T574" t="s">
        <v>1576</v>
      </c>
      <c r="U574" t="s">
        <v>137</v>
      </c>
    </row>
    <row r="575" spans="1:21" x14ac:dyDescent="0.25">
      <c r="A575" t="s">
        <v>118</v>
      </c>
      <c r="B575" t="s">
        <v>1629</v>
      </c>
      <c r="C575">
        <v>146469</v>
      </c>
      <c r="D575" t="s">
        <v>1630</v>
      </c>
      <c r="E575" t="s">
        <v>121</v>
      </c>
      <c r="F575" t="s">
        <v>122</v>
      </c>
      <c r="G575" t="s">
        <v>91</v>
      </c>
      <c r="H575" t="s">
        <v>122</v>
      </c>
      <c r="I575" t="s">
        <v>122</v>
      </c>
      <c r="J575" s="127">
        <v>46035.425000000003</v>
      </c>
      <c r="K575" s="127"/>
      <c r="L575" s="127"/>
      <c r="M575" s="127"/>
      <c r="N575" t="s">
        <v>75</v>
      </c>
      <c r="O575" t="s">
        <v>122</v>
      </c>
      <c r="P575" t="s">
        <v>122</v>
      </c>
      <c r="Q575">
        <v>146384</v>
      </c>
      <c r="R575" t="s">
        <v>1627</v>
      </c>
      <c r="S575" t="s">
        <v>1628</v>
      </c>
      <c r="T575" t="s">
        <v>1576</v>
      </c>
      <c r="U575" t="s">
        <v>137</v>
      </c>
    </row>
    <row r="576" spans="1:21" x14ac:dyDescent="0.25">
      <c r="A576" t="s">
        <v>118</v>
      </c>
      <c r="B576" t="s">
        <v>1631</v>
      </c>
      <c r="C576">
        <v>146381</v>
      </c>
      <c r="D576" t="s">
        <v>1632</v>
      </c>
      <c r="E576" t="s">
        <v>223</v>
      </c>
      <c r="F576" t="s">
        <v>84</v>
      </c>
      <c r="G576" t="s">
        <v>91</v>
      </c>
      <c r="H576" t="s">
        <v>122</v>
      </c>
      <c r="I576" t="s">
        <v>122</v>
      </c>
      <c r="J576" s="127">
        <v>46034.741666666669</v>
      </c>
      <c r="K576" s="127"/>
      <c r="L576" s="127">
        <v>46044</v>
      </c>
      <c r="M576" s="127">
        <v>46101.423611111109</v>
      </c>
      <c r="N576" t="s">
        <v>72</v>
      </c>
      <c r="O576" t="s">
        <v>122</v>
      </c>
      <c r="P576" t="s">
        <v>122</v>
      </c>
      <c r="Q576">
        <v>145650</v>
      </c>
      <c r="R576" t="s">
        <v>1574</v>
      </c>
      <c r="S576" t="s">
        <v>1575</v>
      </c>
      <c r="T576" t="s">
        <v>1576</v>
      </c>
      <c r="U576" t="s">
        <v>126</v>
      </c>
    </row>
    <row r="577" spans="1:21" x14ac:dyDescent="0.25">
      <c r="A577" t="s">
        <v>118</v>
      </c>
      <c r="B577" t="s">
        <v>1633</v>
      </c>
      <c r="C577">
        <v>146375</v>
      </c>
      <c r="D577" t="s">
        <v>1634</v>
      </c>
      <c r="E577" t="s">
        <v>437</v>
      </c>
      <c r="F577" t="s">
        <v>84</v>
      </c>
      <c r="G577" t="s">
        <v>91</v>
      </c>
      <c r="H577" t="s">
        <v>122</v>
      </c>
      <c r="I577" t="s">
        <v>122</v>
      </c>
      <c r="J577" s="127">
        <v>46034.739583333336</v>
      </c>
      <c r="K577" s="127">
        <v>46101.631249999999</v>
      </c>
      <c r="L577" s="127">
        <v>46101</v>
      </c>
      <c r="M577" s="127">
        <v>46101.506249999999</v>
      </c>
      <c r="N577" t="s">
        <v>72</v>
      </c>
      <c r="O577" t="s">
        <v>122</v>
      </c>
      <c r="P577" t="s">
        <v>122</v>
      </c>
      <c r="Q577">
        <v>145650</v>
      </c>
      <c r="R577" t="s">
        <v>1574</v>
      </c>
      <c r="S577" t="s">
        <v>1575</v>
      </c>
      <c r="T577" t="s">
        <v>1576</v>
      </c>
      <c r="U577" t="s">
        <v>126</v>
      </c>
    </row>
    <row r="578" spans="1:21" x14ac:dyDescent="0.25">
      <c r="A578" t="s">
        <v>118</v>
      </c>
      <c r="B578" t="s">
        <v>1635</v>
      </c>
      <c r="C578">
        <v>144334</v>
      </c>
      <c r="D578" t="s">
        <v>1636</v>
      </c>
      <c r="E578" t="s">
        <v>437</v>
      </c>
      <c r="F578" t="s">
        <v>84</v>
      </c>
      <c r="G578" t="s">
        <v>91</v>
      </c>
      <c r="H578" t="s">
        <v>122</v>
      </c>
      <c r="I578" t="s">
        <v>122</v>
      </c>
      <c r="J578" s="127">
        <v>46028.496527777781</v>
      </c>
      <c r="K578" s="127">
        <v>46028</v>
      </c>
      <c r="L578" s="127">
        <v>46030</v>
      </c>
      <c r="M578" s="127">
        <v>46037.787499999999</v>
      </c>
      <c r="N578" t="s">
        <v>72</v>
      </c>
      <c r="O578" t="s">
        <v>122</v>
      </c>
      <c r="P578" t="s">
        <v>122</v>
      </c>
      <c r="Q578">
        <v>145650</v>
      </c>
      <c r="R578" t="s">
        <v>1574</v>
      </c>
      <c r="S578" t="s">
        <v>1575</v>
      </c>
      <c r="T578" t="s">
        <v>1576</v>
      </c>
      <c r="U578" t="s">
        <v>126</v>
      </c>
    </row>
    <row r="579" spans="1:21" x14ac:dyDescent="0.25">
      <c r="A579" t="s">
        <v>118</v>
      </c>
      <c r="B579" t="s">
        <v>1637</v>
      </c>
      <c r="C579">
        <v>145852</v>
      </c>
      <c r="D579" t="s">
        <v>1638</v>
      </c>
      <c r="E579" t="s">
        <v>437</v>
      </c>
      <c r="F579" t="s">
        <v>84</v>
      </c>
      <c r="G579" t="s">
        <v>91</v>
      </c>
      <c r="H579" t="s">
        <v>122</v>
      </c>
      <c r="I579" t="s">
        <v>122</v>
      </c>
      <c r="J579" s="127">
        <v>46030.695833333331</v>
      </c>
      <c r="K579" s="127">
        <v>46035.592361111114</v>
      </c>
      <c r="L579" s="127">
        <v>46035</v>
      </c>
      <c r="M579" s="127">
        <v>46049.46597222222</v>
      </c>
      <c r="N579" t="s">
        <v>72</v>
      </c>
      <c r="O579" t="s">
        <v>122</v>
      </c>
      <c r="P579" t="s">
        <v>122</v>
      </c>
      <c r="Q579">
        <v>145650</v>
      </c>
      <c r="R579" t="s">
        <v>1574</v>
      </c>
      <c r="S579" t="s">
        <v>1575</v>
      </c>
      <c r="T579" t="s">
        <v>1576</v>
      </c>
      <c r="U579" t="s">
        <v>126</v>
      </c>
    </row>
    <row r="580" spans="1:21" x14ac:dyDescent="0.25">
      <c r="A580" t="s">
        <v>118</v>
      </c>
      <c r="B580" t="s">
        <v>1639</v>
      </c>
      <c r="C580">
        <v>135173</v>
      </c>
      <c r="D580" t="s">
        <v>1640</v>
      </c>
      <c r="E580" t="s">
        <v>1641</v>
      </c>
      <c r="F580" t="s">
        <v>84</v>
      </c>
      <c r="G580" t="s">
        <v>91</v>
      </c>
      <c r="H580" t="s">
        <v>122</v>
      </c>
      <c r="I580" t="s">
        <v>122</v>
      </c>
      <c r="J580" s="127">
        <v>46009.62777777778</v>
      </c>
      <c r="K580" s="127">
        <v>46027.849305555559</v>
      </c>
      <c r="L580" s="127">
        <v>46027</v>
      </c>
      <c r="M580" s="127"/>
      <c r="N580" t="s">
        <v>72</v>
      </c>
      <c r="O580" t="s">
        <v>122</v>
      </c>
      <c r="P580" t="s">
        <v>122</v>
      </c>
      <c r="Q580">
        <v>71295</v>
      </c>
      <c r="R580" t="s">
        <v>1642</v>
      </c>
      <c r="S580" t="s">
        <v>1643</v>
      </c>
      <c r="T580" t="s">
        <v>1576</v>
      </c>
      <c r="U580" t="s">
        <v>126</v>
      </c>
    </row>
    <row r="581" spans="1:21" x14ac:dyDescent="0.25">
      <c r="A581" t="s">
        <v>118</v>
      </c>
      <c r="B581" t="s">
        <v>1644</v>
      </c>
      <c r="C581">
        <v>71538</v>
      </c>
      <c r="D581" t="s">
        <v>1645</v>
      </c>
      <c r="E581" t="s">
        <v>130</v>
      </c>
      <c r="F581" t="s">
        <v>84</v>
      </c>
      <c r="G581" t="s">
        <v>122</v>
      </c>
      <c r="H581" t="s">
        <v>122</v>
      </c>
      <c r="I581" t="s">
        <v>122</v>
      </c>
      <c r="J581" s="127">
        <v>45943.65902777778</v>
      </c>
      <c r="K581" s="127">
        <v>45964.634027777778</v>
      </c>
      <c r="L581" s="127">
        <v>45965</v>
      </c>
      <c r="M581" s="127">
        <v>45989.4375</v>
      </c>
      <c r="N581" t="s">
        <v>72</v>
      </c>
      <c r="O581" t="s">
        <v>122</v>
      </c>
      <c r="P581" t="s">
        <v>122</v>
      </c>
      <c r="Q581">
        <v>71549</v>
      </c>
      <c r="R581" t="s">
        <v>1646</v>
      </c>
      <c r="S581" t="s">
        <v>1647</v>
      </c>
      <c r="T581" t="s">
        <v>450</v>
      </c>
      <c r="U581" t="s">
        <v>126</v>
      </c>
    </row>
    <row r="582" spans="1:21" x14ac:dyDescent="0.25">
      <c r="A582" t="s">
        <v>118</v>
      </c>
      <c r="B582" t="s">
        <v>1648</v>
      </c>
      <c r="C582">
        <v>71537</v>
      </c>
      <c r="D582" t="s">
        <v>1649</v>
      </c>
      <c r="E582" t="s">
        <v>437</v>
      </c>
      <c r="F582" t="s">
        <v>84</v>
      </c>
      <c r="G582" t="s">
        <v>122</v>
      </c>
      <c r="H582" t="s">
        <v>122</v>
      </c>
      <c r="I582" t="s">
        <v>122</v>
      </c>
      <c r="J582" s="127">
        <v>45943.65902777778</v>
      </c>
      <c r="K582" s="127"/>
      <c r="L582" s="127"/>
      <c r="M582" s="127">
        <v>45959.36041666667</v>
      </c>
      <c r="N582" t="s">
        <v>72</v>
      </c>
      <c r="O582" t="s">
        <v>122</v>
      </c>
      <c r="P582" t="s">
        <v>122</v>
      </c>
      <c r="Q582">
        <v>71547</v>
      </c>
      <c r="R582" t="s">
        <v>1650</v>
      </c>
      <c r="S582" t="s">
        <v>1651</v>
      </c>
      <c r="T582" t="s">
        <v>450</v>
      </c>
      <c r="U582" t="s">
        <v>126</v>
      </c>
    </row>
    <row r="583" spans="1:21" x14ac:dyDescent="0.25">
      <c r="A583" t="s">
        <v>118</v>
      </c>
      <c r="B583" t="s">
        <v>1652</v>
      </c>
      <c r="C583">
        <v>71536</v>
      </c>
      <c r="D583" t="s">
        <v>1653</v>
      </c>
      <c r="E583" t="s">
        <v>437</v>
      </c>
      <c r="F583" t="s">
        <v>84</v>
      </c>
      <c r="G583" t="s">
        <v>91</v>
      </c>
      <c r="H583" t="s">
        <v>122</v>
      </c>
      <c r="I583" t="s">
        <v>122</v>
      </c>
      <c r="J583" s="127">
        <v>45943.658333333333</v>
      </c>
      <c r="K583" s="127"/>
      <c r="L583" s="127"/>
      <c r="M583" s="127">
        <v>45961.441666666666</v>
      </c>
      <c r="N583" t="s">
        <v>72</v>
      </c>
      <c r="O583" t="s">
        <v>122</v>
      </c>
      <c r="P583" t="s">
        <v>122</v>
      </c>
      <c r="Q583">
        <v>71546</v>
      </c>
      <c r="R583" t="s">
        <v>1654</v>
      </c>
      <c r="S583" t="s">
        <v>1655</v>
      </c>
      <c r="T583" t="s">
        <v>1576</v>
      </c>
      <c r="U583" t="s">
        <v>126</v>
      </c>
    </row>
    <row r="584" spans="1:21" x14ac:dyDescent="0.25">
      <c r="A584" t="s">
        <v>118</v>
      </c>
      <c r="B584" t="s">
        <v>1656</v>
      </c>
      <c r="C584">
        <v>71535</v>
      </c>
      <c r="D584" t="s">
        <v>1657</v>
      </c>
      <c r="E584" t="s">
        <v>130</v>
      </c>
      <c r="F584" t="s">
        <v>84</v>
      </c>
      <c r="G584" t="s">
        <v>122</v>
      </c>
      <c r="H584" t="s">
        <v>122</v>
      </c>
      <c r="I584" t="s">
        <v>122</v>
      </c>
      <c r="J584" s="127">
        <v>45943.658333333333</v>
      </c>
      <c r="K584" s="127"/>
      <c r="L584" s="127"/>
      <c r="M584" s="127">
        <v>45953.740972222222</v>
      </c>
      <c r="N584" t="s">
        <v>72</v>
      </c>
      <c r="O584" t="s">
        <v>122</v>
      </c>
      <c r="P584" t="s">
        <v>122</v>
      </c>
      <c r="Q584">
        <v>71545</v>
      </c>
      <c r="R584" t="s">
        <v>1658</v>
      </c>
      <c r="S584" t="s">
        <v>1659</v>
      </c>
      <c r="T584" t="s">
        <v>450</v>
      </c>
      <c r="U584" t="s">
        <v>126</v>
      </c>
    </row>
    <row r="585" spans="1:21" x14ac:dyDescent="0.25">
      <c r="A585" t="s">
        <v>118</v>
      </c>
      <c r="B585" t="s">
        <v>1660</v>
      </c>
      <c r="C585">
        <v>71298</v>
      </c>
      <c r="D585" t="s">
        <v>1661</v>
      </c>
      <c r="E585" t="s">
        <v>437</v>
      </c>
      <c r="F585" t="s">
        <v>84</v>
      </c>
      <c r="G585" t="s">
        <v>122</v>
      </c>
      <c r="H585" t="s">
        <v>122</v>
      </c>
      <c r="I585" t="s">
        <v>122</v>
      </c>
      <c r="J585" s="127">
        <v>45943.407638888886</v>
      </c>
      <c r="K585" s="127">
        <v>45964.634027777778</v>
      </c>
      <c r="L585" s="127">
        <v>45965</v>
      </c>
      <c r="M585" s="127">
        <v>45978.444444444445</v>
      </c>
      <c r="N585" t="s">
        <v>72</v>
      </c>
      <c r="O585" t="s">
        <v>122</v>
      </c>
      <c r="P585" t="s">
        <v>122</v>
      </c>
      <c r="Q585">
        <v>71550</v>
      </c>
      <c r="R585" t="s">
        <v>1662</v>
      </c>
      <c r="S585" t="s">
        <v>1663</v>
      </c>
      <c r="T585" t="s">
        <v>450</v>
      </c>
      <c r="U585" t="s">
        <v>126</v>
      </c>
    </row>
    <row r="586" spans="1:21" x14ac:dyDescent="0.25">
      <c r="A586" t="s">
        <v>118</v>
      </c>
      <c r="B586" t="s">
        <v>1664</v>
      </c>
      <c r="C586">
        <v>148160</v>
      </c>
      <c r="D586" t="s">
        <v>1665</v>
      </c>
      <c r="E586" t="s">
        <v>130</v>
      </c>
      <c r="F586" t="s">
        <v>84</v>
      </c>
      <c r="G586" t="s">
        <v>93</v>
      </c>
      <c r="H586" t="s">
        <v>122</v>
      </c>
      <c r="I586" t="s">
        <v>122</v>
      </c>
      <c r="J586" s="127">
        <v>46044.498611111114</v>
      </c>
      <c r="K586" s="127">
        <v>46048.724305555559</v>
      </c>
      <c r="L586" s="127">
        <v>46056</v>
      </c>
      <c r="M586" s="127">
        <v>46056.824999999997</v>
      </c>
      <c r="N586" t="s">
        <v>75</v>
      </c>
      <c r="O586" t="s">
        <v>122</v>
      </c>
      <c r="P586" t="s">
        <v>122</v>
      </c>
      <c r="Q586">
        <v>146560</v>
      </c>
      <c r="R586" t="s">
        <v>1666</v>
      </c>
      <c r="S586" t="s">
        <v>1667</v>
      </c>
      <c r="T586" t="s">
        <v>1668</v>
      </c>
      <c r="U586" t="s">
        <v>137</v>
      </c>
    </row>
    <row r="587" spans="1:21" x14ac:dyDescent="0.25">
      <c r="A587" t="s">
        <v>118</v>
      </c>
      <c r="B587" t="s">
        <v>1669</v>
      </c>
      <c r="C587">
        <v>160934</v>
      </c>
      <c r="D587" t="s">
        <v>1670</v>
      </c>
      <c r="E587" t="s">
        <v>266</v>
      </c>
      <c r="F587" t="s">
        <v>92</v>
      </c>
      <c r="G587" t="s">
        <v>1671</v>
      </c>
      <c r="H587" t="s">
        <v>122</v>
      </c>
      <c r="I587" t="s">
        <v>122</v>
      </c>
      <c r="J587" s="127">
        <v>46104.616666666669</v>
      </c>
      <c r="K587" s="127">
        <v>46104.844444444447</v>
      </c>
      <c r="L587" s="127">
        <v>46105</v>
      </c>
      <c r="M587" s="127"/>
      <c r="N587" t="s">
        <v>122</v>
      </c>
      <c r="O587" t="s">
        <v>122</v>
      </c>
      <c r="P587" t="s">
        <v>122</v>
      </c>
      <c r="Q587">
        <v>95807</v>
      </c>
      <c r="R587" t="s">
        <v>1672</v>
      </c>
      <c r="S587" t="s">
        <v>1673</v>
      </c>
      <c r="T587" t="s">
        <v>1674</v>
      </c>
      <c r="U587" t="s">
        <v>450</v>
      </c>
    </row>
    <row r="588" spans="1:21" x14ac:dyDescent="0.25">
      <c r="A588" t="s">
        <v>118</v>
      </c>
      <c r="B588" t="s">
        <v>1675</v>
      </c>
      <c r="C588">
        <v>160059</v>
      </c>
      <c r="D588" t="s">
        <v>1676</v>
      </c>
      <c r="E588" t="s">
        <v>379</v>
      </c>
      <c r="F588" t="s">
        <v>92</v>
      </c>
      <c r="G588" t="s">
        <v>1671</v>
      </c>
      <c r="H588" t="s">
        <v>122</v>
      </c>
      <c r="I588" t="s">
        <v>122</v>
      </c>
      <c r="J588" s="127">
        <v>46099.726388888892</v>
      </c>
      <c r="K588" s="127"/>
      <c r="L588" s="127"/>
      <c r="M588" s="127"/>
      <c r="N588" t="s">
        <v>122</v>
      </c>
      <c r="O588" t="s">
        <v>122</v>
      </c>
      <c r="P588" t="s">
        <v>122</v>
      </c>
      <c r="Q588">
        <v>160044</v>
      </c>
      <c r="R588" t="s">
        <v>1677</v>
      </c>
      <c r="S588" t="s">
        <v>1678</v>
      </c>
      <c r="T588" t="s">
        <v>1674</v>
      </c>
      <c r="U588" t="s">
        <v>450</v>
      </c>
    </row>
    <row r="589" spans="1:21" x14ac:dyDescent="0.25">
      <c r="A589" t="s">
        <v>118</v>
      </c>
      <c r="B589" t="s">
        <v>1679</v>
      </c>
      <c r="C589">
        <v>160054</v>
      </c>
      <c r="D589" t="s">
        <v>1680</v>
      </c>
      <c r="E589" t="s">
        <v>379</v>
      </c>
      <c r="F589" t="s">
        <v>92</v>
      </c>
      <c r="G589" t="s">
        <v>1671</v>
      </c>
      <c r="H589" t="s">
        <v>122</v>
      </c>
      <c r="I589" t="s">
        <v>122</v>
      </c>
      <c r="J589" s="127">
        <v>46099.724999999999</v>
      </c>
      <c r="K589" s="127"/>
      <c r="L589" s="127"/>
      <c r="M589" s="127"/>
      <c r="N589" t="s">
        <v>122</v>
      </c>
      <c r="O589" t="s">
        <v>122</v>
      </c>
      <c r="P589" t="s">
        <v>122</v>
      </c>
      <c r="Q589">
        <v>160044</v>
      </c>
      <c r="R589" t="s">
        <v>1677</v>
      </c>
      <c r="S589" t="s">
        <v>1678</v>
      </c>
      <c r="T589" t="s">
        <v>1674</v>
      </c>
      <c r="U589" t="s">
        <v>450</v>
      </c>
    </row>
    <row r="590" spans="1:21" x14ac:dyDescent="0.25">
      <c r="A590" t="s">
        <v>118</v>
      </c>
      <c r="B590" t="s">
        <v>1681</v>
      </c>
      <c r="C590">
        <v>160050</v>
      </c>
      <c r="D590" t="s">
        <v>1682</v>
      </c>
      <c r="E590" t="s">
        <v>379</v>
      </c>
      <c r="F590" t="s">
        <v>92</v>
      </c>
      <c r="G590" t="s">
        <v>1671</v>
      </c>
      <c r="H590" t="s">
        <v>122</v>
      </c>
      <c r="I590" t="s">
        <v>122</v>
      </c>
      <c r="J590" s="127">
        <v>46099.723611111112</v>
      </c>
      <c r="K590" s="127"/>
      <c r="L590" s="127"/>
      <c r="M590" s="127"/>
      <c r="N590" t="s">
        <v>122</v>
      </c>
      <c r="O590" t="s">
        <v>122</v>
      </c>
      <c r="P590" t="s">
        <v>122</v>
      </c>
      <c r="Q590">
        <v>160044</v>
      </c>
      <c r="R590" t="s">
        <v>1677</v>
      </c>
      <c r="S590" t="s">
        <v>1678</v>
      </c>
      <c r="T590" t="s">
        <v>1674</v>
      </c>
      <c r="U590" t="s">
        <v>450</v>
      </c>
    </row>
    <row r="591" spans="1:21" x14ac:dyDescent="0.25">
      <c r="A591" t="s">
        <v>118</v>
      </c>
      <c r="B591" t="s">
        <v>1683</v>
      </c>
      <c r="C591">
        <v>160047</v>
      </c>
      <c r="D591" t="s">
        <v>1684</v>
      </c>
      <c r="E591" t="s">
        <v>266</v>
      </c>
      <c r="F591" t="s">
        <v>92</v>
      </c>
      <c r="G591" t="s">
        <v>1671</v>
      </c>
      <c r="H591" t="s">
        <v>122</v>
      </c>
      <c r="I591" t="s">
        <v>122</v>
      </c>
      <c r="J591" s="127">
        <v>46099.722916666666</v>
      </c>
      <c r="K591" s="127">
        <v>46100.616666666669</v>
      </c>
      <c r="L591" s="127">
        <v>46100</v>
      </c>
      <c r="M591" s="127"/>
      <c r="N591" t="s">
        <v>122</v>
      </c>
      <c r="O591" t="s">
        <v>122</v>
      </c>
      <c r="P591" t="s">
        <v>122</v>
      </c>
      <c r="Q591">
        <v>160044</v>
      </c>
      <c r="R591" t="s">
        <v>1677</v>
      </c>
      <c r="S591" t="s">
        <v>1678</v>
      </c>
      <c r="T591" t="s">
        <v>1674</v>
      </c>
      <c r="U591" t="s">
        <v>450</v>
      </c>
    </row>
    <row r="592" spans="1:21" x14ac:dyDescent="0.25">
      <c r="A592" t="s">
        <v>118</v>
      </c>
      <c r="B592" t="s">
        <v>1685</v>
      </c>
      <c r="C592">
        <v>160041</v>
      </c>
      <c r="D592" t="s">
        <v>1686</v>
      </c>
      <c r="E592" t="s">
        <v>422</v>
      </c>
      <c r="F592" t="s">
        <v>92</v>
      </c>
      <c r="G592" t="s">
        <v>1671</v>
      </c>
      <c r="H592" t="s">
        <v>122</v>
      </c>
      <c r="I592" t="s">
        <v>122</v>
      </c>
      <c r="J592" s="127">
        <v>46099.713194444441</v>
      </c>
      <c r="K592" s="127"/>
      <c r="L592" s="127"/>
      <c r="M592" s="127"/>
      <c r="N592" t="s">
        <v>122</v>
      </c>
      <c r="O592" t="s">
        <v>122</v>
      </c>
      <c r="P592" t="s">
        <v>122</v>
      </c>
      <c r="Q592">
        <v>159964</v>
      </c>
      <c r="R592" t="s">
        <v>1687</v>
      </c>
      <c r="S592" t="s">
        <v>1688</v>
      </c>
      <c r="T592" t="s">
        <v>1674</v>
      </c>
      <c r="U592" t="s">
        <v>450</v>
      </c>
    </row>
    <row r="593" spans="1:21" x14ac:dyDescent="0.25">
      <c r="A593" t="s">
        <v>118</v>
      </c>
      <c r="B593" t="s">
        <v>1689</v>
      </c>
      <c r="C593">
        <v>160040</v>
      </c>
      <c r="D593" t="s">
        <v>1690</v>
      </c>
      <c r="E593" t="s">
        <v>422</v>
      </c>
      <c r="F593" t="s">
        <v>92</v>
      </c>
      <c r="G593" t="s">
        <v>1671</v>
      </c>
      <c r="H593" t="s">
        <v>122</v>
      </c>
      <c r="I593" t="s">
        <v>122</v>
      </c>
      <c r="J593" s="127">
        <v>46099.712500000001</v>
      </c>
      <c r="K593" s="127"/>
      <c r="L593" s="127"/>
      <c r="M593" s="127"/>
      <c r="N593" t="s">
        <v>122</v>
      </c>
      <c r="O593" t="s">
        <v>122</v>
      </c>
      <c r="P593" t="s">
        <v>122</v>
      </c>
      <c r="Q593">
        <v>159964</v>
      </c>
      <c r="R593" t="s">
        <v>1687</v>
      </c>
      <c r="S593" t="s">
        <v>1688</v>
      </c>
      <c r="T593" t="s">
        <v>1674</v>
      </c>
      <c r="U593" t="s">
        <v>450</v>
      </c>
    </row>
    <row r="594" spans="1:21" x14ac:dyDescent="0.25">
      <c r="A594" t="s">
        <v>118</v>
      </c>
      <c r="B594" t="s">
        <v>1691</v>
      </c>
      <c r="C594">
        <v>160038</v>
      </c>
      <c r="D594" t="s">
        <v>1692</v>
      </c>
      <c r="E594" t="s">
        <v>422</v>
      </c>
      <c r="F594" t="s">
        <v>92</v>
      </c>
      <c r="G594" t="s">
        <v>1671</v>
      </c>
      <c r="H594" t="s">
        <v>122</v>
      </c>
      <c r="I594" t="s">
        <v>122</v>
      </c>
      <c r="J594" s="127">
        <v>46099.701388888891</v>
      </c>
      <c r="K594" s="127"/>
      <c r="L594" s="127"/>
      <c r="M594" s="127"/>
      <c r="N594" t="s">
        <v>122</v>
      </c>
      <c r="O594" t="s">
        <v>122</v>
      </c>
      <c r="P594" t="s">
        <v>122</v>
      </c>
      <c r="Q594">
        <v>159964</v>
      </c>
      <c r="R594" t="s">
        <v>1687</v>
      </c>
      <c r="S594" t="s">
        <v>1688</v>
      </c>
      <c r="T594" t="s">
        <v>1674</v>
      </c>
      <c r="U594" t="s">
        <v>450</v>
      </c>
    </row>
    <row r="595" spans="1:21" x14ac:dyDescent="0.25">
      <c r="A595" t="s">
        <v>118</v>
      </c>
      <c r="B595" t="s">
        <v>1693</v>
      </c>
      <c r="C595">
        <v>159967</v>
      </c>
      <c r="D595" t="s">
        <v>1694</v>
      </c>
      <c r="E595" t="s">
        <v>266</v>
      </c>
      <c r="F595" t="s">
        <v>92</v>
      </c>
      <c r="G595" t="s">
        <v>1671</v>
      </c>
      <c r="H595" t="s">
        <v>122</v>
      </c>
      <c r="I595" t="s">
        <v>122</v>
      </c>
      <c r="J595" s="127">
        <v>46099.618750000001</v>
      </c>
      <c r="K595" s="127">
        <v>46104.848611111112</v>
      </c>
      <c r="L595" s="127">
        <v>46105</v>
      </c>
      <c r="M595" s="127"/>
      <c r="N595" t="s">
        <v>122</v>
      </c>
      <c r="O595" t="s">
        <v>122</v>
      </c>
      <c r="P595" t="s">
        <v>122</v>
      </c>
      <c r="Q595">
        <v>159964</v>
      </c>
      <c r="R595" t="s">
        <v>1687</v>
      </c>
      <c r="S595" t="s">
        <v>1688</v>
      </c>
      <c r="T595" t="s">
        <v>1674</v>
      </c>
      <c r="U595" t="s">
        <v>450</v>
      </c>
    </row>
    <row r="596" spans="1:21" x14ac:dyDescent="0.25">
      <c r="A596" t="s">
        <v>118</v>
      </c>
      <c r="B596" t="s">
        <v>1695</v>
      </c>
      <c r="C596">
        <v>159082</v>
      </c>
      <c r="D596" t="s">
        <v>1696</v>
      </c>
      <c r="E596" t="s">
        <v>266</v>
      </c>
      <c r="F596" t="s">
        <v>92</v>
      </c>
      <c r="G596" t="s">
        <v>1671</v>
      </c>
      <c r="H596" t="s">
        <v>122</v>
      </c>
      <c r="I596" t="s">
        <v>122</v>
      </c>
      <c r="J596" s="127">
        <v>46094.642361111109</v>
      </c>
      <c r="K596" s="127">
        <v>46097.838888888888</v>
      </c>
      <c r="L596" s="127">
        <v>46098</v>
      </c>
      <c r="M596" s="127"/>
      <c r="N596" t="s">
        <v>122</v>
      </c>
      <c r="O596" t="s">
        <v>122</v>
      </c>
      <c r="P596" t="s">
        <v>122</v>
      </c>
      <c r="Q596">
        <v>157003</v>
      </c>
      <c r="R596" t="s">
        <v>1697</v>
      </c>
      <c r="S596" t="s">
        <v>1698</v>
      </c>
      <c r="T596" t="s">
        <v>1674</v>
      </c>
      <c r="U596" t="s">
        <v>450</v>
      </c>
    </row>
    <row r="597" spans="1:21" x14ac:dyDescent="0.25">
      <c r="A597" t="s">
        <v>118</v>
      </c>
      <c r="B597" t="s">
        <v>1699</v>
      </c>
      <c r="C597">
        <v>158935</v>
      </c>
      <c r="D597" t="s">
        <v>1700</v>
      </c>
      <c r="E597" t="s">
        <v>422</v>
      </c>
      <c r="F597" t="s">
        <v>92</v>
      </c>
      <c r="G597" t="s">
        <v>1671</v>
      </c>
      <c r="H597" t="s">
        <v>122</v>
      </c>
      <c r="I597" t="s">
        <v>122</v>
      </c>
      <c r="J597" s="127">
        <v>46093.666666666664</v>
      </c>
      <c r="K597" s="127"/>
      <c r="L597" s="127"/>
      <c r="M597" s="127"/>
      <c r="N597" t="s">
        <v>122</v>
      </c>
      <c r="O597" t="s">
        <v>122</v>
      </c>
      <c r="P597" t="s">
        <v>122</v>
      </c>
      <c r="Q597">
        <v>120645</v>
      </c>
      <c r="R597" t="s">
        <v>1701</v>
      </c>
      <c r="S597" t="s">
        <v>1702</v>
      </c>
      <c r="T597" t="s">
        <v>1674</v>
      </c>
      <c r="U597" t="s">
        <v>450</v>
      </c>
    </row>
    <row r="598" spans="1:21" x14ac:dyDescent="0.25">
      <c r="A598" t="s">
        <v>118</v>
      </c>
      <c r="B598" t="s">
        <v>1703</v>
      </c>
      <c r="C598">
        <v>158930</v>
      </c>
      <c r="D598" t="s">
        <v>1704</v>
      </c>
      <c r="E598" t="s">
        <v>266</v>
      </c>
      <c r="F598" t="s">
        <v>92</v>
      </c>
      <c r="G598" t="s">
        <v>1671</v>
      </c>
      <c r="H598" t="s">
        <v>122</v>
      </c>
      <c r="I598" t="s">
        <v>122</v>
      </c>
      <c r="J598" s="127">
        <v>46093.661805555559</v>
      </c>
      <c r="K598" s="127">
        <v>46097.84375</v>
      </c>
      <c r="L598" s="127">
        <v>46100</v>
      </c>
      <c r="M598" s="127"/>
      <c r="N598" t="s">
        <v>122</v>
      </c>
      <c r="O598" t="s">
        <v>122</v>
      </c>
      <c r="P598" t="s">
        <v>122</v>
      </c>
      <c r="Q598">
        <v>120645</v>
      </c>
      <c r="R598" t="s">
        <v>1701</v>
      </c>
      <c r="S598" t="s">
        <v>1702</v>
      </c>
      <c r="T598" t="s">
        <v>1674</v>
      </c>
      <c r="U598" t="s">
        <v>450</v>
      </c>
    </row>
    <row r="599" spans="1:21" x14ac:dyDescent="0.25">
      <c r="A599" t="s">
        <v>127</v>
      </c>
      <c r="B599" t="s">
        <v>1705</v>
      </c>
      <c r="C599">
        <v>158308</v>
      </c>
      <c r="D599" t="s">
        <v>1706</v>
      </c>
      <c r="E599" t="s">
        <v>130</v>
      </c>
      <c r="F599" t="s">
        <v>92</v>
      </c>
      <c r="G599" t="s">
        <v>1671</v>
      </c>
      <c r="H599" t="s">
        <v>122</v>
      </c>
      <c r="I599" t="s">
        <v>122</v>
      </c>
      <c r="J599" s="127">
        <v>46091.730555555558</v>
      </c>
      <c r="K599" s="127">
        <v>46092.513888888891</v>
      </c>
      <c r="L599" s="127">
        <v>46092</v>
      </c>
      <c r="M599" s="127">
        <v>46100.668055555558</v>
      </c>
      <c r="N599" t="s">
        <v>122</v>
      </c>
      <c r="O599" t="s">
        <v>122</v>
      </c>
      <c r="P599" t="s">
        <v>122</v>
      </c>
      <c r="Q599">
        <v>95807</v>
      </c>
      <c r="R599" t="s">
        <v>1672</v>
      </c>
      <c r="S599" t="s">
        <v>1673</v>
      </c>
      <c r="T599" t="s">
        <v>1674</v>
      </c>
      <c r="U599" t="s">
        <v>450</v>
      </c>
    </row>
    <row r="600" spans="1:21" x14ac:dyDescent="0.25">
      <c r="A600" t="s">
        <v>118</v>
      </c>
      <c r="B600" t="s">
        <v>1707</v>
      </c>
      <c r="C600">
        <v>158265</v>
      </c>
      <c r="D600" t="s">
        <v>1708</v>
      </c>
      <c r="E600" t="s">
        <v>121</v>
      </c>
      <c r="F600" t="s">
        <v>122</v>
      </c>
      <c r="G600" t="s">
        <v>1671</v>
      </c>
      <c r="H600" t="s">
        <v>122</v>
      </c>
      <c r="I600" t="s">
        <v>122</v>
      </c>
      <c r="J600" s="127">
        <v>46091.68472222222</v>
      </c>
      <c r="K600" s="127"/>
      <c r="L600" s="127"/>
      <c r="M600" s="127"/>
      <c r="N600" t="s">
        <v>122</v>
      </c>
      <c r="O600" t="s">
        <v>122</v>
      </c>
      <c r="P600" t="s">
        <v>122</v>
      </c>
      <c r="Q600">
        <v>150977</v>
      </c>
      <c r="R600" t="s">
        <v>1709</v>
      </c>
      <c r="S600" t="s">
        <v>1710</v>
      </c>
      <c r="T600" t="s">
        <v>1674</v>
      </c>
      <c r="U600" t="s">
        <v>450</v>
      </c>
    </row>
    <row r="601" spans="1:21" x14ac:dyDescent="0.25">
      <c r="A601" t="s">
        <v>127</v>
      </c>
      <c r="B601" t="s">
        <v>1711</v>
      </c>
      <c r="C601">
        <v>158261</v>
      </c>
      <c r="D601" t="s">
        <v>1712</v>
      </c>
      <c r="E601" t="s">
        <v>130</v>
      </c>
      <c r="F601" t="s">
        <v>92</v>
      </c>
      <c r="G601" t="s">
        <v>1671</v>
      </c>
      <c r="H601" t="s">
        <v>122</v>
      </c>
      <c r="I601" t="s">
        <v>122</v>
      </c>
      <c r="J601" s="127">
        <v>46091.681944444441</v>
      </c>
      <c r="K601" s="127">
        <v>46091.80972222222</v>
      </c>
      <c r="L601" s="127">
        <v>46091</v>
      </c>
      <c r="M601" s="127">
        <v>46100.668749999997</v>
      </c>
      <c r="N601" t="s">
        <v>122</v>
      </c>
      <c r="O601" t="s">
        <v>122</v>
      </c>
      <c r="P601" t="s">
        <v>122</v>
      </c>
      <c r="Q601">
        <v>95807</v>
      </c>
      <c r="R601" t="s">
        <v>1672</v>
      </c>
      <c r="S601" t="s">
        <v>1673</v>
      </c>
      <c r="T601" t="s">
        <v>1674</v>
      </c>
      <c r="U601" t="s">
        <v>450</v>
      </c>
    </row>
    <row r="602" spans="1:21" x14ac:dyDescent="0.25">
      <c r="A602" t="s">
        <v>118</v>
      </c>
      <c r="B602" t="s">
        <v>1713</v>
      </c>
      <c r="C602">
        <v>158006</v>
      </c>
      <c r="D602" t="s">
        <v>1714</v>
      </c>
      <c r="E602" t="s">
        <v>130</v>
      </c>
      <c r="F602" t="s">
        <v>92</v>
      </c>
      <c r="G602" t="s">
        <v>1671</v>
      </c>
      <c r="H602" t="s">
        <v>122</v>
      </c>
      <c r="I602" t="s">
        <v>122</v>
      </c>
      <c r="J602" s="127">
        <v>46090.722222222219</v>
      </c>
      <c r="K602" s="127">
        <v>46090.847916666666</v>
      </c>
      <c r="L602" s="127">
        <v>46091.613888888889</v>
      </c>
      <c r="M602" s="127">
        <v>46099.440972222219</v>
      </c>
      <c r="N602" t="s">
        <v>122</v>
      </c>
      <c r="O602" t="s">
        <v>122</v>
      </c>
      <c r="P602" t="s">
        <v>122</v>
      </c>
      <c r="Q602">
        <v>108198</v>
      </c>
      <c r="R602" t="s">
        <v>1715</v>
      </c>
      <c r="S602" t="s">
        <v>1716</v>
      </c>
      <c r="T602" t="s">
        <v>1674</v>
      </c>
      <c r="U602" t="s">
        <v>450</v>
      </c>
    </row>
    <row r="603" spans="1:21" x14ac:dyDescent="0.25">
      <c r="A603" t="s">
        <v>118</v>
      </c>
      <c r="B603" t="s">
        <v>1717</v>
      </c>
      <c r="C603">
        <v>157944</v>
      </c>
      <c r="D603" t="s">
        <v>1718</v>
      </c>
      <c r="E603" t="s">
        <v>130</v>
      </c>
      <c r="F603" t="s">
        <v>92</v>
      </c>
      <c r="G603" t="s">
        <v>1671</v>
      </c>
      <c r="H603" t="s">
        <v>122</v>
      </c>
      <c r="I603" t="s">
        <v>122</v>
      </c>
      <c r="J603" s="127">
        <v>46090.530555555553</v>
      </c>
      <c r="K603" s="127">
        <v>46097.842361111114</v>
      </c>
      <c r="L603" s="127">
        <v>46098</v>
      </c>
      <c r="M603" s="127">
        <v>46100.67083333333</v>
      </c>
      <c r="N603" t="s">
        <v>122</v>
      </c>
      <c r="O603" t="s">
        <v>122</v>
      </c>
      <c r="P603" t="s">
        <v>122</v>
      </c>
      <c r="Q603">
        <v>150942</v>
      </c>
      <c r="R603" t="s">
        <v>1719</v>
      </c>
      <c r="S603" t="s">
        <v>1720</v>
      </c>
      <c r="T603" t="s">
        <v>1674</v>
      </c>
      <c r="U603" t="s">
        <v>450</v>
      </c>
    </row>
    <row r="604" spans="1:21" x14ac:dyDescent="0.25">
      <c r="A604" t="s">
        <v>127</v>
      </c>
      <c r="B604" t="s">
        <v>1721</v>
      </c>
      <c r="C604">
        <v>157477</v>
      </c>
      <c r="D604" t="s">
        <v>1722</v>
      </c>
      <c r="E604" t="s">
        <v>130</v>
      </c>
      <c r="F604" t="s">
        <v>92</v>
      </c>
      <c r="G604" t="s">
        <v>1671</v>
      </c>
      <c r="H604" t="s">
        <v>122</v>
      </c>
      <c r="I604" t="s">
        <v>122</v>
      </c>
      <c r="J604" s="127">
        <v>46086.722916666666</v>
      </c>
      <c r="K604" s="127">
        <v>46092.56527777778</v>
      </c>
      <c r="L604" s="127">
        <v>46092</v>
      </c>
      <c r="M604" s="127">
        <v>46094.441666666666</v>
      </c>
      <c r="N604" t="s">
        <v>122</v>
      </c>
      <c r="O604" t="s">
        <v>122</v>
      </c>
      <c r="P604" t="s">
        <v>122</v>
      </c>
      <c r="Q604">
        <v>150942</v>
      </c>
      <c r="R604" t="s">
        <v>1719</v>
      </c>
      <c r="S604" t="s">
        <v>1720</v>
      </c>
      <c r="T604" t="s">
        <v>1674</v>
      </c>
      <c r="U604" t="s">
        <v>450</v>
      </c>
    </row>
    <row r="605" spans="1:21" x14ac:dyDescent="0.25">
      <c r="A605" t="s">
        <v>253</v>
      </c>
      <c r="B605" t="s">
        <v>1723</v>
      </c>
      <c r="C605">
        <v>157382</v>
      </c>
      <c r="D605" t="s">
        <v>1724</v>
      </c>
      <c r="E605" t="s">
        <v>437</v>
      </c>
      <c r="F605" t="s">
        <v>92</v>
      </c>
      <c r="G605" t="s">
        <v>1671</v>
      </c>
      <c r="H605" t="s">
        <v>122</v>
      </c>
      <c r="I605" t="s">
        <v>122</v>
      </c>
      <c r="J605" s="127">
        <v>46086.638888888891</v>
      </c>
      <c r="K605" s="127">
        <v>46086.765972222223</v>
      </c>
      <c r="L605" s="127">
        <v>46090.852777777778</v>
      </c>
      <c r="M605" s="127">
        <v>46090.728472222225</v>
      </c>
      <c r="N605" t="s">
        <v>122</v>
      </c>
      <c r="O605" t="s">
        <v>122</v>
      </c>
      <c r="P605" t="s">
        <v>122</v>
      </c>
      <c r="Q605">
        <v>95807</v>
      </c>
      <c r="R605" t="s">
        <v>1672</v>
      </c>
      <c r="S605" t="s">
        <v>1673</v>
      </c>
      <c r="T605" t="s">
        <v>1674</v>
      </c>
      <c r="U605" t="s">
        <v>450</v>
      </c>
    </row>
    <row r="606" spans="1:21" x14ac:dyDescent="0.25">
      <c r="A606" t="s">
        <v>142</v>
      </c>
      <c r="B606" t="s">
        <v>1725</v>
      </c>
      <c r="C606">
        <v>157006</v>
      </c>
      <c r="D606" t="s">
        <v>1726</v>
      </c>
      <c r="E606" t="s">
        <v>130</v>
      </c>
      <c r="F606" t="s">
        <v>92</v>
      </c>
      <c r="G606" t="s">
        <v>1671</v>
      </c>
      <c r="H606" t="s">
        <v>122</v>
      </c>
      <c r="I606" t="s">
        <v>122</v>
      </c>
      <c r="J606" s="127">
        <v>46085.670138888891</v>
      </c>
      <c r="K606" s="127">
        <v>46086.787499999999</v>
      </c>
      <c r="L606" s="127">
        <v>46086</v>
      </c>
      <c r="M606" s="127">
        <v>46101.441666666666</v>
      </c>
      <c r="N606" t="s">
        <v>122</v>
      </c>
      <c r="O606" t="s">
        <v>122</v>
      </c>
      <c r="P606" t="s">
        <v>122</v>
      </c>
      <c r="Q606">
        <v>157003</v>
      </c>
      <c r="R606" t="s">
        <v>1697</v>
      </c>
      <c r="S606" t="s">
        <v>1698</v>
      </c>
      <c r="T606" t="s">
        <v>1674</v>
      </c>
      <c r="U606" t="s">
        <v>450</v>
      </c>
    </row>
    <row r="607" spans="1:21" x14ac:dyDescent="0.25">
      <c r="A607" t="s">
        <v>127</v>
      </c>
      <c r="B607" t="s">
        <v>1727</v>
      </c>
      <c r="C607">
        <v>156684</v>
      </c>
      <c r="D607" t="s">
        <v>1728</v>
      </c>
      <c r="E607" t="s">
        <v>121</v>
      </c>
      <c r="F607" t="s">
        <v>92</v>
      </c>
      <c r="G607" t="s">
        <v>1671</v>
      </c>
      <c r="H607" t="s">
        <v>122</v>
      </c>
      <c r="I607" t="s">
        <v>122</v>
      </c>
      <c r="J607" s="127">
        <v>46084.777777777781</v>
      </c>
      <c r="K607" s="127"/>
      <c r="L607" s="127"/>
      <c r="M607" s="127"/>
      <c r="N607" t="s">
        <v>122</v>
      </c>
      <c r="O607" t="s">
        <v>122</v>
      </c>
      <c r="P607" t="s">
        <v>122</v>
      </c>
      <c r="Q607">
        <v>120645</v>
      </c>
      <c r="R607" t="s">
        <v>1701</v>
      </c>
      <c r="S607" t="s">
        <v>1702</v>
      </c>
      <c r="T607" t="s">
        <v>1674</v>
      </c>
      <c r="U607" t="s">
        <v>450</v>
      </c>
    </row>
    <row r="608" spans="1:21" x14ac:dyDescent="0.25">
      <c r="A608" t="s">
        <v>127</v>
      </c>
      <c r="B608" t="s">
        <v>1729</v>
      </c>
      <c r="C608">
        <v>156683</v>
      </c>
      <c r="D608" t="s">
        <v>1730</v>
      </c>
      <c r="E608" t="s">
        <v>703</v>
      </c>
      <c r="F608" t="s">
        <v>92</v>
      </c>
      <c r="G608" t="s">
        <v>1671</v>
      </c>
      <c r="H608" t="s">
        <v>122</v>
      </c>
      <c r="I608" t="s">
        <v>122</v>
      </c>
      <c r="J608" s="127">
        <v>46084.762499999997</v>
      </c>
      <c r="K608" s="127">
        <v>46084</v>
      </c>
      <c r="L608" s="127"/>
      <c r="M608" s="127"/>
      <c r="N608" t="s">
        <v>122</v>
      </c>
      <c r="O608" t="s">
        <v>122</v>
      </c>
      <c r="P608" t="s">
        <v>122</v>
      </c>
      <c r="Q608">
        <v>157394</v>
      </c>
      <c r="R608" t="s">
        <v>1731</v>
      </c>
      <c r="S608" t="s">
        <v>1732</v>
      </c>
      <c r="T608" t="s">
        <v>1674</v>
      </c>
      <c r="U608" t="s">
        <v>450</v>
      </c>
    </row>
    <row r="609" spans="1:21" x14ac:dyDescent="0.25">
      <c r="A609" t="s">
        <v>127</v>
      </c>
      <c r="B609" t="s">
        <v>1733</v>
      </c>
      <c r="C609">
        <v>156676</v>
      </c>
      <c r="D609" t="s">
        <v>1734</v>
      </c>
      <c r="E609" t="s">
        <v>703</v>
      </c>
      <c r="F609" t="s">
        <v>92</v>
      </c>
      <c r="G609" t="s">
        <v>1671</v>
      </c>
      <c r="H609" t="s">
        <v>122</v>
      </c>
      <c r="I609" t="s">
        <v>122</v>
      </c>
      <c r="J609" s="127">
        <v>46084.753472222219</v>
      </c>
      <c r="K609" s="127">
        <v>46084</v>
      </c>
      <c r="L609" s="127"/>
      <c r="M609" s="127"/>
      <c r="N609" t="s">
        <v>122</v>
      </c>
      <c r="O609" t="s">
        <v>122</v>
      </c>
      <c r="P609" t="s">
        <v>122</v>
      </c>
      <c r="Q609">
        <v>157394</v>
      </c>
      <c r="R609" t="s">
        <v>1731</v>
      </c>
      <c r="S609" t="s">
        <v>1732</v>
      </c>
      <c r="T609" t="s">
        <v>1674</v>
      </c>
      <c r="U609" t="s">
        <v>450</v>
      </c>
    </row>
    <row r="610" spans="1:21" x14ac:dyDescent="0.25">
      <c r="A610" t="s">
        <v>253</v>
      </c>
      <c r="B610" t="s">
        <v>1735</v>
      </c>
      <c r="C610">
        <v>156327</v>
      </c>
      <c r="D610" t="s">
        <v>1736</v>
      </c>
      <c r="E610" t="s">
        <v>437</v>
      </c>
      <c r="F610" t="s">
        <v>1737</v>
      </c>
      <c r="G610" t="s">
        <v>1671</v>
      </c>
      <c r="H610" t="s">
        <v>122</v>
      </c>
      <c r="I610" t="s">
        <v>122</v>
      </c>
      <c r="J610" s="127">
        <v>46083.67083333333</v>
      </c>
      <c r="K610" s="127">
        <v>46083</v>
      </c>
      <c r="L610" s="127">
        <v>46084</v>
      </c>
      <c r="M610" s="127">
        <v>46084.383333333331</v>
      </c>
      <c r="N610" t="s">
        <v>122</v>
      </c>
      <c r="O610" t="s">
        <v>122</v>
      </c>
      <c r="P610" t="s">
        <v>122</v>
      </c>
      <c r="Q610">
        <v>150942</v>
      </c>
      <c r="R610" t="s">
        <v>1719</v>
      </c>
      <c r="S610" t="s">
        <v>1720</v>
      </c>
      <c r="T610" t="s">
        <v>1674</v>
      </c>
      <c r="U610" t="s">
        <v>450</v>
      </c>
    </row>
    <row r="611" spans="1:21" x14ac:dyDescent="0.25">
      <c r="A611" t="s">
        <v>118</v>
      </c>
      <c r="B611" t="s">
        <v>1738</v>
      </c>
      <c r="C611">
        <v>156310</v>
      </c>
      <c r="D611" t="s">
        <v>1739</v>
      </c>
      <c r="E611" t="s">
        <v>121</v>
      </c>
      <c r="F611" t="s">
        <v>122</v>
      </c>
      <c r="G611" t="s">
        <v>674</v>
      </c>
      <c r="H611" t="s">
        <v>122</v>
      </c>
      <c r="I611" t="s">
        <v>122</v>
      </c>
      <c r="J611" s="127">
        <v>46083.63958333333</v>
      </c>
      <c r="K611" s="127"/>
      <c r="L611" s="127"/>
      <c r="M611" s="127"/>
      <c r="N611" t="s">
        <v>122</v>
      </c>
      <c r="O611" t="s">
        <v>122</v>
      </c>
      <c r="P611" t="s">
        <v>122</v>
      </c>
      <c r="Q611">
        <v>156302</v>
      </c>
      <c r="R611" t="s">
        <v>1740</v>
      </c>
      <c r="S611" t="s">
        <v>1741</v>
      </c>
      <c r="T611" t="s">
        <v>675</v>
      </c>
      <c r="U611" t="s">
        <v>450</v>
      </c>
    </row>
    <row r="612" spans="1:21" x14ac:dyDescent="0.25">
      <c r="A612" t="s">
        <v>127</v>
      </c>
      <c r="B612" t="s">
        <v>1742</v>
      </c>
      <c r="C612">
        <v>155384</v>
      </c>
      <c r="D612" t="s">
        <v>1743</v>
      </c>
      <c r="E612" t="s">
        <v>121</v>
      </c>
      <c r="F612" t="s">
        <v>122</v>
      </c>
      <c r="G612" t="s">
        <v>1671</v>
      </c>
      <c r="H612" t="s">
        <v>122</v>
      </c>
      <c r="I612" t="s">
        <v>122</v>
      </c>
      <c r="J612" s="127">
        <v>46078.615277777775</v>
      </c>
      <c r="K612" s="127"/>
      <c r="L612" s="127"/>
      <c r="M612" s="127"/>
      <c r="N612" t="s">
        <v>122</v>
      </c>
      <c r="O612" t="s">
        <v>122</v>
      </c>
      <c r="P612" t="s">
        <v>122</v>
      </c>
      <c r="Q612">
        <v>150942</v>
      </c>
      <c r="R612" t="s">
        <v>1719</v>
      </c>
      <c r="S612" t="s">
        <v>1720</v>
      </c>
      <c r="T612" t="s">
        <v>1674</v>
      </c>
      <c r="U612" t="s">
        <v>450</v>
      </c>
    </row>
    <row r="613" spans="1:21" x14ac:dyDescent="0.25">
      <c r="A613" t="s">
        <v>127</v>
      </c>
      <c r="B613" t="s">
        <v>1744</v>
      </c>
      <c r="C613">
        <v>154855</v>
      </c>
      <c r="D613" t="s">
        <v>1745</v>
      </c>
      <c r="E613" t="s">
        <v>422</v>
      </c>
      <c r="F613" t="s">
        <v>92</v>
      </c>
      <c r="G613" t="s">
        <v>1671</v>
      </c>
      <c r="H613" t="s">
        <v>122</v>
      </c>
      <c r="I613" t="s">
        <v>122</v>
      </c>
      <c r="J613" s="127">
        <v>46076.672222222223</v>
      </c>
      <c r="K613" s="127"/>
      <c r="L613" s="127"/>
      <c r="M613" s="127"/>
      <c r="N613" t="s">
        <v>122</v>
      </c>
      <c r="O613" t="s">
        <v>122</v>
      </c>
      <c r="P613" t="s">
        <v>122</v>
      </c>
      <c r="Q613">
        <v>120645</v>
      </c>
      <c r="R613" t="s">
        <v>1701</v>
      </c>
      <c r="S613" t="s">
        <v>1702</v>
      </c>
      <c r="T613" t="s">
        <v>1674</v>
      </c>
      <c r="U613" t="s">
        <v>450</v>
      </c>
    </row>
    <row r="614" spans="1:21" x14ac:dyDescent="0.25">
      <c r="A614" t="s">
        <v>118</v>
      </c>
      <c r="B614" t="s">
        <v>1746</v>
      </c>
      <c r="C614">
        <v>153509</v>
      </c>
      <c r="D614" t="s">
        <v>1747</v>
      </c>
      <c r="E614" t="s">
        <v>379</v>
      </c>
      <c r="F614" t="s">
        <v>92</v>
      </c>
      <c r="G614" t="s">
        <v>1671</v>
      </c>
      <c r="H614" t="s">
        <v>122</v>
      </c>
      <c r="I614" t="s">
        <v>122</v>
      </c>
      <c r="J614" s="127">
        <v>46069.772222222222</v>
      </c>
      <c r="K614" s="127"/>
      <c r="L614" s="127"/>
      <c r="M614" s="127"/>
      <c r="N614" t="s">
        <v>122</v>
      </c>
      <c r="O614" t="s">
        <v>122</v>
      </c>
      <c r="P614" t="s">
        <v>122</v>
      </c>
      <c r="Q614">
        <v>151193</v>
      </c>
      <c r="R614" t="s">
        <v>1748</v>
      </c>
      <c r="S614" t="s">
        <v>1749</v>
      </c>
      <c r="T614" t="s">
        <v>1674</v>
      </c>
      <c r="U614" t="s">
        <v>450</v>
      </c>
    </row>
    <row r="615" spans="1:21" x14ac:dyDescent="0.25">
      <c r="A615" t="s">
        <v>118</v>
      </c>
      <c r="B615" t="s">
        <v>1750</v>
      </c>
      <c r="C615">
        <v>153505</v>
      </c>
      <c r="D615" t="s">
        <v>1751</v>
      </c>
      <c r="E615" t="s">
        <v>266</v>
      </c>
      <c r="F615" t="s">
        <v>92</v>
      </c>
      <c r="G615" t="s">
        <v>1671</v>
      </c>
      <c r="H615" t="s">
        <v>122</v>
      </c>
      <c r="I615" t="s">
        <v>122</v>
      </c>
      <c r="J615" s="127">
        <v>46069.771527777775</v>
      </c>
      <c r="K615" s="127">
        <v>46076.597916666666</v>
      </c>
      <c r="L615" s="127">
        <v>46076</v>
      </c>
      <c r="M615" s="127"/>
      <c r="N615" t="s">
        <v>122</v>
      </c>
      <c r="O615" t="s">
        <v>122</v>
      </c>
      <c r="P615" t="s">
        <v>122</v>
      </c>
      <c r="Q615">
        <v>151193</v>
      </c>
      <c r="R615" t="s">
        <v>1748</v>
      </c>
      <c r="S615" t="s">
        <v>1749</v>
      </c>
      <c r="T615" t="s">
        <v>1674</v>
      </c>
      <c r="U615" t="s">
        <v>450</v>
      </c>
    </row>
    <row r="616" spans="1:21" x14ac:dyDescent="0.25">
      <c r="A616" t="s">
        <v>118</v>
      </c>
      <c r="B616" t="s">
        <v>1752</v>
      </c>
      <c r="C616">
        <v>153323</v>
      </c>
      <c r="D616" t="s">
        <v>1753</v>
      </c>
      <c r="E616" t="s">
        <v>121</v>
      </c>
      <c r="F616" t="s">
        <v>122</v>
      </c>
      <c r="G616" t="s">
        <v>1671</v>
      </c>
      <c r="H616" t="s">
        <v>122</v>
      </c>
      <c r="I616" t="s">
        <v>122</v>
      </c>
      <c r="J616" s="127">
        <v>46066.534722222219</v>
      </c>
      <c r="K616" s="127"/>
      <c r="L616" s="127"/>
      <c r="M616" s="127"/>
      <c r="N616" t="s">
        <v>122</v>
      </c>
      <c r="O616" t="s">
        <v>122</v>
      </c>
      <c r="P616" t="s">
        <v>122</v>
      </c>
      <c r="Q616">
        <v>153320</v>
      </c>
      <c r="R616" t="s">
        <v>1754</v>
      </c>
      <c r="S616" t="s">
        <v>1755</v>
      </c>
      <c r="T616" t="s">
        <v>1674</v>
      </c>
      <c r="U616" t="s">
        <v>450</v>
      </c>
    </row>
    <row r="617" spans="1:21" x14ac:dyDescent="0.25">
      <c r="A617" t="s">
        <v>127</v>
      </c>
      <c r="B617" t="s">
        <v>1756</v>
      </c>
      <c r="C617">
        <v>153142</v>
      </c>
      <c r="D617" t="s">
        <v>1757</v>
      </c>
      <c r="E617" t="s">
        <v>437</v>
      </c>
      <c r="F617" t="s">
        <v>92</v>
      </c>
      <c r="G617" t="s">
        <v>1671</v>
      </c>
      <c r="H617" t="s">
        <v>122</v>
      </c>
      <c r="I617" t="s">
        <v>122</v>
      </c>
      <c r="J617" s="127">
        <v>46065.710416666669</v>
      </c>
      <c r="K617" s="127">
        <v>46076.593055555553</v>
      </c>
      <c r="L617" s="127">
        <v>46077</v>
      </c>
      <c r="M617" s="127">
        <v>46085.75</v>
      </c>
      <c r="N617" t="s">
        <v>122</v>
      </c>
      <c r="O617" t="s">
        <v>122</v>
      </c>
      <c r="P617" t="s">
        <v>122</v>
      </c>
      <c r="Q617">
        <v>95807</v>
      </c>
      <c r="R617" t="s">
        <v>1672</v>
      </c>
      <c r="S617" t="s">
        <v>1673</v>
      </c>
      <c r="T617" t="s">
        <v>1674</v>
      </c>
      <c r="U617" t="s">
        <v>450</v>
      </c>
    </row>
    <row r="618" spans="1:21" x14ac:dyDescent="0.25">
      <c r="A618" t="s">
        <v>127</v>
      </c>
      <c r="B618" t="s">
        <v>1758</v>
      </c>
      <c r="C618">
        <v>152708</v>
      </c>
      <c r="D618" t="s">
        <v>1759</v>
      </c>
      <c r="E618" t="s">
        <v>437</v>
      </c>
      <c r="F618" t="s">
        <v>92</v>
      </c>
      <c r="G618" t="s">
        <v>1671</v>
      </c>
      <c r="H618" t="s">
        <v>122</v>
      </c>
      <c r="I618" t="s">
        <v>122</v>
      </c>
      <c r="J618" s="127">
        <v>46064.686805555553</v>
      </c>
      <c r="K618" s="127">
        <v>46064.82916666667</v>
      </c>
      <c r="L618" s="127">
        <v>46065</v>
      </c>
      <c r="M618" s="127">
        <v>46073.443055555559</v>
      </c>
      <c r="N618" t="s">
        <v>122</v>
      </c>
      <c r="O618" t="s">
        <v>122</v>
      </c>
      <c r="P618" t="s">
        <v>122</v>
      </c>
      <c r="Q618">
        <v>95807</v>
      </c>
      <c r="R618" t="s">
        <v>1672</v>
      </c>
      <c r="S618" t="s">
        <v>1673</v>
      </c>
      <c r="T618" t="s">
        <v>1674</v>
      </c>
      <c r="U618" t="s">
        <v>450</v>
      </c>
    </row>
    <row r="619" spans="1:21" x14ac:dyDescent="0.25">
      <c r="A619" t="s">
        <v>253</v>
      </c>
      <c r="B619" t="s">
        <v>1760</v>
      </c>
      <c r="C619">
        <v>152668</v>
      </c>
      <c r="D619" t="s">
        <v>1761</v>
      </c>
      <c r="E619" t="s">
        <v>437</v>
      </c>
      <c r="F619" t="s">
        <v>92</v>
      </c>
      <c r="G619" t="s">
        <v>1671</v>
      </c>
      <c r="H619" t="s">
        <v>122</v>
      </c>
      <c r="I619" t="s">
        <v>122</v>
      </c>
      <c r="J619" s="127">
        <v>46064.665277777778</v>
      </c>
      <c r="K619" s="127">
        <v>46064.820833333331</v>
      </c>
      <c r="L619" s="127">
        <v>46065</v>
      </c>
      <c r="M619" s="127">
        <v>46077.386111111111</v>
      </c>
      <c r="N619" t="s">
        <v>122</v>
      </c>
      <c r="O619" t="s">
        <v>122</v>
      </c>
      <c r="P619" t="s">
        <v>122</v>
      </c>
      <c r="Q619">
        <v>95807</v>
      </c>
      <c r="R619" t="s">
        <v>1672</v>
      </c>
      <c r="S619" t="s">
        <v>1673</v>
      </c>
      <c r="T619" t="s">
        <v>1674</v>
      </c>
      <c r="U619" t="s">
        <v>450</v>
      </c>
    </row>
    <row r="620" spans="1:21" x14ac:dyDescent="0.25">
      <c r="A620" t="s">
        <v>118</v>
      </c>
      <c r="B620" t="s">
        <v>1762</v>
      </c>
      <c r="C620">
        <v>152167</v>
      </c>
      <c r="D620" t="s">
        <v>1763</v>
      </c>
      <c r="E620" t="s">
        <v>437</v>
      </c>
      <c r="F620" t="s">
        <v>92</v>
      </c>
      <c r="G620" t="s">
        <v>1671</v>
      </c>
      <c r="H620" t="s">
        <v>122</v>
      </c>
      <c r="I620" t="s">
        <v>122</v>
      </c>
      <c r="J620" s="127">
        <v>46063.670138888891</v>
      </c>
      <c r="K620" s="127">
        <v>46076.595138888886</v>
      </c>
      <c r="L620" s="127">
        <v>46079</v>
      </c>
      <c r="M620" s="127">
        <v>46083.713888888888</v>
      </c>
      <c r="N620" t="s">
        <v>122</v>
      </c>
      <c r="O620" t="s">
        <v>122</v>
      </c>
      <c r="P620" t="s">
        <v>122</v>
      </c>
      <c r="Q620">
        <v>120645</v>
      </c>
      <c r="R620" t="s">
        <v>1701</v>
      </c>
      <c r="S620" t="s">
        <v>1702</v>
      </c>
      <c r="T620" t="s">
        <v>1674</v>
      </c>
      <c r="U620" t="s">
        <v>450</v>
      </c>
    </row>
    <row r="621" spans="1:21" x14ac:dyDescent="0.25">
      <c r="A621" t="s">
        <v>118</v>
      </c>
      <c r="B621" t="s">
        <v>1764</v>
      </c>
      <c r="C621">
        <v>151832</v>
      </c>
      <c r="D621" t="s">
        <v>1765</v>
      </c>
      <c r="E621" t="s">
        <v>437</v>
      </c>
      <c r="F621" t="s">
        <v>92</v>
      </c>
      <c r="G621" t="s">
        <v>1671</v>
      </c>
      <c r="H621" t="s">
        <v>122</v>
      </c>
      <c r="I621" t="s">
        <v>122</v>
      </c>
      <c r="J621" s="127">
        <v>46063.440972222219</v>
      </c>
      <c r="K621" s="127">
        <v>46064.718055555553</v>
      </c>
      <c r="L621" s="127">
        <v>46064</v>
      </c>
      <c r="M621" s="127">
        <v>46076.462500000001</v>
      </c>
      <c r="N621" t="s">
        <v>122</v>
      </c>
      <c r="O621" t="s">
        <v>122</v>
      </c>
      <c r="P621" t="s">
        <v>122</v>
      </c>
      <c r="Q621">
        <v>108198</v>
      </c>
      <c r="R621" t="s">
        <v>1715</v>
      </c>
      <c r="S621" t="s">
        <v>1716</v>
      </c>
      <c r="T621" t="s">
        <v>1674</v>
      </c>
      <c r="U621" t="s">
        <v>450</v>
      </c>
    </row>
    <row r="622" spans="1:21" x14ac:dyDescent="0.25">
      <c r="A622" t="s">
        <v>127</v>
      </c>
      <c r="B622" t="s">
        <v>1766</v>
      </c>
      <c r="C622">
        <v>151625</v>
      </c>
      <c r="D622" t="s">
        <v>1767</v>
      </c>
      <c r="E622" t="s">
        <v>437</v>
      </c>
      <c r="F622" t="s">
        <v>92</v>
      </c>
      <c r="G622" t="s">
        <v>1671</v>
      </c>
      <c r="H622" t="s">
        <v>122</v>
      </c>
      <c r="I622" t="s">
        <v>122</v>
      </c>
      <c r="J622" s="127">
        <v>46062.490972222222</v>
      </c>
      <c r="K622" s="127">
        <v>46062.759027777778</v>
      </c>
      <c r="L622" s="127">
        <v>46063</v>
      </c>
      <c r="M622" s="127">
        <v>46076.462500000001</v>
      </c>
      <c r="N622" t="s">
        <v>122</v>
      </c>
      <c r="O622" t="s">
        <v>122</v>
      </c>
      <c r="P622" t="s">
        <v>122</v>
      </c>
      <c r="Q622">
        <v>148769</v>
      </c>
      <c r="R622" t="s">
        <v>1768</v>
      </c>
      <c r="S622" t="s">
        <v>1769</v>
      </c>
      <c r="T622" t="s">
        <v>1674</v>
      </c>
      <c r="U622" t="s">
        <v>450</v>
      </c>
    </row>
    <row r="623" spans="1:21" x14ac:dyDescent="0.25">
      <c r="A623" t="s">
        <v>118</v>
      </c>
      <c r="B623" t="s">
        <v>1770</v>
      </c>
      <c r="C623">
        <v>151214</v>
      </c>
      <c r="D623" t="s">
        <v>1771</v>
      </c>
      <c r="E623" t="s">
        <v>223</v>
      </c>
      <c r="F623" t="s">
        <v>92</v>
      </c>
      <c r="G623" t="s">
        <v>1671</v>
      </c>
      <c r="H623" t="s">
        <v>122</v>
      </c>
      <c r="I623" t="s">
        <v>122</v>
      </c>
      <c r="J623" s="127">
        <v>46058.726388888892</v>
      </c>
      <c r="K623" s="127">
        <v>46083.84375</v>
      </c>
      <c r="L623" s="127">
        <v>46083</v>
      </c>
      <c r="M623" s="127">
        <v>46086.662499999999</v>
      </c>
      <c r="N623" t="s">
        <v>122</v>
      </c>
      <c r="O623" t="s">
        <v>122</v>
      </c>
      <c r="P623" t="s">
        <v>122</v>
      </c>
      <c r="Q623">
        <v>120645</v>
      </c>
      <c r="R623" t="s">
        <v>1701</v>
      </c>
      <c r="S623" t="s">
        <v>1702</v>
      </c>
      <c r="T623" t="s">
        <v>1674</v>
      </c>
      <c r="U623" t="s">
        <v>450</v>
      </c>
    </row>
    <row r="624" spans="1:21" x14ac:dyDescent="0.25">
      <c r="A624" t="s">
        <v>118</v>
      </c>
      <c r="B624" t="s">
        <v>1772</v>
      </c>
      <c r="C624">
        <v>150969</v>
      </c>
      <c r="D624" t="s">
        <v>1773</v>
      </c>
      <c r="E624" t="s">
        <v>121</v>
      </c>
      <c r="F624" t="s">
        <v>92</v>
      </c>
      <c r="G624" t="s">
        <v>1671</v>
      </c>
      <c r="H624" t="s">
        <v>122</v>
      </c>
      <c r="I624" t="s">
        <v>122</v>
      </c>
      <c r="J624" s="127">
        <v>46057.775000000001</v>
      </c>
      <c r="K624" s="127"/>
      <c r="L624" s="127"/>
      <c r="M624" s="127"/>
      <c r="N624" t="s">
        <v>122</v>
      </c>
      <c r="O624" t="s">
        <v>122</v>
      </c>
      <c r="P624" t="s">
        <v>122</v>
      </c>
      <c r="Q624">
        <v>150977</v>
      </c>
      <c r="R624" t="s">
        <v>1709</v>
      </c>
      <c r="S624" t="s">
        <v>1710</v>
      </c>
      <c r="T624" t="s">
        <v>1674</v>
      </c>
      <c r="U624" t="s">
        <v>450</v>
      </c>
    </row>
    <row r="625" spans="1:21" x14ac:dyDescent="0.25">
      <c r="A625" t="s">
        <v>118</v>
      </c>
      <c r="B625" t="s">
        <v>1774</v>
      </c>
      <c r="C625">
        <v>150965</v>
      </c>
      <c r="D625" t="s">
        <v>1775</v>
      </c>
      <c r="E625" t="s">
        <v>121</v>
      </c>
      <c r="F625" t="s">
        <v>92</v>
      </c>
      <c r="G625" t="s">
        <v>1671</v>
      </c>
      <c r="H625" t="s">
        <v>122</v>
      </c>
      <c r="I625" t="s">
        <v>122</v>
      </c>
      <c r="J625" s="127">
        <v>46057.771527777775</v>
      </c>
      <c r="K625" s="127"/>
      <c r="L625" s="127"/>
      <c r="M625" s="127"/>
      <c r="N625" t="s">
        <v>122</v>
      </c>
      <c r="O625" t="s">
        <v>122</v>
      </c>
      <c r="P625" t="s">
        <v>122</v>
      </c>
      <c r="Q625">
        <v>150942</v>
      </c>
      <c r="R625" t="s">
        <v>1719</v>
      </c>
      <c r="S625" t="s">
        <v>1720</v>
      </c>
      <c r="T625" t="s">
        <v>1674</v>
      </c>
      <c r="U625" t="s">
        <v>450</v>
      </c>
    </row>
    <row r="626" spans="1:21" x14ac:dyDescent="0.25">
      <c r="A626" t="s">
        <v>118</v>
      </c>
      <c r="B626" t="s">
        <v>1776</v>
      </c>
      <c r="C626">
        <v>150961</v>
      </c>
      <c r="D626" t="s">
        <v>1777</v>
      </c>
      <c r="E626" t="s">
        <v>121</v>
      </c>
      <c r="F626" t="s">
        <v>92</v>
      </c>
      <c r="G626" t="s">
        <v>1671</v>
      </c>
      <c r="H626" t="s">
        <v>122</v>
      </c>
      <c r="I626" t="s">
        <v>122</v>
      </c>
      <c r="J626" s="127">
        <v>46057.770833333336</v>
      </c>
      <c r="K626" s="127"/>
      <c r="L626" s="127"/>
      <c r="M626" s="127"/>
      <c r="N626" t="s">
        <v>122</v>
      </c>
      <c r="O626" t="s">
        <v>122</v>
      </c>
      <c r="P626" t="s">
        <v>122</v>
      </c>
      <c r="Q626">
        <v>150942</v>
      </c>
      <c r="R626" t="s">
        <v>1719</v>
      </c>
      <c r="S626" t="s">
        <v>1720</v>
      </c>
      <c r="T626" t="s">
        <v>1674</v>
      </c>
      <c r="U626" t="s">
        <v>450</v>
      </c>
    </row>
    <row r="627" spans="1:21" x14ac:dyDescent="0.25">
      <c r="A627" t="s">
        <v>118</v>
      </c>
      <c r="B627" t="s">
        <v>1778</v>
      </c>
      <c r="C627">
        <v>150958</v>
      </c>
      <c r="D627" t="s">
        <v>1779</v>
      </c>
      <c r="E627" t="s">
        <v>121</v>
      </c>
      <c r="F627" t="s">
        <v>92</v>
      </c>
      <c r="G627" t="s">
        <v>1671</v>
      </c>
      <c r="H627" t="s">
        <v>122</v>
      </c>
      <c r="I627" t="s">
        <v>122</v>
      </c>
      <c r="J627" s="127">
        <v>46057.770138888889</v>
      </c>
      <c r="K627" s="127"/>
      <c r="L627" s="127"/>
      <c r="M627" s="127"/>
      <c r="N627" t="s">
        <v>122</v>
      </c>
      <c r="O627" t="s">
        <v>122</v>
      </c>
      <c r="P627" t="s">
        <v>122</v>
      </c>
      <c r="Q627">
        <v>150942</v>
      </c>
      <c r="R627" t="s">
        <v>1719</v>
      </c>
      <c r="S627" t="s">
        <v>1720</v>
      </c>
      <c r="T627" t="s">
        <v>1674</v>
      </c>
      <c r="U627" t="s">
        <v>450</v>
      </c>
    </row>
    <row r="628" spans="1:21" x14ac:dyDescent="0.25">
      <c r="A628" t="s">
        <v>127</v>
      </c>
      <c r="B628" t="s">
        <v>1780</v>
      </c>
      <c r="C628">
        <v>150917</v>
      </c>
      <c r="D628" t="s">
        <v>1781</v>
      </c>
      <c r="E628" t="s">
        <v>437</v>
      </c>
      <c r="F628" t="s">
        <v>92</v>
      </c>
      <c r="G628" t="s">
        <v>1671</v>
      </c>
      <c r="H628" t="s">
        <v>122</v>
      </c>
      <c r="I628" t="s">
        <v>122</v>
      </c>
      <c r="J628" s="127">
        <v>46057.656944444447</v>
      </c>
      <c r="K628" s="127">
        <v>46057.852777777778</v>
      </c>
      <c r="L628" s="127">
        <v>46057</v>
      </c>
      <c r="M628" s="127">
        <v>46059.441666666666</v>
      </c>
      <c r="N628" t="s">
        <v>122</v>
      </c>
      <c r="O628" t="s">
        <v>122</v>
      </c>
      <c r="P628" t="s">
        <v>122</v>
      </c>
      <c r="Q628">
        <v>95807</v>
      </c>
      <c r="R628" t="s">
        <v>1672</v>
      </c>
      <c r="S628" t="s">
        <v>1673</v>
      </c>
      <c r="T628" t="s">
        <v>1674</v>
      </c>
      <c r="U628" t="s">
        <v>450</v>
      </c>
    </row>
    <row r="629" spans="1:21" x14ac:dyDescent="0.25">
      <c r="A629" t="s">
        <v>127</v>
      </c>
      <c r="B629" t="s">
        <v>1782</v>
      </c>
      <c r="C629">
        <v>150911</v>
      </c>
      <c r="D629" t="s">
        <v>1783</v>
      </c>
      <c r="E629" t="s">
        <v>437</v>
      </c>
      <c r="F629" t="s">
        <v>92</v>
      </c>
      <c r="G629" t="s">
        <v>1671</v>
      </c>
      <c r="H629" t="s">
        <v>122</v>
      </c>
      <c r="I629" t="s">
        <v>122</v>
      </c>
      <c r="J629" s="127">
        <v>46057.655555555553</v>
      </c>
      <c r="K629" s="127">
        <v>46057.784722222219</v>
      </c>
      <c r="L629" s="127">
        <v>46057</v>
      </c>
      <c r="M629" s="127">
        <v>46057.675694444442</v>
      </c>
      <c r="N629" t="s">
        <v>122</v>
      </c>
      <c r="O629" t="s">
        <v>122</v>
      </c>
      <c r="P629" t="s">
        <v>122</v>
      </c>
      <c r="Q629">
        <v>95807</v>
      </c>
      <c r="R629" t="s">
        <v>1672</v>
      </c>
      <c r="S629" t="s">
        <v>1673</v>
      </c>
      <c r="T629" t="s">
        <v>1674</v>
      </c>
      <c r="U629" t="s">
        <v>450</v>
      </c>
    </row>
    <row r="630" spans="1:21" x14ac:dyDescent="0.25">
      <c r="A630" t="s">
        <v>118</v>
      </c>
      <c r="B630" t="s">
        <v>1784</v>
      </c>
      <c r="C630">
        <v>150905</v>
      </c>
      <c r="D630" t="s">
        <v>1785</v>
      </c>
      <c r="E630" t="s">
        <v>121</v>
      </c>
      <c r="F630" t="s">
        <v>92</v>
      </c>
      <c r="G630" t="s">
        <v>1671</v>
      </c>
      <c r="H630" t="s">
        <v>122</v>
      </c>
      <c r="I630" t="s">
        <v>122</v>
      </c>
      <c r="J630" s="127">
        <v>46057.65</v>
      </c>
      <c r="K630" s="127"/>
      <c r="L630" s="127"/>
      <c r="M630" s="127"/>
      <c r="N630" t="s">
        <v>122</v>
      </c>
      <c r="O630" t="s">
        <v>122</v>
      </c>
      <c r="P630" t="s">
        <v>122</v>
      </c>
      <c r="Q630">
        <v>150977</v>
      </c>
      <c r="R630" t="s">
        <v>1709</v>
      </c>
      <c r="S630" t="s">
        <v>1710</v>
      </c>
      <c r="T630" t="s">
        <v>1674</v>
      </c>
      <c r="U630" t="s">
        <v>450</v>
      </c>
    </row>
    <row r="631" spans="1:21" x14ac:dyDescent="0.25">
      <c r="A631" t="s">
        <v>253</v>
      </c>
      <c r="B631" t="s">
        <v>1786</v>
      </c>
      <c r="C631">
        <v>150900</v>
      </c>
      <c r="D631" t="s">
        <v>1787</v>
      </c>
      <c r="E631" t="s">
        <v>437</v>
      </c>
      <c r="F631" t="s">
        <v>92</v>
      </c>
      <c r="G631" t="s">
        <v>1671</v>
      </c>
      <c r="H631" t="s">
        <v>122</v>
      </c>
      <c r="I631" t="s">
        <v>122</v>
      </c>
      <c r="J631" s="127">
        <v>46057.634027777778</v>
      </c>
      <c r="K631" s="127">
        <v>46057</v>
      </c>
      <c r="L631" s="127">
        <v>46057</v>
      </c>
      <c r="M631" s="127">
        <v>46059.73541666667</v>
      </c>
      <c r="N631" t="s">
        <v>122</v>
      </c>
      <c r="O631" t="s">
        <v>122</v>
      </c>
      <c r="P631" t="s">
        <v>122</v>
      </c>
      <c r="Q631">
        <v>95807</v>
      </c>
      <c r="R631" t="s">
        <v>1672</v>
      </c>
      <c r="S631" t="s">
        <v>1673</v>
      </c>
      <c r="T631" t="s">
        <v>1674</v>
      </c>
      <c r="U631" t="s">
        <v>450</v>
      </c>
    </row>
    <row r="632" spans="1:21" x14ac:dyDescent="0.25">
      <c r="A632" t="s">
        <v>118</v>
      </c>
      <c r="B632" t="s">
        <v>1788</v>
      </c>
      <c r="C632">
        <v>150888</v>
      </c>
      <c r="D632" t="s">
        <v>1789</v>
      </c>
      <c r="E632" t="s">
        <v>437</v>
      </c>
      <c r="F632" t="s">
        <v>92</v>
      </c>
      <c r="G632" t="s">
        <v>1671</v>
      </c>
      <c r="H632" t="s">
        <v>122</v>
      </c>
      <c r="I632" t="s">
        <v>122</v>
      </c>
      <c r="J632" s="127">
        <v>46057.622916666667</v>
      </c>
      <c r="K632" s="127">
        <v>46057.893055555556</v>
      </c>
      <c r="L632" s="127">
        <v>46059</v>
      </c>
      <c r="M632" s="127">
        <v>46064.695833333331</v>
      </c>
      <c r="N632" t="s">
        <v>122</v>
      </c>
      <c r="O632" t="s">
        <v>122</v>
      </c>
      <c r="P632" t="s">
        <v>122</v>
      </c>
      <c r="Q632">
        <v>95807</v>
      </c>
      <c r="R632" t="s">
        <v>1672</v>
      </c>
      <c r="S632" t="s">
        <v>1673</v>
      </c>
      <c r="T632" t="s">
        <v>1674</v>
      </c>
      <c r="U632" t="s">
        <v>450</v>
      </c>
    </row>
    <row r="633" spans="1:21" x14ac:dyDescent="0.25">
      <c r="A633" t="s">
        <v>127</v>
      </c>
      <c r="B633" t="s">
        <v>1790</v>
      </c>
      <c r="C633">
        <v>150685</v>
      </c>
      <c r="D633" t="s">
        <v>1791</v>
      </c>
      <c r="E633" t="s">
        <v>437</v>
      </c>
      <c r="F633" t="s">
        <v>92</v>
      </c>
      <c r="G633" t="s">
        <v>1671</v>
      </c>
      <c r="H633" t="s">
        <v>122</v>
      </c>
      <c r="I633" t="s">
        <v>122</v>
      </c>
      <c r="J633" s="127">
        <v>46057.446527777778</v>
      </c>
      <c r="K633" s="127">
        <v>46057.574305555558</v>
      </c>
      <c r="L633" s="127">
        <v>46057</v>
      </c>
      <c r="M633" s="127">
        <v>46059.73541666667</v>
      </c>
      <c r="N633" t="s">
        <v>122</v>
      </c>
      <c r="O633" t="s">
        <v>122</v>
      </c>
      <c r="P633" t="s">
        <v>122</v>
      </c>
      <c r="Q633">
        <v>95807</v>
      </c>
      <c r="R633" t="s">
        <v>1672</v>
      </c>
      <c r="S633" t="s">
        <v>1673</v>
      </c>
      <c r="T633" t="s">
        <v>1674</v>
      </c>
      <c r="U633" t="s">
        <v>450</v>
      </c>
    </row>
    <row r="634" spans="1:21" x14ac:dyDescent="0.25">
      <c r="A634" t="s">
        <v>127</v>
      </c>
      <c r="B634" t="s">
        <v>1792</v>
      </c>
      <c r="C634">
        <v>150193</v>
      </c>
      <c r="D634" t="s">
        <v>1793</v>
      </c>
      <c r="E634" t="s">
        <v>223</v>
      </c>
      <c r="F634" t="s">
        <v>92</v>
      </c>
      <c r="G634" t="s">
        <v>1671</v>
      </c>
      <c r="H634" t="s">
        <v>122</v>
      </c>
      <c r="I634" t="s">
        <v>122</v>
      </c>
      <c r="J634" s="127">
        <v>46055.709722222222</v>
      </c>
      <c r="K634" s="127"/>
      <c r="L634" s="127">
        <v>46062</v>
      </c>
      <c r="M634" s="127">
        <v>46059.417361111111</v>
      </c>
      <c r="N634" t="s">
        <v>122</v>
      </c>
      <c r="O634" t="s">
        <v>122</v>
      </c>
      <c r="P634" t="s">
        <v>122</v>
      </c>
      <c r="Q634">
        <v>148769</v>
      </c>
      <c r="R634" t="s">
        <v>1768</v>
      </c>
      <c r="S634" t="s">
        <v>1769</v>
      </c>
      <c r="T634" t="s">
        <v>1674</v>
      </c>
      <c r="U634" t="s">
        <v>450</v>
      </c>
    </row>
    <row r="635" spans="1:21" x14ac:dyDescent="0.25">
      <c r="A635" t="s">
        <v>127</v>
      </c>
      <c r="B635" t="s">
        <v>1794</v>
      </c>
      <c r="C635">
        <v>150131</v>
      </c>
      <c r="D635" t="s">
        <v>1795</v>
      </c>
      <c r="E635" t="s">
        <v>437</v>
      </c>
      <c r="F635" t="s">
        <v>1737</v>
      </c>
      <c r="G635" t="s">
        <v>1671</v>
      </c>
      <c r="H635" t="s">
        <v>122</v>
      </c>
      <c r="I635" t="s">
        <v>122</v>
      </c>
      <c r="J635" s="127">
        <v>46055.62777777778</v>
      </c>
      <c r="K635" s="127">
        <v>46057.822916666664</v>
      </c>
      <c r="L635" s="127">
        <v>46057</v>
      </c>
      <c r="M635" s="127">
        <v>46058.587500000001</v>
      </c>
      <c r="N635" t="s">
        <v>122</v>
      </c>
      <c r="O635" t="s">
        <v>122</v>
      </c>
      <c r="P635" t="s">
        <v>122</v>
      </c>
      <c r="Q635">
        <v>148769</v>
      </c>
      <c r="R635" t="s">
        <v>1768</v>
      </c>
      <c r="S635" t="s">
        <v>1769</v>
      </c>
      <c r="T635" t="s">
        <v>1674</v>
      </c>
      <c r="U635" t="s">
        <v>450</v>
      </c>
    </row>
    <row r="636" spans="1:21" x14ac:dyDescent="0.25">
      <c r="A636" t="s">
        <v>127</v>
      </c>
      <c r="B636" t="s">
        <v>1796</v>
      </c>
      <c r="C636">
        <v>150117</v>
      </c>
      <c r="D636" t="s">
        <v>1797</v>
      </c>
      <c r="E636" t="s">
        <v>130</v>
      </c>
      <c r="F636" t="s">
        <v>92</v>
      </c>
      <c r="G636" t="s">
        <v>1671</v>
      </c>
      <c r="H636" t="s">
        <v>122</v>
      </c>
      <c r="I636" t="s">
        <v>122</v>
      </c>
      <c r="J636" s="127">
        <v>46055.60833333333</v>
      </c>
      <c r="K636" s="127">
        <v>46062.759027777778</v>
      </c>
      <c r="L636" s="127">
        <v>46063</v>
      </c>
      <c r="M636" s="127">
        <v>46079.470138888886</v>
      </c>
      <c r="N636" t="s">
        <v>122</v>
      </c>
      <c r="O636" t="s">
        <v>122</v>
      </c>
      <c r="P636" t="s">
        <v>122</v>
      </c>
      <c r="Q636">
        <v>148769</v>
      </c>
      <c r="R636" t="s">
        <v>1768</v>
      </c>
      <c r="S636" t="s">
        <v>1769</v>
      </c>
      <c r="T636" t="s">
        <v>1674</v>
      </c>
      <c r="U636" t="s">
        <v>450</v>
      </c>
    </row>
    <row r="637" spans="1:21" x14ac:dyDescent="0.25">
      <c r="A637" t="s">
        <v>127</v>
      </c>
      <c r="B637" t="s">
        <v>1798</v>
      </c>
      <c r="C637">
        <v>150052</v>
      </c>
      <c r="D637" t="s">
        <v>1799</v>
      </c>
      <c r="E637" t="s">
        <v>437</v>
      </c>
      <c r="F637" t="s">
        <v>92</v>
      </c>
      <c r="G637" t="s">
        <v>1671</v>
      </c>
      <c r="H637" t="s">
        <v>122</v>
      </c>
      <c r="I637" t="s">
        <v>122</v>
      </c>
      <c r="J637" s="127">
        <v>46055.511805555558</v>
      </c>
      <c r="K637" s="127">
        <v>46055.857638888891</v>
      </c>
      <c r="L637" s="127">
        <v>46055</v>
      </c>
      <c r="M637" s="127">
        <v>46057.445138888892</v>
      </c>
      <c r="N637" t="s">
        <v>122</v>
      </c>
      <c r="O637" t="s">
        <v>122</v>
      </c>
      <c r="P637" t="s">
        <v>122</v>
      </c>
      <c r="Q637">
        <v>95807</v>
      </c>
      <c r="R637" t="s">
        <v>1672</v>
      </c>
      <c r="S637" t="s">
        <v>1673</v>
      </c>
      <c r="T637" t="s">
        <v>1674</v>
      </c>
      <c r="U637" t="s">
        <v>450</v>
      </c>
    </row>
    <row r="638" spans="1:21" x14ac:dyDescent="0.25">
      <c r="A638" t="s">
        <v>127</v>
      </c>
      <c r="B638" t="s">
        <v>1800</v>
      </c>
      <c r="C638">
        <v>150045</v>
      </c>
      <c r="D638" t="s">
        <v>1801</v>
      </c>
      <c r="E638" t="s">
        <v>437</v>
      </c>
      <c r="F638" t="s">
        <v>92</v>
      </c>
      <c r="G638" t="s">
        <v>1671</v>
      </c>
      <c r="H638" t="s">
        <v>122</v>
      </c>
      <c r="I638" t="s">
        <v>122</v>
      </c>
      <c r="J638" s="127">
        <v>46055.509027777778</v>
      </c>
      <c r="K638" s="127">
        <v>46057.755555555559</v>
      </c>
      <c r="L638" s="127">
        <v>46057</v>
      </c>
      <c r="M638" s="127">
        <v>46057.67083333333</v>
      </c>
      <c r="N638" t="s">
        <v>122</v>
      </c>
      <c r="O638" t="s">
        <v>122</v>
      </c>
      <c r="P638" t="s">
        <v>122</v>
      </c>
      <c r="Q638">
        <v>95807</v>
      </c>
      <c r="R638" t="s">
        <v>1672</v>
      </c>
      <c r="S638" t="s">
        <v>1673</v>
      </c>
      <c r="T638" t="s">
        <v>1674</v>
      </c>
      <c r="U638" t="s">
        <v>450</v>
      </c>
    </row>
    <row r="639" spans="1:21" x14ac:dyDescent="0.25">
      <c r="A639" t="s">
        <v>127</v>
      </c>
      <c r="B639" t="s">
        <v>1802</v>
      </c>
      <c r="C639">
        <v>150037</v>
      </c>
      <c r="D639" t="s">
        <v>1803</v>
      </c>
      <c r="E639" t="s">
        <v>437</v>
      </c>
      <c r="F639" t="s">
        <v>92</v>
      </c>
      <c r="G639" t="s">
        <v>1671</v>
      </c>
      <c r="H639" t="s">
        <v>122</v>
      </c>
      <c r="I639" t="s">
        <v>122</v>
      </c>
      <c r="J639" s="127">
        <v>46055.50277777778</v>
      </c>
      <c r="K639" s="127">
        <v>46055.77847222222</v>
      </c>
      <c r="L639" s="127">
        <v>46055</v>
      </c>
      <c r="M639" s="127">
        <v>46057.444444444445</v>
      </c>
      <c r="N639" t="s">
        <v>122</v>
      </c>
      <c r="O639" t="s">
        <v>122</v>
      </c>
      <c r="P639" t="s">
        <v>122</v>
      </c>
      <c r="Q639">
        <v>95807</v>
      </c>
      <c r="R639" t="s">
        <v>1672</v>
      </c>
      <c r="S639" t="s">
        <v>1673</v>
      </c>
      <c r="T639" t="s">
        <v>1674</v>
      </c>
      <c r="U639" t="s">
        <v>450</v>
      </c>
    </row>
    <row r="640" spans="1:21" x14ac:dyDescent="0.25">
      <c r="A640" t="s">
        <v>118</v>
      </c>
      <c r="B640" t="s">
        <v>1804</v>
      </c>
      <c r="C640">
        <v>149976</v>
      </c>
      <c r="D640" t="s">
        <v>1805</v>
      </c>
      <c r="E640" t="s">
        <v>437</v>
      </c>
      <c r="F640" t="s">
        <v>92</v>
      </c>
      <c r="G640" t="s">
        <v>1671</v>
      </c>
      <c r="H640" t="s">
        <v>122</v>
      </c>
      <c r="I640" t="s">
        <v>122</v>
      </c>
      <c r="J640" s="127">
        <v>46055.447222222225</v>
      </c>
      <c r="K640" s="127">
        <v>46055.777083333334</v>
      </c>
      <c r="L640" s="127">
        <v>46056</v>
      </c>
      <c r="M640" s="127">
        <v>46073.441666666666</v>
      </c>
      <c r="N640" t="s">
        <v>122</v>
      </c>
      <c r="O640" t="s">
        <v>122</v>
      </c>
      <c r="P640" t="s">
        <v>122</v>
      </c>
      <c r="Q640">
        <v>120645</v>
      </c>
      <c r="R640" t="s">
        <v>1701</v>
      </c>
      <c r="S640" t="s">
        <v>1702</v>
      </c>
      <c r="T640" t="s">
        <v>1674</v>
      </c>
      <c r="U640" t="s">
        <v>450</v>
      </c>
    </row>
    <row r="641" spans="1:21" x14ac:dyDescent="0.25">
      <c r="A641" t="s">
        <v>118</v>
      </c>
      <c r="B641" t="s">
        <v>1806</v>
      </c>
      <c r="C641">
        <v>149963</v>
      </c>
      <c r="D641" t="s">
        <v>1807</v>
      </c>
      <c r="E641" t="s">
        <v>130</v>
      </c>
      <c r="F641" t="s">
        <v>92</v>
      </c>
      <c r="G641" t="s">
        <v>1808</v>
      </c>
      <c r="H641" t="s">
        <v>1671</v>
      </c>
      <c r="I641" t="s">
        <v>122</v>
      </c>
      <c r="J641" s="127">
        <v>46055.443749999999</v>
      </c>
      <c r="K641" s="127">
        <v>46073.566666666666</v>
      </c>
      <c r="L641" s="127">
        <v>46076</v>
      </c>
      <c r="M641" s="127">
        <v>46080.447916666664</v>
      </c>
      <c r="N641" t="s">
        <v>122</v>
      </c>
      <c r="O641" t="s">
        <v>122</v>
      </c>
      <c r="P641" t="s">
        <v>122</v>
      </c>
      <c r="Q641">
        <v>120645</v>
      </c>
      <c r="R641" t="s">
        <v>1701</v>
      </c>
      <c r="S641" t="s">
        <v>1702</v>
      </c>
      <c r="T641" t="s">
        <v>1809</v>
      </c>
      <c r="U641" t="s">
        <v>450</v>
      </c>
    </row>
    <row r="642" spans="1:21" x14ac:dyDescent="0.25">
      <c r="A642" t="s">
        <v>127</v>
      </c>
      <c r="B642" t="s">
        <v>1810</v>
      </c>
      <c r="C642">
        <v>149296</v>
      </c>
      <c r="D642" t="s">
        <v>1811</v>
      </c>
      <c r="E642" t="s">
        <v>437</v>
      </c>
      <c r="F642" t="s">
        <v>1737</v>
      </c>
      <c r="G642" t="s">
        <v>1671</v>
      </c>
      <c r="H642" t="s">
        <v>122</v>
      </c>
      <c r="I642" t="s">
        <v>122</v>
      </c>
      <c r="J642" s="127">
        <v>46051.474305555559</v>
      </c>
      <c r="K642" s="127">
        <v>46057.845833333333</v>
      </c>
      <c r="L642" s="127">
        <v>46058</v>
      </c>
      <c r="M642" s="127">
        <v>46058.953472222223</v>
      </c>
      <c r="N642" t="s">
        <v>122</v>
      </c>
      <c r="O642" t="s">
        <v>122</v>
      </c>
      <c r="P642" t="s">
        <v>122</v>
      </c>
      <c r="Q642">
        <v>148769</v>
      </c>
      <c r="R642" t="s">
        <v>1768</v>
      </c>
      <c r="S642" t="s">
        <v>1769</v>
      </c>
      <c r="T642" t="s">
        <v>1674</v>
      </c>
      <c r="U642" t="s">
        <v>450</v>
      </c>
    </row>
    <row r="643" spans="1:21" x14ac:dyDescent="0.25">
      <c r="A643" t="s">
        <v>127</v>
      </c>
      <c r="B643" t="s">
        <v>1812</v>
      </c>
      <c r="C643">
        <v>149278</v>
      </c>
      <c r="D643" t="s">
        <v>1813</v>
      </c>
      <c r="E643" t="s">
        <v>437</v>
      </c>
      <c r="F643" t="s">
        <v>92</v>
      </c>
      <c r="G643" t="s">
        <v>1808</v>
      </c>
      <c r="H643" t="s">
        <v>1671</v>
      </c>
      <c r="I643" t="s">
        <v>122</v>
      </c>
      <c r="J643" s="127">
        <v>46051.445833333331</v>
      </c>
      <c r="K643" s="127">
        <v>46055.780555555553</v>
      </c>
      <c r="L643" s="127">
        <v>46055</v>
      </c>
      <c r="M643" s="127">
        <v>46057.911111111112</v>
      </c>
      <c r="N643" t="s">
        <v>122</v>
      </c>
      <c r="O643" t="s">
        <v>122</v>
      </c>
      <c r="P643" t="s">
        <v>122</v>
      </c>
      <c r="Q643">
        <v>95807</v>
      </c>
      <c r="R643" t="s">
        <v>1672</v>
      </c>
      <c r="S643" t="s">
        <v>1673</v>
      </c>
      <c r="T643" t="s">
        <v>1809</v>
      </c>
      <c r="U643" t="s">
        <v>450</v>
      </c>
    </row>
    <row r="644" spans="1:21" x14ac:dyDescent="0.25">
      <c r="A644" t="s">
        <v>127</v>
      </c>
      <c r="B644" t="s">
        <v>1814</v>
      </c>
      <c r="C644">
        <v>148899</v>
      </c>
      <c r="D644" t="s">
        <v>1815</v>
      </c>
      <c r="E644" t="s">
        <v>437</v>
      </c>
      <c r="F644" t="s">
        <v>92</v>
      </c>
      <c r="G644" t="s">
        <v>1808</v>
      </c>
      <c r="H644" t="s">
        <v>1671</v>
      </c>
      <c r="I644" t="s">
        <v>122</v>
      </c>
      <c r="J644" s="127">
        <v>46049.676388888889</v>
      </c>
      <c r="K644" s="127">
        <v>46049.807638888888</v>
      </c>
      <c r="L644" s="127">
        <v>46050</v>
      </c>
      <c r="M644" s="127">
        <v>46055.677083333336</v>
      </c>
      <c r="N644" t="s">
        <v>122</v>
      </c>
      <c r="O644" t="s">
        <v>122</v>
      </c>
      <c r="P644" t="s">
        <v>122</v>
      </c>
      <c r="Q644">
        <v>95807</v>
      </c>
      <c r="R644" t="s">
        <v>1672</v>
      </c>
      <c r="S644" t="s">
        <v>1673</v>
      </c>
      <c r="T644" t="s">
        <v>1809</v>
      </c>
      <c r="U644" t="s">
        <v>450</v>
      </c>
    </row>
    <row r="645" spans="1:21" x14ac:dyDescent="0.25">
      <c r="A645" t="s">
        <v>118</v>
      </c>
      <c r="B645" t="s">
        <v>1816</v>
      </c>
      <c r="C645">
        <v>148781</v>
      </c>
      <c r="D645" t="s">
        <v>1817</v>
      </c>
      <c r="E645" t="s">
        <v>437</v>
      </c>
      <c r="F645" t="s">
        <v>92</v>
      </c>
      <c r="G645" t="s">
        <v>1671</v>
      </c>
      <c r="H645" t="s">
        <v>122</v>
      </c>
      <c r="I645" t="s">
        <v>122</v>
      </c>
      <c r="J645" s="127">
        <v>46049.46875</v>
      </c>
      <c r="K645" s="127">
        <v>46049.629166666666</v>
      </c>
      <c r="L645" s="127">
        <v>46049</v>
      </c>
      <c r="M645" s="127">
        <v>46052.456250000003</v>
      </c>
      <c r="N645" t="s">
        <v>122</v>
      </c>
      <c r="O645" t="s">
        <v>122</v>
      </c>
      <c r="P645" t="s">
        <v>122</v>
      </c>
      <c r="Q645">
        <v>148769</v>
      </c>
      <c r="R645" t="s">
        <v>1768</v>
      </c>
      <c r="S645" t="s">
        <v>1769</v>
      </c>
      <c r="T645" t="s">
        <v>1674</v>
      </c>
      <c r="U645" t="s">
        <v>450</v>
      </c>
    </row>
    <row r="646" spans="1:21" x14ac:dyDescent="0.25">
      <c r="A646" t="s">
        <v>118</v>
      </c>
      <c r="B646" t="s">
        <v>1818</v>
      </c>
      <c r="C646">
        <v>148775</v>
      </c>
      <c r="D646" t="s">
        <v>1819</v>
      </c>
      <c r="E646" t="s">
        <v>121</v>
      </c>
      <c r="F646" t="s">
        <v>92</v>
      </c>
      <c r="G646" t="s">
        <v>1808</v>
      </c>
      <c r="H646" t="s">
        <v>1671</v>
      </c>
      <c r="I646" t="s">
        <v>122</v>
      </c>
      <c r="J646" s="127">
        <v>46049.456250000003</v>
      </c>
      <c r="K646" s="127"/>
      <c r="L646" s="127"/>
      <c r="M646" s="127"/>
      <c r="N646" t="s">
        <v>122</v>
      </c>
      <c r="O646" t="s">
        <v>122</v>
      </c>
      <c r="P646" t="s">
        <v>122</v>
      </c>
      <c r="Q646">
        <v>148767</v>
      </c>
      <c r="R646" t="s">
        <v>1820</v>
      </c>
      <c r="S646" t="s">
        <v>1821</v>
      </c>
      <c r="T646" t="s">
        <v>1809</v>
      </c>
      <c r="U646" t="s">
        <v>450</v>
      </c>
    </row>
    <row r="647" spans="1:21" x14ac:dyDescent="0.25">
      <c r="A647" t="s">
        <v>127</v>
      </c>
      <c r="B647" t="s">
        <v>1822</v>
      </c>
      <c r="C647">
        <v>148773</v>
      </c>
      <c r="D647" t="s">
        <v>1823</v>
      </c>
      <c r="E647" t="s">
        <v>379</v>
      </c>
      <c r="F647" t="s">
        <v>92</v>
      </c>
      <c r="G647" t="s">
        <v>1808</v>
      </c>
      <c r="H647" t="s">
        <v>1671</v>
      </c>
      <c r="I647" t="s">
        <v>122</v>
      </c>
      <c r="J647" s="127">
        <v>46049.455555555556</v>
      </c>
      <c r="K647" s="127"/>
      <c r="L647" s="127">
        <v>46082</v>
      </c>
      <c r="M647" s="127"/>
      <c r="N647" t="s">
        <v>122</v>
      </c>
      <c r="O647" t="s">
        <v>122</v>
      </c>
      <c r="P647" t="s">
        <v>122</v>
      </c>
      <c r="Q647">
        <v>148767</v>
      </c>
      <c r="R647" t="s">
        <v>1820</v>
      </c>
      <c r="S647" t="s">
        <v>1821</v>
      </c>
      <c r="T647" t="s">
        <v>1809</v>
      </c>
      <c r="U647" t="s">
        <v>450</v>
      </c>
    </row>
    <row r="648" spans="1:21" x14ac:dyDescent="0.25">
      <c r="A648" t="s">
        <v>118</v>
      </c>
      <c r="B648" t="s">
        <v>1824</v>
      </c>
      <c r="C648">
        <v>147971</v>
      </c>
      <c r="D648" t="s">
        <v>1825</v>
      </c>
      <c r="E648" t="s">
        <v>437</v>
      </c>
      <c r="F648" t="s">
        <v>92</v>
      </c>
      <c r="G648" t="s">
        <v>1808</v>
      </c>
      <c r="H648" t="s">
        <v>1671</v>
      </c>
      <c r="I648" t="s">
        <v>122</v>
      </c>
      <c r="J648" s="127">
        <v>46043.670138888891</v>
      </c>
      <c r="K648" s="127">
        <v>46043.799305555556</v>
      </c>
      <c r="L648" s="127">
        <v>46043</v>
      </c>
      <c r="M648" s="127">
        <v>46049.652777777781</v>
      </c>
      <c r="N648" t="s">
        <v>122</v>
      </c>
      <c r="O648" t="s">
        <v>122</v>
      </c>
      <c r="P648" t="s">
        <v>122</v>
      </c>
      <c r="Q648">
        <v>137882</v>
      </c>
      <c r="R648" t="s">
        <v>1826</v>
      </c>
      <c r="S648" t="s">
        <v>1827</v>
      </c>
      <c r="T648" t="s">
        <v>1809</v>
      </c>
      <c r="U648" t="s">
        <v>450</v>
      </c>
    </row>
    <row r="649" spans="1:21" x14ac:dyDescent="0.25">
      <c r="A649" t="s">
        <v>127</v>
      </c>
      <c r="B649" t="s">
        <v>1828</v>
      </c>
      <c r="C649">
        <v>147744</v>
      </c>
      <c r="D649" t="s">
        <v>1829</v>
      </c>
      <c r="E649" t="s">
        <v>437</v>
      </c>
      <c r="F649" t="s">
        <v>92</v>
      </c>
      <c r="G649" t="s">
        <v>1671</v>
      </c>
      <c r="H649" t="s">
        <v>122</v>
      </c>
      <c r="I649" t="s">
        <v>122</v>
      </c>
      <c r="J649" s="127">
        <v>46042.618750000001</v>
      </c>
      <c r="K649" s="127">
        <v>46042.744444444441</v>
      </c>
      <c r="L649" s="127">
        <v>46042</v>
      </c>
      <c r="M649" s="127">
        <v>46042.624305555553</v>
      </c>
      <c r="N649" t="s">
        <v>122</v>
      </c>
      <c r="O649" t="s">
        <v>122</v>
      </c>
      <c r="P649" t="s">
        <v>122</v>
      </c>
      <c r="Q649">
        <v>60620</v>
      </c>
      <c r="R649" t="s">
        <v>1830</v>
      </c>
      <c r="S649" t="s">
        <v>1831</v>
      </c>
      <c r="T649" t="s">
        <v>1674</v>
      </c>
      <c r="U649" t="s">
        <v>450</v>
      </c>
    </row>
    <row r="650" spans="1:21" x14ac:dyDescent="0.25">
      <c r="A650" t="s">
        <v>118</v>
      </c>
      <c r="B650" t="s">
        <v>1832</v>
      </c>
      <c r="C650">
        <v>146409</v>
      </c>
      <c r="D650" t="s">
        <v>1833</v>
      </c>
      <c r="E650" t="s">
        <v>121</v>
      </c>
      <c r="F650" t="s">
        <v>122</v>
      </c>
      <c r="G650" t="s">
        <v>1808</v>
      </c>
      <c r="H650" t="s">
        <v>1671</v>
      </c>
      <c r="I650" t="s">
        <v>122</v>
      </c>
      <c r="J650" s="127">
        <v>46034.89166666667</v>
      </c>
      <c r="K650" s="127"/>
      <c r="L650" s="127"/>
      <c r="M650" s="127"/>
      <c r="N650" t="s">
        <v>122</v>
      </c>
      <c r="O650" t="s">
        <v>122</v>
      </c>
      <c r="P650" t="s">
        <v>122</v>
      </c>
      <c r="Q650">
        <v>146405</v>
      </c>
      <c r="R650" t="s">
        <v>1834</v>
      </c>
      <c r="S650" t="s">
        <v>1835</v>
      </c>
      <c r="T650" t="s">
        <v>1809</v>
      </c>
      <c r="U650" t="s">
        <v>450</v>
      </c>
    </row>
    <row r="651" spans="1:21" x14ac:dyDescent="0.25">
      <c r="A651" t="s">
        <v>118</v>
      </c>
      <c r="B651" t="s">
        <v>1836</v>
      </c>
      <c r="C651">
        <v>146408</v>
      </c>
      <c r="D651" t="s">
        <v>1837</v>
      </c>
      <c r="E651" t="s">
        <v>121</v>
      </c>
      <c r="F651" t="s">
        <v>122</v>
      </c>
      <c r="G651" t="s">
        <v>1808</v>
      </c>
      <c r="H651" t="s">
        <v>1671</v>
      </c>
      <c r="I651" t="s">
        <v>122</v>
      </c>
      <c r="J651" s="127">
        <v>46034.89166666667</v>
      </c>
      <c r="K651" s="127"/>
      <c r="L651" s="127"/>
      <c r="M651" s="127"/>
      <c r="N651" t="s">
        <v>122</v>
      </c>
      <c r="O651" t="s">
        <v>122</v>
      </c>
      <c r="P651" t="s">
        <v>122</v>
      </c>
      <c r="Q651">
        <v>146405</v>
      </c>
      <c r="R651" t="s">
        <v>1834</v>
      </c>
      <c r="S651" t="s">
        <v>1835</v>
      </c>
      <c r="T651" t="s">
        <v>1809</v>
      </c>
      <c r="U651" t="s">
        <v>450</v>
      </c>
    </row>
    <row r="652" spans="1:21" x14ac:dyDescent="0.25">
      <c r="A652" t="s">
        <v>118</v>
      </c>
      <c r="B652" t="s">
        <v>1838</v>
      </c>
      <c r="C652">
        <v>146407</v>
      </c>
      <c r="D652" t="s">
        <v>1839</v>
      </c>
      <c r="E652" t="s">
        <v>121</v>
      </c>
      <c r="F652" t="s">
        <v>122</v>
      </c>
      <c r="G652" t="s">
        <v>1808</v>
      </c>
      <c r="H652" t="s">
        <v>1671</v>
      </c>
      <c r="I652" t="s">
        <v>122</v>
      </c>
      <c r="J652" s="127">
        <v>46034.89166666667</v>
      </c>
      <c r="K652" s="127"/>
      <c r="L652" s="127"/>
      <c r="M652" s="127"/>
      <c r="N652" t="s">
        <v>122</v>
      </c>
      <c r="O652" t="s">
        <v>122</v>
      </c>
      <c r="P652" t="s">
        <v>122</v>
      </c>
      <c r="Q652">
        <v>146405</v>
      </c>
      <c r="R652" t="s">
        <v>1834</v>
      </c>
      <c r="S652" t="s">
        <v>1835</v>
      </c>
      <c r="T652" t="s">
        <v>1809</v>
      </c>
      <c r="U652" t="s">
        <v>450</v>
      </c>
    </row>
    <row r="653" spans="1:21" x14ac:dyDescent="0.25">
      <c r="A653" t="s">
        <v>118</v>
      </c>
      <c r="B653" t="s">
        <v>1840</v>
      </c>
      <c r="C653">
        <v>146406</v>
      </c>
      <c r="D653" t="s">
        <v>1841</v>
      </c>
      <c r="E653" t="s">
        <v>121</v>
      </c>
      <c r="F653" t="s">
        <v>122</v>
      </c>
      <c r="G653" t="s">
        <v>1808</v>
      </c>
      <c r="H653" t="s">
        <v>1671</v>
      </c>
      <c r="I653" t="s">
        <v>122</v>
      </c>
      <c r="J653" s="127">
        <v>46034.89166666667</v>
      </c>
      <c r="K653" s="127"/>
      <c r="L653" s="127"/>
      <c r="M653" s="127"/>
      <c r="N653" t="s">
        <v>122</v>
      </c>
      <c r="O653" t="s">
        <v>122</v>
      </c>
      <c r="P653" t="s">
        <v>122</v>
      </c>
      <c r="Q653">
        <v>146405</v>
      </c>
      <c r="R653" t="s">
        <v>1834</v>
      </c>
      <c r="S653" t="s">
        <v>1835</v>
      </c>
      <c r="T653" t="s">
        <v>1809</v>
      </c>
      <c r="U653" t="s">
        <v>450</v>
      </c>
    </row>
    <row r="654" spans="1:21" x14ac:dyDescent="0.25">
      <c r="A654" t="s">
        <v>118</v>
      </c>
      <c r="B654" t="s">
        <v>1842</v>
      </c>
      <c r="C654">
        <v>146403</v>
      </c>
      <c r="D654" t="s">
        <v>1833</v>
      </c>
      <c r="E654" t="s">
        <v>121</v>
      </c>
      <c r="F654" t="s">
        <v>122</v>
      </c>
      <c r="G654" t="s">
        <v>1808</v>
      </c>
      <c r="H654" t="s">
        <v>1671</v>
      </c>
      <c r="I654" t="s">
        <v>122</v>
      </c>
      <c r="J654" s="127">
        <v>46034.880555555559</v>
      </c>
      <c r="K654" s="127"/>
      <c r="L654" s="127"/>
      <c r="M654" s="127"/>
      <c r="N654" t="s">
        <v>122</v>
      </c>
      <c r="O654" t="s">
        <v>122</v>
      </c>
      <c r="P654" t="s">
        <v>122</v>
      </c>
      <c r="Q654">
        <v>146399</v>
      </c>
      <c r="R654" t="s">
        <v>1843</v>
      </c>
      <c r="S654" t="s">
        <v>1844</v>
      </c>
      <c r="T654" t="s">
        <v>1809</v>
      </c>
      <c r="U654" t="s">
        <v>450</v>
      </c>
    </row>
    <row r="655" spans="1:21" x14ac:dyDescent="0.25">
      <c r="A655" t="s">
        <v>118</v>
      </c>
      <c r="B655" t="s">
        <v>1845</v>
      </c>
      <c r="C655">
        <v>146402</v>
      </c>
      <c r="D655" t="s">
        <v>1839</v>
      </c>
      <c r="E655" t="s">
        <v>121</v>
      </c>
      <c r="F655" t="s">
        <v>122</v>
      </c>
      <c r="G655" t="s">
        <v>1808</v>
      </c>
      <c r="H655" t="s">
        <v>1671</v>
      </c>
      <c r="I655" t="s">
        <v>122</v>
      </c>
      <c r="J655" s="127">
        <v>46034.880555555559</v>
      </c>
      <c r="K655" s="127"/>
      <c r="L655" s="127"/>
      <c r="M655" s="127"/>
      <c r="N655" t="s">
        <v>122</v>
      </c>
      <c r="O655" t="s">
        <v>122</v>
      </c>
      <c r="P655" t="s">
        <v>122</v>
      </c>
      <c r="Q655">
        <v>146399</v>
      </c>
      <c r="R655" t="s">
        <v>1843</v>
      </c>
      <c r="S655" t="s">
        <v>1844</v>
      </c>
      <c r="T655" t="s">
        <v>1809</v>
      </c>
      <c r="U655" t="s">
        <v>450</v>
      </c>
    </row>
    <row r="656" spans="1:21" x14ac:dyDescent="0.25">
      <c r="A656" t="s">
        <v>118</v>
      </c>
      <c r="B656" t="s">
        <v>1846</v>
      </c>
      <c r="C656">
        <v>146401</v>
      </c>
      <c r="D656" t="s">
        <v>1841</v>
      </c>
      <c r="E656" t="s">
        <v>121</v>
      </c>
      <c r="F656" t="s">
        <v>122</v>
      </c>
      <c r="G656" t="s">
        <v>1808</v>
      </c>
      <c r="H656" t="s">
        <v>1671</v>
      </c>
      <c r="I656" t="s">
        <v>122</v>
      </c>
      <c r="J656" s="127">
        <v>46034.880555555559</v>
      </c>
      <c r="K656" s="127"/>
      <c r="L656" s="127"/>
      <c r="M656" s="127"/>
      <c r="N656" t="s">
        <v>122</v>
      </c>
      <c r="O656" t="s">
        <v>122</v>
      </c>
      <c r="P656" t="s">
        <v>122</v>
      </c>
      <c r="Q656">
        <v>146399</v>
      </c>
      <c r="R656" t="s">
        <v>1843</v>
      </c>
      <c r="S656" t="s">
        <v>1844</v>
      </c>
      <c r="T656" t="s">
        <v>1809</v>
      </c>
      <c r="U656" t="s">
        <v>450</v>
      </c>
    </row>
    <row r="657" spans="1:21" x14ac:dyDescent="0.25">
      <c r="A657" t="s">
        <v>118</v>
      </c>
      <c r="B657" t="s">
        <v>1847</v>
      </c>
      <c r="C657">
        <v>146400</v>
      </c>
      <c r="D657" t="s">
        <v>1837</v>
      </c>
      <c r="E657" t="s">
        <v>121</v>
      </c>
      <c r="F657" t="s">
        <v>122</v>
      </c>
      <c r="G657" t="s">
        <v>1808</v>
      </c>
      <c r="H657" t="s">
        <v>1671</v>
      </c>
      <c r="I657" t="s">
        <v>122</v>
      </c>
      <c r="J657" s="127">
        <v>46034.880555555559</v>
      </c>
      <c r="K657" s="127"/>
      <c r="L657" s="127"/>
      <c r="M657" s="127"/>
      <c r="N657" t="s">
        <v>122</v>
      </c>
      <c r="O657" t="s">
        <v>122</v>
      </c>
      <c r="P657" t="s">
        <v>122</v>
      </c>
      <c r="Q657">
        <v>146399</v>
      </c>
      <c r="R657" t="s">
        <v>1843</v>
      </c>
      <c r="S657" t="s">
        <v>1844</v>
      </c>
      <c r="T657" t="s">
        <v>1809</v>
      </c>
      <c r="U657" t="s">
        <v>450</v>
      </c>
    </row>
    <row r="658" spans="1:21" x14ac:dyDescent="0.25">
      <c r="A658" t="s">
        <v>118</v>
      </c>
      <c r="B658" t="s">
        <v>1848</v>
      </c>
      <c r="C658">
        <v>146398</v>
      </c>
      <c r="D658" t="s">
        <v>1841</v>
      </c>
      <c r="E658" t="s">
        <v>121</v>
      </c>
      <c r="F658" t="s">
        <v>122</v>
      </c>
      <c r="G658" t="s">
        <v>1808</v>
      </c>
      <c r="H658" t="s">
        <v>1671</v>
      </c>
      <c r="I658" t="s">
        <v>122</v>
      </c>
      <c r="J658" s="127">
        <v>46034.878472222219</v>
      </c>
      <c r="K658" s="127"/>
      <c r="L658" s="127"/>
      <c r="M658" s="127"/>
      <c r="N658" t="s">
        <v>122</v>
      </c>
      <c r="O658" t="s">
        <v>122</v>
      </c>
      <c r="P658" t="s">
        <v>122</v>
      </c>
      <c r="Q658">
        <v>146394</v>
      </c>
      <c r="R658" t="s">
        <v>1849</v>
      </c>
      <c r="S658" t="s">
        <v>1850</v>
      </c>
      <c r="T658" t="s">
        <v>1809</v>
      </c>
      <c r="U658" t="s">
        <v>450</v>
      </c>
    </row>
    <row r="659" spans="1:21" x14ac:dyDescent="0.25">
      <c r="A659" t="s">
        <v>118</v>
      </c>
      <c r="B659" t="s">
        <v>1851</v>
      </c>
      <c r="C659">
        <v>146397</v>
      </c>
      <c r="D659" t="s">
        <v>1833</v>
      </c>
      <c r="E659" t="s">
        <v>121</v>
      </c>
      <c r="F659" t="s">
        <v>122</v>
      </c>
      <c r="G659" t="s">
        <v>1808</v>
      </c>
      <c r="H659" t="s">
        <v>1671</v>
      </c>
      <c r="I659" t="s">
        <v>122</v>
      </c>
      <c r="J659" s="127">
        <v>46034.878472222219</v>
      </c>
      <c r="K659" s="127"/>
      <c r="L659" s="127"/>
      <c r="M659" s="127"/>
      <c r="N659" t="s">
        <v>122</v>
      </c>
      <c r="O659" t="s">
        <v>122</v>
      </c>
      <c r="P659" t="s">
        <v>122</v>
      </c>
      <c r="Q659">
        <v>146394</v>
      </c>
      <c r="R659" t="s">
        <v>1849</v>
      </c>
      <c r="S659" t="s">
        <v>1850</v>
      </c>
      <c r="T659" t="s">
        <v>1809</v>
      </c>
      <c r="U659" t="s">
        <v>450</v>
      </c>
    </row>
    <row r="660" spans="1:21" x14ac:dyDescent="0.25">
      <c r="A660" t="s">
        <v>118</v>
      </c>
      <c r="B660" t="s">
        <v>1852</v>
      </c>
      <c r="C660">
        <v>146396</v>
      </c>
      <c r="D660" t="s">
        <v>1839</v>
      </c>
      <c r="E660" t="s">
        <v>121</v>
      </c>
      <c r="F660" t="s">
        <v>122</v>
      </c>
      <c r="G660" t="s">
        <v>1808</v>
      </c>
      <c r="H660" t="s">
        <v>1671</v>
      </c>
      <c r="I660" t="s">
        <v>122</v>
      </c>
      <c r="J660" s="127">
        <v>46034.878472222219</v>
      </c>
      <c r="K660" s="127"/>
      <c r="L660" s="127"/>
      <c r="M660" s="127"/>
      <c r="N660" t="s">
        <v>122</v>
      </c>
      <c r="O660" t="s">
        <v>122</v>
      </c>
      <c r="P660" t="s">
        <v>122</v>
      </c>
      <c r="Q660">
        <v>146394</v>
      </c>
      <c r="R660" t="s">
        <v>1849</v>
      </c>
      <c r="S660" t="s">
        <v>1850</v>
      </c>
      <c r="T660" t="s">
        <v>1809</v>
      </c>
      <c r="U660" t="s">
        <v>450</v>
      </c>
    </row>
    <row r="661" spans="1:21" x14ac:dyDescent="0.25">
      <c r="A661" t="s">
        <v>118</v>
      </c>
      <c r="B661" t="s">
        <v>1853</v>
      </c>
      <c r="C661">
        <v>146395</v>
      </c>
      <c r="D661" t="s">
        <v>1837</v>
      </c>
      <c r="E661" t="s">
        <v>121</v>
      </c>
      <c r="F661" t="s">
        <v>122</v>
      </c>
      <c r="G661" t="s">
        <v>1808</v>
      </c>
      <c r="H661" t="s">
        <v>1671</v>
      </c>
      <c r="I661" t="s">
        <v>122</v>
      </c>
      <c r="J661" s="127">
        <v>46034.878472222219</v>
      </c>
      <c r="K661" s="127"/>
      <c r="L661" s="127"/>
      <c r="M661" s="127"/>
      <c r="N661" t="s">
        <v>122</v>
      </c>
      <c r="O661" t="s">
        <v>122</v>
      </c>
      <c r="P661" t="s">
        <v>122</v>
      </c>
      <c r="Q661">
        <v>146394</v>
      </c>
      <c r="R661" t="s">
        <v>1849</v>
      </c>
      <c r="S661" t="s">
        <v>1850</v>
      </c>
      <c r="T661" t="s">
        <v>1809</v>
      </c>
      <c r="U661" t="s">
        <v>450</v>
      </c>
    </row>
    <row r="662" spans="1:21" x14ac:dyDescent="0.25">
      <c r="A662" t="s">
        <v>118</v>
      </c>
      <c r="B662" t="s">
        <v>1854</v>
      </c>
      <c r="C662">
        <v>129139</v>
      </c>
      <c r="D662" t="s">
        <v>1855</v>
      </c>
      <c r="E662" t="s">
        <v>130</v>
      </c>
      <c r="F662" t="s">
        <v>92</v>
      </c>
      <c r="G662" t="s">
        <v>1808</v>
      </c>
      <c r="H662" t="s">
        <v>1671</v>
      </c>
      <c r="I662" t="s">
        <v>122</v>
      </c>
      <c r="J662" s="127">
        <v>46006.388194444444</v>
      </c>
      <c r="K662" s="127">
        <v>46083.847916666666</v>
      </c>
      <c r="L662" s="127">
        <v>46084</v>
      </c>
      <c r="M662" s="127">
        <v>46090.552083333336</v>
      </c>
      <c r="N662" t="s">
        <v>122</v>
      </c>
      <c r="O662" t="s">
        <v>122</v>
      </c>
      <c r="P662" t="s">
        <v>122</v>
      </c>
      <c r="Q662">
        <v>120648</v>
      </c>
      <c r="R662" t="s">
        <v>1856</v>
      </c>
      <c r="S662" t="s">
        <v>1857</v>
      </c>
      <c r="T662" t="s">
        <v>1809</v>
      </c>
      <c r="U662" t="s">
        <v>450</v>
      </c>
    </row>
    <row r="663" spans="1:21" x14ac:dyDescent="0.25">
      <c r="A663" t="s">
        <v>118</v>
      </c>
      <c r="B663" t="s">
        <v>1858</v>
      </c>
      <c r="C663">
        <v>129137</v>
      </c>
      <c r="D663" t="s">
        <v>1859</v>
      </c>
      <c r="E663" t="s">
        <v>121</v>
      </c>
      <c r="F663" t="s">
        <v>92</v>
      </c>
      <c r="G663" t="s">
        <v>1808</v>
      </c>
      <c r="H663" t="s">
        <v>1671</v>
      </c>
      <c r="I663" t="s">
        <v>122</v>
      </c>
      <c r="J663" s="127">
        <v>46006.387499999997</v>
      </c>
      <c r="K663" s="127"/>
      <c r="L663" s="127">
        <v>46085</v>
      </c>
      <c r="M663" s="127"/>
      <c r="N663" t="s">
        <v>122</v>
      </c>
      <c r="O663" t="s">
        <v>122</v>
      </c>
      <c r="P663" t="s">
        <v>122</v>
      </c>
      <c r="Q663">
        <v>120648</v>
      </c>
      <c r="R663" t="s">
        <v>1856</v>
      </c>
      <c r="S663" t="s">
        <v>1857</v>
      </c>
      <c r="T663" t="s">
        <v>1809</v>
      </c>
      <c r="U663" t="s">
        <v>450</v>
      </c>
    </row>
    <row r="664" spans="1:21" x14ac:dyDescent="0.25">
      <c r="A664" t="s">
        <v>118</v>
      </c>
      <c r="B664" t="s">
        <v>1860</v>
      </c>
      <c r="C664">
        <v>129135</v>
      </c>
      <c r="D664" t="s">
        <v>1861</v>
      </c>
      <c r="E664" t="s">
        <v>121</v>
      </c>
      <c r="F664" t="s">
        <v>92</v>
      </c>
      <c r="G664" t="s">
        <v>1808</v>
      </c>
      <c r="H664" t="s">
        <v>1671</v>
      </c>
      <c r="I664" t="s">
        <v>122</v>
      </c>
      <c r="J664" s="127">
        <v>46006.387499999997</v>
      </c>
      <c r="K664" s="127"/>
      <c r="L664" s="127">
        <v>46084</v>
      </c>
      <c r="M664" s="127"/>
      <c r="N664" t="s">
        <v>122</v>
      </c>
      <c r="O664" t="s">
        <v>122</v>
      </c>
      <c r="P664" t="s">
        <v>122</v>
      </c>
      <c r="Q664">
        <v>120648</v>
      </c>
      <c r="R664" t="s">
        <v>1856</v>
      </c>
      <c r="S664" t="s">
        <v>1857</v>
      </c>
      <c r="T664" t="s">
        <v>1809</v>
      </c>
      <c r="U664" t="s">
        <v>450</v>
      </c>
    </row>
    <row r="665" spans="1:21" x14ac:dyDescent="0.25">
      <c r="A665" t="s">
        <v>118</v>
      </c>
      <c r="B665" t="s">
        <v>1862</v>
      </c>
      <c r="C665">
        <v>129133</v>
      </c>
      <c r="D665" t="s">
        <v>1863</v>
      </c>
      <c r="E665" t="s">
        <v>121</v>
      </c>
      <c r="F665" t="s">
        <v>92</v>
      </c>
      <c r="G665" t="s">
        <v>1808</v>
      </c>
      <c r="H665" t="s">
        <v>1671</v>
      </c>
      <c r="I665" t="s">
        <v>122</v>
      </c>
      <c r="J665" s="127">
        <v>46006.387499999997</v>
      </c>
      <c r="K665" s="127"/>
      <c r="L665" s="127">
        <v>46084</v>
      </c>
      <c r="M665" s="127"/>
      <c r="N665" t="s">
        <v>122</v>
      </c>
      <c r="O665" t="s">
        <v>122</v>
      </c>
      <c r="P665" t="s">
        <v>122</v>
      </c>
      <c r="Q665">
        <v>120648</v>
      </c>
      <c r="R665" t="s">
        <v>1856</v>
      </c>
      <c r="S665" t="s">
        <v>1857</v>
      </c>
      <c r="T665" t="s">
        <v>1809</v>
      </c>
      <c r="U665" t="s">
        <v>450</v>
      </c>
    </row>
    <row r="666" spans="1:21" x14ac:dyDescent="0.25">
      <c r="A666" t="s">
        <v>118</v>
      </c>
      <c r="B666" t="s">
        <v>1864</v>
      </c>
      <c r="C666">
        <v>132440</v>
      </c>
      <c r="D666" t="s">
        <v>1865</v>
      </c>
      <c r="E666" t="s">
        <v>121</v>
      </c>
      <c r="F666" t="s">
        <v>92</v>
      </c>
      <c r="G666" t="s">
        <v>1808</v>
      </c>
      <c r="H666" t="s">
        <v>1671</v>
      </c>
      <c r="I666" t="s">
        <v>122</v>
      </c>
      <c r="J666" s="127">
        <v>46007.893750000003</v>
      </c>
      <c r="K666" s="127"/>
      <c r="L666" s="127">
        <v>46069</v>
      </c>
      <c r="M666" s="127"/>
      <c r="N666" t="s">
        <v>122</v>
      </c>
      <c r="O666" t="s">
        <v>122</v>
      </c>
      <c r="P666" t="s">
        <v>122</v>
      </c>
      <c r="Q666">
        <v>120650</v>
      </c>
      <c r="R666" t="s">
        <v>1866</v>
      </c>
      <c r="S666" t="s">
        <v>1867</v>
      </c>
      <c r="T666" t="s">
        <v>1809</v>
      </c>
      <c r="U666" t="s">
        <v>450</v>
      </c>
    </row>
    <row r="667" spans="1:21" x14ac:dyDescent="0.25">
      <c r="A667" t="s">
        <v>118</v>
      </c>
      <c r="B667" t="s">
        <v>1868</v>
      </c>
      <c r="C667">
        <v>132438</v>
      </c>
      <c r="D667" t="s">
        <v>1869</v>
      </c>
      <c r="E667" t="s">
        <v>121</v>
      </c>
      <c r="F667" t="s">
        <v>92</v>
      </c>
      <c r="G667" t="s">
        <v>1808</v>
      </c>
      <c r="H667" t="s">
        <v>1671</v>
      </c>
      <c r="I667" t="s">
        <v>122</v>
      </c>
      <c r="J667" s="127">
        <v>46007.893055555556</v>
      </c>
      <c r="K667" s="127"/>
      <c r="L667" s="127">
        <v>46048</v>
      </c>
      <c r="M667" s="127"/>
      <c r="N667" t="s">
        <v>122</v>
      </c>
      <c r="O667" t="s">
        <v>122</v>
      </c>
      <c r="P667" t="s">
        <v>122</v>
      </c>
      <c r="Q667">
        <v>120650</v>
      </c>
      <c r="R667" t="s">
        <v>1866</v>
      </c>
      <c r="S667" t="s">
        <v>1867</v>
      </c>
      <c r="T667" t="s">
        <v>1809</v>
      </c>
      <c r="U667" t="s">
        <v>450</v>
      </c>
    </row>
    <row r="668" spans="1:21" x14ac:dyDescent="0.25">
      <c r="A668" t="s">
        <v>118</v>
      </c>
      <c r="B668" t="s">
        <v>1870</v>
      </c>
      <c r="C668">
        <v>132436</v>
      </c>
      <c r="D668" t="s">
        <v>1871</v>
      </c>
      <c r="E668" t="s">
        <v>121</v>
      </c>
      <c r="F668" t="s">
        <v>92</v>
      </c>
      <c r="G668" t="s">
        <v>1808</v>
      </c>
      <c r="H668" t="s">
        <v>1671</v>
      </c>
      <c r="I668" t="s">
        <v>122</v>
      </c>
      <c r="J668" s="127">
        <v>46007.893055555556</v>
      </c>
      <c r="K668" s="127"/>
      <c r="L668" s="127">
        <v>46055</v>
      </c>
      <c r="M668" s="127"/>
      <c r="N668" t="s">
        <v>122</v>
      </c>
      <c r="O668" t="s">
        <v>122</v>
      </c>
      <c r="P668" t="s">
        <v>122</v>
      </c>
      <c r="Q668">
        <v>120650</v>
      </c>
      <c r="R668" t="s">
        <v>1866</v>
      </c>
      <c r="S668" t="s">
        <v>1867</v>
      </c>
      <c r="T668" t="s">
        <v>1809</v>
      </c>
      <c r="U668" t="s">
        <v>450</v>
      </c>
    </row>
    <row r="669" spans="1:21" x14ac:dyDescent="0.25">
      <c r="A669" t="s">
        <v>118</v>
      </c>
      <c r="B669" t="s">
        <v>1872</v>
      </c>
      <c r="C669">
        <v>132434</v>
      </c>
      <c r="D669" t="s">
        <v>1873</v>
      </c>
      <c r="E669" t="s">
        <v>121</v>
      </c>
      <c r="F669" t="s">
        <v>92</v>
      </c>
      <c r="G669" t="s">
        <v>1808</v>
      </c>
      <c r="H669" t="s">
        <v>1671</v>
      </c>
      <c r="I669" t="s">
        <v>122</v>
      </c>
      <c r="J669" s="127">
        <v>46007.893055555556</v>
      </c>
      <c r="K669" s="127"/>
      <c r="L669" s="127">
        <v>46048</v>
      </c>
      <c r="M669" s="127"/>
      <c r="N669" t="s">
        <v>122</v>
      </c>
      <c r="O669" t="s">
        <v>122</v>
      </c>
      <c r="P669" t="s">
        <v>122</v>
      </c>
      <c r="Q669">
        <v>120650</v>
      </c>
      <c r="R669" t="s">
        <v>1866</v>
      </c>
      <c r="S669" t="s">
        <v>1867</v>
      </c>
      <c r="T669" t="s">
        <v>1809</v>
      </c>
      <c r="U669" t="s">
        <v>450</v>
      </c>
    </row>
    <row r="670" spans="1:21" x14ac:dyDescent="0.25">
      <c r="A670" t="s">
        <v>118</v>
      </c>
      <c r="B670" t="s">
        <v>1874</v>
      </c>
      <c r="C670">
        <v>132432</v>
      </c>
      <c r="D670" t="s">
        <v>1875</v>
      </c>
      <c r="E670" t="s">
        <v>121</v>
      </c>
      <c r="F670" t="s">
        <v>92</v>
      </c>
      <c r="G670" t="s">
        <v>1808</v>
      </c>
      <c r="H670" t="s">
        <v>1671</v>
      </c>
      <c r="I670" t="s">
        <v>122</v>
      </c>
      <c r="J670" s="127">
        <v>46007.881249999999</v>
      </c>
      <c r="K670" s="127"/>
      <c r="L670" s="127"/>
      <c r="M670" s="127"/>
      <c r="N670" t="s">
        <v>122</v>
      </c>
      <c r="O670" t="s">
        <v>122</v>
      </c>
      <c r="P670" t="s">
        <v>122</v>
      </c>
      <c r="Q670">
        <v>120649</v>
      </c>
      <c r="R670" t="s">
        <v>1876</v>
      </c>
      <c r="S670" t="s">
        <v>1877</v>
      </c>
      <c r="T670" t="s">
        <v>1809</v>
      </c>
      <c r="U670" t="s">
        <v>450</v>
      </c>
    </row>
    <row r="671" spans="1:21" x14ac:dyDescent="0.25">
      <c r="A671" t="s">
        <v>118</v>
      </c>
      <c r="B671" t="s">
        <v>1878</v>
      </c>
      <c r="C671">
        <v>132430</v>
      </c>
      <c r="D671" t="s">
        <v>1879</v>
      </c>
      <c r="E671" t="s">
        <v>121</v>
      </c>
      <c r="F671" t="s">
        <v>92</v>
      </c>
      <c r="G671" t="s">
        <v>1808</v>
      </c>
      <c r="H671" t="s">
        <v>1671</v>
      </c>
      <c r="I671" t="s">
        <v>122</v>
      </c>
      <c r="J671" s="127">
        <v>46007.881249999999</v>
      </c>
      <c r="K671" s="127"/>
      <c r="L671" s="127"/>
      <c r="M671" s="127"/>
      <c r="N671" t="s">
        <v>122</v>
      </c>
      <c r="O671" t="s">
        <v>122</v>
      </c>
      <c r="P671" t="s">
        <v>122</v>
      </c>
      <c r="Q671">
        <v>120649</v>
      </c>
      <c r="R671" t="s">
        <v>1876</v>
      </c>
      <c r="S671" t="s">
        <v>1877</v>
      </c>
      <c r="T671" t="s">
        <v>1809</v>
      </c>
      <c r="U671" t="s">
        <v>450</v>
      </c>
    </row>
    <row r="672" spans="1:21" x14ac:dyDescent="0.25">
      <c r="A672" t="s">
        <v>118</v>
      </c>
      <c r="B672" t="s">
        <v>1880</v>
      </c>
      <c r="C672">
        <v>132428</v>
      </c>
      <c r="D672" t="s">
        <v>1881</v>
      </c>
      <c r="E672" t="s">
        <v>121</v>
      </c>
      <c r="F672" t="s">
        <v>92</v>
      </c>
      <c r="G672" t="s">
        <v>1808</v>
      </c>
      <c r="H672" t="s">
        <v>1671</v>
      </c>
      <c r="I672" t="s">
        <v>122</v>
      </c>
      <c r="J672" s="127">
        <v>46007.880555555559</v>
      </c>
      <c r="K672" s="127"/>
      <c r="L672" s="127"/>
      <c r="M672" s="127"/>
      <c r="N672" t="s">
        <v>122</v>
      </c>
      <c r="O672" t="s">
        <v>122</v>
      </c>
      <c r="P672" t="s">
        <v>122</v>
      </c>
      <c r="Q672">
        <v>120649</v>
      </c>
      <c r="R672" t="s">
        <v>1876</v>
      </c>
      <c r="S672" t="s">
        <v>1877</v>
      </c>
      <c r="T672" t="s">
        <v>1809</v>
      </c>
      <c r="U672" t="s">
        <v>450</v>
      </c>
    </row>
    <row r="673" spans="1:21" x14ac:dyDescent="0.25">
      <c r="A673" t="s">
        <v>118</v>
      </c>
      <c r="B673" t="s">
        <v>1882</v>
      </c>
      <c r="C673">
        <v>132426</v>
      </c>
      <c r="D673" t="s">
        <v>1883</v>
      </c>
      <c r="E673" t="s">
        <v>121</v>
      </c>
      <c r="F673" t="s">
        <v>92</v>
      </c>
      <c r="G673" t="s">
        <v>1808</v>
      </c>
      <c r="H673" t="s">
        <v>1671</v>
      </c>
      <c r="I673" t="s">
        <v>122</v>
      </c>
      <c r="J673" s="127">
        <v>46007.880555555559</v>
      </c>
      <c r="K673" s="127"/>
      <c r="L673" s="127"/>
      <c r="M673" s="127"/>
      <c r="N673" t="s">
        <v>122</v>
      </c>
      <c r="O673" t="s">
        <v>122</v>
      </c>
      <c r="P673" t="s">
        <v>122</v>
      </c>
      <c r="Q673">
        <v>120649</v>
      </c>
      <c r="R673" t="s">
        <v>1876</v>
      </c>
      <c r="S673" t="s">
        <v>1877</v>
      </c>
      <c r="T673" t="s">
        <v>1809</v>
      </c>
      <c r="U673" t="s">
        <v>450</v>
      </c>
    </row>
    <row r="674" spans="1:21" x14ac:dyDescent="0.25">
      <c r="A674" t="s">
        <v>118</v>
      </c>
      <c r="B674" t="s">
        <v>1884</v>
      </c>
      <c r="C674">
        <v>137886</v>
      </c>
      <c r="D674" t="s">
        <v>1885</v>
      </c>
      <c r="E674" t="s">
        <v>121</v>
      </c>
      <c r="F674" t="s">
        <v>92</v>
      </c>
      <c r="G674" t="s">
        <v>1808</v>
      </c>
      <c r="H674" t="s">
        <v>1671</v>
      </c>
      <c r="I674" t="s">
        <v>122</v>
      </c>
      <c r="J674" s="127">
        <v>46013.990972222222</v>
      </c>
      <c r="K674" s="127"/>
      <c r="L674" s="127"/>
      <c r="M674" s="127"/>
      <c r="N674" t="s">
        <v>122</v>
      </c>
      <c r="O674" t="s">
        <v>122</v>
      </c>
      <c r="P674" t="s">
        <v>122</v>
      </c>
      <c r="Q674">
        <v>137882</v>
      </c>
      <c r="R674" t="s">
        <v>1826</v>
      </c>
      <c r="S674" t="s">
        <v>1827</v>
      </c>
      <c r="T674" t="s">
        <v>1809</v>
      </c>
      <c r="U674" t="s">
        <v>450</v>
      </c>
    </row>
    <row r="675" spans="1:21" x14ac:dyDescent="0.25">
      <c r="A675" t="s">
        <v>118</v>
      </c>
      <c r="B675" t="s">
        <v>1886</v>
      </c>
      <c r="C675">
        <v>137885</v>
      </c>
      <c r="D675" t="s">
        <v>1887</v>
      </c>
      <c r="E675" t="s">
        <v>121</v>
      </c>
      <c r="F675" t="s">
        <v>92</v>
      </c>
      <c r="G675" t="s">
        <v>1808</v>
      </c>
      <c r="H675" t="s">
        <v>1671</v>
      </c>
      <c r="I675" t="s">
        <v>122</v>
      </c>
      <c r="J675" s="127">
        <v>46013.990972222222</v>
      </c>
      <c r="K675" s="127"/>
      <c r="L675" s="127"/>
      <c r="M675" s="127"/>
      <c r="N675" t="s">
        <v>122</v>
      </c>
      <c r="O675" t="s">
        <v>122</v>
      </c>
      <c r="P675" t="s">
        <v>122</v>
      </c>
      <c r="Q675">
        <v>137882</v>
      </c>
      <c r="R675" t="s">
        <v>1826</v>
      </c>
      <c r="S675" t="s">
        <v>1827</v>
      </c>
      <c r="T675" t="s">
        <v>1809</v>
      </c>
      <c r="U675" t="s">
        <v>450</v>
      </c>
    </row>
    <row r="676" spans="1:21" x14ac:dyDescent="0.25">
      <c r="A676" t="s">
        <v>118</v>
      </c>
      <c r="B676" t="s">
        <v>1888</v>
      </c>
      <c r="C676">
        <v>137884</v>
      </c>
      <c r="D676" t="s">
        <v>1889</v>
      </c>
      <c r="E676" t="s">
        <v>121</v>
      </c>
      <c r="F676" t="s">
        <v>92</v>
      </c>
      <c r="G676" t="s">
        <v>1808</v>
      </c>
      <c r="H676" t="s">
        <v>1671</v>
      </c>
      <c r="I676" t="s">
        <v>122</v>
      </c>
      <c r="J676" s="127">
        <v>46013.990972222222</v>
      </c>
      <c r="K676" s="127"/>
      <c r="L676" s="127"/>
      <c r="M676" s="127"/>
      <c r="N676" t="s">
        <v>122</v>
      </c>
      <c r="O676" t="s">
        <v>122</v>
      </c>
      <c r="P676" t="s">
        <v>122</v>
      </c>
      <c r="Q676">
        <v>137882</v>
      </c>
      <c r="R676" t="s">
        <v>1826</v>
      </c>
      <c r="S676" t="s">
        <v>1827</v>
      </c>
      <c r="T676" t="s">
        <v>1809</v>
      </c>
      <c r="U676" t="s">
        <v>450</v>
      </c>
    </row>
    <row r="677" spans="1:21" x14ac:dyDescent="0.25">
      <c r="A677" t="s">
        <v>118</v>
      </c>
      <c r="B677" t="s">
        <v>1890</v>
      </c>
      <c r="C677">
        <v>137883</v>
      </c>
      <c r="D677" t="s">
        <v>1891</v>
      </c>
      <c r="E677" t="s">
        <v>121</v>
      </c>
      <c r="F677" t="s">
        <v>92</v>
      </c>
      <c r="G677" t="s">
        <v>1808</v>
      </c>
      <c r="H677" t="s">
        <v>1671</v>
      </c>
      <c r="I677" t="s">
        <v>122</v>
      </c>
      <c r="J677" s="127">
        <v>46013.990972222222</v>
      </c>
      <c r="K677" s="127"/>
      <c r="L677" s="127"/>
      <c r="M677" s="127"/>
      <c r="N677" t="s">
        <v>122</v>
      </c>
      <c r="O677" t="s">
        <v>122</v>
      </c>
      <c r="P677" t="s">
        <v>122</v>
      </c>
      <c r="Q677">
        <v>137882</v>
      </c>
      <c r="R677" t="s">
        <v>1826</v>
      </c>
      <c r="S677" t="s">
        <v>1827</v>
      </c>
      <c r="T677" t="s">
        <v>1809</v>
      </c>
      <c r="U677" t="s">
        <v>450</v>
      </c>
    </row>
    <row r="678" spans="1:21" x14ac:dyDescent="0.25">
      <c r="A678" t="s">
        <v>118</v>
      </c>
      <c r="B678" t="s">
        <v>1892</v>
      </c>
      <c r="C678">
        <v>137891</v>
      </c>
      <c r="D678" t="s">
        <v>1841</v>
      </c>
      <c r="E678" t="s">
        <v>121</v>
      </c>
      <c r="F678" t="s">
        <v>92</v>
      </c>
      <c r="G678" t="s">
        <v>1808</v>
      </c>
      <c r="H678" t="s">
        <v>1671</v>
      </c>
      <c r="I678" t="s">
        <v>122</v>
      </c>
      <c r="J678" s="127">
        <v>46013.991666666669</v>
      </c>
      <c r="K678" s="127"/>
      <c r="L678" s="127"/>
      <c r="M678" s="127"/>
      <c r="N678" t="s">
        <v>122</v>
      </c>
      <c r="O678" t="s">
        <v>122</v>
      </c>
      <c r="P678" t="s">
        <v>122</v>
      </c>
      <c r="Q678">
        <v>137887</v>
      </c>
      <c r="R678" t="s">
        <v>1893</v>
      </c>
      <c r="S678" t="s">
        <v>1894</v>
      </c>
      <c r="T678" t="s">
        <v>1809</v>
      </c>
      <c r="U678" t="s">
        <v>450</v>
      </c>
    </row>
    <row r="679" spans="1:21" x14ac:dyDescent="0.25">
      <c r="A679" t="s">
        <v>118</v>
      </c>
      <c r="B679" t="s">
        <v>1895</v>
      </c>
      <c r="C679">
        <v>137890</v>
      </c>
      <c r="D679" t="s">
        <v>1833</v>
      </c>
      <c r="E679" t="s">
        <v>121</v>
      </c>
      <c r="F679" t="s">
        <v>92</v>
      </c>
      <c r="G679" t="s">
        <v>1808</v>
      </c>
      <c r="H679" t="s">
        <v>1671</v>
      </c>
      <c r="I679" t="s">
        <v>122</v>
      </c>
      <c r="J679" s="127">
        <v>46013.991666666669</v>
      </c>
      <c r="K679" s="127"/>
      <c r="L679" s="127"/>
      <c r="M679" s="127"/>
      <c r="N679" t="s">
        <v>122</v>
      </c>
      <c r="O679" t="s">
        <v>122</v>
      </c>
      <c r="P679" t="s">
        <v>122</v>
      </c>
      <c r="Q679">
        <v>137887</v>
      </c>
      <c r="R679" t="s">
        <v>1893</v>
      </c>
      <c r="S679" t="s">
        <v>1894</v>
      </c>
      <c r="T679" t="s">
        <v>1809</v>
      </c>
      <c r="U679" t="s">
        <v>450</v>
      </c>
    </row>
    <row r="680" spans="1:21" x14ac:dyDescent="0.25">
      <c r="A680" t="s">
        <v>118</v>
      </c>
      <c r="B680" t="s">
        <v>1896</v>
      </c>
      <c r="C680">
        <v>137889</v>
      </c>
      <c r="D680" t="s">
        <v>1839</v>
      </c>
      <c r="E680" t="s">
        <v>121</v>
      </c>
      <c r="F680" t="s">
        <v>92</v>
      </c>
      <c r="G680" t="s">
        <v>1808</v>
      </c>
      <c r="H680" t="s">
        <v>1671</v>
      </c>
      <c r="I680" t="s">
        <v>122</v>
      </c>
      <c r="J680" s="127">
        <v>46013.991666666669</v>
      </c>
      <c r="K680" s="127"/>
      <c r="L680" s="127"/>
      <c r="M680" s="127"/>
      <c r="N680" t="s">
        <v>122</v>
      </c>
      <c r="O680" t="s">
        <v>122</v>
      </c>
      <c r="P680" t="s">
        <v>122</v>
      </c>
      <c r="Q680">
        <v>137887</v>
      </c>
      <c r="R680" t="s">
        <v>1893</v>
      </c>
      <c r="S680" t="s">
        <v>1894</v>
      </c>
      <c r="T680" t="s">
        <v>1809</v>
      </c>
      <c r="U680" t="s">
        <v>450</v>
      </c>
    </row>
    <row r="681" spans="1:21" x14ac:dyDescent="0.25">
      <c r="A681" t="s">
        <v>118</v>
      </c>
      <c r="B681" t="s">
        <v>1897</v>
      </c>
      <c r="C681">
        <v>137888</v>
      </c>
      <c r="D681" t="s">
        <v>1837</v>
      </c>
      <c r="E681" t="s">
        <v>121</v>
      </c>
      <c r="F681" t="s">
        <v>92</v>
      </c>
      <c r="G681" t="s">
        <v>1808</v>
      </c>
      <c r="H681" t="s">
        <v>1671</v>
      </c>
      <c r="I681" t="s">
        <v>122</v>
      </c>
      <c r="J681" s="127">
        <v>46013.991666666669</v>
      </c>
      <c r="K681" s="127"/>
      <c r="L681" s="127"/>
      <c r="M681" s="127"/>
      <c r="N681" t="s">
        <v>122</v>
      </c>
      <c r="O681" t="s">
        <v>122</v>
      </c>
      <c r="P681" t="s">
        <v>122</v>
      </c>
      <c r="Q681">
        <v>137887</v>
      </c>
      <c r="R681" t="s">
        <v>1893</v>
      </c>
      <c r="S681" t="s">
        <v>1894</v>
      </c>
      <c r="T681" t="s">
        <v>1809</v>
      </c>
      <c r="U681" t="s">
        <v>450</v>
      </c>
    </row>
    <row r="682" spans="1:21" x14ac:dyDescent="0.25">
      <c r="A682" t="s">
        <v>118</v>
      </c>
      <c r="B682" t="s">
        <v>1898</v>
      </c>
      <c r="C682">
        <v>132450</v>
      </c>
      <c r="D682" t="s">
        <v>1899</v>
      </c>
      <c r="E682" t="s">
        <v>121</v>
      </c>
      <c r="F682" t="s">
        <v>92</v>
      </c>
      <c r="G682" t="s">
        <v>1808</v>
      </c>
      <c r="H682" t="s">
        <v>1671</v>
      </c>
      <c r="I682" t="s">
        <v>122</v>
      </c>
      <c r="J682" s="127">
        <v>46007.915277777778</v>
      </c>
      <c r="K682" s="127"/>
      <c r="L682" s="127"/>
      <c r="M682" s="127"/>
      <c r="N682" t="s">
        <v>122</v>
      </c>
      <c r="O682" t="s">
        <v>122</v>
      </c>
      <c r="P682" t="s">
        <v>122</v>
      </c>
      <c r="Q682">
        <v>120651</v>
      </c>
      <c r="R682" t="s">
        <v>1900</v>
      </c>
      <c r="S682" t="s">
        <v>1901</v>
      </c>
      <c r="T682" t="s">
        <v>1809</v>
      </c>
      <c r="U682" t="s">
        <v>450</v>
      </c>
    </row>
    <row r="683" spans="1:21" x14ac:dyDescent="0.25">
      <c r="A683" t="s">
        <v>118</v>
      </c>
      <c r="B683" t="s">
        <v>1902</v>
      </c>
      <c r="C683">
        <v>132448</v>
      </c>
      <c r="D683" t="s">
        <v>1903</v>
      </c>
      <c r="E683" t="s">
        <v>121</v>
      </c>
      <c r="F683" t="s">
        <v>92</v>
      </c>
      <c r="G683" t="s">
        <v>1808</v>
      </c>
      <c r="H683" t="s">
        <v>1671</v>
      </c>
      <c r="I683" t="s">
        <v>122</v>
      </c>
      <c r="J683" s="127">
        <v>46007.915277777778</v>
      </c>
      <c r="K683" s="127"/>
      <c r="L683" s="127"/>
      <c r="M683" s="127"/>
      <c r="N683" t="s">
        <v>122</v>
      </c>
      <c r="O683" t="s">
        <v>122</v>
      </c>
      <c r="P683" t="s">
        <v>122</v>
      </c>
      <c r="Q683">
        <v>120651</v>
      </c>
      <c r="R683" t="s">
        <v>1900</v>
      </c>
      <c r="S683" t="s">
        <v>1901</v>
      </c>
      <c r="T683" t="s">
        <v>1809</v>
      </c>
      <c r="U683" t="s">
        <v>450</v>
      </c>
    </row>
    <row r="684" spans="1:21" x14ac:dyDescent="0.25">
      <c r="A684" t="s">
        <v>118</v>
      </c>
      <c r="B684" t="s">
        <v>1904</v>
      </c>
      <c r="C684">
        <v>132446</v>
      </c>
      <c r="D684" t="s">
        <v>1905</v>
      </c>
      <c r="E684" t="s">
        <v>121</v>
      </c>
      <c r="F684" t="s">
        <v>92</v>
      </c>
      <c r="G684" t="s">
        <v>1808</v>
      </c>
      <c r="H684" t="s">
        <v>1671</v>
      </c>
      <c r="I684" t="s">
        <v>122</v>
      </c>
      <c r="J684" s="127">
        <v>46007.915277777778</v>
      </c>
      <c r="K684" s="127"/>
      <c r="L684" s="127"/>
      <c r="M684" s="127"/>
      <c r="N684" t="s">
        <v>122</v>
      </c>
      <c r="O684" t="s">
        <v>122</v>
      </c>
      <c r="P684" t="s">
        <v>122</v>
      </c>
      <c r="Q684">
        <v>120651</v>
      </c>
      <c r="R684" t="s">
        <v>1900</v>
      </c>
      <c r="S684" t="s">
        <v>1901</v>
      </c>
      <c r="T684" t="s">
        <v>1809</v>
      </c>
      <c r="U684" t="s">
        <v>450</v>
      </c>
    </row>
    <row r="685" spans="1:21" x14ac:dyDescent="0.25">
      <c r="A685" t="s">
        <v>118</v>
      </c>
      <c r="B685" t="s">
        <v>1906</v>
      </c>
      <c r="C685">
        <v>132444</v>
      </c>
      <c r="D685" t="s">
        <v>1907</v>
      </c>
      <c r="E685" t="s">
        <v>121</v>
      </c>
      <c r="F685" t="s">
        <v>92</v>
      </c>
      <c r="G685" t="s">
        <v>1808</v>
      </c>
      <c r="H685" t="s">
        <v>1671</v>
      </c>
      <c r="I685" t="s">
        <v>122</v>
      </c>
      <c r="J685" s="127">
        <v>46007.914583333331</v>
      </c>
      <c r="K685" s="127"/>
      <c r="L685" s="127">
        <v>46071</v>
      </c>
      <c r="M685" s="127"/>
      <c r="N685" t="s">
        <v>122</v>
      </c>
      <c r="O685" t="s">
        <v>122</v>
      </c>
      <c r="P685" t="s">
        <v>122</v>
      </c>
      <c r="Q685">
        <v>120651</v>
      </c>
      <c r="R685" t="s">
        <v>1900</v>
      </c>
      <c r="S685" t="s">
        <v>1901</v>
      </c>
      <c r="T685" t="s">
        <v>1809</v>
      </c>
      <c r="U685" t="s">
        <v>450</v>
      </c>
    </row>
    <row r="686" spans="1:21" x14ac:dyDescent="0.25">
      <c r="A686" t="s">
        <v>118</v>
      </c>
      <c r="B686" t="s">
        <v>1908</v>
      </c>
      <c r="C686">
        <v>129127</v>
      </c>
      <c r="D686" t="s">
        <v>1909</v>
      </c>
      <c r="E686" t="s">
        <v>1910</v>
      </c>
      <c r="F686" t="s">
        <v>92</v>
      </c>
      <c r="G686" t="s">
        <v>1808</v>
      </c>
      <c r="H686" t="s">
        <v>1671</v>
      </c>
      <c r="I686" t="s">
        <v>122</v>
      </c>
      <c r="J686" s="127">
        <v>46006.385416666664</v>
      </c>
      <c r="K686" s="127">
        <v>46072.598611111112</v>
      </c>
      <c r="L686" s="127">
        <v>46072</v>
      </c>
      <c r="M686" s="127">
        <v>46076.427777777775</v>
      </c>
      <c r="N686" t="s">
        <v>122</v>
      </c>
      <c r="O686" t="s">
        <v>122</v>
      </c>
      <c r="P686" t="s">
        <v>122</v>
      </c>
      <c r="Q686">
        <v>151193</v>
      </c>
      <c r="R686" t="s">
        <v>1748</v>
      </c>
      <c r="S686" t="s">
        <v>1749</v>
      </c>
      <c r="T686" t="s">
        <v>1809</v>
      </c>
      <c r="U686" t="s">
        <v>450</v>
      </c>
    </row>
    <row r="687" spans="1:21" x14ac:dyDescent="0.25">
      <c r="A687" t="s">
        <v>118</v>
      </c>
      <c r="B687" t="s">
        <v>1911</v>
      </c>
      <c r="C687">
        <v>129125</v>
      </c>
      <c r="D687" t="s">
        <v>1912</v>
      </c>
      <c r="E687" t="s">
        <v>121</v>
      </c>
      <c r="F687" t="s">
        <v>92</v>
      </c>
      <c r="G687" t="s">
        <v>1808</v>
      </c>
      <c r="H687" t="s">
        <v>1671</v>
      </c>
      <c r="I687" t="s">
        <v>122</v>
      </c>
      <c r="J687" s="127">
        <v>46006.384722222225</v>
      </c>
      <c r="K687" s="127"/>
      <c r="L687" s="127"/>
      <c r="M687" s="127"/>
      <c r="N687" t="s">
        <v>122</v>
      </c>
      <c r="O687" t="s">
        <v>122</v>
      </c>
      <c r="P687" t="s">
        <v>122</v>
      </c>
      <c r="Q687">
        <v>151193</v>
      </c>
      <c r="R687" t="s">
        <v>1748</v>
      </c>
      <c r="S687" t="s">
        <v>1749</v>
      </c>
      <c r="T687" t="s">
        <v>1809</v>
      </c>
      <c r="U687" t="s">
        <v>450</v>
      </c>
    </row>
    <row r="688" spans="1:21" x14ac:dyDescent="0.25">
      <c r="A688" t="s">
        <v>118</v>
      </c>
      <c r="B688" t="s">
        <v>1913</v>
      </c>
      <c r="C688">
        <v>129123</v>
      </c>
      <c r="D688" t="s">
        <v>1914</v>
      </c>
      <c r="E688" t="s">
        <v>379</v>
      </c>
      <c r="F688" t="s">
        <v>92</v>
      </c>
      <c r="G688" t="s">
        <v>1808</v>
      </c>
      <c r="H688" t="s">
        <v>1671</v>
      </c>
      <c r="I688" t="s">
        <v>122</v>
      </c>
      <c r="J688" s="127">
        <v>46006.383333333331</v>
      </c>
      <c r="K688" s="127"/>
      <c r="L688" s="127"/>
      <c r="M688" s="127"/>
      <c r="N688" t="s">
        <v>122</v>
      </c>
      <c r="O688" t="s">
        <v>122</v>
      </c>
      <c r="P688" t="s">
        <v>122</v>
      </c>
      <c r="Q688">
        <v>120645</v>
      </c>
      <c r="R688" t="s">
        <v>1701</v>
      </c>
      <c r="S688" t="s">
        <v>1702</v>
      </c>
      <c r="T688" t="s">
        <v>1809</v>
      </c>
      <c r="U688" t="s">
        <v>450</v>
      </c>
    </row>
    <row r="689" spans="1:21" x14ac:dyDescent="0.25">
      <c r="A689" t="s">
        <v>118</v>
      </c>
      <c r="B689" t="s">
        <v>1915</v>
      </c>
      <c r="C689">
        <v>129121</v>
      </c>
      <c r="D689" t="s">
        <v>1916</v>
      </c>
      <c r="E689" t="s">
        <v>266</v>
      </c>
      <c r="F689" t="s">
        <v>92</v>
      </c>
      <c r="G689" t="s">
        <v>1808</v>
      </c>
      <c r="H689" t="s">
        <v>1671</v>
      </c>
      <c r="I689" t="s">
        <v>122</v>
      </c>
      <c r="J689" s="127">
        <v>46006.383333333331</v>
      </c>
      <c r="K689" s="127">
        <v>46083.842361111114</v>
      </c>
      <c r="L689" s="127">
        <v>46084.8125</v>
      </c>
      <c r="M689" s="127"/>
      <c r="N689" t="s">
        <v>122</v>
      </c>
      <c r="O689" t="s">
        <v>122</v>
      </c>
      <c r="P689" t="s">
        <v>122</v>
      </c>
      <c r="Q689">
        <v>120645</v>
      </c>
      <c r="R689" t="s">
        <v>1701</v>
      </c>
      <c r="S689" t="s">
        <v>1702</v>
      </c>
      <c r="T689" t="s">
        <v>1809</v>
      </c>
      <c r="U689" t="s">
        <v>450</v>
      </c>
    </row>
    <row r="690" spans="1:21" x14ac:dyDescent="0.25">
      <c r="A690" t="s">
        <v>127</v>
      </c>
      <c r="B690" t="s">
        <v>1917</v>
      </c>
      <c r="C690">
        <v>118388</v>
      </c>
      <c r="D690" t="s">
        <v>1918</v>
      </c>
      <c r="E690" t="s">
        <v>437</v>
      </c>
      <c r="F690" t="s">
        <v>92</v>
      </c>
      <c r="G690" t="s">
        <v>1808</v>
      </c>
      <c r="H690" t="s">
        <v>1671</v>
      </c>
      <c r="I690" t="s">
        <v>122</v>
      </c>
      <c r="J690" s="127">
        <v>45993.633333333331</v>
      </c>
      <c r="K690" s="127">
        <v>45999.959722222222</v>
      </c>
      <c r="L690" s="127">
        <v>45999</v>
      </c>
      <c r="M690" s="127">
        <v>46001.617361111108</v>
      </c>
      <c r="N690" t="s">
        <v>122</v>
      </c>
      <c r="O690" t="s">
        <v>122</v>
      </c>
      <c r="P690" t="s">
        <v>122</v>
      </c>
      <c r="Q690">
        <v>95807</v>
      </c>
      <c r="R690" t="s">
        <v>1672</v>
      </c>
      <c r="S690" t="s">
        <v>1673</v>
      </c>
      <c r="T690" t="s">
        <v>1809</v>
      </c>
      <c r="U690" t="s">
        <v>450</v>
      </c>
    </row>
    <row r="691" spans="1:21" x14ac:dyDescent="0.25">
      <c r="A691" t="s">
        <v>118</v>
      </c>
      <c r="B691" t="s">
        <v>1919</v>
      </c>
      <c r="C691">
        <v>108399</v>
      </c>
      <c r="D691" t="s">
        <v>1920</v>
      </c>
      <c r="E691" t="s">
        <v>437</v>
      </c>
      <c r="F691" t="s">
        <v>92</v>
      </c>
      <c r="G691" t="s">
        <v>1808</v>
      </c>
      <c r="H691" t="s">
        <v>1671</v>
      </c>
      <c r="I691" t="s">
        <v>540</v>
      </c>
      <c r="J691" s="127">
        <v>45985.705555555556</v>
      </c>
      <c r="K691" s="127">
        <v>45985.831944444442</v>
      </c>
      <c r="L691" s="127">
        <v>45986.770138888889</v>
      </c>
      <c r="M691" s="127">
        <v>46001.76666666667</v>
      </c>
      <c r="N691" t="s">
        <v>122</v>
      </c>
      <c r="O691" t="s">
        <v>122</v>
      </c>
      <c r="P691" t="s">
        <v>122</v>
      </c>
      <c r="Q691">
        <v>95807</v>
      </c>
      <c r="R691" t="s">
        <v>1672</v>
      </c>
      <c r="S691" t="s">
        <v>1673</v>
      </c>
      <c r="T691" t="s">
        <v>1921</v>
      </c>
      <c r="U691" t="s">
        <v>450</v>
      </c>
    </row>
    <row r="692" spans="1:21" x14ac:dyDescent="0.25">
      <c r="A692" t="s">
        <v>118</v>
      </c>
      <c r="B692" t="s">
        <v>1922</v>
      </c>
      <c r="C692">
        <v>103254</v>
      </c>
      <c r="D692" t="s">
        <v>1923</v>
      </c>
      <c r="E692" t="s">
        <v>437</v>
      </c>
      <c r="F692" t="s">
        <v>92</v>
      </c>
      <c r="G692" t="s">
        <v>1808</v>
      </c>
      <c r="H692" t="s">
        <v>1671</v>
      </c>
      <c r="I692" t="s">
        <v>540</v>
      </c>
      <c r="J692" s="127">
        <v>45979.790972222225</v>
      </c>
      <c r="K692" s="127">
        <v>45982.545138888891</v>
      </c>
      <c r="L692" s="127">
        <v>45982.545138888891</v>
      </c>
      <c r="M692" s="127">
        <v>45985.422222222223</v>
      </c>
      <c r="N692" t="s">
        <v>122</v>
      </c>
      <c r="O692" t="s">
        <v>122</v>
      </c>
      <c r="P692" t="s">
        <v>122</v>
      </c>
      <c r="Q692">
        <v>95807</v>
      </c>
      <c r="R692" t="s">
        <v>1672</v>
      </c>
      <c r="S692" t="s">
        <v>1673</v>
      </c>
      <c r="T692" t="s">
        <v>1921</v>
      </c>
      <c r="U692" t="s">
        <v>450</v>
      </c>
    </row>
    <row r="693" spans="1:21" x14ac:dyDescent="0.25">
      <c r="A693" t="s">
        <v>118</v>
      </c>
      <c r="B693" t="s">
        <v>1924</v>
      </c>
      <c r="C693">
        <v>95809</v>
      </c>
      <c r="D693" t="s">
        <v>1925</v>
      </c>
      <c r="E693" t="s">
        <v>437</v>
      </c>
      <c r="F693" t="s">
        <v>92</v>
      </c>
      <c r="G693" t="s">
        <v>1808</v>
      </c>
      <c r="H693" t="s">
        <v>1671</v>
      </c>
      <c r="I693" t="s">
        <v>540</v>
      </c>
      <c r="J693" s="127">
        <v>45973.408333333333</v>
      </c>
      <c r="K693" s="127">
        <v>45993.547222222223</v>
      </c>
      <c r="L693" s="127">
        <v>45993</v>
      </c>
      <c r="M693" s="127">
        <v>46038.460416666669</v>
      </c>
      <c r="N693" t="s">
        <v>122</v>
      </c>
      <c r="O693" t="s">
        <v>122</v>
      </c>
      <c r="P693" t="s">
        <v>122</v>
      </c>
      <c r="Q693">
        <v>95807</v>
      </c>
      <c r="R693" t="s">
        <v>1672</v>
      </c>
      <c r="S693" t="s">
        <v>1673</v>
      </c>
      <c r="T693" t="s">
        <v>1921</v>
      </c>
      <c r="U693" t="s">
        <v>450</v>
      </c>
    </row>
    <row r="694" spans="1:21" x14ac:dyDescent="0.25">
      <c r="A694" t="s">
        <v>118</v>
      </c>
      <c r="B694" t="s">
        <v>1926</v>
      </c>
      <c r="C694">
        <v>159236</v>
      </c>
      <c r="D694" t="s">
        <v>1927</v>
      </c>
      <c r="E694" t="s">
        <v>130</v>
      </c>
      <c r="F694" t="s">
        <v>76</v>
      </c>
      <c r="G694" t="s">
        <v>77</v>
      </c>
      <c r="H694" t="s">
        <v>122</v>
      </c>
      <c r="I694" t="s">
        <v>122</v>
      </c>
      <c r="J694" s="127">
        <v>46097.421527777777</v>
      </c>
      <c r="K694" s="127">
        <v>46097.548611111109</v>
      </c>
      <c r="L694" s="127">
        <v>46097</v>
      </c>
      <c r="M694" s="127">
        <v>46101.691666666666</v>
      </c>
      <c r="N694" t="s">
        <v>75</v>
      </c>
      <c r="O694" t="s">
        <v>122</v>
      </c>
      <c r="P694" t="s">
        <v>122</v>
      </c>
      <c r="Q694">
        <v>70414</v>
      </c>
      <c r="R694" t="s">
        <v>949</v>
      </c>
      <c r="S694" t="s">
        <v>950</v>
      </c>
      <c r="T694" t="s">
        <v>481</v>
      </c>
      <c r="U694" t="s">
        <v>137</v>
      </c>
    </row>
    <row r="695" spans="1:21" x14ac:dyDescent="0.25">
      <c r="A695" t="s">
        <v>253</v>
      </c>
      <c r="B695" t="s">
        <v>1928</v>
      </c>
      <c r="C695">
        <v>119769</v>
      </c>
      <c r="D695" t="s">
        <v>1929</v>
      </c>
      <c r="E695" t="s">
        <v>437</v>
      </c>
      <c r="F695" t="s">
        <v>86</v>
      </c>
      <c r="G695" t="s">
        <v>77</v>
      </c>
      <c r="H695" t="s">
        <v>122</v>
      </c>
      <c r="I695" t="s">
        <v>122</v>
      </c>
      <c r="J695" s="127">
        <v>45994.46597222222</v>
      </c>
      <c r="K695" s="127">
        <v>46006</v>
      </c>
      <c r="L695" s="127">
        <v>46006</v>
      </c>
      <c r="M695" s="127">
        <v>46006.61041666667</v>
      </c>
      <c r="N695" t="s">
        <v>72</v>
      </c>
      <c r="O695" t="s">
        <v>122</v>
      </c>
      <c r="P695" t="s">
        <v>122</v>
      </c>
      <c r="R695" t="s">
        <v>122</v>
      </c>
      <c r="S695" t="s">
        <v>122</v>
      </c>
      <c r="T695" t="s">
        <v>481</v>
      </c>
      <c r="U695" t="s">
        <v>126</v>
      </c>
    </row>
    <row r="696" spans="1:21" x14ac:dyDescent="0.25">
      <c r="A696" t="s">
        <v>127</v>
      </c>
      <c r="B696" t="s">
        <v>1930</v>
      </c>
      <c r="C696">
        <v>116678</v>
      </c>
      <c r="D696" t="s">
        <v>1931</v>
      </c>
      <c r="E696" t="s">
        <v>130</v>
      </c>
      <c r="F696" t="s">
        <v>76</v>
      </c>
      <c r="G696" t="s">
        <v>77</v>
      </c>
      <c r="H696" t="s">
        <v>122</v>
      </c>
      <c r="I696" t="s">
        <v>122</v>
      </c>
      <c r="J696" s="127">
        <v>45993.448611111111</v>
      </c>
      <c r="K696" s="127">
        <v>45993.594444444447</v>
      </c>
      <c r="L696" s="127">
        <v>45993.594444444447</v>
      </c>
      <c r="M696" s="127">
        <v>45994.519444444442</v>
      </c>
      <c r="N696" t="s">
        <v>72</v>
      </c>
      <c r="O696" t="s">
        <v>122</v>
      </c>
      <c r="P696" t="s">
        <v>122</v>
      </c>
      <c r="R696" t="s">
        <v>122</v>
      </c>
      <c r="S696" t="s">
        <v>122</v>
      </c>
      <c r="T696" t="s">
        <v>481</v>
      </c>
      <c r="U696" t="s">
        <v>126</v>
      </c>
    </row>
    <row r="697" spans="1:21" x14ac:dyDescent="0.25">
      <c r="A697" t="s">
        <v>127</v>
      </c>
      <c r="B697" t="s">
        <v>1932</v>
      </c>
      <c r="C697">
        <v>101054</v>
      </c>
      <c r="D697" t="s">
        <v>1933</v>
      </c>
      <c r="E697" t="s">
        <v>223</v>
      </c>
      <c r="F697" t="s">
        <v>76</v>
      </c>
      <c r="G697" t="s">
        <v>77</v>
      </c>
      <c r="H697" t="s">
        <v>122</v>
      </c>
      <c r="I697" t="s">
        <v>122</v>
      </c>
      <c r="J697" s="127">
        <v>45978.45416666667</v>
      </c>
      <c r="K697" s="127">
        <v>45979.556944444441</v>
      </c>
      <c r="L697" s="127">
        <v>45979.556944444441</v>
      </c>
      <c r="M697" s="127">
        <v>45985.42083333333</v>
      </c>
      <c r="N697" t="s">
        <v>72</v>
      </c>
      <c r="O697" t="s">
        <v>122</v>
      </c>
      <c r="P697" t="s">
        <v>122</v>
      </c>
      <c r="R697" t="s">
        <v>122</v>
      </c>
      <c r="S697" t="s">
        <v>122</v>
      </c>
      <c r="T697" t="s">
        <v>481</v>
      </c>
      <c r="U697" t="s">
        <v>126</v>
      </c>
    </row>
    <row r="698" spans="1:21" x14ac:dyDescent="0.25">
      <c r="A698" t="s">
        <v>253</v>
      </c>
      <c r="B698" t="s">
        <v>1934</v>
      </c>
      <c r="C698">
        <v>95846</v>
      </c>
      <c r="D698" t="s">
        <v>1935</v>
      </c>
      <c r="E698" t="s">
        <v>437</v>
      </c>
      <c r="F698" t="s">
        <v>76</v>
      </c>
      <c r="G698" t="s">
        <v>77</v>
      </c>
      <c r="H698" t="s">
        <v>122</v>
      </c>
      <c r="I698" t="s">
        <v>122</v>
      </c>
      <c r="J698" s="127">
        <v>45973.449305555558</v>
      </c>
      <c r="K698" s="127">
        <v>45993.508333333331</v>
      </c>
      <c r="L698" s="127">
        <v>45994</v>
      </c>
      <c r="M698" s="127">
        <v>45994.450694444444</v>
      </c>
      <c r="N698" t="s">
        <v>72</v>
      </c>
      <c r="O698" t="s">
        <v>122</v>
      </c>
      <c r="P698" t="s">
        <v>122</v>
      </c>
      <c r="R698" t="s">
        <v>122</v>
      </c>
      <c r="S698" t="s">
        <v>122</v>
      </c>
      <c r="T698" t="s">
        <v>481</v>
      </c>
      <c r="U698" t="s">
        <v>126</v>
      </c>
    </row>
    <row r="699" spans="1:21" x14ac:dyDescent="0.25">
      <c r="A699" t="s">
        <v>127</v>
      </c>
      <c r="B699" t="s">
        <v>1936</v>
      </c>
      <c r="C699">
        <v>74427</v>
      </c>
      <c r="D699" t="s">
        <v>1937</v>
      </c>
      <c r="E699" t="s">
        <v>130</v>
      </c>
      <c r="F699" t="s">
        <v>76</v>
      </c>
      <c r="G699" t="s">
        <v>77</v>
      </c>
      <c r="H699" t="s">
        <v>122</v>
      </c>
      <c r="I699" t="s">
        <v>122</v>
      </c>
      <c r="J699" s="127">
        <v>45947.450694444444</v>
      </c>
      <c r="K699" s="127">
        <v>45957.801388888889</v>
      </c>
      <c r="L699" s="127">
        <v>45971.588888888888</v>
      </c>
      <c r="M699" s="127">
        <v>45974.679166666669</v>
      </c>
      <c r="N699" t="s">
        <v>72</v>
      </c>
      <c r="O699" t="s">
        <v>122</v>
      </c>
      <c r="P699" t="s">
        <v>122</v>
      </c>
      <c r="Q699">
        <v>70402</v>
      </c>
      <c r="R699" t="s">
        <v>1532</v>
      </c>
      <c r="S699" t="s">
        <v>1533</v>
      </c>
      <c r="T699" t="s">
        <v>481</v>
      </c>
      <c r="U699" t="s">
        <v>126</v>
      </c>
    </row>
    <row r="700" spans="1:21" x14ac:dyDescent="0.25">
      <c r="A700" t="s">
        <v>118</v>
      </c>
      <c r="B700" t="s">
        <v>1938</v>
      </c>
      <c r="C700">
        <v>154840</v>
      </c>
      <c r="D700" t="s">
        <v>1939</v>
      </c>
      <c r="E700" t="s">
        <v>437</v>
      </c>
      <c r="F700" t="s">
        <v>67</v>
      </c>
      <c r="G700" t="s">
        <v>68</v>
      </c>
      <c r="H700" t="s">
        <v>122</v>
      </c>
      <c r="I700" t="s">
        <v>122</v>
      </c>
      <c r="J700" s="127">
        <v>46076.606249999997</v>
      </c>
      <c r="K700" s="127">
        <v>46090.745138888888</v>
      </c>
      <c r="L700" s="127">
        <v>46100</v>
      </c>
      <c r="M700" s="127">
        <v>46104.420138888891</v>
      </c>
      <c r="N700" t="s">
        <v>72</v>
      </c>
      <c r="O700" t="s">
        <v>122</v>
      </c>
      <c r="P700" t="s">
        <v>122</v>
      </c>
      <c r="Q700">
        <v>71048</v>
      </c>
      <c r="R700" t="s">
        <v>172</v>
      </c>
      <c r="S700" t="s">
        <v>173</v>
      </c>
      <c r="T700" t="s">
        <v>125</v>
      </c>
      <c r="U700" t="s">
        <v>126</v>
      </c>
    </row>
    <row r="701" spans="1:21" x14ac:dyDescent="0.25">
      <c r="A701" t="s">
        <v>118</v>
      </c>
      <c r="B701" t="s">
        <v>1940</v>
      </c>
      <c r="C701">
        <v>38884</v>
      </c>
      <c r="D701" t="s">
        <v>1941</v>
      </c>
      <c r="E701" t="s">
        <v>130</v>
      </c>
      <c r="F701" t="s">
        <v>82</v>
      </c>
      <c r="G701" t="s">
        <v>438</v>
      </c>
      <c r="H701" t="s">
        <v>122</v>
      </c>
      <c r="I701" t="s">
        <v>122</v>
      </c>
      <c r="J701" s="127">
        <v>45772.393055555556</v>
      </c>
      <c r="K701" s="127">
        <v>45770.490277777775</v>
      </c>
      <c r="L701" s="127">
        <v>45772</v>
      </c>
      <c r="M701" s="127">
        <v>45775.76458333333</v>
      </c>
      <c r="N701" t="s">
        <v>122</v>
      </c>
      <c r="O701" t="s">
        <v>122</v>
      </c>
      <c r="P701" t="s">
        <v>122</v>
      </c>
      <c r="Q701">
        <v>36737</v>
      </c>
      <c r="R701" t="s">
        <v>1942</v>
      </c>
      <c r="S701" t="s">
        <v>1943</v>
      </c>
      <c r="T701" t="s">
        <v>441</v>
      </c>
      <c r="U701" t="s">
        <v>450</v>
      </c>
    </row>
    <row r="702" spans="1:21" x14ac:dyDescent="0.25">
      <c r="A702" t="s">
        <v>118</v>
      </c>
      <c r="B702" t="s">
        <v>1944</v>
      </c>
      <c r="C702">
        <v>38377</v>
      </c>
      <c r="D702" t="s">
        <v>1945</v>
      </c>
      <c r="E702" t="s">
        <v>130</v>
      </c>
      <c r="F702" t="s">
        <v>82</v>
      </c>
      <c r="G702" t="s">
        <v>438</v>
      </c>
      <c r="H702" t="s">
        <v>122</v>
      </c>
      <c r="I702" t="s">
        <v>122</v>
      </c>
      <c r="J702" s="127">
        <v>45769.501388888886</v>
      </c>
      <c r="K702" s="127">
        <v>45770.490277777775</v>
      </c>
      <c r="L702" s="127">
        <v>45770</v>
      </c>
      <c r="M702" s="127">
        <v>45771.400694444441</v>
      </c>
      <c r="N702" t="s">
        <v>122</v>
      </c>
      <c r="O702" t="s">
        <v>122</v>
      </c>
      <c r="P702" t="s">
        <v>122</v>
      </c>
      <c r="Q702">
        <v>36737</v>
      </c>
      <c r="R702" t="s">
        <v>1942</v>
      </c>
      <c r="S702" t="s">
        <v>1943</v>
      </c>
      <c r="T702" t="s">
        <v>441</v>
      </c>
      <c r="U702" t="s">
        <v>450</v>
      </c>
    </row>
    <row r="703" spans="1:21" x14ac:dyDescent="0.25">
      <c r="A703" t="s">
        <v>118</v>
      </c>
      <c r="B703" t="s">
        <v>1946</v>
      </c>
      <c r="C703">
        <v>36533</v>
      </c>
      <c r="D703" t="s">
        <v>1947</v>
      </c>
      <c r="E703" t="s">
        <v>130</v>
      </c>
      <c r="F703" t="s">
        <v>82</v>
      </c>
      <c r="G703" t="s">
        <v>438</v>
      </c>
      <c r="H703" t="s">
        <v>122</v>
      </c>
      <c r="I703" t="s">
        <v>122</v>
      </c>
      <c r="J703" s="127">
        <v>45749.628472222219</v>
      </c>
      <c r="K703" s="127">
        <v>45758.490277777775</v>
      </c>
      <c r="L703" s="127">
        <v>45758</v>
      </c>
      <c r="M703" s="127">
        <v>45763.731944444444</v>
      </c>
      <c r="N703" t="s">
        <v>122</v>
      </c>
      <c r="O703" t="s">
        <v>122</v>
      </c>
      <c r="P703" t="s">
        <v>122</v>
      </c>
      <c r="Q703">
        <v>35850</v>
      </c>
      <c r="R703" t="s">
        <v>1948</v>
      </c>
      <c r="S703" t="s">
        <v>1949</v>
      </c>
      <c r="T703" t="s">
        <v>441</v>
      </c>
      <c r="U703" t="s">
        <v>450</v>
      </c>
    </row>
    <row r="704" spans="1:21" x14ac:dyDescent="0.25">
      <c r="A704" t="s">
        <v>118</v>
      </c>
      <c r="B704" t="s">
        <v>1950</v>
      </c>
      <c r="C704">
        <v>36530</v>
      </c>
      <c r="D704" t="s">
        <v>1951</v>
      </c>
      <c r="E704" t="s">
        <v>130</v>
      </c>
      <c r="F704" t="s">
        <v>82</v>
      </c>
      <c r="G704" t="s">
        <v>438</v>
      </c>
      <c r="H704" t="s">
        <v>122</v>
      </c>
      <c r="I704" t="s">
        <v>122</v>
      </c>
      <c r="J704" s="127">
        <v>45749.624305555553</v>
      </c>
      <c r="K704" s="127">
        <v>45758.490277777775</v>
      </c>
      <c r="L704" s="127"/>
      <c r="M704" s="127">
        <v>45761.722222222219</v>
      </c>
      <c r="N704" t="s">
        <v>122</v>
      </c>
      <c r="O704" t="s">
        <v>122</v>
      </c>
      <c r="P704" t="s">
        <v>122</v>
      </c>
      <c r="Q704">
        <v>36737</v>
      </c>
      <c r="R704" t="s">
        <v>1942</v>
      </c>
      <c r="S704" t="s">
        <v>1943</v>
      </c>
      <c r="T704" t="s">
        <v>441</v>
      </c>
      <c r="U704" t="s">
        <v>450</v>
      </c>
    </row>
    <row r="705" spans="1:21" x14ac:dyDescent="0.25">
      <c r="A705" t="s">
        <v>118</v>
      </c>
      <c r="B705" t="s">
        <v>1952</v>
      </c>
      <c r="C705">
        <v>36476</v>
      </c>
      <c r="D705" t="s">
        <v>1953</v>
      </c>
      <c r="E705" t="s">
        <v>130</v>
      </c>
      <c r="F705" t="s">
        <v>82</v>
      </c>
      <c r="G705" t="s">
        <v>438</v>
      </c>
      <c r="H705" t="s">
        <v>122</v>
      </c>
      <c r="I705" t="s">
        <v>122</v>
      </c>
      <c r="J705" s="127">
        <v>45748.717361111114</v>
      </c>
      <c r="K705" s="127">
        <v>45831</v>
      </c>
      <c r="L705" s="127">
        <v>45835</v>
      </c>
      <c r="M705" s="127">
        <v>45846.468055555553</v>
      </c>
      <c r="N705" t="s">
        <v>122</v>
      </c>
      <c r="O705" t="s">
        <v>122</v>
      </c>
      <c r="P705" t="s">
        <v>122</v>
      </c>
      <c r="Q705">
        <v>35847</v>
      </c>
      <c r="R705" t="s">
        <v>1954</v>
      </c>
      <c r="S705" t="s">
        <v>1955</v>
      </c>
      <c r="T705" t="s">
        <v>441</v>
      </c>
      <c r="U705" t="s">
        <v>450</v>
      </c>
    </row>
    <row r="706" spans="1:21" x14ac:dyDescent="0.25">
      <c r="A706" t="s">
        <v>118</v>
      </c>
      <c r="B706" t="s">
        <v>1956</v>
      </c>
      <c r="C706">
        <v>35678</v>
      </c>
      <c r="D706" t="s">
        <v>1957</v>
      </c>
      <c r="E706" t="s">
        <v>130</v>
      </c>
      <c r="F706" t="s">
        <v>82</v>
      </c>
      <c r="G706" t="s">
        <v>438</v>
      </c>
      <c r="H706" t="s">
        <v>122</v>
      </c>
      <c r="I706" t="s">
        <v>122</v>
      </c>
      <c r="J706" s="127">
        <v>45737.455555555556</v>
      </c>
      <c r="K706" s="127">
        <v>45770.490277777775</v>
      </c>
      <c r="L706" s="127">
        <v>45769</v>
      </c>
      <c r="M706" s="127">
        <v>45771.683333333334</v>
      </c>
      <c r="N706" t="s">
        <v>122</v>
      </c>
      <c r="O706" t="s">
        <v>122</v>
      </c>
      <c r="P706" t="s">
        <v>122</v>
      </c>
      <c r="Q706">
        <v>36526</v>
      </c>
      <c r="R706" t="s">
        <v>1958</v>
      </c>
      <c r="S706" t="s">
        <v>1959</v>
      </c>
      <c r="T706" t="s">
        <v>441</v>
      </c>
      <c r="U706" t="s">
        <v>450</v>
      </c>
    </row>
    <row r="707" spans="1:21" x14ac:dyDescent="0.25">
      <c r="A707" t="s">
        <v>118</v>
      </c>
      <c r="B707" t="s">
        <v>1960</v>
      </c>
      <c r="C707">
        <v>35656</v>
      </c>
      <c r="D707" t="s">
        <v>1961</v>
      </c>
      <c r="E707" t="s">
        <v>130</v>
      </c>
      <c r="F707" t="s">
        <v>82</v>
      </c>
      <c r="G707" t="s">
        <v>438</v>
      </c>
      <c r="H707" t="s">
        <v>122</v>
      </c>
      <c r="I707" t="s">
        <v>122</v>
      </c>
      <c r="J707" s="127">
        <v>45737.327777777777</v>
      </c>
      <c r="K707" s="127">
        <v>45751.490277777775</v>
      </c>
      <c r="L707" s="127"/>
      <c r="M707" s="127">
        <v>45758.690972222219</v>
      </c>
      <c r="N707" t="s">
        <v>122</v>
      </c>
      <c r="O707" t="s">
        <v>122</v>
      </c>
      <c r="P707" t="s">
        <v>122</v>
      </c>
      <c r="Q707">
        <v>35849</v>
      </c>
      <c r="R707" t="s">
        <v>1962</v>
      </c>
      <c r="S707" t="s">
        <v>1963</v>
      </c>
      <c r="T707" t="s">
        <v>441</v>
      </c>
      <c r="U707" t="s">
        <v>450</v>
      </c>
    </row>
    <row r="708" spans="1:21" x14ac:dyDescent="0.25">
      <c r="A708" t="s">
        <v>118</v>
      </c>
      <c r="B708" t="s">
        <v>1964</v>
      </c>
      <c r="C708">
        <v>35647</v>
      </c>
      <c r="D708" t="s">
        <v>1965</v>
      </c>
      <c r="E708" t="s">
        <v>130</v>
      </c>
      <c r="F708" t="s">
        <v>82</v>
      </c>
      <c r="G708" t="s">
        <v>438</v>
      </c>
      <c r="H708" t="s">
        <v>122</v>
      </c>
      <c r="I708" t="s">
        <v>122</v>
      </c>
      <c r="J708" s="127">
        <v>45737.324305555558</v>
      </c>
      <c r="K708" s="127">
        <v>45758.490277777775</v>
      </c>
      <c r="L708" s="127">
        <v>45761</v>
      </c>
      <c r="M708" s="127">
        <v>45763.942361111112</v>
      </c>
      <c r="N708" t="s">
        <v>122</v>
      </c>
      <c r="O708" t="s">
        <v>122</v>
      </c>
      <c r="P708" t="s">
        <v>122</v>
      </c>
      <c r="Q708">
        <v>35850</v>
      </c>
      <c r="R708" t="s">
        <v>1948</v>
      </c>
      <c r="S708" t="s">
        <v>1949</v>
      </c>
      <c r="T708" t="s">
        <v>441</v>
      </c>
      <c r="U708" t="s">
        <v>450</v>
      </c>
    </row>
    <row r="709" spans="1:21" x14ac:dyDescent="0.25">
      <c r="A709" t="s">
        <v>118</v>
      </c>
      <c r="B709" t="s">
        <v>1966</v>
      </c>
      <c r="C709">
        <v>35644</v>
      </c>
      <c r="D709" t="s">
        <v>1967</v>
      </c>
      <c r="E709" t="s">
        <v>130</v>
      </c>
      <c r="F709" t="s">
        <v>82</v>
      </c>
      <c r="G709" t="s">
        <v>438</v>
      </c>
      <c r="H709" t="s">
        <v>122</v>
      </c>
      <c r="I709" t="s">
        <v>122</v>
      </c>
      <c r="J709" s="127">
        <v>45737.321527777778</v>
      </c>
      <c r="K709" s="127">
        <v>45758.490277777775</v>
      </c>
      <c r="L709" s="127">
        <v>45762</v>
      </c>
      <c r="M709" s="127">
        <v>45764.714583333334</v>
      </c>
      <c r="N709" t="s">
        <v>122</v>
      </c>
      <c r="O709" t="s">
        <v>122</v>
      </c>
      <c r="P709" t="s">
        <v>122</v>
      </c>
      <c r="Q709">
        <v>35843</v>
      </c>
      <c r="R709" t="s">
        <v>439</v>
      </c>
      <c r="S709" t="s">
        <v>440</v>
      </c>
      <c r="T709" t="s">
        <v>441</v>
      </c>
      <c r="U709" t="s">
        <v>450</v>
      </c>
    </row>
    <row r="710" spans="1:21" x14ac:dyDescent="0.25">
      <c r="A710" t="s">
        <v>118</v>
      </c>
      <c r="B710" t="s">
        <v>1968</v>
      </c>
      <c r="C710">
        <v>89212</v>
      </c>
      <c r="D710" t="s">
        <v>1969</v>
      </c>
      <c r="E710" t="s">
        <v>130</v>
      </c>
      <c r="F710" t="s">
        <v>79</v>
      </c>
      <c r="G710" t="s">
        <v>80</v>
      </c>
      <c r="H710" t="s">
        <v>122</v>
      </c>
      <c r="I710" t="s">
        <v>122</v>
      </c>
      <c r="J710" s="127">
        <v>45967.448611111111</v>
      </c>
      <c r="K710" s="127">
        <v>45968.547222222223</v>
      </c>
      <c r="L710" s="127">
        <v>45968.547222222223</v>
      </c>
      <c r="M710" s="127">
        <v>45985.42083333333</v>
      </c>
      <c r="N710" t="s">
        <v>78</v>
      </c>
      <c r="O710" t="s">
        <v>122</v>
      </c>
      <c r="P710" t="s">
        <v>122</v>
      </c>
      <c r="Q710">
        <v>59948</v>
      </c>
      <c r="R710" t="s">
        <v>1970</v>
      </c>
      <c r="S710" t="s">
        <v>1971</v>
      </c>
      <c r="T710" t="s">
        <v>471</v>
      </c>
      <c r="U710" t="s">
        <v>462</v>
      </c>
    </row>
    <row r="711" spans="1:21" x14ac:dyDescent="0.25">
      <c r="A711" t="s">
        <v>127</v>
      </c>
      <c r="B711" t="s">
        <v>1972</v>
      </c>
      <c r="C711">
        <v>67511</v>
      </c>
      <c r="D711" t="s">
        <v>1973</v>
      </c>
      <c r="E711" t="s">
        <v>130</v>
      </c>
      <c r="F711" t="s">
        <v>79</v>
      </c>
      <c r="G711" t="s">
        <v>122</v>
      </c>
      <c r="H711" t="s">
        <v>122</v>
      </c>
      <c r="I711" t="s">
        <v>122</v>
      </c>
      <c r="J711" s="127">
        <v>45936.475694444445</v>
      </c>
      <c r="K711" s="127">
        <v>45936.782638888886</v>
      </c>
      <c r="L711" s="127">
        <v>45936.782638888886</v>
      </c>
      <c r="M711" s="127">
        <v>45938.793749999997</v>
      </c>
      <c r="N711" t="s">
        <v>78</v>
      </c>
      <c r="O711" t="s">
        <v>122</v>
      </c>
      <c r="P711" t="s">
        <v>122</v>
      </c>
      <c r="Q711">
        <v>59948</v>
      </c>
      <c r="R711" t="s">
        <v>1970</v>
      </c>
      <c r="S711" t="s">
        <v>1971</v>
      </c>
      <c r="T711" t="s">
        <v>450</v>
      </c>
      <c r="U711" t="s">
        <v>462</v>
      </c>
    </row>
    <row r="712" spans="1:21" x14ac:dyDescent="0.25">
      <c r="A712" t="s">
        <v>127</v>
      </c>
      <c r="B712" t="s">
        <v>1974</v>
      </c>
      <c r="C712">
        <v>66353</v>
      </c>
      <c r="D712" t="s">
        <v>1975</v>
      </c>
      <c r="E712" t="s">
        <v>130</v>
      </c>
      <c r="F712" t="s">
        <v>79</v>
      </c>
      <c r="G712" t="s">
        <v>122</v>
      </c>
      <c r="H712" t="s">
        <v>122</v>
      </c>
      <c r="I712" t="s">
        <v>122</v>
      </c>
      <c r="J712" s="127">
        <v>45933.48541666667</v>
      </c>
      <c r="K712" s="127">
        <v>45902</v>
      </c>
      <c r="L712" s="127"/>
      <c r="M712" s="127">
        <v>45936.731249999997</v>
      </c>
      <c r="N712" t="s">
        <v>78</v>
      </c>
      <c r="O712" t="s">
        <v>122</v>
      </c>
      <c r="P712" t="s">
        <v>122</v>
      </c>
      <c r="Q712">
        <v>59948</v>
      </c>
      <c r="R712" t="s">
        <v>1970</v>
      </c>
      <c r="S712" t="s">
        <v>1971</v>
      </c>
      <c r="T712" t="s">
        <v>450</v>
      </c>
      <c r="U712" t="s">
        <v>462</v>
      </c>
    </row>
    <row r="713" spans="1:21" x14ac:dyDescent="0.25">
      <c r="A713" t="s">
        <v>118</v>
      </c>
      <c r="B713" t="s">
        <v>1976</v>
      </c>
      <c r="C713">
        <v>63364</v>
      </c>
      <c r="D713" t="s">
        <v>1977</v>
      </c>
      <c r="E713" t="s">
        <v>130</v>
      </c>
      <c r="F713" t="s">
        <v>79</v>
      </c>
      <c r="G713" t="s">
        <v>80</v>
      </c>
      <c r="H713" t="s">
        <v>122</v>
      </c>
      <c r="I713" t="s">
        <v>122</v>
      </c>
      <c r="J713" s="127">
        <v>45922.480555555558</v>
      </c>
      <c r="K713" s="127">
        <v>45936</v>
      </c>
      <c r="L713" s="127">
        <v>45937</v>
      </c>
      <c r="M713" s="127">
        <v>45950.466666666667</v>
      </c>
      <c r="N713" t="s">
        <v>78</v>
      </c>
      <c r="O713" t="s">
        <v>122</v>
      </c>
      <c r="P713" t="s">
        <v>122</v>
      </c>
      <c r="Q713">
        <v>62454</v>
      </c>
      <c r="R713" t="s">
        <v>1978</v>
      </c>
      <c r="S713" t="s">
        <v>1979</v>
      </c>
      <c r="T713" t="s">
        <v>471</v>
      </c>
      <c r="U713" t="s">
        <v>462</v>
      </c>
    </row>
    <row r="714" spans="1:21" x14ac:dyDescent="0.25">
      <c r="A714" t="s">
        <v>118</v>
      </c>
      <c r="B714" t="s">
        <v>1980</v>
      </c>
      <c r="C714">
        <v>62301</v>
      </c>
      <c r="D714" t="s">
        <v>1981</v>
      </c>
      <c r="E714" t="s">
        <v>130</v>
      </c>
      <c r="F714" t="s">
        <v>79</v>
      </c>
      <c r="G714" t="s">
        <v>80</v>
      </c>
      <c r="H714" t="s">
        <v>122</v>
      </c>
      <c r="I714" t="s">
        <v>122</v>
      </c>
      <c r="J714" s="127">
        <v>45915.532638888886</v>
      </c>
      <c r="K714" s="127">
        <v>45972.727083333331</v>
      </c>
      <c r="L714" s="127">
        <v>45972.727083333331</v>
      </c>
      <c r="M714" s="127">
        <v>45923.461805555555</v>
      </c>
      <c r="N714" t="s">
        <v>78</v>
      </c>
      <c r="O714" t="s">
        <v>122</v>
      </c>
      <c r="P714" t="s">
        <v>122</v>
      </c>
      <c r="Q714">
        <v>59948</v>
      </c>
      <c r="R714" t="s">
        <v>1970</v>
      </c>
      <c r="S714" t="s">
        <v>1971</v>
      </c>
      <c r="T714" t="s">
        <v>471</v>
      </c>
      <c r="U714" t="s">
        <v>462</v>
      </c>
    </row>
    <row r="715" spans="1:21" x14ac:dyDescent="0.25">
      <c r="A715" t="s">
        <v>127</v>
      </c>
      <c r="B715" t="s">
        <v>1982</v>
      </c>
      <c r="C715">
        <v>62266</v>
      </c>
      <c r="D715" t="s">
        <v>1983</v>
      </c>
      <c r="E715" t="s">
        <v>130</v>
      </c>
      <c r="F715" t="s">
        <v>79</v>
      </c>
      <c r="G715" t="s">
        <v>122</v>
      </c>
      <c r="H715" t="s">
        <v>122</v>
      </c>
      <c r="I715" t="s">
        <v>122</v>
      </c>
      <c r="J715" s="127">
        <v>45915.424305555556</v>
      </c>
      <c r="K715" s="127">
        <v>45915</v>
      </c>
      <c r="L715" s="127">
        <v>45915</v>
      </c>
      <c r="M715" s="127">
        <v>45916.488194444442</v>
      </c>
      <c r="N715" t="s">
        <v>78</v>
      </c>
      <c r="O715" t="s">
        <v>122</v>
      </c>
      <c r="P715" t="s">
        <v>122</v>
      </c>
      <c r="Q715">
        <v>59948</v>
      </c>
      <c r="R715" t="s">
        <v>1970</v>
      </c>
      <c r="S715" t="s">
        <v>1971</v>
      </c>
      <c r="T715" t="s">
        <v>450</v>
      </c>
      <c r="U715" t="s">
        <v>462</v>
      </c>
    </row>
    <row r="716" spans="1:21" x14ac:dyDescent="0.25">
      <c r="A716" t="s">
        <v>127</v>
      </c>
      <c r="B716" t="s">
        <v>1984</v>
      </c>
      <c r="C716">
        <v>62212</v>
      </c>
      <c r="D716" t="s">
        <v>1985</v>
      </c>
      <c r="E716" t="s">
        <v>130</v>
      </c>
      <c r="F716" t="s">
        <v>79</v>
      </c>
      <c r="G716" t="s">
        <v>122</v>
      </c>
      <c r="H716" t="s">
        <v>122</v>
      </c>
      <c r="I716" t="s">
        <v>122</v>
      </c>
      <c r="J716" s="127">
        <v>45912.904861111114</v>
      </c>
      <c r="K716" s="127">
        <v>45913</v>
      </c>
      <c r="L716" s="127">
        <v>45915</v>
      </c>
      <c r="M716" s="127">
        <v>45917.65347222222</v>
      </c>
      <c r="N716" t="s">
        <v>78</v>
      </c>
      <c r="O716" t="s">
        <v>122</v>
      </c>
      <c r="P716" t="s">
        <v>122</v>
      </c>
      <c r="Q716">
        <v>59948</v>
      </c>
      <c r="R716" t="s">
        <v>1970</v>
      </c>
      <c r="S716" t="s">
        <v>1971</v>
      </c>
      <c r="T716" t="s">
        <v>450</v>
      </c>
      <c r="U716" t="s">
        <v>462</v>
      </c>
    </row>
    <row r="717" spans="1:21" x14ac:dyDescent="0.25">
      <c r="A717" t="s">
        <v>118</v>
      </c>
      <c r="B717" t="s">
        <v>1986</v>
      </c>
      <c r="C717">
        <v>62173</v>
      </c>
      <c r="D717" t="s">
        <v>1987</v>
      </c>
      <c r="E717" t="s">
        <v>130</v>
      </c>
      <c r="F717" t="s">
        <v>79</v>
      </c>
      <c r="G717" t="s">
        <v>122</v>
      </c>
      <c r="H717" t="s">
        <v>122</v>
      </c>
      <c r="I717" t="s">
        <v>122</v>
      </c>
      <c r="J717" s="127">
        <v>45912.838888888888</v>
      </c>
      <c r="K717" s="127">
        <v>45912</v>
      </c>
      <c r="L717" s="127">
        <v>45915</v>
      </c>
      <c r="M717" s="127">
        <v>45919.658333333333</v>
      </c>
      <c r="N717" t="s">
        <v>78</v>
      </c>
      <c r="O717" t="s">
        <v>122</v>
      </c>
      <c r="P717" t="s">
        <v>122</v>
      </c>
      <c r="Q717">
        <v>59948</v>
      </c>
      <c r="R717" t="s">
        <v>1970</v>
      </c>
      <c r="S717" t="s">
        <v>1971</v>
      </c>
      <c r="T717" t="s">
        <v>450</v>
      </c>
      <c r="U717" t="s">
        <v>462</v>
      </c>
    </row>
    <row r="718" spans="1:21" x14ac:dyDescent="0.25">
      <c r="A718" t="s">
        <v>118</v>
      </c>
      <c r="B718" t="s">
        <v>1988</v>
      </c>
      <c r="C718">
        <v>62167</v>
      </c>
      <c r="D718" t="s">
        <v>1989</v>
      </c>
      <c r="E718" t="s">
        <v>130</v>
      </c>
      <c r="F718" t="s">
        <v>79</v>
      </c>
      <c r="G718" t="s">
        <v>122</v>
      </c>
      <c r="H718" t="s">
        <v>122</v>
      </c>
      <c r="I718" t="s">
        <v>122</v>
      </c>
      <c r="J718" s="127">
        <v>45912.833333333336</v>
      </c>
      <c r="K718" s="127">
        <v>45912</v>
      </c>
      <c r="L718" s="127">
        <v>45917</v>
      </c>
      <c r="M718" s="127">
        <v>45920.510416666664</v>
      </c>
      <c r="N718" t="s">
        <v>78</v>
      </c>
      <c r="O718" t="s">
        <v>122</v>
      </c>
      <c r="P718" t="s">
        <v>122</v>
      </c>
      <c r="Q718">
        <v>59948</v>
      </c>
      <c r="R718" t="s">
        <v>1970</v>
      </c>
      <c r="S718" t="s">
        <v>1971</v>
      </c>
      <c r="T718" t="s">
        <v>450</v>
      </c>
      <c r="U718" t="s">
        <v>462</v>
      </c>
    </row>
    <row r="719" spans="1:21" x14ac:dyDescent="0.25">
      <c r="A719" t="s">
        <v>118</v>
      </c>
      <c r="B719" t="s">
        <v>1990</v>
      </c>
      <c r="C719">
        <v>62159</v>
      </c>
      <c r="D719" t="s">
        <v>1991</v>
      </c>
      <c r="E719" t="s">
        <v>130</v>
      </c>
      <c r="F719" t="s">
        <v>79</v>
      </c>
      <c r="G719" t="s">
        <v>122</v>
      </c>
      <c r="H719" t="s">
        <v>122</v>
      </c>
      <c r="I719" t="s">
        <v>122</v>
      </c>
      <c r="J719" s="127">
        <v>45912.822916666664</v>
      </c>
      <c r="K719" s="127">
        <v>45912</v>
      </c>
      <c r="L719" s="127">
        <v>45930</v>
      </c>
      <c r="M719" s="127">
        <v>45931.793055555558</v>
      </c>
      <c r="N719" t="s">
        <v>78</v>
      </c>
      <c r="O719" t="s">
        <v>122</v>
      </c>
      <c r="P719" t="s">
        <v>122</v>
      </c>
      <c r="Q719">
        <v>61883</v>
      </c>
      <c r="R719" t="s">
        <v>1992</v>
      </c>
      <c r="S719" t="s">
        <v>1993</v>
      </c>
      <c r="T719" t="s">
        <v>450</v>
      </c>
      <c r="U719" t="s">
        <v>462</v>
      </c>
    </row>
    <row r="720" spans="1:21" x14ac:dyDescent="0.25">
      <c r="A720" t="s">
        <v>127</v>
      </c>
      <c r="B720" t="s">
        <v>1994</v>
      </c>
      <c r="C720">
        <v>62075</v>
      </c>
      <c r="D720" t="s">
        <v>1995</v>
      </c>
      <c r="E720" t="s">
        <v>130</v>
      </c>
      <c r="F720" t="s">
        <v>79</v>
      </c>
      <c r="G720" t="s">
        <v>122</v>
      </c>
      <c r="H720" t="s">
        <v>122</v>
      </c>
      <c r="I720" t="s">
        <v>122</v>
      </c>
      <c r="J720" s="127">
        <v>45912.605555555558</v>
      </c>
      <c r="K720" s="127">
        <v>45908</v>
      </c>
      <c r="L720" s="127">
        <v>45908</v>
      </c>
      <c r="M720" s="127">
        <v>45917.667361111111</v>
      </c>
      <c r="N720" t="s">
        <v>78</v>
      </c>
      <c r="O720" t="s">
        <v>122</v>
      </c>
      <c r="P720" t="s">
        <v>122</v>
      </c>
      <c r="Q720">
        <v>59948</v>
      </c>
      <c r="R720" t="s">
        <v>1970</v>
      </c>
      <c r="S720" t="s">
        <v>1971</v>
      </c>
      <c r="T720" t="s">
        <v>450</v>
      </c>
      <c r="U720" t="s">
        <v>462</v>
      </c>
    </row>
    <row r="721" spans="1:21" x14ac:dyDescent="0.25">
      <c r="A721" t="s">
        <v>127</v>
      </c>
      <c r="B721" t="s">
        <v>1996</v>
      </c>
      <c r="C721">
        <v>61967</v>
      </c>
      <c r="D721" t="s">
        <v>1997</v>
      </c>
      <c r="E721" t="s">
        <v>130</v>
      </c>
      <c r="F721" t="s">
        <v>79</v>
      </c>
      <c r="G721" t="s">
        <v>122</v>
      </c>
      <c r="H721" t="s">
        <v>122</v>
      </c>
      <c r="I721" t="s">
        <v>122</v>
      </c>
      <c r="J721" s="127">
        <v>45911.888194444444</v>
      </c>
      <c r="K721" s="127">
        <v>45912</v>
      </c>
      <c r="L721" s="127"/>
      <c r="M721" s="127">
        <v>45912.408333333333</v>
      </c>
      <c r="N721" t="s">
        <v>78</v>
      </c>
      <c r="O721" t="s">
        <v>122</v>
      </c>
      <c r="P721" t="s">
        <v>122</v>
      </c>
      <c r="Q721">
        <v>59948</v>
      </c>
      <c r="R721" t="s">
        <v>1970</v>
      </c>
      <c r="S721" t="s">
        <v>1971</v>
      </c>
      <c r="T721" t="s">
        <v>450</v>
      </c>
      <c r="U721" t="s">
        <v>462</v>
      </c>
    </row>
    <row r="722" spans="1:21" x14ac:dyDescent="0.25">
      <c r="A722" t="s">
        <v>127</v>
      </c>
      <c r="B722" t="s">
        <v>1998</v>
      </c>
      <c r="C722">
        <v>61878</v>
      </c>
      <c r="D722" t="s">
        <v>1999</v>
      </c>
      <c r="E722" t="s">
        <v>130</v>
      </c>
      <c r="F722" t="s">
        <v>79</v>
      </c>
      <c r="G722" t="s">
        <v>122</v>
      </c>
      <c r="H722" t="s">
        <v>122</v>
      </c>
      <c r="I722" t="s">
        <v>122</v>
      </c>
      <c r="J722" s="127">
        <v>45911.453472222223</v>
      </c>
      <c r="K722" s="127">
        <v>45911</v>
      </c>
      <c r="L722" s="127">
        <v>45911</v>
      </c>
      <c r="M722" s="127">
        <v>45911.569444444445</v>
      </c>
      <c r="N722" t="s">
        <v>78</v>
      </c>
      <c r="O722" t="s">
        <v>122</v>
      </c>
      <c r="P722" t="s">
        <v>122</v>
      </c>
      <c r="Q722">
        <v>59948</v>
      </c>
      <c r="R722" t="s">
        <v>1970</v>
      </c>
      <c r="S722" t="s">
        <v>1971</v>
      </c>
      <c r="T722" t="s">
        <v>450</v>
      </c>
      <c r="U722" t="s">
        <v>462</v>
      </c>
    </row>
    <row r="723" spans="1:21" x14ac:dyDescent="0.25">
      <c r="A723" t="s">
        <v>253</v>
      </c>
      <c r="B723" t="s">
        <v>2000</v>
      </c>
      <c r="C723">
        <v>61875</v>
      </c>
      <c r="D723" t="s">
        <v>2001</v>
      </c>
      <c r="E723" t="s">
        <v>437</v>
      </c>
      <c r="F723" t="s">
        <v>79</v>
      </c>
      <c r="G723" t="s">
        <v>122</v>
      </c>
      <c r="H723" t="s">
        <v>122</v>
      </c>
      <c r="I723" t="s">
        <v>122</v>
      </c>
      <c r="J723" s="127">
        <v>45911.449305555558</v>
      </c>
      <c r="K723" s="127"/>
      <c r="L723" s="127"/>
      <c r="M723" s="127">
        <v>45911.506249999999</v>
      </c>
      <c r="N723" t="s">
        <v>78</v>
      </c>
      <c r="O723" t="s">
        <v>122</v>
      </c>
      <c r="P723" t="s">
        <v>122</v>
      </c>
      <c r="Q723">
        <v>59948</v>
      </c>
      <c r="R723" t="s">
        <v>1970</v>
      </c>
      <c r="S723" t="s">
        <v>1971</v>
      </c>
      <c r="T723" t="s">
        <v>450</v>
      </c>
      <c r="U723" t="s">
        <v>462</v>
      </c>
    </row>
    <row r="724" spans="1:21" x14ac:dyDescent="0.25">
      <c r="A724" t="s">
        <v>118</v>
      </c>
      <c r="B724" t="s">
        <v>2002</v>
      </c>
      <c r="C724">
        <v>61607</v>
      </c>
      <c r="D724" t="s">
        <v>2003</v>
      </c>
      <c r="E724" t="s">
        <v>223</v>
      </c>
      <c r="F724" t="s">
        <v>122</v>
      </c>
      <c r="G724" t="s">
        <v>80</v>
      </c>
      <c r="H724" t="s">
        <v>122</v>
      </c>
      <c r="I724" t="s">
        <v>122</v>
      </c>
      <c r="J724" s="127">
        <v>45909.810416666667</v>
      </c>
      <c r="K724" s="127">
        <v>45936.597916666666</v>
      </c>
      <c r="L724" s="127"/>
      <c r="M724" s="127">
        <v>45953.699305555558</v>
      </c>
      <c r="N724" t="s">
        <v>78</v>
      </c>
      <c r="O724" t="s">
        <v>122</v>
      </c>
      <c r="P724" t="s">
        <v>122</v>
      </c>
      <c r="Q724">
        <v>59948</v>
      </c>
      <c r="R724" t="s">
        <v>1970</v>
      </c>
      <c r="S724" t="s">
        <v>1971</v>
      </c>
      <c r="T724" t="s">
        <v>471</v>
      </c>
      <c r="U724" t="s">
        <v>462</v>
      </c>
    </row>
    <row r="725" spans="1:21" x14ac:dyDescent="0.25">
      <c r="A725" t="s">
        <v>253</v>
      </c>
      <c r="B725" t="s">
        <v>2004</v>
      </c>
      <c r="C725">
        <v>61597</v>
      </c>
      <c r="D725" t="s">
        <v>2005</v>
      </c>
      <c r="E725" t="s">
        <v>437</v>
      </c>
      <c r="F725" t="s">
        <v>82</v>
      </c>
      <c r="G725" t="s">
        <v>122</v>
      </c>
      <c r="H725" t="s">
        <v>122</v>
      </c>
      <c r="I725" t="s">
        <v>122</v>
      </c>
      <c r="J725" s="127">
        <v>45909.79791666667</v>
      </c>
      <c r="K725" s="127">
        <v>45909</v>
      </c>
      <c r="L725" s="127">
        <v>45910</v>
      </c>
      <c r="M725" s="127">
        <v>45910.595138888886</v>
      </c>
      <c r="N725" t="s">
        <v>78</v>
      </c>
      <c r="O725" t="s">
        <v>122</v>
      </c>
      <c r="P725" t="s">
        <v>122</v>
      </c>
      <c r="Q725">
        <v>59948</v>
      </c>
      <c r="R725" t="s">
        <v>1970</v>
      </c>
      <c r="S725" t="s">
        <v>1971</v>
      </c>
      <c r="T725" t="s">
        <v>450</v>
      </c>
      <c r="U725" t="s">
        <v>462</v>
      </c>
    </row>
    <row r="726" spans="1:21" x14ac:dyDescent="0.25">
      <c r="A726" t="s">
        <v>118</v>
      </c>
      <c r="B726" t="s">
        <v>2006</v>
      </c>
      <c r="C726">
        <v>61293</v>
      </c>
      <c r="D726" t="s">
        <v>2007</v>
      </c>
      <c r="E726" t="s">
        <v>223</v>
      </c>
      <c r="F726" t="s">
        <v>122</v>
      </c>
      <c r="G726" t="s">
        <v>80</v>
      </c>
      <c r="H726" t="s">
        <v>122</v>
      </c>
      <c r="I726" t="s">
        <v>122</v>
      </c>
      <c r="J726" s="127">
        <v>45908.489583333336</v>
      </c>
      <c r="K726" s="127">
        <v>45913</v>
      </c>
      <c r="L726" s="127"/>
      <c r="M726" s="127">
        <v>45953.699305555558</v>
      </c>
      <c r="N726" t="s">
        <v>78</v>
      </c>
      <c r="O726" t="s">
        <v>122</v>
      </c>
      <c r="P726" t="s">
        <v>122</v>
      </c>
      <c r="Q726">
        <v>59948</v>
      </c>
      <c r="R726" t="s">
        <v>1970</v>
      </c>
      <c r="S726" t="s">
        <v>1971</v>
      </c>
      <c r="T726" t="s">
        <v>471</v>
      </c>
      <c r="U726" t="s">
        <v>462</v>
      </c>
    </row>
    <row r="727" spans="1:21" x14ac:dyDescent="0.25">
      <c r="A727" t="s">
        <v>118</v>
      </c>
      <c r="B727" t="s">
        <v>2008</v>
      </c>
      <c r="C727">
        <v>61267</v>
      </c>
      <c r="D727" t="s">
        <v>2009</v>
      </c>
      <c r="E727" t="s">
        <v>223</v>
      </c>
      <c r="F727" t="s">
        <v>122</v>
      </c>
      <c r="G727" t="s">
        <v>80</v>
      </c>
      <c r="H727" t="s">
        <v>122</v>
      </c>
      <c r="I727" t="s">
        <v>122</v>
      </c>
      <c r="J727" s="127">
        <v>45908.456944444442</v>
      </c>
      <c r="K727" s="127"/>
      <c r="L727" s="127"/>
      <c r="M727" s="127">
        <v>45953.699305555558</v>
      </c>
      <c r="N727" t="s">
        <v>78</v>
      </c>
      <c r="O727" t="s">
        <v>122</v>
      </c>
      <c r="P727" t="s">
        <v>122</v>
      </c>
      <c r="Q727">
        <v>59948</v>
      </c>
      <c r="R727" t="s">
        <v>1970</v>
      </c>
      <c r="S727" t="s">
        <v>1971</v>
      </c>
      <c r="T727" t="s">
        <v>471</v>
      </c>
      <c r="U727" t="s">
        <v>462</v>
      </c>
    </row>
    <row r="728" spans="1:21" x14ac:dyDescent="0.25">
      <c r="A728" t="s">
        <v>118</v>
      </c>
      <c r="B728" t="s">
        <v>2010</v>
      </c>
      <c r="C728">
        <v>61264</v>
      </c>
      <c r="D728" t="s">
        <v>2011</v>
      </c>
      <c r="E728" t="s">
        <v>223</v>
      </c>
      <c r="F728" t="s">
        <v>122</v>
      </c>
      <c r="G728" t="s">
        <v>80</v>
      </c>
      <c r="H728" t="s">
        <v>122</v>
      </c>
      <c r="I728" t="s">
        <v>122</v>
      </c>
      <c r="J728" s="127">
        <v>45908.454861111109</v>
      </c>
      <c r="K728" s="127"/>
      <c r="L728" s="127"/>
      <c r="M728" s="127">
        <v>45953.699305555558</v>
      </c>
      <c r="N728" t="s">
        <v>78</v>
      </c>
      <c r="O728" t="s">
        <v>122</v>
      </c>
      <c r="P728" t="s">
        <v>122</v>
      </c>
      <c r="Q728">
        <v>59948</v>
      </c>
      <c r="R728" t="s">
        <v>1970</v>
      </c>
      <c r="S728" t="s">
        <v>1971</v>
      </c>
      <c r="T728" t="s">
        <v>471</v>
      </c>
      <c r="U728" t="s">
        <v>462</v>
      </c>
    </row>
    <row r="729" spans="1:21" x14ac:dyDescent="0.25">
      <c r="A729" t="s">
        <v>127</v>
      </c>
      <c r="B729" t="s">
        <v>2012</v>
      </c>
      <c r="C729">
        <v>61147</v>
      </c>
      <c r="D729" t="s">
        <v>2013</v>
      </c>
      <c r="E729" t="s">
        <v>130</v>
      </c>
      <c r="F729" t="s">
        <v>79</v>
      </c>
      <c r="G729" t="s">
        <v>122</v>
      </c>
      <c r="H729" t="s">
        <v>122</v>
      </c>
      <c r="I729" t="s">
        <v>122</v>
      </c>
      <c r="J729" s="127">
        <v>45906.685416666667</v>
      </c>
      <c r="K729" s="127">
        <v>45908</v>
      </c>
      <c r="L729" s="127"/>
      <c r="M729" s="127">
        <v>45908.463194444441</v>
      </c>
      <c r="N729" t="s">
        <v>78</v>
      </c>
      <c r="O729" t="s">
        <v>122</v>
      </c>
      <c r="P729" t="s">
        <v>122</v>
      </c>
      <c r="Q729">
        <v>59948</v>
      </c>
      <c r="R729" t="s">
        <v>1970</v>
      </c>
      <c r="S729" t="s">
        <v>1971</v>
      </c>
      <c r="T729" t="s">
        <v>450</v>
      </c>
      <c r="U729" t="s">
        <v>462</v>
      </c>
    </row>
    <row r="730" spans="1:21" x14ac:dyDescent="0.25">
      <c r="A730" t="s">
        <v>127</v>
      </c>
      <c r="B730" t="s">
        <v>2014</v>
      </c>
      <c r="C730">
        <v>61126</v>
      </c>
      <c r="D730" t="s">
        <v>2015</v>
      </c>
      <c r="E730" t="s">
        <v>130</v>
      </c>
      <c r="F730" t="s">
        <v>79</v>
      </c>
      <c r="G730" t="s">
        <v>122</v>
      </c>
      <c r="H730" t="s">
        <v>122</v>
      </c>
      <c r="I730" t="s">
        <v>122</v>
      </c>
      <c r="J730" s="127">
        <v>45906.446527777778</v>
      </c>
      <c r="K730" s="127">
        <v>45906</v>
      </c>
      <c r="L730" s="127"/>
      <c r="M730" s="127">
        <v>45912.632638888892</v>
      </c>
      <c r="N730" t="s">
        <v>78</v>
      </c>
      <c r="O730" t="s">
        <v>122</v>
      </c>
      <c r="P730" t="s">
        <v>122</v>
      </c>
      <c r="Q730">
        <v>59948</v>
      </c>
      <c r="R730" t="s">
        <v>1970</v>
      </c>
      <c r="S730" t="s">
        <v>1971</v>
      </c>
      <c r="T730" t="s">
        <v>450</v>
      </c>
      <c r="U730" t="s">
        <v>462</v>
      </c>
    </row>
    <row r="731" spans="1:21" x14ac:dyDescent="0.25">
      <c r="A731" t="s">
        <v>118</v>
      </c>
      <c r="B731" t="s">
        <v>2016</v>
      </c>
      <c r="C731">
        <v>61093</v>
      </c>
      <c r="D731" t="s">
        <v>2017</v>
      </c>
      <c r="E731" t="s">
        <v>130</v>
      </c>
      <c r="F731" t="s">
        <v>79</v>
      </c>
      <c r="G731" t="s">
        <v>122</v>
      </c>
      <c r="H731" t="s">
        <v>122</v>
      </c>
      <c r="I731" t="s">
        <v>122</v>
      </c>
      <c r="J731" s="127">
        <v>45905.806944444441</v>
      </c>
      <c r="K731" s="127">
        <v>45905</v>
      </c>
      <c r="L731" s="127">
        <v>45906</v>
      </c>
      <c r="M731" s="127">
        <v>45908.462500000001</v>
      </c>
      <c r="N731" t="s">
        <v>78</v>
      </c>
      <c r="O731" t="s">
        <v>122</v>
      </c>
      <c r="P731" t="s">
        <v>122</v>
      </c>
      <c r="Q731">
        <v>59948</v>
      </c>
      <c r="R731" t="s">
        <v>1970</v>
      </c>
      <c r="S731" t="s">
        <v>1971</v>
      </c>
      <c r="T731" t="s">
        <v>450</v>
      </c>
      <c r="U731" t="s">
        <v>462</v>
      </c>
    </row>
    <row r="732" spans="1:21" x14ac:dyDescent="0.25">
      <c r="A732" t="s">
        <v>118</v>
      </c>
      <c r="B732" t="s">
        <v>2018</v>
      </c>
      <c r="C732">
        <v>60689</v>
      </c>
      <c r="D732" t="s">
        <v>2019</v>
      </c>
      <c r="E732" t="s">
        <v>130</v>
      </c>
      <c r="F732" t="s">
        <v>79</v>
      </c>
      <c r="G732" t="s">
        <v>122</v>
      </c>
      <c r="H732" t="s">
        <v>122</v>
      </c>
      <c r="I732" t="s">
        <v>122</v>
      </c>
      <c r="J732" s="127">
        <v>45903.682638888888</v>
      </c>
      <c r="K732" s="127">
        <v>45903</v>
      </c>
      <c r="L732" s="127">
        <v>45903</v>
      </c>
      <c r="M732" s="127">
        <v>45908.465277777781</v>
      </c>
      <c r="N732" t="s">
        <v>78</v>
      </c>
      <c r="O732" t="s">
        <v>122</v>
      </c>
      <c r="P732" t="s">
        <v>122</v>
      </c>
      <c r="Q732">
        <v>59948</v>
      </c>
      <c r="R732" t="s">
        <v>1970</v>
      </c>
      <c r="S732" t="s">
        <v>1971</v>
      </c>
      <c r="T732" t="s">
        <v>450</v>
      </c>
      <c r="U732" t="s">
        <v>462</v>
      </c>
    </row>
    <row r="733" spans="1:21" x14ac:dyDescent="0.25">
      <c r="A733" t="s">
        <v>127</v>
      </c>
      <c r="B733" t="s">
        <v>2020</v>
      </c>
      <c r="C733">
        <v>60492</v>
      </c>
      <c r="D733" t="s">
        <v>2021</v>
      </c>
      <c r="E733" t="s">
        <v>130</v>
      </c>
      <c r="F733" t="s">
        <v>79</v>
      </c>
      <c r="G733" t="s">
        <v>122</v>
      </c>
      <c r="H733" t="s">
        <v>122</v>
      </c>
      <c r="I733" t="s">
        <v>122</v>
      </c>
      <c r="J733" s="127">
        <v>45902.701388888891</v>
      </c>
      <c r="K733" s="127"/>
      <c r="L733" s="127"/>
      <c r="M733" s="127">
        <v>45902.720138888886</v>
      </c>
      <c r="N733" t="s">
        <v>78</v>
      </c>
      <c r="O733" t="s">
        <v>122</v>
      </c>
      <c r="P733" t="s">
        <v>122</v>
      </c>
      <c r="Q733">
        <v>59948</v>
      </c>
      <c r="R733" t="s">
        <v>1970</v>
      </c>
      <c r="S733" t="s">
        <v>1971</v>
      </c>
      <c r="T733" t="s">
        <v>450</v>
      </c>
      <c r="U733" t="s">
        <v>462</v>
      </c>
    </row>
    <row r="734" spans="1:21" x14ac:dyDescent="0.25">
      <c r="A734" t="s">
        <v>127</v>
      </c>
      <c r="B734" t="s">
        <v>2022</v>
      </c>
      <c r="C734">
        <v>60377</v>
      </c>
      <c r="D734" t="s">
        <v>2023</v>
      </c>
      <c r="E734" t="s">
        <v>130</v>
      </c>
      <c r="F734" t="s">
        <v>79</v>
      </c>
      <c r="G734" t="s">
        <v>122</v>
      </c>
      <c r="H734" t="s">
        <v>122</v>
      </c>
      <c r="I734" t="s">
        <v>122</v>
      </c>
      <c r="J734" s="127">
        <v>45901.819444444445</v>
      </c>
      <c r="K734" s="127">
        <v>45901</v>
      </c>
      <c r="L734" s="127"/>
      <c r="M734" s="127">
        <v>45902.643750000003</v>
      </c>
      <c r="N734" t="s">
        <v>78</v>
      </c>
      <c r="O734" t="s">
        <v>122</v>
      </c>
      <c r="P734" t="s">
        <v>122</v>
      </c>
      <c r="Q734">
        <v>59948</v>
      </c>
      <c r="R734" t="s">
        <v>1970</v>
      </c>
      <c r="S734" t="s">
        <v>1971</v>
      </c>
      <c r="T734" t="s">
        <v>450</v>
      </c>
      <c r="U734" t="s">
        <v>462</v>
      </c>
    </row>
    <row r="735" spans="1:21" x14ac:dyDescent="0.25">
      <c r="A735" t="s">
        <v>127</v>
      </c>
      <c r="B735" t="s">
        <v>2024</v>
      </c>
      <c r="C735">
        <v>60358</v>
      </c>
      <c r="D735" t="s">
        <v>2025</v>
      </c>
      <c r="E735" t="s">
        <v>130</v>
      </c>
      <c r="F735" t="s">
        <v>79</v>
      </c>
      <c r="G735" t="s">
        <v>122</v>
      </c>
      <c r="H735" t="s">
        <v>122</v>
      </c>
      <c r="I735" t="s">
        <v>122</v>
      </c>
      <c r="J735" s="127">
        <v>45901.76458333333</v>
      </c>
      <c r="K735" s="127">
        <v>45901</v>
      </c>
      <c r="L735" s="127"/>
      <c r="M735" s="127">
        <v>45902.642361111109</v>
      </c>
      <c r="N735" t="s">
        <v>78</v>
      </c>
      <c r="O735" t="s">
        <v>122</v>
      </c>
      <c r="P735" t="s">
        <v>122</v>
      </c>
      <c r="Q735">
        <v>59948</v>
      </c>
      <c r="R735" t="s">
        <v>1970</v>
      </c>
      <c r="S735" t="s">
        <v>1971</v>
      </c>
      <c r="T735" t="s">
        <v>450</v>
      </c>
      <c r="U735" t="s">
        <v>462</v>
      </c>
    </row>
    <row r="736" spans="1:21" x14ac:dyDescent="0.25">
      <c r="A736" t="s">
        <v>127</v>
      </c>
      <c r="B736" t="s">
        <v>2026</v>
      </c>
      <c r="C736">
        <v>60328</v>
      </c>
      <c r="D736" t="s">
        <v>2027</v>
      </c>
      <c r="E736" t="s">
        <v>130</v>
      </c>
      <c r="F736" t="s">
        <v>79</v>
      </c>
      <c r="G736" t="s">
        <v>122</v>
      </c>
      <c r="H736" t="s">
        <v>122</v>
      </c>
      <c r="I736" t="s">
        <v>122</v>
      </c>
      <c r="J736" s="127">
        <v>45901.697222222225</v>
      </c>
      <c r="K736" s="127">
        <v>45901</v>
      </c>
      <c r="L736" s="127">
        <v>45901</v>
      </c>
      <c r="M736" s="127">
        <v>45901.727777777778</v>
      </c>
      <c r="N736" t="s">
        <v>78</v>
      </c>
      <c r="O736" t="s">
        <v>122</v>
      </c>
      <c r="P736" t="s">
        <v>122</v>
      </c>
      <c r="Q736">
        <v>59948</v>
      </c>
      <c r="R736" t="s">
        <v>1970</v>
      </c>
      <c r="S736" t="s">
        <v>1971</v>
      </c>
      <c r="T736" t="s">
        <v>450</v>
      </c>
      <c r="U736" t="s">
        <v>462</v>
      </c>
    </row>
    <row r="737" spans="1:21" x14ac:dyDescent="0.25">
      <c r="A737" t="s">
        <v>127</v>
      </c>
      <c r="B737" t="s">
        <v>2028</v>
      </c>
      <c r="C737">
        <v>60322</v>
      </c>
      <c r="D737" t="s">
        <v>2029</v>
      </c>
      <c r="E737" t="s">
        <v>130</v>
      </c>
      <c r="F737" t="s">
        <v>79</v>
      </c>
      <c r="G737" t="s">
        <v>122</v>
      </c>
      <c r="H737" t="s">
        <v>122</v>
      </c>
      <c r="I737" t="s">
        <v>122</v>
      </c>
      <c r="J737" s="127">
        <v>45901.658333333333</v>
      </c>
      <c r="K737" s="127">
        <v>45902</v>
      </c>
      <c r="L737" s="127">
        <v>45909</v>
      </c>
      <c r="M737" s="127">
        <v>45911.943749999999</v>
      </c>
      <c r="N737" t="s">
        <v>78</v>
      </c>
      <c r="O737" t="s">
        <v>122</v>
      </c>
      <c r="P737" t="s">
        <v>122</v>
      </c>
      <c r="Q737">
        <v>59948</v>
      </c>
      <c r="R737" t="s">
        <v>1970</v>
      </c>
      <c r="S737" t="s">
        <v>1971</v>
      </c>
      <c r="T737" t="s">
        <v>450</v>
      </c>
      <c r="U737" t="s">
        <v>462</v>
      </c>
    </row>
    <row r="738" spans="1:21" x14ac:dyDescent="0.25">
      <c r="A738" t="s">
        <v>127</v>
      </c>
      <c r="B738" t="s">
        <v>2030</v>
      </c>
      <c r="C738">
        <v>60290</v>
      </c>
      <c r="D738" t="s">
        <v>2031</v>
      </c>
      <c r="E738" t="s">
        <v>130</v>
      </c>
      <c r="F738" t="s">
        <v>79</v>
      </c>
      <c r="G738" t="s">
        <v>122</v>
      </c>
      <c r="H738" t="s">
        <v>122</v>
      </c>
      <c r="I738" t="s">
        <v>122</v>
      </c>
      <c r="J738" s="127">
        <v>45901.603472222225</v>
      </c>
      <c r="K738" s="127">
        <v>45902</v>
      </c>
      <c r="L738" s="127">
        <v>45933.791666666664</v>
      </c>
      <c r="M738" s="127">
        <v>45933.663888888892</v>
      </c>
      <c r="N738" t="s">
        <v>78</v>
      </c>
      <c r="O738" t="s">
        <v>122</v>
      </c>
      <c r="P738" t="s">
        <v>122</v>
      </c>
      <c r="Q738">
        <v>59948</v>
      </c>
      <c r="R738" t="s">
        <v>1970</v>
      </c>
      <c r="S738" t="s">
        <v>1971</v>
      </c>
      <c r="T738" t="s">
        <v>450</v>
      </c>
      <c r="U738" t="s">
        <v>462</v>
      </c>
    </row>
    <row r="739" spans="1:21" x14ac:dyDescent="0.25">
      <c r="A739" t="s">
        <v>127</v>
      </c>
      <c r="B739" t="s">
        <v>2032</v>
      </c>
      <c r="C739">
        <v>60245</v>
      </c>
      <c r="D739" t="s">
        <v>2033</v>
      </c>
      <c r="E739" t="s">
        <v>130</v>
      </c>
      <c r="F739" t="s">
        <v>79</v>
      </c>
      <c r="G739" t="s">
        <v>122</v>
      </c>
      <c r="H739" t="s">
        <v>122</v>
      </c>
      <c r="I739" t="s">
        <v>122</v>
      </c>
      <c r="J739" s="127">
        <v>45901.535416666666</v>
      </c>
      <c r="K739" s="127">
        <v>45901</v>
      </c>
      <c r="L739" s="127">
        <v>45901</v>
      </c>
      <c r="M739" s="127">
        <v>45902.647916666669</v>
      </c>
      <c r="N739" t="s">
        <v>78</v>
      </c>
      <c r="O739" t="s">
        <v>122</v>
      </c>
      <c r="P739" t="s">
        <v>122</v>
      </c>
      <c r="Q739">
        <v>59948</v>
      </c>
      <c r="R739" t="s">
        <v>1970</v>
      </c>
      <c r="S739" t="s">
        <v>1971</v>
      </c>
      <c r="T739" t="s">
        <v>450</v>
      </c>
      <c r="U739" t="s">
        <v>462</v>
      </c>
    </row>
    <row r="740" spans="1:21" x14ac:dyDescent="0.25">
      <c r="A740" t="s">
        <v>253</v>
      </c>
      <c r="B740" t="s">
        <v>2034</v>
      </c>
      <c r="C740">
        <v>60226</v>
      </c>
      <c r="D740" t="s">
        <v>2035</v>
      </c>
      <c r="E740" t="s">
        <v>437</v>
      </c>
      <c r="F740" t="s">
        <v>79</v>
      </c>
      <c r="G740" t="s">
        <v>122</v>
      </c>
      <c r="H740" t="s">
        <v>122</v>
      </c>
      <c r="I740" t="s">
        <v>122</v>
      </c>
      <c r="J740" s="127">
        <v>45901.495833333334</v>
      </c>
      <c r="K740" s="127"/>
      <c r="L740" s="127"/>
      <c r="M740" s="127">
        <v>45901.65347222222</v>
      </c>
      <c r="N740" t="s">
        <v>78</v>
      </c>
      <c r="O740" t="s">
        <v>122</v>
      </c>
      <c r="P740" t="s">
        <v>122</v>
      </c>
      <c r="Q740">
        <v>59948</v>
      </c>
      <c r="R740" t="s">
        <v>1970</v>
      </c>
      <c r="S740" t="s">
        <v>1971</v>
      </c>
      <c r="T740" t="s">
        <v>450</v>
      </c>
      <c r="U740" t="s">
        <v>462</v>
      </c>
    </row>
    <row r="741" spans="1:21" x14ac:dyDescent="0.25">
      <c r="A741" t="s">
        <v>127</v>
      </c>
      <c r="B741" t="s">
        <v>2036</v>
      </c>
      <c r="C741">
        <v>60168</v>
      </c>
      <c r="D741" t="s">
        <v>2037</v>
      </c>
      <c r="E741" t="s">
        <v>130</v>
      </c>
      <c r="F741" t="s">
        <v>79</v>
      </c>
      <c r="G741" t="s">
        <v>122</v>
      </c>
      <c r="H741" t="s">
        <v>122</v>
      </c>
      <c r="I741" t="s">
        <v>122</v>
      </c>
      <c r="J741" s="127">
        <v>45901.390972222223</v>
      </c>
      <c r="K741" s="127"/>
      <c r="L741" s="127"/>
      <c r="M741" s="127">
        <v>45901.634722222225</v>
      </c>
      <c r="N741" t="s">
        <v>78</v>
      </c>
      <c r="O741" t="s">
        <v>122</v>
      </c>
      <c r="P741" t="s">
        <v>122</v>
      </c>
      <c r="Q741">
        <v>59948</v>
      </c>
      <c r="R741" t="s">
        <v>1970</v>
      </c>
      <c r="S741" t="s">
        <v>1971</v>
      </c>
      <c r="T741" t="s">
        <v>450</v>
      </c>
      <c r="U741" t="s">
        <v>462</v>
      </c>
    </row>
    <row r="742" spans="1:21" x14ac:dyDescent="0.25">
      <c r="A742" t="s">
        <v>127</v>
      </c>
      <c r="B742" t="s">
        <v>2038</v>
      </c>
      <c r="C742">
        <v>60007</v>
      </c>
      <c r="D742" t="s">
        <v>2039</v>
      </c>
      <c r="E742" t="s">
        <v>130</v>
      </c>
      <c r="F742" t="s">
        <v>79</v>
      </c>
      <c r="G742" t="s">
        <v>122</v>
      </c>
      <c r="H742" t="s">
        <v>122</v>
      </c>
      <c r="I742" t="s">
        <v>122</v>
      </c>
      <c r="J742" s="127">
        <v>45898.765277777777</v>
      </c>
      <c r="K742" s="127">
        <v>45898</v>
      </c>
      <c r="L742" s="127"/>
      <c r="M742" s="127">
        <v>45901.604166666664</v>
      </c>
      <c r="N742" t="s">
        <v>78</v>
      </c>
      <c r="O742" t="s">
        <v>122</v>
      </c>
      <c r="P742" t="s">
        <v>122</v>
      </c>
      <c r="Q742">
        <v>59948</v>
      </c>
      <c r="R742" t="s">
        <v>1970</v>
      </c>
      <c r="S742" t="s">
        <v>1971</v>
      </c>
      <c r="T742" t="s">
        <v>450</v>
      </c>
      <c r="U742" t="s">
        <v>462</v>
      </c>
    </row>
    <row r="743" spans="1:21" x14ac:dyDescent="0.25">
      <c r="A743" t="s">
        <v>127</v>
      </c>
      <c r="B743" t="s">
        <v>2040</v>
      </c>
      <c r="C743">
        <v>59979</v>
      </c>
      <c r="D743" t="s">
        <v>2041</v>
      </c>
      <c r="E743" t="s">
        <v>130</v>
      </c>
      <c r="F743" t="s">
        <v>79</v>
      </c>
      <c r="G743" t="s">
        <v>122</v>
      </c>
      <c r="H743" t="s">
        <v>122</v>
      </c>
      <c r="I743" t="s">
        <v>122</v>
      </c>
      <c r="J743" s="127">
        <v>45898.709722222222</v>
      </c>
      <c r="K743" s="127">
        <v>45898</v>
      </c>
      <c r="L743" s="127">
        <v>45898</v>
      </c>
      <c r="M743" s="127">
        <v>45901.630555555559</v>
      </c>
      <c r="N743" t="s">
        <v>78</v>
      </c>
      <c r="O743" t="s">
        <v>122</v>
      </c>
      <c r="P743" t="s">
        <v>122</v>
      </c>
      <c r="Q743">
        <v>59948</v>
      </c>
      <c r="R743" t="s">
        <v>1970</v>
      </c>
      <c r="S743" t="s">
        <v>1971</v>
      </c>
      <c r="T743" t="s">
        <v>450</v>
      </c>
      <c r="U743" t="s">
        <v>462</v>
      </c>
    </row>
    <row r="744" spans="1:21" x14ac:dyDescent="0.25">
      <c r="A744" t="s">
        <v>127</v>
      </c>
      <c r="B744" t="s">
        <v>2042</v>
      </c>
      <c r="C744">
        <v>59863</v>
      </c>
      <c r="D744" t="s">
        <v>2043</v>
      </c>
      <c r="E744" t="s">
        <v>130</v>
      </c>
      <c r="F744" t="s">
        <v>79</v>
      </c>
      <c r="G744" t="s">
        <v>122</v>
      </c>
      <c r="H744" t="s">
        <v>122</v>
      </c>
      <c r="I744" t="s">
        <v>122</v>
      </c>
      <c r="J744" s="127">
        <v>45898.461111111108</v>
      </c>
      <c r="K744" s="127">
        <v>45898</v>
      </c>
      <c r="L744" s="127"/>
      <c r="M744" s="127">
        <v>45901.602777777778</v>
      </c>
      <c r="N744" t="s">
        <v>78</v>
      </c>
      <c r="O744" t="s">
        <v>122</v>
      </c>
      <c r="P744" t="s">
        <v>122</v>
      </c>
      <c r="Q744">
        <v>59948</v>
      </c>
      <c r="R744" t="s">
        <v>1970</v>
      </c>
      <c r="S744" t="s">
        <v>1971</v>
      </c>
      <c r="T744" t="s">
        <v>450</v>
      </c>
      <c r="U744" t="s">
        <v>462</v>
      </c>
    </row>
    <row r="745" spans="1:21" x14ac:dyDescent="0.25">
      <c r="A745" t="s">
        <v>253</v>
      </c>
      <c r="B745" t="s">
        <v>2044</v>
      </c>
      <c r="C745">
        <v>59862</v>
      </c>
      <c r="D745" t="s">
        <v>2045</v>
      </c>
      <c r="E745" t="s">
        <v>437</v>
      </c>
      <c r="F745" t="s">
        <v>79</v>
      </c>
      <c r="G745" t="s">
        <v>122</v>
      </c>
      <c r="H745" t="s">
        <v>122</v>
      </c>
      <c r="I745" t="s">
        <v>122</v>
      </c>
      <c r="J745" s="127">
        <v>45898.457638888889</v>
      </c>
      <c r="K745" s="127">
        <v>45898</v>
      </c>
      <c r="L745" s="127">
        <v>45898</v>
      </c>
      <c r="M745" s="127">
        <v>45901.708333333336</v>
      </c>
      <c r="N745" t="s">
        <v>78</v>
      </c>
      <c r="O745" t="s">
        <v>122</v>
      </c>
      <c r="P745" t="s">
        <v>122</v>
      </c>
      <c r="Q745">
        <v>59948</v>
      </c>
      <c r="R745" t="s">
        <v>1970</v>
      </c>
      <c r="S745" t="s">
        <v>1971</v>
      </c>
      <c r="T745" t="s">
        <v>450</v>
      </c>
      <c r="U745" t="s">
        <v>462</v>
      </c>
    </row>
    <row r="746" spans="1:21" x14ac:dyDescent="0.25">
      <c r="A746" t="s">
        <v>127</v>
      </c>
      <c r="B746" t="s">
        <v>2046</v>
      </c>
      <c r="C746">
        <v>59770</v>
      </c>
      <c r="D746" t="s">
        <v>2047</v>
      </c>
      <c r="E746" t="s">
        <v>130</v>
      </c>
      <c r="F746" t="s">
        <v>79</v>
      </c>
      <c r="G746" t="s">
        <v>122</v>
      </c>
      <c r="H746" t="s">
        <v>122</v>
      </c>
      <c r="I746" t="s">
        <v>122</v>
      </c>
      <c r="J746" s="127">
        <v>45897.738194444442</v>
      </c>
      <c r="K746" s="127"/>
      <c r="L746" s="127"/>
      <c r="M746" s="127">
        <v>45901.50277777778</v>
      </c>
      <c r="N746" t="s">
        <v>78</v>
      </c>
      <c r="O746" t="s">
        <v>122</v>
      </c>
      <c r="P746" t="s">
        <v>122</v>
      </c>
      <c r="Q746">
        <v>59948</v>
      </c>
      <c r="R746" t="s">
        <v>1970</v>
      </c>
      <c r="S746" t="s">
        <v>1971</v>
      </c>
      <c r="T746" t="s">
        <v>450</v>
      </c>
      <c r="U746" t="s">
        <v>462</v>
      </c>
    </row>
    <row r="747" spans="1:21" x14ac:dyDescent="0.25">
      <c r="A747" t="s">
        <v>118</v>
      </c>
      <c r="B747" t="s">
        <v>2048</v>
      </c>
      <c r="C747">
        <v>59750</v>
      </c>
      <c r="D747" t="s">
        <v>2049</v>
      </c>
      <c r="E747" t="s">
        <v>130</v>
      </c>
      <c r="F747" t="s">
        <v>79</v>
      </c>
      <c r="G747" t="s">
        <v>80</v>
      </c>
      <c r="H747" t="s">
        <v>122</v>
      </c>
      <c r="I747" t="s">
        <v>122</v>
      </c>
      <c r="J747" s="127">
        <v>45897.7</v>
      </c>
      <c r="K747" s="127">
        <v>45972.752083333333</v>
      </c>
      <c r="L747" s="127">
        <v>45972.859027777777</v>
      </c>
      <c r="M747" s="127">
        <v>45974.686805555553</v>
      </c>
      <c r="N747" t="s">
        <v>78</v>
      </c>
      <c r="O747" t="s">
        <v>122</v>
      </c>
      <c r="P747" t="s">
        <v>122</v>
      </c>
      <c r="Q747">
        <v>59948</v>
      </c>
      <c r="R747" t="s">
        <v>1970</v>
      </c>
      <c r="S747" t="s">
        <v>1971</v>
      </c>
      <c r="T747" t="s">
        <v>471</v>
      </c>
      <c r="U747" t="s">
        <v>462</v>
      </c>
    </row>
    <row r="748" spans="1:21" x14ac:dyDescent="0.25">
      <c r="A748" t="s">
        <v>118</v>
      </c>
      <c r="B748" t="s">
        <v>2050</v>
      </c>
      <c r="C748">
        <v>59741</v>
      </c>
      <c r="D748" t="s">
        <v>2051</v>
      </c>
      <c r="E748" t="s">
        <v>130</v>
      </c>
      <c r="F748" t="s">
        <v>79</v>
      </c>
      <c r="G748" t="s">
        <v>122</v>
      </c>
      <c r="H748" t="s">
        <v>122</v>
      </c>
      <c r="I748" t="s">
        <v>122</v>
      </c>
      <c r="J748" s="127">
        <v>45897.698611111111</v>
      </c>
      <c r="K748" s="127">
        <v>45897</v>
      </c>
      <c r="L748" s="127">
        <v>45898</v>
      </c>
      <c r="M748" s="127">
        <v>45901.45416666667</v>
      </c>
      <c r="N748" t="s">
        <v>78</v>
      </c>
      <c r="O748" t="s">
        <v>122</v>
      </c>
      <c r="P748" t="s">
        <v>122</v>
      </c>
      <c r="Q748">
        <v>59948</v>
      </c>
      <c r="R748" t="s">
        <v>1970</v>
      </c>
      <c r="S748" t="s">
        <v>1971</v>
      </c>
      <c r="T748" t="s">
        <v>450</v>
      </c>
      <c r="U748" t="s">
        <v>462</v>
      </c>
    </row>
    <row r="749" spans="1:21" x14ac:dyDescent="0.25">
      <c r="A749" t="s">
        <v>118</v>
      </c>
      <c r="B749" t="s">
        <v>2052</v>
      </c>
      <c r="C749">
        <v>59740</v>
      </c>
      <c r="D749" t="s">
        <v>2053</v>
      </c>
      <c r="E749" t="s">
        <v>130</v>
      </c>
      <c r="F749" t="s">
        <v>79</v>
      </c>
      <c r="G749" t="s">
        <v>122</v>
      </c>
      <c r="H749" t="s">
        <v>122</v>
      </c>
      <c r="I749" t="s">
        <v>122</v>
      </c>
      <c r="J749" s="127">
        <v>45897.697222222225</v>
      </c>
      <c r="K749" s="127">
        <v>45897</v>
      </c>
      <c r="L749" s="127">
        <v>45898</v>
      </c>
      <c r="M749" s="127">
        <v>45898.82708333333</v>
      </c>
      <c r="N749" t="s">
        <v>78</v>
      </c>
      <c r="O749" t="s">
        <v>122</v>
      </c>
      <c r="P749" t="s">
        <v>122</v>
      </c>
      <c r="Q749">
        <v>59948</v>
      </c>
      <c r="R749" t="s">
        <v>1970</v>
      </c>
      <c r="S749" t="s">
        <v>1971</v>
      </c>
      <c r="T749" t="s">
        <v>450</v>
      </c>
      <c r="U749" t="s">
        <v>462</v>
      </c>
    </row>
    <row r="750" spans="1:21" x14ac:dyDescent="0.25">
      <c r="A750" t="s">
        <v>118</v>
      </c>
      <c r="B750" t="s">
        <v>2054</v>
      </c>
      <c r="C750">
        <v>59737</v>
      </c>
      <c r="D750" t="s">
        <v>2055</v>
      </c>
      <c r="E750" t="s">
        <v>130</v>
      </c>
      <c r="F750" t="s">
        <v>79</v>
      </c>
      <c r="G750" t="s">
        <v>122</v>
      </c>
      <c r="H750" t="s">
        <v>122</v>
      </c>
      <c r="I750" t="s">
        <v>122</v>
      </c>
      <c r="J750" s="127">
        <v>45897.693749999999</v>
      </c>
      <c r="K750" s="127">
        <v>45897</v>
      </c>
      <c r="L750" s="127">
        <v>45897</v>
      </c>
      <c r="M750" s="127">
        <v>45898.588888888888</v>
      </c>
      <c r="N750" t="s">
        <v>78</v>
      </c>
      <c r="O750" t="s">
        <v>122</v>
      </c>
      <c r="P750" t="s">
        <v>122</v>
      </c>
      <c r="Q750">
        <v>59948</v>
      </c>
      <c r="R750" t="s">
        <v>1970</v>
      </c>
      <c r="S750" t="s">
        <v>1971</v>
      </c>
      <c r="T750" t="s">
        <v>450</v>
      </c>
      <c r="U750" t="s">
        <v>462</v>
      </c>
    </row>
    <row r="751" spans="1:21" x14ac:dyDescent="0.25">
      <c r="A751" t="s">
        <v>127</v>
      </c>
      <c r="B751" t="s">
        <v>2056</v>
      </c>
      <c r="C751">
        <v>59617</v>
      </c>
      <c r="D751" t="s">
        <v>2057</v>
      </c>
      <c r="E751" t="s">
        <v>130</v>
      </c>
      <c r="F751" t="s">
        <v>79</v>
      </c>
      <c r="G751" t="s">
        <v>122</v>
      </c>
      <c r="H751" t="s">
        <v>122</v>
      </c>
      <c r="I751" t="s">
        <v>122</v>
      </c>
      <c r="J751" s="127">
        <v>45896.859722222223</v>
      </c>
      <c r="K751" s="127">
        <v>45896</v>
      </c>
      <c r="L751" s="127">
        <v>45901</v>
      </c>
      <c r="M751" s="127">
        <v>45901.717361111114</v>
      </c>
      <c r="N751" t="s">
        <v>78</v>
      </c>
      <c r="O751" t="s">
        <v>122</v>
      </c>
      <c r="P751" t="s">
        <v>122</v>
      </c>
      <c r="Q751">
        <v>59948</v>
      </c>
      <c r="R751" t="s">
        <v>1970</v>
      </c>
      <c r="S751" t="s">
        <v>1971</v>
      </c>
      <c r="T751" t="s">
        <v>450</v>
      </c>
      <c r="U751" t="s">
        <v>462</v>
      </c>
    </row>
    <row r="752" spans="1:21" x14ac:dyDescent="0.25">
      <c r="A752" t="s">
        <v>127</v>
      </c>
      <c r="B752" t="s">
        <v>2058</v>
      </c>
      <c r="C752">
        <v>59130</v>
      </c>
      <c r="D752" t="s">
        <v>2059</v>
      </c>
      <c r="E752" t="s">
        <v>130</v>
      </c>
      <c r="F752" t="s">
        <v>79</v>
      </c>
      <c r="G752" t="s">
        <v>122</v>
      </c>
      <c r="H752" t="s">
        <v>122</v>
      </c>
      <c r="I752" t="s">
        <v>122</v>
      </c>
      <c r="J752" s="127">
        <v>45894.817361111112</v>
      </c>
      <c r="K752" s="127">
        <v>45905</v>
      </c>
      <c r="L752" s="127"/>
      <c r="M752" s="127">
        <v>45908.461805555555</v>
      </c>
      <c r="N752" t="s">
        <v>78</v>
      </c>
      <c r="O752" t="s">
        <v>122</v>
      </c>
      <c r="P752" t="s">
        <v>122</v>
      </c>
      <c r="Q752">
        <v>59948</v>
      </c>
      <c r="R752" t="s">
        <v>1970</v>
      </c>
      <c r="S752" t="s">
        <v>1971</v>
      </c>
      <c r="T752" t="s">
        <v>450</v>
      </c>
      <c r="U752" t="s">
        <v>462</v>
      </c>
    </row>
    <row r="753" spans="1:21" x14ac:dyDescent="0.25">
      <c r="A753" t="s">
        <v>118</v>
      </c>
      <c r="B753" t="s">
        <v>2060</v>
      </c>
      <c r="C753">
        <v>59123</v>
      </c>
      <c r="D753" t="s">
        <v>2061</v>
      </c>
      <c r="E753" t="s">
        <v>223</v>
      </c>
      <c r="F753" t="s">
        <v>79</v>
      </c>
      <c r="G753" t="s">
        <v>80</v>
      </c>
      <c r="H753" t="s">
        <v>122</v>
      </c>
      <c r="I753" t="s">
        <v>122</v>
      </c>
      <c r="J753" s="127">
        <v>45894.811111111114</v>
      </c>
      <c r="K753" s="127">
        <v>45895</v>
      </c>
      <c r="L753" s="127"/>
      <c r="M753" s="127">
        <v>45954.581944444442</v>
      </c>
      <c r="N753" t="s">
        <v>78</v>
      </c>
      <c r="O753" t="s">
        <v>122</v>
      </c>
      <c r="P753" t="s">
        <v>122</v>
      </c>
      <c r="Q753">
        <v>59948</v>
      </c>
      <c r="R753" t="s">
        <v>1970</v>
      </c>
      <c r="S753" t="s">
        <v>1971</v>
      </c>
      <c r="T753" t="s">
        <v>471</v>
      </c>
      <c r="U753" t="s">
        <v>462</v>
      </c>
    </row>
    <row r="754" spans="1:21" x14ac:dyDescent="0.25">
      <c r="A754" t="s">
        <v>127</v>
      </c>
      <c r="B754" t="s">
        <v>2062</v>
      </c>
      <c r="C754">
        <v>59102</v>
      </c>
      <c r="D754" t="s">
        <v>2063</v>
      </c>
      <c r="E754" t="s">
        <v>130</v>
      </c>
      <c r="F754" t="s">
        <v>79</v>
      </c>
      <c r="G754" t="s">
        <v>122</v>
      </c>
      <c r="H754" t="s">
        <v>122</v>
      </c>
      <c r="I754" t="s">
        <v>122</v>
      </c>
      <c r="J754" s="127">
        <v>45894.76458333333</v>
      </c>
      <c r="K754" s="127">
        <v>45894</v>
      </c>
      <c r="L754" s="127">
        <v>45901</v>
      </c>
      <c r="M754" s="127">
        <v>45902.426388888889</v>
      </c>
      <c r="N754" t="s">
        <v>78</v>
      </c>
      <c r="O754" t="s">
        <v>122</v>
      </c>
      <c r="P754" t="s">
        <v>122</v>
      </c>
      <c r="Q754">
        <v>59948</v>
      </c>
      <c r="R754" t="s">
        <v>1970</v>
      </c>
      <c r="S754" t="s">
        <v>1971</v>
      </c>
      <c r="T754" t="s">
        <v>450</v>
      </c>
      <c r="U754" t="s">
        <v>462</v>
      </c>
    </row>
    <row r="755" spans="1:21" x14ac:dyDescent="0.25">
      <c r="A755" t="s">
        <v>127</v>
      </c>
      <c r="B755" t="s">
        <v>2064</v>
      </c>
      <c r="C755">
        <v>56666</v>
      </c>
      <c r="D755" t="s">
        <v>2065</v>
      </c>
      <c r="E755" t="s">
        <v>130</v>
      </c>
      <c r="F755" t="s">
        <v>79</v>
      </c>
      <c r="G755" t="s">
        <v>122</v>
      </c>
      <c r="H755" t="s">
        <v>122</v>
      </c>
      <c r="I755" t="s">
        <v>122</v>
      </c>
      <c r="J755" s="127">
        <v>45881.658333333333</v>
      </c>
      <c r="K755" s="127">
        <v>45895</v>
      </c>
      <c r="L755" s="127">
        <v>45895</v>
      </c>
      <c r="M755" s="127">
        <v>45895.986111111109</v>
      </c>
      <c r="N755" t="s">
        <v>78</v>
      </c>
      <c r="O755" t="s">
        <v>122</v>
      </c>
      <c r="P755" t="s">
        <v>122</v>
      </c>
      <c r="Q755">
        <v>59948</v>
      </c>
      <c r="R755" t="s">
        <v>1970</v>
      </c>
      <c r="S755" t="s">
        <v>1971</v>
      </c>
      <c r="T755" t="s">
        <v>450</v>
      </c>
      <c r="U755" t="s">
        <v>462</v>
      </c>
    </row>
    <row r="756" spans="1:21" x14ac:dyDescent="0.25">
      <c r="A756" t="s">
        <v>118</v>
      </c>
      <c r="B756" t="s">
        <v>2066</v>
      </c>
      <c r="C756">
        <v>160713</v>
      </c>
      <c r="D756" t="s">
        <v>2067</v>
      </c>
      <c r="E756" t="s">
        <v>121</v>
      </c>
      <c r="F756" t="s">
        <v>122</v>
      </c>
      <c r="G756" t="s">
        <v>94</v>
      </c>
      <c r="H756" t="s">
        <v>122</v>
      </c>
      <c r="I756" t="s">
        <v>122</v>
      </c>
      <c r="J756" s="127">
        <v>46104.382638888892</v>
      </c>
      <c r="K756" s="127"/>
      <c r="L756" s="127"/>
      <c r="M756" s="127"/>
      <c r="N756" t="s">
        <v>75</v>
      </c>
      <c r="O756" t="s">
        <v>122</v>
      </c>
      <c r="P756" t="s">
        <v>122</v>
      </c>
      <c r="Q756">
        <v>151562</v>
      </c>
      <c r="R756" t="s">
        <v>2068</v>
      </c>
      <c r="S756" t="s">
        <v>2069</v>
      </c>
      <c r="T756" t="s">
        <v>2070</v>
      </c>
      <c r="U756" t="s">
        <v>137</v>
      </c>
    </row>
    <row r="757" spans="1:21" x14ac:dyDescent="0.25">
      <c r="A757" t="s">
        <v>118</v>
      </c>
      <c r="B757" t="s">
        <v>2071</v>
      </c>
      <c r="C757">
        <v>159208</v>
      </c>
      <c r="D757" t="s">
        <v>2072</v>
      </c>
      <c r="E757" t="s">
        <v>266</v>
      </c>
      <c r="F757" t="s">
        <v>86</v>
      </c>
      <c r="G757" t="s">
        <v>94</v>
      </c>
      <c r="H757" t="s">
        <v>122</v>
      </c>
      <c r="I757" t="s">
        <v>122</v>
      </c>
      <c r="J757" s="127">
        <v>46097.384722222225</v>
      </c>
      <c r="K757" s="127">
        <v>46097.588194444441</v>
      </c>
      <c r="L757" s="127">
        <v>46100</v>
      </c>
      <c r="M757" s="127"/>
      <c r="N757" t="s">
        <v>75</v>
      </c>
      <c r="O757" t="s">
        <v>122</v>
      </c>
      <c r="P757" t="s">
        <v>122</v>
      </c>
      <c r="Q757">
        <v>151562</v>
      </c>
      <c r="R757" t="s">
        <v>2068</v>
      </c>
      <c r="S757" t="s">
        <v>2069</v>
      </c>
      <c r="T757" t="s">
        <v>2070</v>
      </c>
      <c r="U757" t="s">
        <v>137</v>
      </c>
    </row>
    <row r="758" spans="1:21" x14ac:dyDescent="0.25">
      <c r="A758" t="s">
        <v>118</v>
      </c>
      <c r="B758" t="s">
        <v>2073</v>
      </c>
      <c r="C758">
        <v>157339</v>
      </c>
      <c r="D758" t="s">
        <v>2074</v>
      </c>
      <c r="E758" t="s">
        <v>121</v>
      </c>
      <c r="F758" t="s">
        <v>122</v>
      </c>
      <c r="G758" t="s">
        <v>96</v>
      </c>
      <c r="H758" t="s">
        <v>122</v>
      </c>
      <c r="I758" t="s">
        <v>122</v>
      </c>
      <c r="J758" s="127">
        <v>46086.615972222222</v>
      </c>
      <c r="K758" s="127"/>
      <c r="L758" s="127"/>
      <c r="M758" s="127"/>
      <c r="N758" t="s">
        <v>75</v>
      </c>
      <c r="O758" t="s">
        <v>122</v>
      </c>
      <c r="P758" t="s">
        <v>122</v>
      </c>
      <c r="Q758">
        <v>154058</v>
      </c>
      <c r="R758" t="s">
        <v>2075</v>
      </c>
      <c r="S758" t="s">
        <v>2076</v>
      </c>
      <c r="T758" t="s">
        <v>2077</v>
      </c>
      <c r="U758" t="s">
        <v>137</v>
      </c>
    </row>
    <row r="759" spans="1:21" x14ac:dyDescent="0.25">
      <c r="A759" t="s">
        <v>118</v>
      </c>
      <c r="B759" t="s">
        <v>2078</v>
      </c>
      <c r="C759">
        <v>157337</v>
      </c>
      <c r="D759" t="s">
        <v>2079</v>
      </c>
      <c r="E759" t="s">
        <v>121</v>
      </c>
      <c r="F759" t="s">
        <v>122</v>
      </c>
      <c r="G759" t="s">
        <v>96</v>
      </c>
      <c r="H759" t="s">
        <v>122</v>
      </c>
      <c r="I759" t="s">
        <v>122</v>
      </c>
      <c r="J759" s="127">
        <v>46086.615972222222</v>
      </c>
      <c r="K759" s="127"/>
      <c r="L759" s="127"/>
      <c r="M759" s="127"/>
      <c r="N759" t="s">
        <v>75</v>
      </c>
      <c r="O759" t="s">
        <v>122</v>
      </c>
      <c r="P759" t="s">
        <v>122</v>
      </c>
      <c r="Q759">
        <v>154058</v>
      </c>
      <c r="R759" t="s">
        <v>2075</v>
      </c>
      <c r="S759" t="s">
        <v>2076</v>
      </c>
      <c r="T759" t="s">
        <v>2077</v>
      </c>
      <c r="U759" t="s">
        <v>137</v>
      </c>
    </row>
    <row r="760" spans="1:21" x14ac:dyDescent="0.25">
      <c r="A760" t="s">
        <v>118</v>
      </c>
      <c r="B760" t="s">
        <v>2080</v>
      </c>
      <c r="C760">
        <v>157335</v>
      </c>
      <c r="D760" t="s">
        <v>2081</v>
      </c>
      <c r="E760" t="s">
        <v>121</v>
      </c>
      <c r="F760" t="s">
        <v>122</v>
      </c>
      <c r="G760" t="s">
        <v>96</v>
      </c>
      <c r="H760" t="s">
        <v>122</v>
      </c>
      <c r="I760" t="s">
        <v>122</v>
      </c>
      <c r="J760" s="127">
        <v>46086.615277777775</v>
      </c>
      <c r="K760" s="127"/>
      <c r="L760" s="127"/>
      <c r="M760" s="127"/>
      <c r="N760" t="s">
        <v>75</v>
      </c>
      <c r="O760" t="s">
        <v>122</v>
      </c>
      <c r="P760" t="s">
        <v>122</v>
      </c>
      <c r="Q760">
        <v>154058</v>
      </c>
      <c r="R760" t="s">
        <v>2075</v>
      </c>
      <c r="S760" t="s">
        <v>2076</v>
      </c>
      <c r="T760" t="s">
        <v>2077</v>
      </c>
      <c r="U760" t="s">
        <v>137</v>
      </c>
    </row>
    <row r="761" spans="1:21" x14ac:dyDescent="0.25">
      <c r="A761" t="s">
        <v>118</v>
      </c>
      <c r="B761" t="s">
        <v>2082</v>
      </c>
      <c r="C761">
        <v>157333</v>
      </c>
      <c r="D761" t="s">
        <v>2083</v>
      </c>
      <c r="E761" t="s">
        <v>121</v>
      </c>
      <c r="F761" t="s">
        <v>122</v>
      </c>
      <c r="G761" t="s">
        <v>96</v>
      </c>
      <c r="H761" t="s">
        <v>122</v>
      </c>
      <c r="I761" t="s">
        <v>122</v>
      </c>
      <c r="J761" s="127">
        <v>46086.613888888889</v>
      </c>
      <c r="K761" s="127"/>
      <c r="L761" s="127"/>
      <c r="M761" s="127"/>
      <c r="N761" t="s">
        <v>75</v>
      </c>
      <c r="O761" t="s">
        <v>122</v>
      </c>
      <c r="P761" t="s">
        <v>122</v>
      </c>
      <c r="Q761">
        <v>154057</v>
      </c>
      <c r="R761" t="s">
        <v>2084</v>
      </c>
      <c r="S761" t="s">
        <v>2085</v>
      </c>
      <c r="T761" t="s">
        <v>2077</v>
      </c>
      <c r="U761" t="s">
        <v>137</v>
      </c>
    </row>
    <row r="762" spans="1:21" x14ac:dyDescent="0.25">
      <c r="A762" t="s">
        <v>118</v>
      </c>
      <c r="B762" t="s">
        <v>2086</v>
      </c>
      <c r="C762">
        <v>157329</v>
      </c>
      <c r="D762" t="s">
        <v>2087</v>
      </c>
      <c r="E762" t="s">
        <v>121</v>
      </c>
      <c r="F762" t="s">
        <v>122</v>
      </c>
      <c r="G762" t="s">
        <v>96</v>
      </c>
      <c r="H762" t="s">
        <v>122</v>
      </c>
      <c r="I762" t="s">
        <v>122</v>
      </c>
      <c r="J762" s="127">
        <v>46086.613194444442</v>
      </c>
      <c r="K762" s="127"/>
      <c r="L762" s="127"/>
      <c r="M762" s="127"/>
      <c r="N762" t="s">
        <v>75</v>
      </c>
      <c r="O762" t="s">
        <v>122</v>
      </c>
      <c r="P762" t="s">
        <v>122</v>
      </c>
      <c r="Q762">
        <v>154057</v>
      </c>
      <c r="R762" t="s">
        <v>2084</v>
      </c>
      <c r="S762" t="s">
        <v>2085</v>
      </c>
      <c r="T762" t="s">
        <v>2077</v>
      </c>
      <c r="U762" t="s">
        <v>137</v>
      </c>
    </row>
    <row r="763" spans="1:21" x14ac:dyDescent="0.25">
      <c r="A763" t="s">
        <v>118</v>
      </c>
      <c r="B763" t="s">
        <v>2088</v>
      </c>
      <c r="C763">
        <v>157325</v>
      </c>
      <c r="D763" t="s">
        <v>2089</v>
      </c>
      <c r="E763" t="s">
        <v>121</v>
      </c>
      <c r="F763" t="s">
        <v>122</v>
      </c>
      <c r="G763" t="s">
        <v>96</v>
      </c>
      <c r="H763" t="s">
        <v>122</v>
      </c>
      <c r="I763" t="s">
        <v>122</v>
      </c>
      <c r="J763" s="127">
        <v>46086.612500000003</v>
      </c>
      <c r="K763" s="127"/>
      <c r="L763" s="127"/>
      <c r="M763" s="127"/>
      <c r="N763" t="s">
        <v>75</v>
      </c>
      <c r="O763" t="s">
        <v>122</v>
      </c>
      <c r="P763" t="s">
        <v>122</v>
      </c>
      <c r="Q763">
        <v>154057</v>
      </c>
      <c r="R763" t="s">
        <v>2084</v>
      </c>
      <c r="S763" t="s">
        <v>2085</v>
      </c>
      <c r="T763" t="s">
        <v>2077</v>
      </c>
      <c r="U763" t="s">
        <v>137</v>
      </c>
    </row>
    <row r="764" spans="1:21" x14ac:dyDescent="0.25">
      <c r="A764" t="s">
        <v>118</v>
      </c>
      <c r="B764" t="s">
        <v>2090</v>
      </c>
      <c r="C764">
        <v>157323</v>
      </c>
      <c r="D764" t="s">
        <v>2091</v>
      </c>
      <c r="E764" t="s">
        <v>121</v>
      </c>
      <c r="F764" t="s">
        <v>122</v>
      </c>
      <c r="G764" t="s">
        <v>96</v>
      </c>
      <c r="H764" t="s">
        <v>122</v>
      </c>
      <c r="I764" t="s">
        <v>122</v>
      </c>
      <c r="J764" s="127">
        <v>46086.612500000003</v>
      </c>
      <c r="K764" s="127"/>
      <c r="L764" s="127"/>
      <c r="M764" s="127"/>
      <c r="N764" t="s">
        <v>75</v>
      </c>
      <c r="O764" t="s">
        <v>122</v>
      </c>
      <c r="P764" t="s">
        <v>122</v>
      </c>
      <c r="Q764">
        <v>154057</v>
      </c>
      <c r="R764" t="s">
        <v>2084</v>
      </c>
      <c r="S764" t="s">
        <v>2085</v>
      </c>
      <c r="T764" t="s">
        <v>2077</v>
      </c>
      <c r="U764" t="s">
        <v>137</v>
      </c>
    </row>
    <row r="765" spans="1:21" x14ac:dyDescent="0.25">
      <c r="A765" t="s">
        <v>118</v>
      </c>
      <c r="B765" t="s">
        <v>2092</v>
      </c>
      <c r="C765">
        <v>157319</v>
      </c>
      <c r="D765" t="s">
        <v>2093</v>
      </c>
      <c r="E765" t="s">
        <v>121</v>
      </c>
      <c r="F765" t="s">
        <v>122</v>
      </c>
      <c r="G765" t="s">
        <v>96</v>
      </c>
      <c r="H765" t="s">
        <v>122</v>
      </c>
      <c r="I765" t="s">
        <v>122</v>
      </c>
      <c r="J765" s="127">
        <v>46086.611805555556</v>
      </c>
      <c r="K765" s="127"/>
      <c r="L765" s="127"/>
      <c r="M765" s="127"/>
      <c r="N765" t="s">
        <v>75</v>
      </c>
      <c r="O765" t="s">
        <v>122</v>
      </c>
      <c r="P765" t="s">
        <v>122</v>
      </c>
      <c r="Q765">
        <v>154057</v>
      </c>
      <c r="R765" t="s">
        <v>2084</v>
      </c>
      <c r="S765" t="s">
        <v>2085</v>
      </c>
      <c r="T765" t="s">
        <v>2077</v>
      </c>
      <c r="U765" t="s">
        <v>137</v>
      </c>
    </row>
    <row r="766" spans="1:21" x14ac:dyDescent="0.25">
      <c r="A766" t="s">
        <v>118</v>
      </c>
      <c r="B766" t="s">
        <v>2094</v>
      </c>
      <c r="C766">
        <v>157315</v>
      </c>
      <c r="D766" t="s">
        <v>2095</v>
      </c>
      <c r="E766" t="s">
        <v>121</v>
      </c>
      <c r="F766" t="s">
        <v>122</v>
      </c>
      <c r="G766" t="s">
        <v>96</v>
      </c>
      <c r="H766" t="s">
        <v>122</v>
      </c>
      <c r="I766" t="s">
        <v>122</v>
      </c>
      <c r="J766" s="127">
        <v>46086.611805555556</v>
      </c>
      <c r="K766" s="127"/>
      <c r="L766" s="127"/>
      <c r="M766" s="127"/>
      <c r="N766" t="s">
        <v>75</v>
      </c>
      <c r="O766" t="s">
        <v>122</v>
      </c>
      <c r="P766" t="s">
        <v>122</v>
      </c>
      <c r="Q766">
        <v>154057</v>
      </c>
      <c r="R766" t="s">
        <v>2084</v>
      </c>
      <c r="S766" t="s">
        <v>2085</v>
      </c>
      <c r="T766" t="s">
        <v>2077</v>
      </c>
      <c r="U766" t="s">
        <v>137</v>
      </c>
    </row>
    <row r="767" spans="1:21" x14ac:dyDescent="0.25">
      <c r="A767" t="s">
        <v>118</v>
      </c>
      <c r="B767" t="s">
        <v>2096</v>
      </c>
      <c r="C767">
        <v>157311</v>
      </c>
      <c r="D767" t="s">
        <v>2097</v>
      </c>
      <c r="E767" t="s">
        <v>249</v>
      </c>
      <c r="F767" t="s">
        <v>86</v>
      </c>
      <c r="G767" t="s">
        <v>96</v>
      </c>
      <c r="H767" t="s">
        <v>122</v>
      </c>
      <c r="I767" t="s">
        <v>122</v>
      </c>
      <c r="J767" s="127">
        <v>46086.611111111109</v>
      </c>
      <c r="K767" s="127">
        <v>46104.590277777781</v>
      </c>
      <c r="L767" s="127"/>
      <c r="M767" s="127"/>
      <c r="N767" t="s">
        <v>75</v>
      </c>
      <c r="O767" t="s">
        <v>122</v>
      </c>
      <c r="P767" t="s">
        <v>122</v>
      </c>
      <c r="Q767">
        <v>154057</v>
      </c>
      <c r="R767" t="s">
        <v>2084</v>
      </c>
      <c r="S767" t="s">
        <v>2085</v>
      </c>
      <c r="T767" t="s">
        <v>2077</v>
      </c>
      <c r="U767" t="s">
        <v>137</v>
      </c>
    </row>
    <row r="768" spans="1:21" x14ac:dyDescent="0.25">
      <c r="A768" t="s">
        <v>118</v>
      </c>
      <c r="B768" t="s">
        <v>2098</v>
      </c>
      <c r="C768">
        <v>157307</v>
      </c>
      <c r="D768" t="s">
        <v>2099</v>
      </c>
      <c r="E768" t="s">
        <v>130</v>
      </c>
      <c r="F768" t="s">
        <v>86</v>
      </c>
      <c r="G768" t="s">
        <v>96</v>
      </c>
      <c r="H768" t="s">
        <v>122</v>
      </c>
      <c r="I768" t="s">
        <v>122</v>
      </c>
      <c r="J768" s="127">
        <v>46086.611111111109</v>
      </c>
      <c r="K768" s="127">
        <v>46097.59375</v>
      </c>
      <c r="L768" s="127">
        <v>46097</v>
      </c>
      <c r="M768" s="127">
        <v>46101.46597222222</v>
      </c>
      <c r="N768" t="s">
        <v>75</v>
      </c>
      <c r="O768" t="s">
        <v>122</v>
      </c>
      <c r="P768" t="s">
        <v>122</v>
      </c>
      <c r="Q768">
        <v>154057</v>
      </c>
      <c r="R768" t="s">
        <v>2084</v>
      </c>
      <c r="S768" t="s">
        <v>2085</v>
      </c>
      <c r="T768" t="s">
        <v>2077</v>
      </c>
      <c r="U768" t="s">
        <v>137</v>
      </c>
    </row>
    <row r="769" spans="1:21" x14ac:dyDescent="0.25">
      <c r="A769" t="s">
        <v>118</v>
      </c>
      <c r="B769" t="s">
        <v>2100</v>
      </c>
      <c r="C769">
        <v>157303</v>
      </c>
      <c r="D769" t="s">
        <v>2101</v>
      </c>
      <c r="E769" t="s">
        <v>121</v>
      </c>
      <c r="F769" t="s">
        <v>122</v>
      </c>
      <c r="G769" t="s">
        <v>96</v>
      </c>
      <c r="H769" t="s">
        <v>122</v>
      </c>
      <c r="I769" t="s">
        <v>122</v>
      </c>
      <c r="J769" s="127">
        <v>46086.60833333333</v>
      </c>
      <c r="K769" s="127"/>
      <c r="L769" s="127"/>
      <c r="M769" s="127"/>
      <c r="N769" t="s">
        <v>75</v>
      </c>
      <c r="O769" t="s">
        <v>122</v>
      </c>
      <c r="P769" t="s">
        <v>122</v>
      </c>
      <c r="Q769">
        <v>154056</v>
      </c>
      <c r="R769" t="s">
        <v>2102</v>
      </c>
      <c r="S769" t="s">
        <v>2103</v>
      </c>
      <c r="T769" t="s">
        <v>2077</v>
      </c>
      <c r="U769" t="s">
        <v>137</v>
      </c>
    </row>
    <row r="770" spans="1:21" x14ac:dyDescent="0.25">
      <c r="A770" t="s">
        <v>118</v>
      </c>
      <c r="B770" t="s">
        <v>2104</v>
      </c>
      <c r="C770">
        <v>157299</v>
      </c>
      <c r="D770" t="s">
        <v>2105</v>
      </c>
      <c r="E770" t="s">
        <v>121</v>
      </c>
      <c r="F770" t="s">
        <v>122</v>
      </c>
      <c r="G770" t="s">
        <v>96</v>
      </c>
      <c r="H770" t="s">
        <v>122</v>
      </c>
      <c r="I770" t="s">
        <v>122</v>
      </c>
      <c r="J770" s="127">
        <v>46086.607638888891</v>
      </c>
      <c r="K770" s="127"/>
      <c r="L770" s="127"/>
      <c r="M770" s="127"/>
      <c r="N770" t="s">
        <v>75</v>
      </c>
      <c r="O770" t="s">
        <v>122</v>
      </c>
      <c r="P770" t="s">
        <v>122</v>
      </c>
      <c r="Q770">
        <v>154056</v>
      </c>
      <c r="R770" t="s">
        <v>2102</v>
      </c>
      <c r="S770" t="s">
        <v>2103</v>
      </c>
      <c r="T770" t="s">
        <v>2077</v>
      </c>
      <c r="U770" t="s">
        <v>137</v>
      </c>
    </row>
    <row r="771" spans="1:21" x14ac:dyDescent="0.25">
      <c r="A771" t="s">
        <v>118</v>
      </c>
      <c r="B771" t="s">
        <v>2106</v>
      </c>
      <c r="C771">
        <v>157297</v>
      </c>
      <c r="D771" t="s">
        <v>2107</v>
      </c>
      <c r="E771" t="s">
        <v>121</v>
      </c>
      <c r="F771" t="s">
        <v>122</v>
      </c>
      <c r="G771" t="s">
        <v>96</v>
      </c>
      <c r="H771" t="s">
        <v>122</v>
      </c>
      <c r="I771" t="s">
        <v>122</v>
      </c>
      <c r="J771" s="127">
        <v>46086.607638888891</v>
      </c>
      <c r="K771" s="127"/>
      <c r="L771" s="127"/>
      <c r="M771" s="127"/>
      <c r="N771" t="s">
        <v>75</v>
      </c>
      <c r="O771" t="s">
        <v>122</v>
      </c>
      <c r="P771" t="s">
        <v>122</v>
      </c>
      <c r="Q771">
        <v>154056</v>
      </c>
      <c r="R771" t="s">
        <v>2102</v>
      </c>
      <c r="S771" t="s">
        <v>2103</v>
      </c>
      <c r="T771" t="s">
        <v>2077</v>
      </c>
      <c r="U771" t="s">
        <v>137</v>
      </c>
    </row>
    <row r="772" spans="1:21" x14ac:dyDescent="0.25">
      <c r="A772" t="s">
        <v>118</v>
      </c>
      <c r="B772" t="s">
        <v>2108</v>
      </c>
      <c r="C772">
        <v>157295</v>
      </c>
      <c r="D772" t="s">
        <v>2109</v>
      </c>
      <c r="E772" t="s">
        <v>121</v>
      </c>
      <c r="F772" t="s">
        <v>122</v>
      </c>
      <c r="G772" t="s">
        <v>96</v>
      </c>
      <c r="H772" t="s">
        <v>122</v>
      </c>
      <c r="I772" t="s">
        <v>122</v>
      </c>
      <c r="J772" s="127">
        <v>46086.606944444444</v>
      </c>
      <c r="K772" s="127"/>
      <c r="L772" s="127"/>
      <c r="M772" s="127"/>
      <c r="N772" t="s">
        <v>75</v>
      </c>
      <c r="O772" t="s">
        <v>122</v>
      </c>
      <c r="P772" t="s">
        <v>122</v>
      </c>
      <c r="Q772">
        <v>154056</v>
      </c>
      <c r="R772" t="s">
        <v>2102</v>
      </c>
      <c r="S772" t="s">
        <v>2103</v>
      </c>
      <c r="T772" t="s">
        <v>2077</v>
      </c>
      <c r="U772" t="s">
        <v>137</v>
      </c>
    </row>
    <row r="773" spans="1:21" x14ac:dyDescent="0.25">
      <c r="A773" t="s">
        <v>118</v>
      </c>
      <c r="B773" t="s">
        <v>2110</v>
      </c>
      <c r="C773">
        <v>157279</v>
      </c>
      <c r="D773" t="s">
        <v>2111</v>
      </c>
      <c r="E773" t="s">
        <v>130</v>
      </c>
      <c r="F773" t="s">
        <v>86</v>
      </c>
      <c r="G773" t="s">
        <v>96</v>
      </c>
      <c r="H773" t="s">
        <v>122</v>
      </c>
      <c r="I773" t="s">
        <v>122</v>
      </c>
      <c r="J773" s="127">
        <v>46086.599305555559</v>
      </c>
      <c r="K773" s="127">
        <v>46091.591666666667</v>
      </c>
      <c r="L773" s="127">
        <v>46091</v>
      </c>
      <c r="M773" s="127">
        <v>46094.404166666667</v>
      </c>
      <c r="N773" t="s">
        <v>75</v>
      </c>
      <c r="O773" t="s">
        <v>122</v>
      </c>
      <c r="P773" t="s">
        <v>122</v>
      </c>
      <c r="Q773">
        <v>154048</v>
      </c>
      <c r="R773" t="s">
        <v>2112</v>
      </c>
      <c r="S773" t="s">
        <v>2113</v>
      </c>
      <c r="T773" t="s">
        <v>2077</v>
      </c>
      <c r="U773" t="s">
        <v>137</v>
      </c>
    </row>
    <row r="774" spans="1:21" x14ac:dyDescent="0.25">
      <c r="A774" t="s">
        <v>118</v>
      </c>
      <c r="B774" t="s">
        <v>2114</v>
      </c>
      <c r="C774">
        <v>157277</v>
      </c>
      <c r="D774" t="s">
        <v>2115</v>
      </c>
      <c r="E774" t="s">
        <v>130</v>
      </c>
      <c r="F774" t="s">
        <v>86</v>
      </c>
      <c r="G774" t="s">
        <v>96</v>
      </c>
      <c r="H774" t="s">
        <v>122</v>
      </c>
      <c r="I774" t="s">
        <v>122</v>
      </c>
      <c r="J774" s="127">
        <v>46086.598611111112</v>
      </c>
      <c r="K774" s="127">
        <v>46091.592361111114</v>
      </c>
      <c r="L774" s="127">
        <v>46093</v>
      </c>
      <c r="M774" s="127">
        <v>46094.718055555553</v>
      </c>
      <c r="N774" t="s">
        <v>75</v>
      </c>
      <c r="O774" t="s">
        <v>122</v>
      </c>
      <c r="P774" t="s">
        <v>122</v>
      </c>
      <c r="Q774">
        <v>154048</v>
      </c>
      <c r="R774" t="s">
        <v>2112</v>
      </c>
      <c r="S774" t="s">
        <v>2113</v>
      </c>
      <c r="T774" t="s">
        <v>2077</v>
      </c>
      <c r="U774" t="s">
        <v>137</v>
      </c>
    </row>
    <row r="775" spans="1:21" x14ac:dyDescent="0.25">
      <c r="A775" t="s">
        <v>118</v>
      </c>
      <c r="B775" t="s">
        <v>2116</v>
      </c>
      <c r="C775">
        <v>157268</v>
      </c>
      <c r="D775" t="s">
        <v>2117</v>
      </c>
      <c r="E775" t="s">
        <v>121</v>
      </c>
      <c r="F775" t="s">
        <v>122</v>
      </c>
      <c r="G775" t="s">
        <v>96</v>
      </c>
      <c r="H775" t="s">
        <v>122</v>
      </c>
      <c r="I775" t="s">
        <v>122</v>
      </c>
      <c r="J775" s="127">
        <v>46086.597916666666</v>
      </c>
      <c r="K775" s="127"/>
      <c r="L775" s="127"/>
      <c r="M775" s="127"/>
      <c r="N775" t="s">
        <v>75</v>
      </c>
      <c r="O775" t="s">
        <v>122</v>
      </c>
      <c r="P775" t="s">
        <v>122</v>
      </c>
      <c r="Q775">
        <v>154048</v>
      </c>
      <c r="R775" t="s">
        <v>2112</v>
      </c>
      <c r="S775" t="s">
        <v>2113</v>
      </c>
      <c r="T775" t="s">
        <v>2077</v>
      </c>
      <c r="U775" t="s">
        <v>137</v>
      </c>
    </row>
    <row r="776" spans="1:21" x14ac:dyDescent="0.25">
      <c r="A776" t="s">
        <v>118</v>
      </c>
      <c r="B776" t="s">
        <v>2118</v>
      </c>
      <c r="C776">
        <v>156989</v>
      </c>
      <c r="D776" t="s">
        <v>2119</v>
      </c>
      <c r="E776" t="s">
        <v>422</v>
      </c>
      <c r="F776" t="s">
        <v>122</v>
      </c>
      <c r="G776" t="s">
        <v>96</v>
      </c>
      <c r="H776" t="s">
        <v>122</v>
      </c>
      <c r="I776" t="s">
        <v>122</v>
      </c>
      <c r="J776" s="127">
        <v>46085.649305555555</v>
      </c>
      <c r="K776" s="127"/>
      <c r="L776" s="127"/>
      <c r="M776" s="127"/>
      <c r="N776" t="s">
        <v>75</v>
      </c>
      <c r="O776" t="s">
        <v>122</v>
      </c>
      <c r="P776" t="s">
        <v>122</v>
      </c>
      <c r="Q776">
        <v>154048</v>
      </c>
      <c r="R776" t="s">
        <v>2112</v>
      </c>
      <c r="S776" t="s">
        <v>2113</v>
      </c>
      <c r="T776" t="s">
        <v>2077</v>
      </c>
      <c r="U776" t="s">
        <v>137</v>
      </c>
    </row>
    <row r="777" spans="1:21" x14ac:dyDescent="0.25">
      <c r="A777" t="s">
        <v>118</v>
      </c>
      <c r="B777" t="s">
        <v>2120</v>
      </c>
      <c r="C777">
        <v>156919</v>
      </c>
      <c r="D777" t="s">
        <v>2121</v>
      </c>
      <c r="E777" t="s">
        <v>121</v>
      </c>
      <c r="F777" t="s">
        <v>86</v>
      </c>
      <c r="G777" t="s">
        <v>96</v>
      </c>
      <c r="H777" t="s">
        <v>122</v>
      </c>
      <c r="I777" t="s">
        <v>122</v>
      </c>
      <c r="J777" s="127">
        <v>46085.604861111111</v>
      </c>
      <c r="K777" s="127"/>
      <c r="L777" s="127"/>
      <c r="M777" s="127"/>
      <c r="N777" t="s">
        <v>75</v>
      </c>
      <c r="O777" t="s">
        <v>122</v>
      </c>
      <c r="P777" t="s">
        <v>122</v>
      </c>
      <c r="Q777">
        <v>154050</v>
      </c>
      <c r="R777" t="s">
        <v>2122</v>
      </c>
      <c r="S777" t="s">
        <v>2123</v>
      </c>
      <c r="T777" t="s">
        <v>2077</v>
      </c>
      <c r="U777" t="s">
        <v>137</v>
      </c>
    </row>
    <row r="778" spans="1:21" x14ac:dyDescent="0.25">
      <c r="A778" t="s">
        <v>118</v>
      </c>
      <c r="B778" t="s">
        <v>2124</v>
      </c>
      <c r="C778">
        <v>156913</v>
      </c>
      <c r="D778" t="s">
        <v>2125</v>
      </c>
      <c r="E778" t="s">
        <v>121</v>
      </c>
      <c r="F778" t="s">
        <v>86</v>
      </c>
      <c r="G778" t="s">
        <v>96</v>
      </c>
      <c r="H778" t="s">
        <v>122</v>
      </c>
      <c r="I778" t="s">
        <v>122</v>
      </c>
      <c r="J778" s="127">
        <v>46085.599999999999</v>
      </c>
      <c r="K778" s="127"/>
      <c r="L778" s="127"/>
      <c r="M778" s="127"/>
      <c r="N778" t="s">
        <v>75</v>
      </c>
      <c r="O778" t="s">
        <v>122</v>
      </c>
      <c r="P778" t="s">
        <v>122</v>
      </c>
      <c r="Q778">
        <v>154050</v>
      </c>
      <c r="R778" t="s">
        <v>2122</v>
      </c>
      <c r="S778" t="s">
        <v>2123</v>
      </c>
      <c r="T778" t="s">
        <v>2077</v>
      </c>
      <c r="U778" t="s">
        <v>137</v>
      </c>
    </row>
    <row r="779" spans="1:21" x14ac:dyDescent="0.25">
      <c r="A779" t="s">
        <v>118</v>
      </c>
      <c r="B779" t="s">
        <v>2126</v>
      </c>
      <c r="C779">
        <v>156911</v>
      </c>
      <c r="D779" t="s">
        <v>2127</v>
      </c>
      <c r="E779" t="s">
        <v>121</v>
      </c>
      <c r="F779" t="s">
        <v>86</v>
      </c>
      <c r="G779" t="s">
        <v>96</v>
      </c>
      <c r="H779" t="s">
        <v>122</v>
      </c>
      <c r="I779" t="s">
        <v>122</v>
      </c>
      <c r="J779" s="127">
        <v>46085.599999999999</v>
      </c>
      <c r="K779" s="127"/>
      <c r="L779" s="127"/>
      <c r="M779" s="127"/>
      <c r="N779" t="s">
        <v>75</v>
      </c>
      <c r="O779" t="s">
        <v>122</v>
      </c>
      <c r="P779" t="s">
        <v>122</v>
      </c>
      <c r="Q779">
        <v>154050</v>
      </c>
      <c r="R779" t="s">
        <v>2122</v>
      </c>
      <c r="S779" t="s">
        <v>2123</v>
      </c>
      <c r="T779" t="s">
        <v>2077</v>
      </c>
      <c r="U779" t="s">
        <v>137</v>
      </c>
    </row>
    <row r="780" spans="1:21" x14ac:dyDescent="0.25">
      <c r="A780" t="s">
        <v>118</v>
      </c>
      <c r="B780" t="s">
        <v>2128</v>
      </c>
      <c r="C780">
        <v>156203</v>
      </c>
      <c r="D780" t="s">
        <v>2129</v>
      </c>
      <c r="E780" t="s">
        <v>130</v>
      </c>
      <c r="F780" t="s">
        <v>86</v>
      </c>
      <c r="G780" t="s">
        <v>94</v>
      </c>
      <c r="H780" t="s">
        <v>122</v>
      </c>
      <c r="I780" t="s">
        <v>122</v>
      </c>
      <c r="J780" s="127">
        <v>46083.48333333333</v>
      </c>
      <c r="K780" s="127">
        <v>46083.758333333331</v>
      </c>
      <c r="L780" s="127">
        <v>46084</v>
      </c>
      <c r="M780" s="127">
        <v>46094.51458333333</v>
      </c>
      <c r="N780" t="s">
        <v>75</v>
      </c>
      <c r="O780" t="s">
        <v>122</v>
      </c>
      <c r="P780" t="s">
        <v>122</v>
      </c>
      <c r="Q780">
        <v>151562</v>
      </c>
      <c r="R780" t="s">
        <v>2068</v>
      </c>
      <c r="S780" t="s">
        <v>2069</v>
      </c>
      <c r="T780" t="s">
        <v>2070</v>
      </c>
      <c r="U780" t="s">
        <v>137</v>
      </c>
    </row>
    <row r="781" spans="1:21" x14ac:dyDescent="0.25">
      <c r="A781" t="s">
        <v>118</v>
      </c>
      <c r="B781" t="s">
        <v>2130</v>
      </c>
      <c r="C781">
        <v>156166</v>
      </c>
      <c r="D781" t="s">
        <v>2131</v>
      </c>
      <c r="E781" t="s">
        <v>130</v>
      </c>
      <c r="F781" t="s">
        <v>86</v>
      </c>
      <c r="G781" t="s">
        <v>96</v>
      </c>
      <c r="H781" t="s">
        <v>122</v>
      </c>
      <c r="I781" t="s">
        <v>122</v>
      </c>
      <c r="J781" s="127">
        <v>46083.432638888888</v>
      </c>
      <c r="K781" s="127">
        <v>46083.757638888892</v>
      </c>
      <c r="L781" s="127">
        <v>46085</v>
      </c>
      <c r="M781" s="127">
        <v>46087.609722222223</v>
      </c>
      <c r="N781" t="s">
        <v>75</v>
      </c>
      <c r="O781" t="s">
        <v>122</v>
      </c>
      <c r="P781" t="s">
        <v>122</v>
      </c>
      <c r="Q781">
        <v>154048</v>
      </c>
      <c r="R781" t="s">
        <v>2112</v>
      </c>
      <c r="S781" t="s">
        <v>2113</v>
      </c>
      <c r="T781" t="s">
        <v>2077</v>
      </c>
      <c r="U781" t="s">
        <v>137</v>
      </c>
    </row>
    <row r="782" spans="1:21" x14ac:dyDescent="0.25">
      <c r="A782" t="s">
        <v>118</v>
      </c>
      <c r="B782" t="s">
        <v>2132</v>
      </c>
      <c r="C782">
        <v>156164</v>
      </c>
      <c r="D782" t="s">
        <v>2129</v>
      </c>
      <c r="E782" t="s">
        <v>130</v>
      </c>
      <c r="F782" t="s">
        <v>86</v>
      </c>
      <c r="G782" t="s">
        <v>96</v>
      </c>
      <c r="H782" t="s">
        <v>122</v>
      </c>
      <c r="I782" t="s">
        <v>122</v>
      </c>
      <c r="J782" s="127">
        <v>46083.432638888888</v>
      </c>
      <c r="K782" s="127">
        <v>46083.756249999999</v>
      </c>
      <c r="L782" s="127">
        <v>46084</v>
      </c>
      <c r="M782" s="127">
        <v>46085.458333333336</v>
      </c>
      <c r="N782" t="s">
        <v>75</v>
      </c>
      <c r="O782" t="s">
        <v>122</v>
      </c>
      <c r="P782" t="s">
        <v>122</v>
      </c>
      <c r="Q782">
        <v>154048</v>
      </c>
      <c r="R782" t="s">
        <v>2112</v>
      </c>
      <c r="S782" t="s">
        <v>2113</v>
      </c>
      <c r="T782" t="s">
        <v>2077</v>
      </c>
      <c r="U782" t="s">
        <v>137</v>
      </c>
    </row>
    <row r="783" spans="1:21" x14ac:dyDescent="0.25">
      <c r="A783" t="s">
        <v>127</v>
      </c>
      <c r="B783" t="s">
        <v>2133</v>
      </c>
      <c r="C783">
        <v>153997</v>
      </c>
      <c r="D783" t="s">
        <v>2134</v>
      </c>
      <c r="E783" t="s">
        <v>130</v>
      </c>
      <c r="F783" t="s">
        <v>86</v>
      </c>
      <c r="G783" t="s">
        <v>94</v>
      </c>
      <c r="H783" t="s">
        <v>122</v>
      </c>
      <c r="I783" t="s">
        <v>122</v>
      </c>
      <c r="J783" s="127">
        <v>46072.490277777775</v>
      </c>
      <c r="K783" s="127">
        <v>46072.7</v>
      </c>
      <c r="L783" s="127">
        <v>46072</v>
      </c>
      <c r="M783" s="127">
        <v>46073.473611111112</v>
      </c>
      <c r="N783" t="s">
        <v>75</v>
      </c>
      <c r="O783" t="s">
        <v>122</v>
      </c>
      <c r="P783" t="s">
        <v>122</v>
      </c>
      <c r="R783" t="s">
        <v>122</v>
      </c>
      <c r="S783" t="s">
        <v>122</v>
      </c>
      <c r="T783" t="s">
        <v>2070</v>
      </c>
      <c r="U783" t="s">
        <v>137</v>
      </c>
    </row>
    <row r="784" spans="1:21" x14ac:dyDescent="0.25">
      <c r="A784" t="s">
        <v>142</v>
      </c>
      <c r="B784" t="s">
        <v>2135</v>
      </c>
      <c r="C784">
        <v>150008</v>
      </c>
      <c r="D784" t="s">
        <v>2136</v>
      </c>
      <c r="E784" t="s">
        <v>130</v>
      </c>
      <c r="F784" t="s">
        <v>86</v>
      </c>
      <c r="G784" t="s">
        <v>2137</v>
      </c>
      <c r="H784" t="s">
        <v>122</v>
      </c>
      <c r="I784" t="s">
        <v>122</v>
      </c>
      <c r="J784" s="127">
        <v>46055.474999999999</v>
      </c>
      <c r="K784" s="127">
        <v>46055</v>
      </c>
      <c r="L784" s="127">
        <v>46057</v>
      </c>
      <c r="M784" s="127">
        <v>46059.649305555555</v>
      </c>
      <c r="N784" t="s">
        <v>75</v>
      </c>
      <c r="O784" t="s">
        <v>122</v>
      </c>
      <c r="P784" t="s">
        <v>122</v>
      </c>
      <c r="R784" t="s">
        <v>122</v>
      </c>
      <c r="S784" t="s">
        <v>122</v>
      </c>
      <c r="T784" t="s">
        <v>2138</v>
      </c>
      <c r="U784" t="s">
        <v>137</v>
      </c>
    </row>
    <row r="785" spans="1:21" x14ac:dyDescent="0.25">
      <c r="A785" t="s">
        <v>127</v>
      </c>
      <c r="B785" t="s">
        <v>2139</v>
      </c>
      <c r="C785">
        <v>146254</v>
      </c>
      <c r="D785" t="s">
        <v>2140</v>
      </c>
      <c r="E785" t="s">
        <v>130</v>
      </c>
      <c r="F785" t="s">
        <v>86</v>
      </c>
      <c r="G785" t="s">
        <v>2137</v>
      </c>
      <c r="H785" t="s">
        <v>122</v>
      </c>
      <c r="I785" t="s">
        <v>122</v>
      </c>
      <c r="J785" s="127">
        <v>46034.486111111109</v>
      </c>
      <c r="K785" s="127">
        <v>46034</v>
      </c>
      <c r="L785" s="127">
        <v>46035</v>
      </c>
      <c r="M785" s="127">
        <v>46044.486111111109</v>
      </c>
      <c r="N785" t="s">
        <v>72</v>
      </c>
      <c r="O785" t="s">
        <v>122</v>
      </c>
      <c r="P785" t="s">
        <v>122</v>
      </c>
      <c r="R785" t="s">
        <v>122</v>
      </c>
      <c r="S785" t="s">
        <v>122</v>
      </c>
      <c r="T785" t="s">
        <v>2138</v>
      </c>
      <c r="U785" t="s">
        <v>126</v>
      </c>
    </row>
    <row r="786" spans="1:21" x14ac:dyDescent="0.25">
      <c r="A786" t="s">
        <v>118</v>
      </c>
      <c r="B786" t="s">
        <v>2141</v>
      </c>
      <c r="C786">
        <v>142937</v>
      </c>
      <c r="D786" t="s">
        <v>2142</v>
      </c>
      <c r="E786" t="s">
        <v>130</v>
      </c>
      <c r="F786" t="s">
        <v>86</v>
      </c>
      <c r="G786" t="s">
        <v>94</v>
      </c>
      <c r="H786" t="s">
        <v>122</v>
      </c>
      <c r="I786" t="s">
        <v>122</v>
      </c>
      <c r="J786" s="127">
        <v>46027.362500000003</v>
      </c>
      <c r="K786" s="127">
        <v>46028.543749999997</v>
      </c>
      <c r="L786" s="127">
        <v>46028</v>
      </c>
      <c r="M786" s="127">
        <v>46031.477083333331</v>
      </c>
      <c r="N786" t="s">
        <v>72</v>
      </c>
      <c r="O786" t="s">
        <v>122</v>
      </c>
      <c r="P786" t="s">
        <v>122</v>
      </c>
      <c r="Q786">
        <v>34431</v>
      </c>
      <c r="R786" t="s">
        <v>2143</v>
      </c>
      <c r="S786" t="s">
        <v>2144</v>
      </c>
      <c r="T786" t="s">
        <v>2070</v>
      </c>
      <c r="U786" t="s">
        <v>126</v>
      </c>
    </row>
    <row r="787" spans="1:21" x14ac:dyDescent="0.25">
      <c r="A787" t="s">
        <v>118</v>
      </c>
      <c r="B787" t="s">
        <v>2145</v>
      </c>
      <c r="C787">
        <v>142926</v>
      </c>
      <c r="D787" t="s">
        <v>2146</v>
      </c>
      <c r="E787" t="s">
        <v>121</v>
      </c>
      <c r="F787" t="s">
        <v>122</v>
      </c>
      <c r="G787" t="s">
        <v>94</v>
      </c>
      <c r="H787" t="s">
        <v>122</v>
      </c>
      <c r="I787" t="s">
        <v>122</v>
      </c>
      <c r="J787" s="127">
        <v>46027.355555555558</v>
      </c>
      <c r="K787" s="127"/>
      <c r="L787" s="127"/>
      <c r="M787" s="127"/>
      <c r="N787" t="s">
        <v>72</v>
      </c>
      <c r="O787" t="s">
        <v>122</v>
      </c>
      <c r="P787" t="s">
        <v>122</v>
      </c>
      <c r="R787" t="s">
        <v>122</v>
      </c>
      <c r="S787" t="s">
        <v>122</v>
      </c>
      <c r="T787" t="s">
        <v>2070</v>
      </c>
      <c r="U787" t="s">
        <v>126</v>
      </c>
    </row>
    <row r="788" spans="1:21" x14ac:dyDescent="0.25">
      <c r="A788" t="s">
        <v>118</v>
      </c>
      <c r="B788" t="s">
        <v>2147</v>
      </c>
      <c r="C788">
        <v>158927</v>
      </c>
      <c r="D788" t="s">
        <v>2148</v>
      </c>
      <c r="E788" t="s">
        <v>422</v>
      </c>
      <c r="F788" t="s">
        <v>497</v>
      </c>
      <c r="G788" t="s">
        <v>674</v>
      </c>
      <c r="H788" t="s">
        <v>122</v>
      </c>
      <c r="I788" t="s">
        <v>122</v>
      </c>
      <c r="J788" s="127">
        <v>46093.655555555553</v>
      </c>
      <c r="K788" s="127"/>
      <c r="L788" s="127"/>
      <c r="M788" s="127"/>
      <c r="N788" t="s">
        <v>499</v>
      </c>
      <c r="O788" t="s">
        <v>122</v>
      </c>
      <c r="P788" t="s">
        <v>122</v>
      </c>
      <c r="Q788">
        <v>42326</v>
      </c>
      <c r="R788" t="s">
        <v>2149</v>
      </c>
      <c r="S788" t="s">
        <v>2150</v>
      </c>
      <c r="T788" t="s">
        <v>675</v>
      </c>
      <c r="U788" t="s">
        <v>503</v>
      </c>
    </row>
    <row r="789" spans="1:21" x14ac:dyDescent="0.25">
      <c r="A789" t="s">
        <v>118</v>
      </c>
      <c r="B789" t="s">
        <v>2151</v>
      </c>
      <c r="C789">
        <v>158925</v>
      </c>
      <c r="D789" t="s">
        <v>2152</v>
      </c>
      <c r="E789" t="s">
        <v>422</v>
      </c>
      <c r="F789" t="s">
        <v>497</v>
      </c>
      <c r="G789" t="s">
        <v>674</v>
      </c>
      <c r="H789" t="s">
        <v>122</v>
      </c>
      <c r="I789" t="s">
        <v>122</v>
      </c>
      <c r="J789" s="127">
        <v>46093.654166666667</v>
      </c>
      <c r="K789" s="127"/>
      <c r="L789" s="127"/>
      <c r="M789" s="127"/>
      <c r="N789" t="s">
        <v>499</v>
      </c>
      <c r="O789" t="s">
        <v>122</v>
      </c>
      <c r="P789" t="s">
        <v>122</v>
      </c>
      <c r="Q789">
        <v>42326</v>
      </c>
      <c r="R789" t="s">
        <v>2149</v>
      </c>
      <c r="S789" t="s">
        <v>2150</v>
      </c>
      <c r="T789" t="s">
        <v>675</v>
      </c>
      <c r="U789" t="s">
        <v>503</v>
      </c>
    </row>
    <row r="790" spans="1:21" x14ac:dyDescent="0.25">
      <c r="A790" t="s">
        <v>127</v>
      </c>
      <c r="B790" t="s">
        <v>2153</v>
      </c>
      <c r="C790">
        <v>157809</v>
      </c>
      <c r="D790" t="s">
        <v>2154</v>
      </c>
      <c r="E790" t="s">
        <v>130</v>
      </c>
      <c r="F790" t="s">
        <v>497</v>
      </c>
      <c r="G790" t="s">
        <v>674</v>
      </c>
      <c r="H790" t="s">
        <v>122</v>
      </c>
      <c r="I790" t="s">
        <v>122</v>
      </c>
      <c r="J790" s="127">
        <v>46090.377083333333</v>
      </c>
      <c r="K790" s="127">
        <v>46094</v>
      </c>
      <c r="L790" s="127">
        <v>46090</v>
      </c>
      <c r="M790" s="127">
        <v>46090.379166666666</v>
      </c>
      <c r="N790" t="s">
        <v>122</v>
      </c>
      <c r="O790" t="s">
        <v>122</v>
      </c>
      <c r="P790" t="s">
        <v>122</v>
      </c>
      <c r="Q790">
        <v>42325</v>
      </c>
      <c r="R790" t="s">
        <v>2155</v>
      </c>
      <c r="S790" t="s">
        <v>2156</v>
      </c>
      <c r="T790" t="s">
        <v>675</v>
      </c>
      <c r="U790" t="s">
        <v>450</v>
      </c>
    </row>
    <row r="791" spans="1:21" x14ac:dyDescent="0.25">
      <c r="A791" t="s">
        <v>127</v>
      </c>
      <c r="B791" t="s">
        <v>2157</v>
      </c>
      <c r="C791">
        <v>157655</v>
      </c>
      <c r="D791" t="s">
        <v>2158</v>
      </c>
      <c r="E791" t="s">
        <v>130</v>
      </c>
      <c r="F791" t="s">
        <v>497</v>
      </c>
      <c r="G791" t="s">
        <v>674</v>
      </c>
      <c r="H791" t="s">
        <v>122</v>
      </c>
      <c r="I791" t="s">
        <v>122</v>
      </c>
      <c r="J791" s="127">
        <v>46087.505555555559</v>
      </c>
      <c r="K791" s="127">
        <v>46087</v>
      </c>
      <c r="L791" s="127">
        <v>46087</v>
      </c>
      <c r="M791" s="127">
        <v>46094.413888888892</v>
      </c>
      <c r="N791" t="s">
        <v>122</v>
      </c>
      <c r="O791" t="s">
        <v>122</v>
      </c>
      <c r="P791" t="s">
        <v>122</v>
      </c>
      <c r="R791" t="s">
        <v>122</v>
      </c>
      <c r="S791" t="s">
        <v>122</v>
      </c>
      <c r="T791" t="s">
        <v>675</v>
      </c>
      <c r="U791" t="s">
        <v>450</v>
      </c>
    </row>
    <row r="792" spans="1:21" x14ac:dyDescent="0.25">
      <c r="A792" t="s">
        <v>127</v>
      </c>
      <c r="B792" t="s">
        <v>2159</v>
      </c>
      <c r="C792">
        <v>156629</v>
      </c>
      <c r="D792" t="s">
        <v>2160</v>
      </c>
      <c r="E792" t="s">
        <v>130</v>
      </c>
      <c r="F792" t="s">
        <v>497</v>
      </c>
      <c r="G792" t="s">
        <v>674</v>
      </c>
      <c r="H792" t="s">
        <v>122</v>
      </c>
      <c r="I792" t="s">
        <v>122</v>
      </c>
      <c r="J792" s="127">
        <v>46084.615972222222</v>
      </c>
      <c r="K792" s="127">
        <v>46084</v>
      </c>
      <c r="L792" s="127">
        <v>46084</v>
      </c>
      <c r="M792" s="127">
        <v>46090.470138888886</v>
      </c>
      <c r="N792" t="s">
        <v>122</v>
      </c>
      <c r="O792" t="s">
        <v>122</v>
      </c>
      <c r="P792" t="s">
        <v>122</v>
      </c>
      <c r="R792" t="s">
        <v>122</v>
      </c>
      <c r="S792" t="s">
        <v>122</v>
      </c>
      <c r="T792" t="s">
        <v>675</v>
      </c>
      <c r="U792" t="s">
        <v>450</v>
      </c>
    </row>
    <row r="793" spans="1:21" x14ac:dyDescent="0.25">
      <c r="A793" t="s">
        <v>127</v>
      </c>
      <c r="B793" t="s">
        <v>2161</v>
      </c>
      <c r="C793">
        <v>156134</v>
      </c>
      <c r="D793" t="s">
        <v>2162</v>
      </c>
      <c r="E793" t="s">
        <v>130</v>
      </c>
      <c r="F793" t="s">
        <v>497</v>
      </c>
      <c r="G793" t="s">
        <v>674</v>
      </c>
      <c r="H793" t="s">
        <v>122</v>
      </c>
      <c r="I793" t="s">
        <v>122</v>
      </c>
      <c r="J793" s="127">
        <v>46083.39166666667</v>
      </c>
      <c r="K793" s="127">
        <v>46083</v>
      </c>
      <c r="L793" s="127">
        <v>46083</v>
      </c>
      <c r="M793" s="127">
        <v>46090.376388888886</v>
      </c>
      <c r="N793" t="s">
        <v>122</v>
      </c>
      <c r="O793" t="s">
        <v>122</v>
      </c>
      <c r="P793" t="s">
        <v>122</v>
      </c>
      <c r="Q793">
        <v>42325</v>
      </c>
      <c r="R793" t="s">
        <v>2155</v>
      </c>
      <c r="S793" t="s">
        <v>2156</v>
      </c>
      <c r="T793" t="s">
        <v>675</v>
      </c>
      <c r="U793" t="s">
        <v>450</v>
      </c>
    </row>
    <row r="794" spans="1:21" x14ac:dyDescent="0.25">
      <c r="A794" t="s">
        <v>127</v>
      </c>
      <c r="B794" t="s">
        <v>2163</v>
      </c>
      <c r="C794">
        <v>155690</v>
      </c>
      <c r="D794" t="s">
        <v>2164</v>
      </c>
      <c r="E794" t="s">
        <v>130</v>
      </c>
      <c r="F794" t="s">
        <v>497</v>
      </c>
      <c r="G794" t="s">
        <v>674</v>
      </c>
      <c r="H794" t="s">
        <v>122</v>
      </c>
      <c r="I794" t="s">
        <v>122</v>
      </c>
      <c r="J794" s="127">
        <v>46079.604861111111</v>
      </c>
      <c r="K794" s="127">
        <v>46079.730555555558</v>
      </c>
      <c r="L794" s="127">
        <v>46079.730555555558</v>
      </c>
      <c r="M794" s="127">
        <v>46083.42083333333</v>
      </c>
      <c r="N794" t="s">
        <v>122</v>
      </c>
      <c r="O794" t="s">
        <v>122</v>
      </c>
      <c r="P794" t="s">
        <v>122</v>
      </c>
      <c r="R794" t="s">
        <v>122</v>
      </c>
      <c r="S794" t="s">
        <v>122</v>
      </c>
      <c r="T794" t="s">
        <v>675</v>
      </c>
      <c r="U794" t="s">
        <v>450</v>
      </c>
    </row>
    <row r="795" spans="1:21" x14ac:dyDescent="0.25">
      <c r="A795" t="s">
        <v>127</v>
      </c>
      <c r="B795" t="s">
        <v>2165</v>
      </c>
      <c r="C795">
        <v>152961</v>
      </c>
      <c r="D795" t="s">
        <v>2166</v>
      </c>
      <c r="E795" t="s">
        <v>130</v>
      </c>
      <c r="F795" t="s">
        <v>497</v>
      </c>
      <c r="G795" t="s">
        <v>674</v>
      </c>
      <c r="H795" t="s">
        <v>122</v>
      </c>
      <c r="I795" t="s">
        <v>122</v>
      </c>
      <c r="J795" s="127">
        <v>46065.357638888891</v>
      </c>
      <c r="K795" s="127">
        <v>46073.501388888886</v>
      </c>
      <c r="L795" s="127">
        <v>46073</v>
      </c>
      <c r="M795" s="127">
        <v>46084.618055555555</v>
      </c>
      <c r="N795" t="s">
        <v>122</v>
      </c>
      <c r="O795" t="s">
        <v>122</v>
      </c>
      <c r="P795" t="s">
        <v>122</v>
      </c>
      <c r="Q795">
        <v>42325</v>
      </c>
      <c r="R795" t="s">
        <v>2155</v>
      </c>
      <c r="S795" t="s">
        <v>2156</v>
      </c>
      <c r="T795" t="s">
        <v>675</v>
      </c>
      <c r="U795" t="s">
        <v>450</v>
      </c>
    </row>
    <row r="796" spans="1:21" x14ac:dyDescent="0.25">
      <c r="A796" t="s">
        <v>127</v>
      </c>
      <c r="B796" t="s">
        <v>2167</v>
      </c>
      <c r="C796">
        <v>151731</v>
      </c>
      <c r="D796" t="s">
        <v>2168</v>
      </c>
      <c r="E796" t="s">
        <v>130</v>
      </c>
      <c r="F796" t="s">
        <v>497</v>
      </c>
      <c r="G796" t="s">
        <v>674</v>
      </c>
      <c r="H796" t="s">
        <v>122</v>
      </c>
      <c r="I796" t="s">
        <v>122</v>
      </c>
      <c r="J796" s="127">
        <v>46062.693055555559</v>
      </c>
      <c r="K796" s="127">
        <v>46066.814583333333</v>
      </c>
      <c r="L796" s="127">
        <v>46066</v>
      </c>
      <c r="M796" s="127">
        <v>46084.622916666667</v>
      </c>
      <c r="N796" t="s">
        <v>122</v>
      </c>
      <c r="O796" t="s">
        <v>122</v>
      </c>
      <c r="P796" t="s">
        <v>122</v>
      </c>
      <c r="Q796">
        <v>42325</v>
      </c>
      <c r="R796" t="s">
        <v>2155</v>
      </c>
      <c r="S796" t="s">
        <v>2156</v>
      </c>
      <c r="T796" t="s">
        <v>675</v>
      </c>
      <c r="U796" t="s">
        <v>450</v>
      </c>
    </row>
    <row r="797" spans="1:21" x14ac:dyDescent="0.25">
      <c r="A797" t="s">
        <v>127</v>
      </c>
      <c r="B797" t="s">
        <v>2169</v>
      </c>
      <c r="C797">
        <v>151730</v>
      </c>
      <c r="D797" t="s">
        <v>2170</v>
      </c>
      <c r="E797" t="s">
        <v>130</v>
      </c>
      <c r="F797" t="s">
        <v>497</v>
      </c>
      <c r="G797" t="s">
        <v>674</v>
      </c>
      <c r="H797" t="s">
        <v>122</v>
      </c>
      <c r="I797" t="s">
        <v>122</v>
      </c>
      <c r="J797" s="127">
        <v>46062.692361111112</v>
      </c>
      <c r="K797" s="127">
        <v>46063.561111111114</v>
      </c>
      <c r="L797" s="127">
        <v>46064</v>
      </c>
      <c r="M797" s="127">
        <v>46073.7</v>
      </c>
      <c r="N797" t="s">
        <v>122</v>
      </c>
      <c r="O797" t="s">
        <v>122</v>
      </c>
      <c r="P797" t="s">
        <v>122</v>
      </c>
      <c r="Q797">
        <v>42325</v>
      </c>
      <c r="R797" t="s">
        <v>2155</v>
      </c>
      <c r="S797" t="s">
        <v>2156</v>
      </c>
      <c r="T797" t="s">
        <v>675</v>
      </c>
      <c r="U797" t="s">
        <v>450</v>
      </c>
    </row>
    <row r="798" spans="1:21" x14ac:dyDescent="0.25">
      <c r="A798" t="s">
        <v>118</v>
      </c>
      <c r="B798" t="s">
        <v>2171</v>
      </c>
      <c r="C798">
        <v>151563</v>
      </c>
      <c r="D798" t="s">
        <v>2172</v>
      </c>
      <c r="E798" t="s">
        <v>130</v>
      </c>
      <c r="F798" t="s">
        <v>497</v>
      </c>
      <c r="G798" t="s">
        <v>674</v>
      </c>
      <c r="H798" t="s">
        <v>122</v>
      </c>
      <c r="I798" t="s">
        <v>122</v>
      </c>
      <c r="J798" s="127">
        <v>46062.390277777777</v>
      </c>
      <c r="K798" s="127">
        <v>46062.761111111111</v>
      </c>
      <c r="L798" s="127">
        <v>46062</v>
      </c>
      <c r="M798" s="127">
        <v>46064.385416666664</v>
      </c>
      <c r="N798" t="s">
        <v>122</v>
      </c>
      <c r="O798" t="s">
        <v>122</v>
      </c>
      <c r="P798" t="s">
        <v>122</v>
      </c>
      <c r="Q798">
        <v>42325</v>
      </c>
      <c r="R798" t="s">
        <v>2155</v>
      </c>
      <c r="S798" t="s">
        <v>2156</v>
      </c>
      <c r="T798" t="s">
        <v>675</v>
      </c>
      <c r="U798" t="s">
        <v>450</v>
      </c>
    </row>
    <row r="799" spans="1:21" x14ac:dyDescent="0.25">
      <c r="A799" t="s">
        <v>118</v>
      </c>
      <c r="B799" t="s">
        <v>2173</v>
      </c>
      <c r="C799">
        <v>149983</v>
      </c>
      <c r="D799" t="s">
        <v>2174</v>
      </c>
      <c r="E799" t="s">
        <v>130</v>
      </c>
      <c r="F799" t="s">
        <v>497</v>
      </c>
      <c r="G799" t="s">
        <v>674</v>
      </c>
      <c r="H799" t="s">
        <v>122</v>
      </c>
      <c r="I799" t="s">
        <v>122</v>
      </c>
      <c r="J799" s="127">
        <v>46055.450694444444</v>
      </c>
      <c r="K799" s="127">
        <v>46064.705555555556</v>
      </c>
      <c r="L799" s="127">
        <v>46064</v>
      </c>
      <c r="M799" s="127">
        <v>46093.62222222222</v>
      </c>
      <c r="N799" t="s">
        <v>122</v>
      </c>
      <c r="O799" t="s">
        <v>122</v>
      </c>
      <c r="P799" t="s">
        <v>122</v>
      </c>
      <c r="Q799">
        <v>42325</v>
      </c>
      <c r="R799" t="s">
        <v>2155</v>
      </c>
      <c r="S799" t="s">
        <v>2156</v>
      </c>
      <c r="T799" t="s">
        <v>675</v>
      </c>
      <c r="U799" t="s">
        <v>450</v>
      </c>
    </row>
    <row r="800" spans="1:21" x14ac:dyDescent="0.25">
      <c r="A800" t="s">
        <v>142</v>
      </c>
      <c r="B800" t="s">
        <v>2175</v>
      </c>
      <c r="C800">
        <v>149966</v>
      </c>
      <c r="D800" t="s">
        <v>2176</v>
      </c>
      <c r="E800" t="s">
        <v>130</v>
      </c>
      <c r="F800" t="s">
        <v>497</v>
      </c>
      <c r="G800" t="s">
        <v>674</v>
      </c>
      <c r="H800" t="s">
        <v>122</v>
      </c>
      <c r="I800" t="s">
        <v>122</v>
      </c>
      <c r="J800" s="127">
        <v>46055.445138888892</v>
      </c>
      <c r="K800" s="127">
        <v>46055.570833333331</v>
      </c>
      <c r="L800" s="127">
        <v>46056</v>
      </c>
      <c r="M800" s="127">
        <v>46056.642361111109</v>
      </c>
      <c r="N800" t="s">
        <v>122</v>
      </c>
      <c r="O800" t="s">
        <v>122</v>
      </c>
      <c r="P800" t="s">
        <v>122</v>
      </c>
      <c r="Q800">
        <v>42331</v>
      </c>
      <c r="R800" t="s">
        <v>2177</v>
      </c>
      <c r="S800" t="s">
        <v>2178</v>
      </c>
      <c r="T800" t="s">
        <v>675</v>
      </c>
      <c r="U800" t="s">
        <v>450</v>
      </c>
    </row>
    <row r="801" spans="1:21" x14ac:dyDescent="0.25">
      <c r="A801" t="s">
        <v>127</v>
      </c>
      <c r="B801" t="s">
        <v>2179</v>
      </c>
      <c r="C801">
        <v>148717</v>
      </c>
      <c r="D801" t="s">
        <v>2180</v>
      </c>
      <c r="E801" t="s">
        <v>130</v>
      </c>
      <c r="F801" t="s">
        <v>497</v>
      </c>
      <c r="G801" t="s">
        <v>674</v>
      </c>
      <c r="H801" t="s">
        <v>122</v>
      </c>
      <c r="I801" t="s">
        <v>122</v>
      </c>
      <c r="J801" s="127">
        <v>46049.367361111108</v>
      </c>
      <c r="K801" s="127">
        <v>46049</v>
      </c>
      <c r="L801" s="127">
        <v>46049</v>
      </c>
      <c r="M801" s="127">
        <v>46052.693055555559</v>
      </c>
      <c r="N801" t="s">
        <v>122</v>
      </c>
      <c r="O801" t="s">
        <v>122</v>
      </c>
      <c r="P801" t="s">
        <v>122</v>
      </c>
      <c r="Q801">
        <v>75791</v>
      </c>
      <c r="R801" t="s">
        <v>1453</v>
      </c>
      <c r="S801" t="s">
        <v>1454</v>
      </c>
      <c r="T801" t="s">
        <v>675</v>
      </c>
      <c r="U801" t="s">
        <v>450</v>
      </c>
    </row>
    <row r="802" spans="1:21" x14ac:dyDescent="0.25">
      <c r="A802" t="s">
        <v>118</v>
      </c>
      <c r="B802" t="s">
        <v>2181</v>
      </c>
      <c r="C802">
        <v>148494</v>
      </c>
      <c r="D802" t="s">
        <v>2182</v>
      </c>
      <c r="E802" t="s">
        <v>130</v>
      </c>
      <c r="F802" t="s">
        <v>497</v>
      </c>
      <c r="G802" t="s">
        <v>674</v>
      </c>
      <c r="H802" t="s">
        <v>122</v>
      </c>
      <c r="I802" t="s">
        <v>122</v>
      </c>
      <c r="J802" s="127">
        <v>46048.435416666667</v>
      </c>
      <c r="K802" s="127">
        <v>46051.779861111114</v>
      </c>
      <c r="L802" s="127">
        <v>46051</v>
      </c>
      <c r="M802" s="127">
        <v>46051.654861111114</v>
      </c>
      <c r="N802" t="s">
        <v>122</v>
      </c>
      <c r="O802" t="s">
        <v>122</v>
      </c>
      <c r="P802" t="s">
        <v>122</v>
      </c>
      <c r="Q802">
        <v>42330</v>
      </c>
      <c r="R802" t="s">
        <v>2183</v>
      </c>
      <c r="S802" t="s">
        <v>2184</v>
      </c>
      <c r="T802" t="s">
        <v>675</v>
      </c>
      <c r="U802" t="s">
        <v>450</v>
      </c>
    </row>
    <row r="803" spans="1:21" x14ac:dyDescent="0.25">
      <c r="A803" t="s">
        <v>142</v>
      </c>
      <c r="B803" t="s">
        <v>2185</v>
      </c>
      <c r="C803">
        <v>140505</v>
      </c>
      <c r="D803" t="s">
        <v>2186</v>
      </c>
      <c r="E803" t="s">
        <v>130</v>
      </c>
      <c r="F803" t="s">
        <v>497</v>
      </c>
      <c r="G803" t="s">
        <v>674</v>
      </c>
      <c r="H803" t="s">
        <v>122</v>
      </c>
      <c r="I803" t="s">
        <v>122</v>
      </c>
      <c r="J803" s="127">
        <v>46020.390972222223</v>
      </c>
      <c r="K803" s="127">
        <v>46052.511805555558</v>
      </c>
      <c r="L803" s="127">
        <v>46052</v>
      </c>
      <c r="M803" s="127">
        <v>46052.387499999997</v>
      </c>
      <c r="N803" t="s">
        <v>122</v>
      </c>
      <c r="O803" t="s">
        <v>122</v>
      </c>
      <c r="P803" t="s">
        <v>122</v>
      </c>
      <c r="Q803">
        <v>42326</v>
      </c>
      <c r="R803" t="s">
        <v>2149</v>
      </c>
      <c r="S803" t="s">
        <v>2150</v>
      </c>
      <c r="T803" t="s">
        <v>675</v>
      </c>
      <c r="U803" t="s">
        <v>450</v>
      </c>
    </row>
    <row r="804" spans="1:21" x14ac:dyDescent="0.25">
      <c r="A804" t="s">
        <v>118</v>
      </c>
      <c r="B804" t="s">
        <v>2187</v>
      </c>
      <c r="C804">
        <v>129105</v>
      </c>
      <c r="D804" t="s">
        <v>2188</v>
      </c>
      <c r="E804" t="s">
        <v>130</v>
      </c>
      <c r="F804" t="s">
        <v>497</v>
      </c>
      <c r="G804" t="s">
        <v>674</v>
      </c>
      <c r="H804" t="s">
        <v>122</v>
      </c>
      <c r="I804" t="s">
        <v>122</v>
      </c>
      <c r="J804" s="127">
        <v>46006.381249999999</v>
      </c>
      <c r="K804" s="127">
        <v>46013.494444444441</v>
      </c>
      <c r="L804" s="127">
        <v>46013</v>
      </c>
      <c r="M804" s="127">
        <v>46027.393055555556</v>
      </c>
      <c r="N804" t="s">
        <v>122</v>
      </c>
      <c r="O804" t="s">
        <v>122</v>
      </c>
      <c r="P804" t="s">
        <v>122</v>
      </c>
      <c r="Q804">
        <v>42330</v>
      </c>
      <c r="R804" t="s">
        <v>2183</v>
      </c>
      <c r="S804" t="s">
        <v>2184</v>
      </c>
      <c r="T804" t="s">
        <v>675</v>
      </c>
      <c r="U804" t="s">
        <v>450</v>
      </c>
    </row>
    <row r="805" spans="1:21" x14ac:dyDescent="0.25">
      <c r="A805" t="s">
        <v>118</v>
      </c>
      <c r="B805" t="s">
        <v>2189</v>
      </c>
      <c r="C805">
        <v>119731</v>
      </c>
      <c r="D805" t="s">
        <v>2190</v>
      </c>
      <c r="E805" t="s">
        <v>130</v>
      </c>
      <c r="F805" t="s">
        <v>497</v>
      </c>
      <c r="G805" t="s">
        <v>674</v>
      </c>
      <c r="H805" t="s">
        <v>122</v>
      </c>
      <c r="I805" t="s">
        <v>122</v>
      </c>
      <c r="J805" s="127">
        <v>45994.395833333336</v>
      </c>
      <c r="K805" s="127">
        <v>45996.511111111111</v>
      </c>
      <c r="L805" s="127">
        <v>45996</v>
      </c>
      <c r="M805" s="127">
        <v>46035.428472222222</v>
      </c>
      <c r="N805" t="s">
        <v>122</v>
      </c>
      <c r="O805" t="s">
        <v>122</v>
      </c>
      <c r="P805" t="s">
        <v>122</v>
      </c>
      <c r="Q805">
        <v>75791</v>
      </c>
      <c r="R805" t="s">
        <v>1453</v>
      </c>
      <c r="S805" t="s">
        <v>1454</v>
      </c>
      <c r="T805" t="s">
        <v>675</v>
      </c>
      <c r="U805" t="s">
        <v>450</v>
      </c>
    </row>
    <row r="806" spans="1:21" x14ac:dyDescent="0.25">
      <c r="A806" t="s">
        <v>253</v>
      </c>
      <c r="B806" t="s">
        <v>2191</v>
      </c>
      <c r="C806">
        <v>108405</v>
      </c>
      <c r="D806" t="s">
        <v>2192</v>
      </c>
      <c r="E806" t="s">
        <v>437</v>
      </c>
      <c r="F806" t="s">
        <v>497</v>
      </c>
      <c r="G806" t="s">
        <v>674</v>
      </c>
      <c r="H806" t="s">
        <v>122</v>
      </c>
      <c r="I806" t="s">
        <v>122</v>
      </c>
      <c r="J806" s="127">
        <v>45985.720833333333</v>
      </c>
      <c r="K806" s="127">
        <v>45985.84652777778</v>
      </c>
      <c r="L806" s="127">
        <v>45985.881249999999</v>
      </c>
      <c r="M806" s="127">
        <v>45987.482638888891</v>
      </c>
      <c r="N806" t="s">
        <v>122</v>
      </c>
      <c r="O806" t="s">
        <v>122</v>
      </c>
      <c r="P806" t="s">
        <v>122</v>
      </c>
      <c r="R806" t="s">
        <v>122</v>
      </c>
      <c r="S806" t="s">
        <v>122</v>
      </c>
      <c r="T806" t="s">
        <v>675</v>
      </c>
      <c r="U806" t="s">
        <v>450</v>
      </c>
    </row>
    <row r="807" spans="1:21" x14ac:dyDescent="0.25">
      <c r="A807" t="s">
        <v>118</v>
      </c>
      <c r="B807" t="s">
        <v>2193</v>
      </c>
      <c r="C807">
        <v>106685</v>
      </c>
      <c r="D807" t="s">
        <v>2194</v>
      </c>
      <c r="E807" t="s">
        <v>130</v>
      </c>
      <c r="F807" t="s">
        <v>497</v>
      </c>
      <c r="G807" t="s">
        <v>674</v>
      </c>
      <c r="H807" t="s">
        <v>122</v>
      </c>
      <c r="I807" t="s">
        <v>122</v>
      </c>
      <c r="J807" s="127">
        <v>45982.619444444441</v>
      </c>
      <c r="K807" s="127">
        <v>45985.711805555555</v>
      </c>
      <c r="L807" s="127">
        <v>45985.711805555555</v>
      </c>
      <c r="M807" s="127">
        <v>46085.635416666664</v>
      </c>
      <c r="N807" t="s">
        <v>122</v>
      </c>
      <c r="O807" t="s">
        <v>122</v>
      </c>
      <c r="P807" t="s">
        <v>122</v>
      </c>
      <c r="Q807">
        <v>42330</v>
      </c>
      <c r="R807" t="s">
        <v>2183</v>
      </c>
      <c r="S807" t="s">
        <v>2184</v>
      </c>
      <c r="T807" t="s">
        <v>675</v>
      </c>
      <c r="U807" t="s">
        <v>450</v>
      </c>
    </row>
    <row r="808" spans="1:21" x14ac:dyDescent="0.25">
      <c r="A808" t="s">
        <v>118</v>
      </c>
      <c r="B808" t="s">
        <v>2195</v>
      </c>
      <c r="C808">
        <v>106682</v>
      </c>
      <c r="D808" t="s">
        <v>2196</v>
      </c>
      <c r="E808" t="s">
        <v>130</v>
      </c>
      <c r="F808" t="s">
        <v>497</v>
      </c>
      <c r="G808" t="s">
        <v>674</v>
      </c>
      <c r="H808" t="s">
        <v>122</v>
      </c>
      <c r="I808" t="s">
        <v>122</v>
      </c>
      <c r="J808" s="127">
        <v>45982.61041666667</v>
      </c>
      <c r="K808" s="127">
        <v>45985.711111111108</v>
      </c>
      <c r="L808" s="127">
        <v>45987.617361111108</v>
      </c>
      <c r="M808" s="127">
        <v>45989.590277777781</v>
      </c>
      <c r="N808" t="s">
        <v>122</v>
      </c>
      <c r="O808" t="s">
        <v>122</v>
      </c>
      <c r="P808" t="s">
        <v>122</v>
      </c>
      <c r="Q808">
        <v>42330</v>
      </c>
      <c r="R808" t="s">
        <v>2183</v>
      </c>
      <c r="S808" t="s">
        <v>2184</v>
      </c>
      <c r="T808" t="s">
        <v>675</v>
      </c>
      <c r="U808" t="s">
        <v>450</v>
      </c>
    </row>
    <row r="809" spans="1:21" x14ac:dyDescent="0.25">
      <c r="A809" t="s">
        <v>142</v>
      </c>
      <c r="B809" t="s">
        <v>2197</v>
      </c>
      <c r="C809">
        <v>103203</v>
      </c>
      <c r="D809" t="s">
        <v>2198</v>
      </c>
      <c r="E809" t="s">
        <v>130</v>
      </c>
      <c r="F809" t="s">
        <v>497</v>
      </c>
      <c r="G809" t="s">
        <v>674</v>
      </c>
      <c r="H809" t="s">
        <v>122</v>
      </c>
      <c r="I809" t="s">
        <v>122</v>
      </c>
      <c r="J809" s="127">
        <v>45979.765277777777</v>
      </c>
      <c r="K809" s="127">
        <v>45979.894444444442</v>
      </c>
      <c r="L809" s="127">
        <v>45980.556250000001</v>
      </c>
      <c r="M809" s="127">
        <v>45980.70416666667</v>
      </c>
      <c r="N809" t="s">
        <v>122</v>
      </c>
      <c r="O809" t="s">
        <v>122</v>
      </c>
      <c r="P809" t="s">
        <v>122</v>
      </c>
      <c r="Q809">
        <v>42325</v>
      </c>
      <c r="R809" t="s">
        <v>2155</v>
      </c>
      <c r="S809" t="s">
        <v>2156</v>
      </c>
      <c r="T809" t="s">
        <v>675</v>
      </c>
      <c r="U809" t="s">
        <v>450</v>
      </c>
    </row>
    <row r="810" spans="1:21" x14ac:dyDescent="0.25">
      <c r="A810" t="s">
        <v>142</v>
      </c>
      <c r="B810" t="s">
        <v>2199</v>
      </c>
      <c r="C810">
        <v>103201</v>
      </c>
      <c r="D810" t="s">
        <v>2200</v>
      </c>
      <c r="E810" t="s">
        <v>130</v>
      </c>
      <c r="F810" t="s">
        <v>497</v>
      </c>
      <c r="G810" t="s">
        <v>674</v>
      </c>
      <c r="H810" t="s">
        <v>122</v>
      </c>
      <c r="I810" t="s">
        <v>122</v>
      </c>
      <c r="J810" s="127">
        <v>45979.763194444444</v>
      </c>
      <c r="K810" s="127">
        <v>45985.504166666666</v>
      </c>
      <c r="L810" s="127">
        <v>45985.504166666666</v>
      </c>
      <c r="M810" s="127">
        <v>45985.379166666666</v>
      </c>
      <c r="N810" t="s">
        <v>122</v>
      </c>
      <c r="O810" t="s">
        <v>122</v>
      </c>
      <c r="P810" t="s">
        <v>122</v>
      </c>
      <c r="Q810">
        <v>42326</v>
      </c>
      <c r="R810" t="s">
        <v>2149</v>
      </c>
      <c r="S810" t="s">
        <v>2150</v>
      </c>
      <c r="T810" t="s">
        <v>675</v>
      </c>
      <c r="U810" t="s">
        <v>450</v>
      </c>
    </row>
    <row r="811" spans="1:21" x14ac:dyDescent="0.25">
      <c r="A811" t="s">
        <v>118</v>
      </c>
      <c r="B811" t="s">
        <v>2201</v>
      </c>
      <c r="C811">
        <v>89231</v>
      </c>
      <c r="D811" t="s">
        <v>2202</v>
      </c>
      <c r="E811" t="s">
        <v>130</v>
      </c>
      <c r="F811" t="s">
        <v>497</v>
      </c>
      <c r="G811" t="s">
        <v>674</v>
      </c>
      <c r="H811" t="s">
        <v>122</v>
      </c>
      <c r="I811" t="s">
        <v>122</v>
      </c>
      <c r="J811" s="127">
        <v>45967.494444444441</v>
      </c>
      <c r="K811" s="127">
        <v>45971.788194444445</v>
      </c>
      <c r="L811" s="127">
        <v>45971.788888888892</v>
      </c>
      <c r="M811" s="127">
        <v>45973.589583333334</v>
      </c>
      <c r="N811" t="s">
        <v>122</v>
      </c>
      <c r="O811" t="s">
        <v>122</v>
      </c>
      <c r="P811" t="s">
        <v>122</v>
      </c>
      <c r="Q811">
        <v>42325</v>
      </c>
      <c r="R811" t="s">
        <v>2155</v>
      </c>
      <c r="S811" t="s">
        <v>2156</v>
      </c>
      <c r="T811" t="s">
        <v>675</v>
      </c>
      <c r="U811" t="s">
        <v>450</v>
      </c>
    </row>
    <row r="812" spans="1:21" x14ac:dyDescent="0.25">
      <c r="A812" t="s">
        <v>253</v>
      </c>
      <c r="B812" t="s">
        <v>2203</v>
      </c>
      <c r="C812">
        <v>80595</v>
      </c>
      <c r="D812" t="s">
        <v>2204</v>
      </c>
      <c r="E812" t="s">
        <v>437</v>
      </c>
      <c r="F812" t="s">
        <v>497</v>
      </c>
      <c r="G812" t="s">
        <v>674</v>
      </c>
      <c r="H812" t="s">
        <v>122</v>
      </c>
      <c r="I812" t="s">
        <v>122</v>
      </c>
      <c r="J812" s="127">
        <v>45961.381944444445</v>
      </c>
      <c r="K812" s="127">
        <v>45961</v>
      </c>
      <c r="L812" s="127">
        <v>45961</v>
      </c>
      <c r="M812" s="127">
        <v>45965.382638888892</v>
      </c>
      <c r="N812" t="s">
        <v>122</v>
      </c>
      <c r="O812" t="s">
        <v>122</v>
      </c>
      <c r="P812" t="s">
        <v>122</v>
      </c>
      <c r="R812" t="s">
        <v>122</v>
      </c>
      <c r="S812" t="s">
        <v>122</v>
      </c>
      <c r="T812" t="s">
        <v>675</v>
      </c>
      <c r="U812" t="s">
        <v>450</v>
      </c>
    </row>
    <row r="813" spans="1:21" x14ac:dyDescent="0.25">
      <c r="A813" t="s">
        <v>253</v>
      </c>
      <c r="B813" t="s">
        <v>2205</v>
      </c>
      <c r="C813">
        <v>67591</v>
      </c>
      <c r="D813" t="s">
        <v>2206</v>
      </c>
      <c r="E813" t="s">
        <v>223</v>
      </c>
      <c r="F813" t="s">
        <v>122</v>
      </c>
      <c r="G813" t="s">
        <v>674</v>
      </c>
      <c r="H813" t="s">
        <v>122</v>
      </c>
      <c r="I813" t="s">
        <v>122</v>
      </c>
      <c r="J813" s="127">
        <v>45936.656944444447</v>
      </c>
      <c r="K813" s="127"/>
      <c r="L813" s="127"/>
      <c r="M813" s="127">
        <v>46001.620138888888</v>
      </c>
      <c r="N813" t="s">
        <v>122</v>
      </c>
      <c r="O813" t="s">
        <v>122</v>
      </c>
      <c r="P813" t="s">
        <v>122</v>
      </c>
      <c r="Q813">
        <v>42332</v>
      </c>
      <c r="R813" t="s">
        <v>2207</v>
      </c>
      <c r="S813" t="s">
        <v>2208</v>
      </c>
      <c r="T813" t="s">
        <v>675</v>
      </c>
      <c r="U813" t="s">
        <v>450</v>
      </c>
    </row>
    <row r="814" spans="1:21" x14ac:dyDescent="0.25">
      <c r="A814" t="s">
        <v>118</v>
      </c>
      <c r="B814" t="s">
        <v>2209</v>
      </c>
      <c r="C814">
        <v>66544</v>
      </c>
      <c r="D814" t="s">
        <v>2210</v>
      </c>
      <c r="E814" t="s">
        <v>130</v>
      </c>
      <c r="F814" t="s">
        <v>497</v>
      </c>
      <c r="G814" t="s">
        <v>674</v>
      </c>
      <c r="H814" t="s">
        <v>122</v>
      </c>
      <c r="I814" t="s">
        <v>122</v>
      </c>
      <c r="J814" s="127">
        <v>45934.409722222219</v>
      </c>
      <c r="K814" s="127">
        <v>46072.607638888891</v>
      </c>
      <c r="L814" s="127">
        <v>46072</v>
      </c>
      <c r="M814" s="127">
        <v>46099.786111111112</v>
      </c>
      <c r="N814" t="s">
        <v>122</v>
      </c>
      <c r="O814" t="s">
        <v>122</v>
      </c>
      <c r="P814" t="s">
        <v>122</v>
      </c>
      <c r="Q814">
        <v>42326</v>
      </c>
      <c r="R814" t="s">
        <v>2149</v>
      </c>
      <c r="S814" t="s">
        <v>2150</v>
      </c>
      <c r="T814" t="s">
        <v>675</v>
      </c>
      <c r="U814" t="s">
        <v>450</v>
      </c>
    </row>
    <row r="815" spans="1:21" x14ac:dyDescent="0.25">
      <c r="A815" t="s">
        <v>118</v>
      </c>
      <c r="B815" t="s">
        <v>2211</v>
      </c>
      <c r="C815">
        <v>66542</v>
      </c>
      <c r="D815" t="s">
        <v>2212</v>
      </c>
      <c r="E815" t="s">
        <v>223</v>
      </c>
      <c r="F815" t="s">
        <v>497</v>
      </c>
      <c r="G815" t="s">
        <v>674</v>
      </c>
      <c r="H815" t="s">
        <v>122</v>
      </c>
      <c r="I815" t="s">
        <v>122</v>
      </c>
      <c r="J815" s="127">
        <v>45934.406944444447</v>
      </c>
      <c r="K815" s="127"/>
      <c r="L815" s="127"/>
      <c r="M815" s="127">
        <v>46093.615277777775</v>
      </c>
      <c r="N815" t="s">
        <v>122</v>
      </c>
      <c r="O815" t="s">
        <v>122</v>
      </c>
      <c r="P815" t="s">
        <v>122</v>
      </c>
      <c r="Q815">
        <v>42326</v>
      </c>
      <c r="R815" t="s">
        <v>2149</v>
      </c>
      <c r="S815" t="s">
        <v>2150</v>
      </c>
      <c r="T815" t="s">
        <v>675</v>
      </c>
      <c r="U815" t="s">
        <v>450</v>
      </c>
    </row>
    <row r="816" spans="1:21" x14ac:dyDescent="0.25">
      <c r="A816" t="s">
        <v>118</v>
      </c>
      <c r="B816" t="s">
        <v>2213</v>
      </c>
      <c r="C816">
        <v>66540</v>
      </c>
      <c r="D816" t="s">
        <v>2214</v>
      </c>
      <c r="E816" t="s">
        <v>130</v>
      </c>
      <c r="F816" t="s">
        <v>497</v>
      </c>
      <c r="G816" t="s">
        <v>674</v>
      </c>
      <c r="H816" t="s">
        <v>122</v>
      </c>
      <c r="I816" t="s">
        <v>122</v>
      </c>
      <c r="J816" s="127">
        <v>45934.398611111108</v>
      </c>
      <c r="K816" s="127">
        <v>45939.508333333331</v>
      </c>
      <c r="L816" s="127">
        <v>45939.508333333331</v>
      </c>
      <c r="M816" s="127">
        <v>45964.390277777777</v>
      </c>
      <c r="N816" t="s">
        <v>122</v>
      </c>
      <c r="O816" t="s">
        <v>122</v>
      </c>
      <c r="P816" t="s">
        <v>122</v>
      </c>
      <c r="Q816">
        <v>42331</v>
      </c>
      <c r="R816" t="s">
        <v>2177</v>
      </c>
      <c r="S816" t="s">
        <v>2178</v>
      </c>
      <c r="T816" t="s">
        <v>675</v>
      </c>
      <c r="U816" t="s">
        <v>450</v>
      </c>
    </row>
    <row r="817" spans="1:21" x14ac:dyDescent="0.25">
      <c r="A817" t="s">
        <v>118</v>
      </c>
      <c r="B817" t="s">
        <v>2215</v>
      </c>
      <c r="C817">
        <v>66538</v>
      </c>
      <c r="D817" t="s">
        <v>2216</v>
      </c>
      <c r="E817" t="s">
        <v>130</v>
      </c>
      <c r="F817" t="s">
        <v>497</v>
      </c>
      <c r="G817" t="s">
        <v>674</v>
      </c>
      <c r="H817" t="s">
        <v>122</v>
      </c>
      <c r="I817" t="s">
        <v>122</v>
      </c>
      <c r="J817" s="127">
        <v>45934.395833333336</v>
      </c>
      <c r="K817" s="127">
        <v>45985.711111111108</v>
      </c>
      <c r="L817" s="127">
        <v>45985.711805555555</v>
      </c>
      <c r="M817" s="127">
        <v>46052.386111111111</v>
      </c>
      <c r="N817" t="s">
        <v>122</v>
      </c>
      <c r="O817" t="s">
        <v>122</v>
      </c>
      <c r="P817" t="s">
        <v>122</v>
      </c>
      <c r="Q817">
        <v>42330</v>
      </c>
      <c r="R817" t="s">
        <v>2183</v>
      </c>
      <c r="S817" t="s">
        <v>2184</v>
      </c>
      <c r="T817" t="s">
        <v>675</v>
      </c>
      <c r="U817" t="s">
        <v>450</v>
      </c>
    </row>
    <row r="818" spans="1:21" x14ac:dyDescent="0.25">
      <c r="A818" t="s">
        <v>118</v>
      </c>
      <c r="B818" t="s">
        <v>2217</v>
      </c>
      <c r="C818">
        <v>66536</v>
      </c>
      <c r="D818" t="s">
        <v>2218</v>
      </c>
      <c r="E818" t="s">
        <v>130</v>
      </c>
      <c r="F818" t="s">
        <v>497</v>
      </c>
      <c r="G818" t="s">
        <v>674</v>
      </c>
      <c r="H818" t="s">
        <v>122</v>
      </c>
      <c r="I818" t="s">
        <v>122</v>
      </c>
      <c r="J818" s="127">
        <v>45934.393055555556</v>
      </c>
      <c r="K818" s="127">
        <v>46028.489583333336</v>
      </c>
      <c r="L818" s="127">
        <v>46028</v>
      </c>
      <c r="M818" s="127">
        <v>46052.386111111111</v>
      </c>
      <c r="N818" t="s">
        <v>122</v>
      </c>
      <c r="O818" t="s">
        <v>122</v>
      </c>
      <c r="P818" t="s">
        <v>122</v>
      </c>
      <c r="Q818">
        <v>42325</v>
      </c>
      <c r="R818" t="s">
        <v>2155</v>
      </c>
      <c r="S818" t="s">
        <v>2156</v>
      </c>
      <c r="T818" t="s">
        <v>675</v>
      </c>
      <c r="U818" t="s">
        <v>450</v>
      </c>
    </row>
    <row r="819" spans="1:21" x14ac:dyDescent="0.25">
      <c r="A819" t="s">
        <v>118</v>
      </c>
      <c r="B819" t="s">
        <v>2219</v>
      </c>
      <c r="C819">
        <v>66534</v>
      </c>
      <c r="D819" t="s">
        <v>2220</v>
      </c>
      <c r="E819" t="s">
        <v>130</v>
      </c>
      <c r="F819" t="s">
        <v>497</v>
      </c>
      <c r="G819" t="s">
        <v>674</v>
      </c>
      <c r="H819" t="s">
        <v>122</v>
      </c>
      <c r="I819" t="s">
        <v>122</v>
      </c>
      <c r="J819" s="127">
        <v>45934.385416666664</v>
      </c>
      <c r="K819" s="127">
        <v>46093.75277777778</v>
      </c>
      <c r="L819" s="127">
        <v>46093</v>
      </c>
      <c r="M819" s="127">
        <v>46093.62777777778</v>
      </c>
      <c r="N819" t="s">
        <v>122</v>
      </c>
      <c r="O819" t="s">
        <v>122</v>
      </c>
      <c r="P819" t="s">
        <v>122</v>
      </c>
      <c r="Q819">
        <v>42332</v>
      </c>
      <c r="R819" t="s">
        <v>2207</v>
      </c>
      <c r="S819" t="s">
        <v>2208</v>
      </c>
      <c r="T819" t="s">
        <v>675</v>
      </c>
      <c r="U819" t="s">
        <v>450</v>
      </c>
    </row>
    <row r="820" spans="1:21" x14ac:dyDescent="0.25">
      <c r="A820" t="s">
        <v>118</v>
      </c>
      <c r="B820" t="s">
        <v>2221</v>
      </c>
      <c r="C820">
        <v>66532</v>
      </c>
      <c r="D820" t="s">
        <v>2222</v>
      </c>
      <c r="E820" t="s">
        <v>130</v>
      </c>
      <c r="F820" t="s">
        <v>497</v>
      </c>
      <c r="G820" t="s">
        <v>674</v>
      </c>
      <c r="H820" t="s">
        <v>122</v>
      </c>
      <c r="I820" t="s">
        <v>122</v>
      </c>
      <c r="J820" s="127">
        <v>45934.375</v>
      </c>
      <c r="K820" s="127">
        <v>45980.532638888886</v>
      </c>
      <c r="L820" s="127">
        <v>45980.532638888886</v>
      </c>
      <c r="M820" s="127">
        <v>45989.583333333336</v>
      </c>
      <c r="N820" t="s">
        <v>122</v>
      </c>
      <c r="O820" t="s">
        <v>122</v>
      </c>
      <c r="P820" t="s">
        <v>122</v>
      </c>
      <c r="Q820">
        <v>42326</v>
      </c>
      <c r="R820" t="s">
        <v>2149</v>
      </c>
      <c r="S820" t="s">
        <v>2150</v>
      </c>
      <c r="T820" t="s">
        <v>675</v>
      </c>
      <c r="U820" t="s">
        <v>450</v>
      </c>
    </row>
    <row r="821" spans="1:21" x14ac:dyDescent="0.25">
      <c r="A821" t="s">
        <v>253</v>
      </c>
      <c r="B821" t="s">
        <v>2223</v>
      </c>
      <c r="C821">
        <v>54233</v>
      </c>
      <c r="D821" t="s">
        <v>2224</v>
      </c>
      <c r="E821" t="s">
        <v>437</v>
      </c>
      <c r="F821" t="s">
        <v>497</v>
      </c>
      <c r="G821" t="s">
        <v>498</v>
      </c>
      <c r="H821" t="s">
        <v>122</v>
      </c>
      <c r="I821" t="s">
        <v>122</v>
      </c>
      <c r="J821" s="127">
        <v>45869.395833333336</v>
      </c>
      <c r="K821" s="127">
        <v>45869</v>
      </c>
      <c r="L821" s="127">
        <v>45869</v>
      </c>
      <c r="M821" s="127">
        <v>45876.385416666664</v>
      </c>
      <c r="N821" t="s">
        <v>122</v>
      </c>
      <c r="O821" t="s">
        <v>122</v>
      </c>
      <c r="P821" t="s">
        <v>122</v>
      </c>
      <c r="Q821">
        <v>48602</v>
      </c>
      <c r="R821" t="s">
        <v>2225</v>
      </c>
      <c r="S821" t="s">
        <v>2226</v>
      </c>
      <c r="T821" t="s">
        <v>502</v>
      </c>
      <c r="U821" t="s">
        <v>450</v>
      </c>
    </row>
    <row r="822" spans="1:21" x14ac:dyDescent="0.25">
      <c r="A822" t="s">
        <v>253</v>
      </c>
      <c r="B822" t="s">
        <v>2227</v>
      </c>
      <c r="C822">
        <v>47099</v>
      </c>
      <c r="D822" t="s">
        <v>2228</v>
      </c>
      <c r="E822" t="s">
        <v>437</v>
      </c>
      <c r="F822" t="s">
        <v>497</v>
      </c>
      <c r="G822" t="s">
        <v>674</v>
      </c>
      <c r="H822" t="s">
        <v>122</v>
      </c>
      <c r="I822" t="s">
        <v>122</v>
      </c>
      <c r="J822" s="127">
        <v>45826.734027777777</v>
      </c>
      <c r="K822" s="127"/>
      <c r="L822" s="127">
        <v>45828</v>
      </c>
      <c r="M822" s="127">
        <v>45831.609027777777</v>
      </c>
      <c r="N822" t="s">
        <v>122</v>
      </c>
      <c r="O822" t="s">
        <v>122</v>
      </c>
      <c r="P822" t="s">
        <v>122</v>
      </c>
      <c r="Q822">
        <v>40717</v>
      </c>
      <c r="R822" t="s">
        <v>2229</v>
      </c>
      <c r="S822" t="s">
        <v>2230</v>
      </c>
      <c r="T822" t="s">
        <v>675</v>
      </c>
      <c r="U822" t="s">
        <v>450</v>
      </c>
    </row>
    <row r="823" spans="1:21" x14ac:dyDescent="0.25">
      <c r="A823" t="s">
        <v>118</v>
      </c>
      <c r="B823" t="s">
        <v>2231</v>
      </c>
      <c r="C823">
        <v>43052</v>
      </c>
      <c r="D823" t="s">
        <v>2232</v>
      </c>
      <c r="E823" t="s">
        <v>223</v>
      </c>
      <c r="F823" t="s">
        <v>1569</v>
      </c>
      <c r="G823" t="s">
        <v>674</v>
      </c>
      <c r="H823" t="s">
        <v>122</v>
      </c>
      <c r="I823" t="s">
        <v>122</v>
      </c>
      <c r="J823" s="127">
        <v>45795.855555555558</v>
      </c>
      <c r="K823" s="127"/>
      <c r="L823" s="127"/>
      <c r="M823" s="127">
        <v>45954.582638888889</v>
      </c>
      <c r="N823" t="s">
        <v>122</v>
      </c>
      <c r="O823" t="s">
        <v>122</v>
      </c>
      <c r="P823" t="s">
        <v>122</v>
      </c>
      <c r="Q823">
        <v>40717</v>
      </c>
      <c r="R823" t="s">
        <v>2229</v>
      </c>
      <c r="S823" t="s">
        <v>2230</v>
      </c>
      <c r="T823" t="s">
        <v>675</v>
      </c>
      <c r="U823" t="s">
        <v>450</v>
      </c>
    </row>
    <row r="824" spans="1:21" x14ac:dyDescent="0.25">
      <c r="A824" t="s">
        <v>118</v>
      </c>
      <c r="B824" t="s">
        <v>2233</v>
      </c>
      <c r="C824">
        <v>43051</v>
      </c>
      <c r="D824" t="s">
        <v>2234</v>
      </c>
      <c r="E824" t="s">
        <v>223</v>
      </c>
      <c r="F824" t="s">
        <v>1569</v>
      </c>
      <c r="G824" t="s">
        <v>674</v>
      </c>
      <c r="H824" t="s">
        <v>122</v>
      </c>
      <c r="I824" t="s">
        <v>122</v>
      </c>
      <c r="J824" s="127">
        <v>45795.852083333331</v>
      </c>
      <c r="K824" s="127"/>
      <c r="L824" s="127"/>
      <c r="M824" s="127">
        <v>45954.582638888889</v>
      </c>
      <c r="N824" t="s">
        <v>122</v>
      </c>
      <c r="O824" t="s">
        <v>122</v>
      </c>
      <c r="P824" t="s">
        <v>122</v>
      </c>
      <c r="Q824">
        <v>40717</v>
      </c>
      <c r="R824" t="s">
        <v>2229</v>
      </c>
      <c r="S824" t="s">
        <v>2230</v>
      </c>
      <c r="T824" t="s">
        <v>675</v>
      </c>
      <c r="U824" t="s">
        <v>450</v>
      </c>
    </row>
    <row r="825" spans="1:21" x14ac:dyDescent="0.25">
      <c r="A825" t="s">
        <v>118</v>
      </c>
      <c r="B825" t="s">
        <v>2235</v>
      </c>
      <c r="C825">
        <v>159893</v>
      </c>
      <c r="D825" t="s">
        <v>2236</v>
      </c>
      <c r="E825" t="s">
        <v>121</v>
      </c>
      <c r="F825" t="s">
        <v>88</v>
      </c>
      <c r="G825" t="s">
        <v>89</v>
      </c>
      <c r="H825" t="s">
        <v>122</v>
      </c>
      <c r="I825" t="s">
        <v>122</v>
      </c>
      <c r="J825" s="127">
        <v>46099.506944444445</v>
      </c>
      <c r="K825" s="127"/>
      <c r="L825" s="127"/>
      <c r="M825" s="127"/>
      <c r="N825" t="s">
        <v>75</v>
      </c>
      <c r="O825" t="s">
        <v>122</v>
      </c>
      <c r="P825" t="s">
        <v>122</v>
      </c>
      <c r="Q825">
        <v>148511</v>
      </c>
      <c r="R825" t="s">
        <v>2237</v>
      </c>
      <c r="S825" t="s">
        <v>2238</v>
      </c>
      <c r="T825" t="s">
        <v>2239</v>
      </c>
      <c r="U825" t="s">
        <v>137</v>
      </c>
    </row>
    <row r="826" spans="1:21" x14ac:dyDescent="0.25">
      <c r="A826" t="s">
        <v>118</v>
      </c>
      <c r="B826" t="s">
        <v>2240</v>
      </c>
      <c r="C826">
        <v>159743</v>
      </c>
      <c r="D826" t="s">
        <v>2241</v>
      </c>
      <c r="E826" t="s">
        <v>121</v>
      </c>
      <c r="F826" t="s">
        <v>88</v>
      </c>
      <c r="G826" t="s">
        <v>89</v>
      </c>
      <c r="H826" t="s">
        <v>122</v>
      </c>
      <c r="I826" t="s">
        <v>122</v>
      </c>
      <c r="J826" s="127">
        <v>46098.751388888886</v>
      </c>
      <c r="K826" s="127"/>
      <c r="L826" s="127"/>
      <c r="M826" s="127"/>
      <c r="N826" t="s">
        <v>75</v>
      </c>
      <c r="O826" t="s">
        <v>122</v>
      </c>
      <c r="P826" t="s">
        <v>122</v>
      </c>
      <c r="Q826">
        <v>160374</v>
      </c>
      <c r="R826" t="s">
        <v>2242</v>
      </c>
      <c r="S826" t="s">
        <v>2243</v>
      </c>
      <c r="T826" t="s">
        <v>2239</v>
      </c>
      <c r="U826" t="s">
        <v>137</v>
      </c>
    </row>
    <row r="827" spans="1:21" x14ac:dyDescent="0.25">
      <c r="A827" t="s">
        <v>118</v>
      </c>
      <c r="B827" t="s">
        <v>2244</v>
      </c>
      <c r="C827">
        <v>159638</v>
      </c>
      <c r="D827" t="s">
        <v>2245</v>
      </c>
      <c r="E827" t="s">
        <v>121</v>
      </c>
      <c r="F827" t="s">
        <v>88</v>
      </c>
      <c r="G827" t="s">
        <v>89</v>
      </c>
      <c r="H827" t="s">
        <v>122</v>
      </c>
      <c r="I827" t="s">
        <v>122</v>
      </c>
      <c r="J827" s="127">
        <v>46098.543055555558</v>
      </c>
      <c r="K827" s="127"/>
      <c r="L827" s="127"/>
      <c r="M827" s="127"/>
      <c r="N827" t="s">
        <v>75</v>
      </c>
      <c r="O827" t="s">
        <v>122</v>
      </c>
      <c r="P827" t="s">
        <v>122</v>
      </c>
      <c r="Q827">
        <v>148511</v>
      </c>
      <c r="R827" t="s">
        <v>2237</v>
      </c>
      <c r="S827" t="s">
        <v>2238</v>
      </c>
      <c r="T827" t="s">
        <v>2239</v>
      </c>
      <c r="U827" t="s">
        <v>137</v>
      </c>
    </row>
    <row r="828" spans="1:21" x14ac:dyDescent="0.25">
      <c r="A828" t="s">
        <v>118</v>
      </c>
      <c r="B828" t="s">
        <v>2246</v>
      </c>
      <c r="C828">
        <v>158525</v>
      </c>
      <c r="D828" t="s">
        <v>2247</v>
      </c>
      <c r="E828" t="s">
        <v>437</v>
      </c>
      <c r="F828" t="s">
        <v>88</v>
      </c>
      <c r="G828" t="s">
        <v>89</v>
      </c>
      <c r="H828" t="s">
        <v>122</v>
      </c>
      <c r="I828" t="s">
        <v>122</v>
      </c>
      <c r="J828" s="127">
        <v>46092.480555555558</v>
      </c>
      <c r="K828" s="127">
        <v>46093</v>
      </c>
      <c r="L828" s="127">
        <v>46093</v>
      </c>
      <c r="M828" s="127">
        <v>46097.872916666667</v>
      </c>
      <c r="N828" t="s">
        <v>75</v>
      </c>
      <c r="O828" t="s">
        <v>122</v>
      </c>
      <c r="P828" t="s">
        <v>122</v>
      </c>
      <c r="Q828">
        <v>160386</v>
      </c>
      <c r="R828" t="s">
        <v>2248</v>
      </c>
      <c r="S828" t="s">
        <v>2249</v>
      </c>
      <c r="T828" t="s">
        <v>2239</v>
      </c>
      <c r="U828" t="s">
        <v>137</v>
      </c>
    </row>
    <row r="829" spans="1:21" x14ac:dyDescent="0.25">
      <c r="A829" t="s">
        <v>253</v>
      </c>
      <c r="B829" t="s">
        <v>2250</v>
      </c>
      <c r="C829">
        <v>158495</v>
      </c>
      <c r="D829" t="s">
        <v>2251</v>
      </c>
      <c r="E829" t="s">
        <v>437</v>
      </c>
      <c r="F829" t="s">
        <v>88</v>
      </c>
      <c r="G829" t="s">
        <v>89</v>
      </c>
      <c r="H829" t="s">
        <v>122</v>
      </c>
      <c r="I829" t="s">
        <v>122</v>
      </c>
      <c r="J829" s="127">
        <v>46092.463194444441</v>
      </c>
      <c r="K829" s="127">
        <v>46092</v>
      </c>
      <c r="L829" s="127">
        <v>46092</v>
      </c>
      <c r="M829" s="127">
        <v>46093.584722222222</v>
      </c>
      <c r="N829" t="s">
        <v>75</v>
      </c>
      <c r="O829" t="s">
        <v>122</v>
      </c>
      <c r="P829" t="s">
        <v>122</v>
      </c>
      <c r="Q829">
        <v>148511</v>
      </c>
      <c r="R829" t="s">
        <v>2237</v>
      </c>
      <c r="S829" t="s">
        <v>2238</v>
      </c>
      <c r="T829" t="s">
        <v>2239</v>
      </c>
      <c r="U829" t="s">
        <v>137</v>
      </c>
    </row>
    <row r="830" spans="1:21" x14ac:dyDescent="0.25">
      <c r="A830" t="s">
        <v>118</v>
      </c>
      <c r="B830" t="s">
        <v>2252</v>
      </c>
      <c r="C830">
        <v>158376</v>
      </c>
      <c r="D830" t="s">
        <v>2253</v>
      </c>
      <c r="E830" t="s">
        <v>121</v>
      </c>
      <c r="F830" t="s">
        <v>88</v>
      </c>
      <c r="G830" t="s">
        <v>89</v>
      </c>
      <c r="H830" t="s">
        <v>122</v>
      </c>
      <c r="I830" t="s">
        <v>122</v>
      </c>
      <c r="J830" s="127">
        <v>46091.757638888892</v>
      </c>
      <c r="K830" s="127"/>
      <c r="L830" s="127"/>
      <c r="M830" s="127"/>
      <c r="N830" t="s">
        <v>75</v>
      </c>
      <c r="O830" t="s">
        <v>122</v>
      </c>
      <c r="P830" t="s">
        <v>122</v>
      </c>
      <c r="Q830">
        <v>148761</v>
      </c>
      <c r="R830" t="s">
        <v>2254</v>
      </c>
      <c r="S830" t="s">
        <v>2255</v>
      </c>
      <c r="T830" t="s">
        <v>2239</v>
      </c>
      <c r="U830" t="s">
        <v>137</v>
      </c>
    </row>
    <row r="831" spans="1:21" x14ac:dyDescent="0.25">
      <c r="A831" t="s">
        <v>118</v>
      </c>
      <c r="B831" t="s">
        <v>2256</v>
      </c>
      <c r="C831">
        <v>158362</v>
      </c>
      <c r="D831" t="s">
        <v>2257</v>
      </c>
      <c r="E831" t="s">
        <v>121</v>
      </c>
      <c r="F831" t="s">
        <v>88</v>
      </c>
      <c r="G831" t="s">
        <v>89</v>
      </c>
      <c r="H831" t="s">
        <v>122</v>
      </c>
      <c r="I831" t="s">
        <v>122</v>
      </c>
      <c r="J831" s="127">
        <v>46091.754861111112</v>
      </c>
      <c r="K831" s="127"/>
      <c r="L831" s="127"/>
      <c r="M831" s="127"/>
      <c r="N831" t="s">
        <v>75</v>
      </c>
      <c r="O831" t="s">
        <v>122</v>
      </c>
      <c r="P831" t="s">
        <v>122</v>
      </c>
      <c r="Q831">
        <v>148761</v>
      </c>
      <c r="R831" t="s">
        <v>2254</v>
      </c>
      <c r="S831" t="s">
        <v>2255</v>
      </c>
      <c r="T831" t="s">
        <v>2239</v>
      </c>
      <c r="U831" t="s">
        <v>137</v>
      </c>
    </row>
    <row r="832" spans="1:21" x14ac:dyDescent="0.25">
      <c r="A832" t="s">
        <v>118</v>
      </c>
      <c r="B832" t="s">
        <v>2258</v>
      </c>
      <c r="C832">
        <v>158344</v>
      </c>
      <c r="D832" t="s">
        <v>2259</v>
      </c>
      <c r="E832" t="s">
        <v>121</v>
      </c>
      <c r="F832" t="s">
        <v>88</v>
      </c>
      <c r="G832" t="s">
        <v>89</v>
      </c>
      <c r="H832" t="s">
        <v>122</v>
      </c>
      <c r="I832" t="s">
        <v>122</v>
      </c>
      <c r="J832" s="127">
        <v>46091.747916666667</v>
      </c>
      <c r="K832" s="127">
        <v>46014.835416666669</v>
      </c>
      <c r="L832" s="127">
        <v>46014</v>
      </c>
      <c r="M832" s="127"/>
      <c r="N832" t="s">
        <v>75</v>
      </c>
      <c r="O832" t="s">
        <v>122</v>
      </c>
      <c r="P832" t="s">
        <v>122</v>
      </c>
      <c r="Q832">
        <v>158311</v>
      </c>
      <c r="R832" t="s">
        <v>2260</v>
      </c>
      <c r="S832" t="s">
        <v>2261</v>
      </c>
      <c r="T832" t="s">
        <v>2239</v>
      </c>
      <c r="U832" t="s">
        <v>137</v>
      </c>
    </row>
    <row r="833" spans="1:21" x14ac:dyDescent="0.25">
      <c r="A833" t="s">
        <v>118</v>
      </c>
      <c r="B833" t="s">
        <v>2262</v>
      </c>
      <c r="C833">
        <v>158328</v>
      </c>
      <c r="D833" t="s">
        <v>2263</v>
      </c>
      <c r="E833" t="s">
        <v>121</v>
      </c>
      <c r="F833" t="s">
        <v>88</v>
      </c>
      <c r="G833" t="s">
        <v>89</v>
      </c>
      <c r="H833" t="s">
        <v>122</v>
      </c>
      <c r="I833" t="s">
        <v>122</v>
      </c>
      <c r="J833" s="127">
        <v>46091.747916666667</v>
      </c>
      <c r="K833" s="127"/>
      <c r="L833" s="127"/>
      <c r="M833" s="127"/>
      <c r="N833" t="s">
        <v>75</v>
      </c>
      <c r="O833" t="s">
        <v>122</v>
      </c>
      <c r="P833" t="s">
        <v>122</v>
      </c>
      <c r="Q833">
        <v>158311</v>
      </c>
      <c r="R833" t="s">
        <v>2260</v>
      </c>
      <c r="S833" t="s">
        <v>2261</v>
      </c>
      <c r="T833" t="s">
        <v>2239</v>
      </c>
      <c r="U833" t="s">
        <v>137</v>
      </c>
    </row>
    <row r="834" spans="1:21" x14ac:dyDescent="0.25">
      <c r="A834" t="s">
        <v>118</v>
      </c>
      <c r="B834" t="s">
        <v>2264</v>
      </c>
      <c r="C834">
        <v>158312</v>
      </c>
      <c r="D834" t="s">
        <v>2265</v>
      </c>
      <c r="E834" t="s">
        <v>121</v>
      </c>
      <c r="F834" t="s">
        <v>88</v>
      </c>
      <c r="G834" t="s">
        <v>89</v>
      </c>
      <c r="H834" t="s">
        <v>122</v>
      </c>
      <c r="I834" t="s">
        <v>122</v>
      </c>
      <c r="J834" s="127">
        <v>46091.747916666667</v>
      </c>
      <c r="K834" s="127"/>
      <c r="L834" s="127"/>
      <c r="M834" s="127"/>
      <c r="N834" t="s">
        <v>75</v>
      </c>
      <c r="O834" t="s">
        <v>122</v>
      </c>
      <c r="P834" t="s">
        <v>122</v>
      </c>
      <c r="Q834">
        <v>158311</v>
      </c>
      <c r="R834" t="s">
        <v>2260</v>
      </c>
      <c r="S834" t="s">
        <v>2261</v>
      </c>
      <c r="T834" t="s">
        <v>2239</v>
      </c>
      <c r="U834" t="s">
        <v>137</v>
      </c>
    </row>
    <row r="835" spans="1:21" x14ac:dyDescent="0.25">
      <c r="A835" t="s">
        <v>118</v>
      </c>
      <c r="B835" t="s">
        <v>2266</v>
      </c>
      <c r="C835">
        <v>157930</v>
      </c>
      <c r="D835" t="s">
        <v>2267</v>
      </c>
      <c r="E835" t="s">
        <v>437</v>
      </c>
      <c r="F835" t="s">
        <v>88</v>
      </c>
      <c r="G835" t="s">
        <v>89</v>
      </c>
      <c r="H835" t="s">
        <v>122</v>
      </c>
      <c r="I835" t="s">
        <v>122</v>
      </c>
      <c r="J835" s="127">
        <v>46090.493055555555</v>
      </c>
      <c r="K835" s="127">
        <v>46090.628472222219</v>
      </c>
      <c r="L835" s="127">
        <v>46091.51666666667</v>
      </c>
      <c r="M835" s="127">
        <v>46098.873611111114</v>
      </c>
      <c r="N835" t="s">
        <v>75</v>
      </c>
      <c r="O835" t="s">
        <v>122</v>
      </c>
      <c r="P835" t="s">
        <v>122</v>
      </c>
      <c r="Q835">
        <v>148511</v>
      </c>
      <c r="R835" t="s">
        <v>2237</v>
      </c>
      <c r="S835" t="s">
        <v>2238</v>
      </c>
      <c r="T835" t="s">
        <v>2239</v>
      </c>
      <c r="U835" t="s">
        <v>137</v>
      </c>
    </row>
    <row r="836" spans="1:21" x14ac:dyDescent="0.25">
      <c r="A836" t="s">
        <v>118</v>
      </c>
      <c r="B836" t="s">
        <v>2268</v>
      </c>
      <c r="C836">
        <v>157796</v>
      </c>
      <c r="D836" t="s">
        <v>2269</v>
      </c>
      <c r="E836" t="s">
        <v>437</v>
      </c>
      <c r="F836" t="s">
        <v>88</v>
      </c>
      <c r="G836" t="s">
        <v>89</v>
      </c>
      <c r="H836" t="s">
        <v>122</v>
      </c>
      <c r="I836" t="s">
        <v>122</v>
      </c>
      <c r="J836" s="127">
        <v>46090.365972222222</v>
      </c>
      <c r="K836" s="127">
        <v>46090.62777777778</v>
      </c>
      <c r="L836" s="127">
        <v>46090.804861111108</v>
      </c>
      <c r="M836" s="127">
        <v>46093.706944444442</v>
      </c>
      <c r="N836" t="s">
        <v>75</v>
      </c>
      <c r="O836" t="s">
        <v>122</v>
      </c>
      <c r="P836" t="s">
        <v>122</v>
      </c>
      <c r="Q836">
        <v>160386</v>
      </c>
      <c r="R836" t="s">
        <v>2248</v>
      </c>
      <c r="S836" t="s">
        <v>2249</v>
      </c>
      <c r="T836" t="s">
        <v>2239</v>
      </c>
      <c r="U836" t="s">
        <v>137</v>
      </c>
    </row>
    <row r="837" spans="1:21" x14ac:dyDescent="0.25">
      <c r="A837" t="s">
        <v>118</v>
      </c>
      <c r="B837" t="s">
        <v>2270</v>
      </c>
      <c r="C837">
        <v>157735</v>
      </c>
      <c r="D837" t="s">
        <v>2271</v>
      </c>
      <c r="E837" t="s">
        <v>508</v>
      </c>
      <c r="F837" t="s">
        <v>88</v>
      </c>
      <c r="G837" t="s">
        <v>89</v>
      </c>
      <c r="H837" t="s">
        <v>122</v>
      </c>
      <c r="I837" t="s">
        <v>122</v>
      </c>
      <c r="J837" s="127">
        <v>46087.747916666667</v>
      </c>
      <c r="K837" s="127">
        <v>46094</v>
      </c>
      <c r="L837" s="127">
        <v>46094</v>
      </c>
      <c r="M837" s="127"/>
      <c r="N837" t="s">
        <v>75</v>
      </c>
      <c r="O837" t="s">
        <v>122</v>
      </c>
      <c r="P837" t="s">
        <v>122</v>
      </c>
      <c r="Q837">
        <v>148511</v>
      </c>
      <c r="R837" t="s">
        <v>2237</v>
      </c>
      <c r="S837" t="s">
        <v>2238</v>
      </c>
      <c r="T837" t="s">
        <v>2239</v>
      </c>
      <c r="U837" t="s">
        <v>137</v>
      </c>
    </row>
    <row r="838" spans="1:21" x14ac:dyDescent="0.25">
      <c r="A838" t="s">
        <v>118</v>
      </c>
      <c r="B838" t="s">
        <v>2272</v>
      </c>
      <c r="C838">
        <v>157459</v>
      </c>
      <c r="D838" t="s">
        <v>2273</v>
      </c>
      <c r="E838" t="s">
        <v>508</v>
      </c>
      <c r="F838" t="s">
        <v>88</v>
      </c>
      <c r="G838" t="s">
        <v>89</v>
      </c>
      <c r="H838" t="s">
        <v>122</v>
      </c>
      <c r="I838" t="s">
        <v>122</v>
      </c>
      <c r="J838" s="127">
        <v>46086.68472222222</v>
      </c>
      <c r="K838" s="127"/>
      <c r="L838" s="127"/>
      <c r="M838" s="127"/>
      <c r="N838" t="s">
        <v>75</v>
      </c>
      <c r="O838" t="s">
        <v>122</v>
      </c>
      <c r="P838" t="s">
        <v>122</v>
      </c>
      <c r="Q838">
        <v>160379</v>
      </c>
      <c r="R838" t="s">
        <v>2274</v>
      </c>
      <c r="S838" t="s">
        <v>2275</v>
      </c>
      <c r="T838" t="s">
        <v>2239</v>
      </c>
      <c r="U838" t="s">
        <v>137</v>
      </c>
    </row>
    <row r="839" spans="1:21" x14ac:dyDescent="0.25">
      <c r="A839" t="s">
        <v>118</v>
      </c>
      <c r="B839" t="s">
        <v>2276</v>
      </c>
      <c r="C839">
        <v>157447</v>
      </c>
      <c r="D839" t="s">
        <v>2277</v>
      </c>
      <c r="E839" t="s">
        <v>130</v>
      </c>
      <c r="F839" t="s">
        <v>88</v>
      </c>
      <c r="G839" t="s">
        <v>89</v>
      </c>
      <c r="H839" t="s">
        <v>122</v>
      </c>
      <c r="I839" t="s">
        <v>122</v>
      </c>
      <c r="J839" s="127">
        <v>46086.681944444441</v>
      </c>
      <c r="K839" s="127">
        <v>46094</v>
      </c>
      <c r="L839" s="127">
        <v>46094</v>
      </c>
      <c r="M839" s="127">
        <v>46104.881944444445</v>
      </c>
      <c r="N839" t="s">
        <v>75</v>
      </c>
      <c r="O839" t="s">
        <v>122</v>
      </c>
      <c r="P839" t="s">
        <v>122</v>
      </c>
      <c r="Q839">
        <v>148511</v>
      </c>
      <c r="R839" t="s">
        <v>2237</v>
      </c>
      <c r="S839" t="s">
        <v>2238</v>
      </c>
      <c r="T839" t="s">
        <v>2239</v>
      </c>
      <c r="U839" t="s">
        <v>137</v>
      </c>
    </row>
    <row r="840" spans="1:21" x14ac:dyDescent="0.25">
      <c r="A840" t="s">
        <v>118</v>
      </c>
      <c r="B840" t="s">
        <v>2278</v>
      </c>
      <c r="C840">
        <v>157428</v>
      </c>
      <c r="D840" t="s">
        <v>2279</v>
      </c>
      <c r="E840" t="s">
        <v>249</v>
      </c>
      <c r="F840" t="s">
        <v>88</v>
      </c>
      <c r="G840" t="s">
        <v>89</v>
      </c>
      <c r="H840" t="s">
        <v>122</v>
      </c>
      <c r="I840" t="s">
        <v>122</v>
      </c>
      <c r="J840" s="127">
        <v>46086.679166666669</v>
      </c>
      <c r="K840" s="127">
        <v>46097.804166666669</v>
      </c>
      <c r="L840" s="127"/>
      <c r="M840" s="127"/>
      <c r="N840" t="s">
        <v>75</v>
      </c>
      <c r="O840" t="s">
        <v>122</v>
      </c>
      <c r="P840" t="s">
        <v>122</v>
      </c>
      <c r="Q840">
        <v>148511</v>
      </c>
      <c r="R840" t="s">
        <v>2237</v>
      </c>
      <c r="S840" t="s">
        <v>2238</v>
      </c>
      <c r="T840" t="s">
        <v>2239</v>
      </c>
      <c r="U840" t="s">
        <v>137</v>
      </c>
    </row>
    <row r="841" spans="1:21" x14ac:dyDescent="0.25">
      <c r="A841" t="s">
        <v>118</v>
      </c>
      <c r="B841" t="s">
        <v>2280</v>
      </c>
      <c r="C841">
        <v>157412</v>
      </c>
      <c r="D841" t="s">
        <v>2281</v>
      </c>
      <c r="E841" t="s">
        <v>130</v>
      </c>
      <c r="F841" t="s">
        <v>88</v>
      </c>
      <c r="G841" t="s">
        <v>89</v>
      </c>
      <c r="H841" t="s">
        <v>122</v>
      </c>
      <c r="I841" t="s">
        <v>122</v>
      </c>
      <c r="J841" s="127">
        <v>46086.67291666667</v>
      </c>
      <c r="K841" s="127">
        <v>46093</v>
      </c>
      <c r="L841" s="127">
        <v>46093</v>
      </c>
      <c r="M841" s="127">
        <v>46098.874305555553</v>
      </c>
      <c r="N841" t="s">
        <v>75</v>
      </c>
      <c r="O841" t="s">
        <v>122</v>
      </c>
      <c r="P841" t="s">
        <v>122</v>
      </c>
      <c r="Q841">
        <v>148511</v>
      </c>
      <c r="R841" t="s">
        <v>2237</v>
      </c>
      <c r="S841" t="s">
        <v>2238</v>
      </c>
      <c r="T841" t="s">
        <v>2239</v>
      </c>
      <c r="U841" t="s">
        <v>137</v>
      </c>
    </row>
    <row r="842" spans="1:21" x14ac:dyDescent="0.25">
      <c r="A842" t="s">
        <v>118</v>
      </c>
      <c r="B842" t="s">
        <v>2282</v>
      </c>
      <c r="C842">
        <v>157399</v>
      </c>
      <c r="D842" t="s">
        <v>2283</v>
      </c>
      <c r="E842" t="s">
        <v>508</v>
      </c>
      <c r="F842" t="s">
        <v>88</v>
      </c>
      <c r="G842" t="s">
        <v>89</v>
      </c>
      <c r="H842" t="s">
        <v>122</v>
      </c>
      <c r="I842" t="s">
        <v>122</v>
      </c>
      <c r="J842" s="127">
        <v>46086.668749999997</v>
      </c>
      <c r="K842" s="127">
        <v>46092</v>
      </c>
      <c r="L842" s="127">
        <v>46092</v>
      </c>
      <c r="M842" s="127"/>
      <c r="N842" t="s">
        <v>75</v>
      </c>
      <c r="O842" t="s">
        <v>122</v>
      </c>
      <c r="P842" t="s">
        <v>122</v>
      </c>
      <c r="Q842">
        <v>148511</v>
      </c>
      <c r="R842" t="s">
        <v>2237</v>
      </c>
      <c r="S842" t="s">
        <v>2238</v>
      </c>
      <c r="T842" t="s">
        <v>2239</v>
      </c>
      <c r="U842" t="s">
        <v>137</v>
      </c>
    </row>
    <row r="843" spans="1:21" x14ac:dyDescent="0.25">
      <c r="A843" t="s">
        <v>118</v>
      </c>
      <c r="B843" t="s">
        <v>2284</v>
      </c>
      <c r="C843">
        <v>156216</v>
      </c>
      <c r="D843" t="s">
        <v>2285</v>
      </c>
      <c r="E843" t="s">
        <v>437</v>
      </c>
      <c r="F843" t="s">
        <v>88</v>
      </c>
      <c r="G843" t="s">
        <v>89</v>
      </c>
      <c r="H843" t="s">
        <v>122</v>
      </c>
      <c r="I843" t="s">
        <v>122</v>
      </c>
      <c r="J843" s="127">
        <v>46083.509027777778</v>
      </c>
      <c r="K843" s="127">
        <v>46083</v>
      </c>
      <c r="L843" s="127">
        <v>46083</v>
      </c>
      <c r="M843" s="127">
        <v>46093.673611111109</v>
      </c>
      <c r="N843" t="s">
        <v>75</v>
      </c>
      <c r="O843" t="s">
        <v>122</v>
      </c>
      <c r="P843" t="s">
        <v>122</v>
      </c>
      <c r="Q843">
        <v>160386</v>
      </c>
      <c r="R843" t="s">
        <v>2248</v>
      </c>
      <c r="S843" t="s">
        <v>2249</v>
      </c>
      <c r="T843" t="s">
        <v>2239</v>
      </c>
      <c r="U843" t="s">
        <v>137</v>
      </c>
    </row>
    <row r="844" spans="1:21" x14ac:dyDescent="0.25">
      <c r="A844" t="s">
        <v>118</v>
      </c>
      <c r="B844" t="s">
        <v>2286</v>
      </c>
      <c r="C844">
        <v>155260</v>
      </c>
      <c r="D844" t="s">
        <v>2287</v>
      </c>
      <c r="E844" t="s">
        <v>437</v>
      </c>
      <c r="F844" t="s">
        <v>88</v>
      </c>
      <c r="G844" t="s">
        <v>89</v>
      </c>
      <c r="H844" t="s">
        <v>122</v>
      </c>
      <c r="I844" t="s">
        <v>122</v>
      </c>
      <c r="J844" s="127">
        <v>46078.451388888891</v>
      </c>
      <c r="K844" s="127">
        <v>46078</v>
      </c>
      <c r="L844" s="127">
        <v>46079</v>
      </c>
      <c r="M844" s="127">
        <v>46087.560416666667</v>
      </c>
      <c r="N844" t="s">
        <v>75</v>
      </c>
      <c r="O844" t="s">
        <v>122</v>
      </c>
      <c r="P844" t="s">
        <v>122</v>
      </c>
      <c r="Q844">
        <v>148511</v>
      </c>
      <c r="R844" t="s">
        <v>2237</v>
      </c>
      <c r="S844" t="s">
        <v>2238</v>
      </c>
      <c r="T844" t="s">
        <v>2239</v>
      </c>
      <c r="U844" t="s">
        <v>137</v>
      </c>
    </row>
    <row r="845" spans="1:21" x14ac:dyDescent="0.25">
      <c r="A845" t="s">
        <v>118</v>
      </c>
      <c r="B845" t="s">
        <v>2288</v>
      </c>
      <c r="C845">
        <v>154722</v>
      </c>
      <c r="D845" t="s">
        <v>2289</v>
      </c>
      <c r="E845" t="s">
        <v>437</v>
      </c>
      <c r="F845" t="s">
        <v>88</v>
      </c>
      <c r="G845" t="s">
        <v>89</v>
      </c>
      <c r="H845" t="s">
        <v>122</v>
      </c>
      <c r="I845" t="s">
        <v>122</v>
      </c>
      <c r="J845" s="127">
        <v>46076.456250000003</v>
      </c>
      <c r="K845" s="127">
        <v>46077</v>
      </c>
      <c r="L845" s="127">
        <v>46077</v>
      </c>
      <c r="M845" s="127">
        <v>46083.420138888891</v>
      </c>
      <c r="N845" t="s">
        <v>75</v>
      </c>
      <c r="O845" t="s">
        <v>122</v>
      </c>
      <c r="P845" t="s">
        <v>122</v>
      </c>
      <c r="Q845">
        <v>148511</v>
      </c>
      <c r="R845" t="s">
        <v>2237</v>
      </c>
      <c r="S845" t="s">
        <v>2238</v>
      </c>
      <c r="T845" t="s">
        <v>2239</v>
      </c>
      <c r="U845" t="s">
        <v>137</v>
      </c>
    </row>
    <row r="846" spans="1:21" x14ac:dyDescent="0.25">
      <c r="A846" t="s">
        <v>118</v>
      </c>
      <c r="B846" t="s">
        <v>2290</v>
      </c>
      <c r="C846">
        <v>154318</v>
      </c>
      <c r="D846" t="s">
        <v>2291</v>
      </c>
      <c r="E846" t="s">
        <v>121</v>
      </c>
      <c r="F846" t="s">
        <v>88</v>
      </c>
      <c r="G846" t="s">
        <v>89</v>
      </c>
      <c r="H846" t="s">
        <v>122</v>
      </c>
      <c r="I846" t="s">
        <v>122</v>
      </c>
      <c r="J846" s="127">
        <v>46073.452777777777</v>
      </c>
      <c r="K846" s="127"/>
      <c r="L846" s="127"/>
      <c r="M846" s="127"/>
      <c r="N846" t="s">
        <v>75</v>
      </c>
      <c r="O846" t="s">
        <v>122</v>
      </c>
      <c r="P846" t="s">
        <v>122</v>
      </c>
      <c r="Q846">
        <v>160354</v>
      </c>
      <c r="R846" t="s">
        <v>2292</v>
      </c>
      <c r="S846" t="s">
        <v>2293</v>
      </c>
      <c r="T846" t="s">
        <v>2239</v>
      </c>
      <c r="U846" t="s">
        <v>137</v>
      </c>
    </row>
    <row r="847" spans="1:21" x14ac:dyDescent="0.25">
      <c r="A847" t="s">
        <v>118</v>
      </c>
      <c r="B847" t="s">
        <v>2294</v>
      </c>
      <c r="C847">
        <v>154290</v>
      </c>
      <c r="D847" t="s">
        <v>2295</v>
      </c>
      <c r="E847" t="s">
        <v>121</v>
      </c>
      <c r="F847" t="s">
        <v>88</v>
      </c>
      <c r="G847" t="s">
        <v>89</v>
      </c>
      <c r="H847" t="s">
        <v>122</v>
      </c>
      <c r="I847" t="s">
        <v>122</v>
      </c>
      <c r="J847" s="127">
        <v>46073.4375</v>
      </c>
      <c r="K847" s="127"/>
      <c r="L847" s="127"/>
      <c r="M847" s="127"/>
      <c r="N847" t="s">
        <v>75</v>
      </c>
      <c r="O847" t="s">
        <v>122</v>
      </c>
      <c r="P847" t="s">
        <v>122</v>
      </c>
      <c r="Q847">
        <v>160354</v>
      </c>
      <c r="R847" t="s">
        <v>2292</v>
      </c>
      <c r="S847" t="s">
        <v>2293</v>
      </c>
      <c r="T847" t="s">
        <v>2239</v>
      </c>
      <c r="U847" t="s">
        <v>137</v>
      </c>
    </row>
    <row r="848" spans="1:21" x14ac:dyDescent="0.25">
      <c r="A848" t="s">
        <v>118</v>
      </c>
      <c r="B848" t="s">
        <v>2296</v>
      </c>
      <c r="C848">
        <v>154277</v>
      </c>
      <c r="D848" t="s">
        <v>2297</v>
      </c>
      <c r="E848" t="s">
        <v>121</v>
      </c>
      <c r="F848" t="s">
        <v>88</v>
      </c>
      <c r="G848" t="s">
        <v>89</v>
      </c>
      <c r="H848" t="s">
        <v>122</v>
      </c>
      <c r="I848" t="s">
        <v>122</v>
      </c>
      <c r="J848" s="127">
        <v>46073.429166666669</v>
      </c>
      <c r="K848" s="127"/>
      <c r="L848" s="127"/>
      <c r="M848" s="127"/>
      <c r="N848" t="s">
        <v>75</v>
      </c>
      <c r="O848" t="s">
        <v>122</v>
      </c>
      <c r="P848" t="s">
        <v>122</v>
      </c>
      <c r="Q848">
        <v>160354</v>
      </c>
      <c r="R848" t="s">
        <v>2292</v>
      </c>
      <c r="S848" t="s">
        <v>2293</v>
      </c>
      <c r="T848" t="s">
        <v>2239</v>
      </c>
      <c r="U848" t="s">
        <v>137</v>
      </c>
    </row>
    <row r="849" spans="1:21" x14ac:dyDescent="0.25">
      <c r="A849" t="s">
        <v>118</v>
      </c>
      <c r="B849" t="s">
        <v>2298</v>
      </c>
      <c r="C849">
        <v>153227</v>
      </c>
      <c r="D849" t="s">
        <v>2299</v>
      </c>
      <c r="E849" t="s">
        <v>121</v>
      </c>
      <c r="F849" t="s">
        <v>88</v>
      </c>
      <c r="G849" t="s">
        <v>89</v>
      </c>
      <c r="H849" t="s">
        <v>122</v>
      </c>
      <c r="I849" t="s">
        <v>122</v>
      </c>
      <c r="J849" s="127">
        <v>46066.407638888886</v>
      </c>
      <c r="K849" s="127"/>
      <c r="L849" s="127"/>
      <c r="M849" s="127"/>
      <c r="N849" t="s">
        <v>75</v>
      </c>
      <c r="O849" t="s">
        <v>122</v>
      </c>
      <c r="P849" t="s">
        <v>122</v>
      </c>
      <c r="Q849">
        <v>148761</v>
      </c>
      <c r="R849" t="s">
        <v>2254</v>
      </c>
      <c r="S849" t="s">
        <v>2255</v>
      </c>
      <c r="T849" t="s">
        <v>2239</v>
      </c>
      <c r="U849" t="s">
        <v>137</v>
      </c>
    </row>
    <row r="850" spans="1:21" x14ac:dyDescent="0.25">
      <c r="A850" t="s">
        <v>118</v>
      </c>
      <c r="B850" t="s">
        <v>2300</v>
      </c>
      <c r="C850">
        <v>153213</v>
      </c>
      <c r="D850" t="s">
        <v>2301</v>
      </c>
      <c r="E850" t="s">
        <v>121</v>
      </c>
      <c r="F850" t="s">
        <v>88</v>
      </c>
      <c r="G850" t="s">
        <v>89</v>
      </c>
      <c r="H850" t="s">
        <v>122</v>
      </c>
      <c r="I850" t="s">
        <v>122</v>
      </c>
      <c r="J850" s="127">
        <v>46066.405555555553</v>
      </c>
      <c r="K850" s="127"/>
      <c r="L850" s="127"/>
      <c r="M850" s="127"/>
      <c r="N850" t="s">
        <v>75</v>
      </c>
      <c r="O850" t="s">
        <v>122</v>
      </c>
      <c r="P850" t="s">
        <v>122</v>
      </c>
      <c r="Q850">
        <v>148761</v>
      </c>
      <c r="R850" t="s">
        <v>2254</v>
      </c>
      <c r="S850" t="s">
        <v>2255</v>
      </c>
      <c r="T850" t="s">
        <v>2239</v>
      </c>
      <c r="U850" t="s">
        <v>137</v>
      </c>
    </row>
    <row r="851" spans="1:21" x14ac:dyDescent="0.25">
      <c r="A851" t="s">
        <v>118</v>
      </c>
      <c r="B851" t="s">
        <v>2302</v>
      </c>
      <c r="C851">
        <v>153200</v>
      </c>
      <c r="D851" t="s">
        <v>2303</v>
      </c>
      <c r="E851" t="s">
        <v>266</v>
      </c>
      <c r="F851" t="s">
        <v>88</v>
      </c>
      <c r="G851" t="s">
        <v>89</v>
      </c>
      <c r="H851" t="s">
        <v>122</v>
      </c>
      <c r="I851" t="s">
        <v>122</v>
      </c>
      <c r="J851" s="127">
        <v>46066.404166666667</v>
      </c>
      <c r="K851" s="127">
        <v>46104</v>
      </c>
      <c r="L851" s="127">
        <v>46104</v>
      </c>
      <c r="M851" s="127"/>
      <c r="N851" t="s">
        <v>75</v>
      </c>
      <c r="O851" t="s">
        <v>122</v>
      </c>
      <c r="P851" t="s">
        <v>122</v>
      </c>
      <c r="Q851">
        <v>148761</v>
      </c>
      <c r="R851" t="s">
        <v>2254</v>
      </c>
      <c r="S851" t="s">
        <v>2255</v>
      </c>
      <c r="T851" t="s">
        <v>2239</v>
      </c>
      <c r="U851" t="s">
        <v>137</v>
      </c>
    </row>
    <row r="852" spans="1:21" x14ac:dyDescent="0.25">
      <c r="A852" t="s">
        <v>118</v>
      </c>
      <c r="B852" t="s">
        <v>2304</v>
      </c>
      <c r="C852">
        <v>152413</v>
      </c>
      <c r="D852" t="s">
        <v>2305</v>
      </c>
      <c r="E852" t="s">
        <v>437</v>
      </c>
      <c r="F852" t="s">
        <v>88</v>
      </c>
      <c r="G852" t="s">
        <v>89</v>
      </c>
      <c r="H852" t="s">
        <v>122</v>
      </c>
      <c r="I852" t="s">
        <v>122</v>
      </c>
      <c r="J852" s="127">
        <v>46064.479861111111</v>
      </c>
      <c r="K852" s="127">
        <v>46076</v>
      </c>
      <c r="L852" s="127">
        <v>46080</v>
      </c>
      <c r="M852" s="127">
        <v>46084.866666666669</v>
      </c>
      <c r="N852" t="s">
        <v>75</v>
      </c>
      <c r="O852" t="s">
        <v>122</v>
      </c>
      <c r="P852" t="s">
        <v>122</v>
      </c>
      <c r="Q852">
        <v>160386</v>
      </c>
      <c r="R852" t="s">
        <v>2248</v>
      </c>
      <c r="S852" t="s">
        <v>2249</v>
      </c>
      <c r="T852" t="s">
        <v>2239</v>
      </c>
      <c r="U852" t="s">
        <v>137</v>
      </c>
    </row>
    <row r="853" spans="1:21" x14ac:dyDescent="0.25">
      <c r="A853" t="s">
        <v>118</v>
      </c>
      <c r="B853" t="s">
        <v>2306</v>
      </c>
      <c r="C853">
        <v>150450</v>
      </c>
      <c r="D853" t="s">
        <v>2307</v>
      </c>
      <c r="E853" t="s">
        <v>437</v>
      </c>
      <c r="F853" t="s">
        <v>88</v>
      </c>
      <c r="G853" t="s">
        <v>89</v>
      </c>
      <c r="H853" t="s">
        <v>122</v>
      </c>
      <c r="I853" t="s">
        <v>122</v>
      </c>
      <c r="J853" s="127">
        <v>46056.742361111108</v>
      </c>
      <c r="K853" s="127">
        <v>46062</v>
      </c>
      <c r="L853" s="127">
        <v>46062</v>
      </c>
      <c r="M853" s="127">
        <v>46083.586805555555</v>
      </c>
      <c r="N853" t="s">
        <v>75</v>
      </c>
      <c r="O853" t="s">
        <v>122</v>
      </c>
      <c r="P853" t="s">
        <v>122</v>
      </c>
      <c r="Q853">
        <v>160386</v>
      </c>
      <c r="R853" t="s">
        <v>2248</v>
      </c>
      <c r="S853" t="s">
        <v>2249</v>
      </c>
      <c r="T853" t="s">
        <v>2239</v>
      </c>
      <c r="U853" t="s">
        <v>137</v>
      </c>
    </row>
    <row r="854" spans="1:21" x14ac:dyDescent="0.25">
      <c r="A854" t="s">
        <v>118</v>
      </c>
      <c r="B854" t="s">
        <v>2308</v>
      </c>
      <c r="C854">
        <v>146413</v>
      </c>
      <c r="D854" t="s">
        <v>2309</v>
      </c>
      <c r="E854" t="s">
        <v>437</v>
      </c>
      <c r="F854" t="s">
        <v>88</v>
      </c>
      <c r="G854" t="s">
        <v>89</v>
      </c>
      <c r="H854" t="s">
        <v>122</v>
      </c>
      <c r="I854" t="s">
        <v>122</v>
      </c>
      <c r="J854" s="127">
        <v>46035.385416666664</v>
      </c>
      <c r="K854" s="127">
        <v>46035</v>
      </c>
      <c r="L854" s="127">
        <v>46035</v>
      </c>
      <c r="M854" s="127">
        <v>46049.862500000003</v>
      </c>
      <c r="N854" t="s">
        <v>72</v>
      </c>
      <c r="O854" t="s">
        <v>122</v>
      </c>
      <c r="P854" t="s">
        <v>122</v>
      </c>
      <c r="Q854">
        <v>73312</v>
      </c>
      <c r="R854" t="s">
        <v>2310</v>
      </c>
      <c r="S854" t="s">
        <v>2311</v>
      </c>
      <c r="T854" t="s">
        <v>2239</v>
      </c>
      <c r="U854" t="s">
        <v>126</v>
      </c>
    </row>
    <row r="855" spans="1:21" x14ac:dyDescent="0.25">
      <c r="A855" t="s">
        <v>253</v>
      </c>
      <c r="B855" t="s">
        <v>2312</v>
      </c>
      <c r="C855">
        <v>146294</v>
      </c>
      <c r="D855" t="s">
        <v>2313</v>
      </c>
      <c r="E855" t="s">
        <v>437</v>
      </c>
      <c r="F855" t="s">
        <v>88</v>
      </c>
      <c r="G855" t="s">
        <v>89</v>
      </c>
      <c r="H855" t="s">
        <v>122</v>
      </c>
      <c r="I855" t="s">
        <v>122</v>
      </c>
      <c r="J855" s="127">
        <v>46034.536805555559</v>
      </c>
      <c r="K855" s="127">
        <v>46034</v>
      </c>
      <c r="L855" s="127">
        <v>46034</v>
      </c>
      <c r="M855" s="127">
        <v>46037.787499999999</v>
      </c>
      <c r="N855" t="s">
        <v>72</v>
      </c>
      <c r="O855" t="s">
        <v>122</v>
      </c>
      <c r="P855" t="s">
        <v>122</v>
      </c>
      <c r="R855" t="s">
        <v>122</v>
      </c>
      <c r="S855" t="s">
        <v>122</v>
      </c>
      <c r="T855" t="s">
        <v>2239</v>
      </c>
      <c r="U855" t="s">
        <v>126</v>
      </c>
    </row>
    <row r="856" spans="1:21" x14ac:dyDescent="0.25">
      <c r="A856" t="s">
        <v>118</v>
      </c>
      <c r="B856" t="s">
        <v>2314</v>
      </c>
      <c r="C856">
        <v>146137</v>
      </c>
      <c r="D856" t="s">
        <v>2315</v>
      </c>
      <c r="E856" t="s">
        <v>437</v>
      </c>
      <c r="F856" t="s">
        <v>88</v>
      </c>
      <c r="G856" t="s">
        <v>89</v>
      </c>
      <c r="H856" t="s">
        <v>122</v>
      </c>
      <c r="I856" t="s">
        <v>122</v>
      </c>
      <c r="J856" s="127">
        <v>46034.347222222219</v>
      </c>
      <c r="K856" s="127">
        <v>46034</v>
      </c>
      <c r="L856" s="127">
        <v>46034</v>
      </c>
      <c r="M856" s="127">
        <v>46038.464583333334</v>
      </c>
      <c r="N856" t="s">
        <v>72</v>
      </c>
      <c r="O856" t="s">
        <v>122</v>
      </c>
      <c r="P856" t="s">
        <v>122</v>
      </c>
      <c r="Q856">
        <v>70364</v>
      </c>
      <c r="R856" t="s">
        <v>2316</v>
      </c>
      <c r="S856" t="s">
        <v>2317</v>
      </c>
      <c r="T856" t="s">
        <v>2239</v>
      </c>
      <c r="U856" t="s">
        <v>126</v>
      </c>
    </row>
    <row r="857" spans="1:21" x14ac:dyDescent="0.25">
      <c r="A857" t="s">
        <v>118</v>
      </c>
      <c r="B857" t="s">
        <v>2318</v>
      </c>
      <c r="C857">
        <v>146005</v>
      </c>
      <c r="D857" t="s">
        <v>2319</v>
      </c>
      <c r="E857" t="s">
        <v>437</v>
      </c>
      <c r="F857" t="s">
        <v>88</v>
      </c>
      <c r="G857" t="s">
        <v>89</v>
      </c>
      <c r="H857" t="s">
        <v>122</v>
      </c>
      <c r="I857" t="s">
        <v>122</v>
      </c>
      <c r="J857" s="127">
        <v>46031.734027777777</v>
      </c>
      <c r="K857" s="127">
        <v>46034</v>
      </c>
      <c r="L857" s="127">
        <v>46036</v>
      </c>
      <c r="M857" s="127">
        <v>46041.404861111114</v>
      </c>
      <c r="N857" t="s">
        <v>72</v>
      </c>
      <c r="O857" t="s">
        <v>122</v>
      </c>
      <c r="P857" t="s">
        <v>122</v>
      </c>
      <c r="Q857">
        <v>111806</v>
      </c>
      <c r="R857" t="s">
        <v>2320</v>
      </c>
      <c r="S857" t="s">
        <v>2321</v>
      </c>
      <c r="T857" t="s">
        <v>2239</v>
      </c>
      <c r="U857" t="s">
        <v>126</v>
      </c>
    </row>
    <row r="858" spans="1:21" x14ac:dyDescent="0.25">
      <c r="A858" t="s">
        <v>118</v>
      </c>
      <c r="B858" t="s">
        <v>2322</v>
      </c>
      <c r="C858">
        <v>145951</v>
      </c>
      <c r="D858" t="s">
        <v>2323</v>
      </c>
      <c r="E858" t="s">
        <v>437</v>
      </c>
      <c r="F858" t="s">
        <v>88</v>
      </c>
      <c r="G858" t="s">
        <v>89</v>
      </c>
      <c r="H858" t="s">
        <v>122</v>
      </c>
      <c r="I858" t="s">
        <v>122</v>
      </c>
      <c r="J858" s="127">
        <v>46031.57916666667</v>
      </c>
      <c r="K858" s="127">
        <v>46031</v>
      </c>
      <c r="L858" s="127">
        <v>46035</v>
      </c>
      <c r="M858" s="127">
        <v>46052.569444444445</v>
      </c>
      <c r="N858" t="s">
        <v>72</v>
      </c>
      <c r="O858" t="s">
        <v>122</v>
      </c>
      <c r="P858" t="s">
        <v>122</v>
      </c>
      <c r="Q858">
        <v>73312</v>
      </c>
      <c r="R858" t="s">
        <v>2310</v>
      </c>
      <c r="S858" t="s">
        <v>2311</v>
      </c>
      <c r="T858" t="s">
        <v>2239</v>
      </c>
      <c r="U858" t="s">
        <v>126</v>
      </c>
    </row>
    <row r="859" spans="1:21" x14ac:dyDescent="0.25">
      <c r="A859" t="s">
        <v>118</v>
      </c>
      <c r="B859" t="s">
        <v>2324</v>
      </c>
      <c r="C859">
        <v>141197</v>
      </c>
      <c r="D859" t="s">
        <v>2325</v>
      </c>
      <c r="E859" t="s">
        <v>437</v>
      </c>
      <c r="F859" t="s">
        <v>88</v>
      </c>
      <c r="G859" t="s">
        <v>89</v>
      </c>
      <c r="H859" t="s">
        <v>122</v>
      </c>
      <c r="I859" t="s">
        <v>122</v>
      </c>
      <c r="J859" s="127">
        <v>46021.513194444444</v>
      </c>
      <c r="K859" s="127">
        <v>46027</v>
      </c>
      <c r="L859" s="127">
        <v>46027</v>
      </c>
      <c r="M859" s="127">
        <v>46028.630555555559</v>
      </c>
      <c r="N859" t="s">
        <v>72</v>
      </c>
      <c r="O859" t="s">
        <v>122</v>
      </c>
      <c r="P859" t="s">
        <v>122</v>
      </c>
      <c r="Q859">
        <v>70362</v>
      </c>
      <c r="R859" t="s">
        <v>2326</v>
      </c>
      <c r="S859" t="s">
        <v>2327</v>
      </c>
      <c r="T859" t="s">
        <v>2239</v>
      </c>
      <c r="U859" t="s">
        <v>126</v>
      </c>
    </row>
    <row r="860" spans="1:21" x14ac:dyDescent="0.25">
      <c r="A860" t="s">
        <v>253</v>
      </c>
      <c r="B860" t="s">
        <v>2328</v>
      </c>
      <c r="C860">
        <v>140660</v>
      </c>
      <c r="D860" t="s">
        <v>2329</v>
      </c>
      <c r="E860" t="s">
        <v>437</v>
      </c>
      <c r="F860" t="s">
        <v>88</v>
      </c>
      <c r="G860" t="s">
        <v>89</v>
      </c>
      <c r="H860" t="s">
        <v>122</v>
      </c>
      <c r="I860" t="s">
        <v>122</v>
      </c>
      <c r="J860" s="127">
        <v>46020.709722222222</v>
      </c>
      <c r="K860" s="127">
        <v>46020</v>
      </c>
      <c r="L860" s="127">
        <v>46027</v>
      </c>
      <c r="M860" s="127">
        <v>46036.364583333336</v>
      </c>
      <c r="N860" t="s">
        <v>72</v>
      </c>
      <c r="O860" t="s">
        <v>122</v>
      </c>
      <c r="P860" t="s">
        <v>122</v>
      </c>
      <c r="R860" t="s">
        <v>122</v>
      </c>
      <c r="S860" t="s">
        <v>122</v>
      </c>
      <c r="T860" t="s">
        <v>2239</v>
      </c>
      <c r="U860" t="s">
        <v>126</v>
      </c>
    </row>
    <row r="861" spans="1:21" x14ac:dyDescent="0.25">
      <c r="A861" t="s">
        <v>253</v>
      </c>
      <c r="B861" t="s">
        <v>2330</v>
      </c>
      <c r="C861">
        <v>140587</v>
      </c>
      <c r="D861" t="s">
        <v>2331</v>
      </c>
      <c r="E861" t="s">
        <v>437</v>
      </c>
      <c r="F861" t="s">
        <v>88</v>
      </c>
      <c r="G861" t="s">
        <v>89</v>
      </c>
      <c r="H861" t="s">
        <v>122</v>
      </c>
      <c r="I861" t="s">
        <v>122</v>
      </c>
      <c r="J861" s="127">
        <v>46020.484027777777</v>
      </c>
      <c r="K861" s="127">
        <v>46020</v>
      </c>
      <c r="L861" s="127">
        <v>46021</v>
      </c>
      <c r="M861" s="127">
        <v>46027.677083333336</v>
      </c>
      <c r="N861" t="s">
        <v>72</v>
      </c>
      <c r="O861" t="s">
        <v>122</v>
      </c>
      <c r="P861" t="s">
        <v>122</v>
      </c>
      <c r="Q861">
        <v>70364</v>
      </c>
      <c r="R861" t="s">
        <v>2316</v>
      </c>
      <c r="S861" t="s">
        <v>2317</v>
      </c>
      <c r="T861" t="s">
        <v>2239</v>
      </c>
      <c r="U861" t="s">
        <v>126</v>
      </c>
    </row>
    <row r="862" spans="1:21" x14ac:dyDescent="0.25">
      <c r="A862" t="s">
        <v>118</v>
      </c>
      <c r="B862" t="s">
        <v>2332</v>
      </c>
      <c r="C862">
        <v>140575</v>
      </c>
      <c r="D862" t="s">
        <v>2333</v>
      </c>
      <c r="E862" t="s">
        <v>437</v>
      </c>
      <c r="F862" t="s">
        <v>88</v>
      </c>
      <c r="G862" t="s">
        <v>89</v>
      </c>
      <c r="H862" t="s">
        <v>122</v>
      </c>
      <c r="I862" t="s">
        <v>122</v>
      </c>
      <c r="J862" s="127">
        <v>46020.474999999999</v>
      </c>
      <c r="K862" s="127">
        <v>46020</v>
      </c>
      <c r="L862" s="127">
        <v>46020</v>
      </c>
      <c r="M862" s="127">
        <v>46028.452777777777</v>
      </c>
      <c r="N862" t="s">
        <v>72</v>
      </c>
      <c r="O862" t="s">
        <v>122</v>
      </c>
      <c r="P862" t="s">
        <v>122</v>
      </c>
      <c r="Q862">
        <v>70364</v>
      </c>
      <c r="R862" t="s">
        <v>2316</v>
      </c>
      <c r="S862" t="s">
        <v>2317</v>
      </c>
      <c r="T862" t="s">
        <v>2239</v>
      </c>
      <c r="U862" t="s">
        <v>126</v>
      </c>
    </row>
    <row r="863" spans="1:21" x14ac:dyDescent="0.25">
      <c r="A863" t="s">
        <v>118</v>
      </c>
      <c r="B863" t="s">
        <v>2334</v>
      </c>
      <c r="C863">
        <v>138787</v>
      </c>
      <c r="D863" t="s">
        <v>2335</v>
      </c>
      <c r="E863" t="s">
        <v>437</v>
      </c>
      <c r="F863" t="s">
        <v>88</v>
      </c>
      <c r="G863" t="s">
        <v>89</v>
      </c>
      <c r="H863" t="s">
        <v>122</v>
      </c>
      <c r="I863" t="s">
        <v>122</v>
      </c>
      <c r="J863" s="127">
        <v>46014.626388888886</v>
      </c>
      <c r="K863" s="127">
        <v>46020</v>
      </c>
      <c r="L863" s="127">
        <v>46020</v>
      </c>
      <c r="M863" s="127">
        <v>46028.695138888892</v>
      </c>
      <c r="N863" t="s">
        <v>72</v>
      </c>
      <c r="O863" t="s">
        <v>122</v>
      </c>
      <c r="P863" t="s">
        <v>122</v>
      </c>
      <c r="Q863">
        <v>103152</v>
      </c>
      <c r="R863" t="s">
        <v>2336</v>
      </c>
      <c r="S863" t="s">
        <v>2337</v>
      </c>
      <c r="T863" t="s">
        <v>2239</v>
      </c>
      <c r="U863" t="s">
        <v>126</v>
      </c>
    </row>
    <row r="864" spans="1:21" x14ac:dyDescent="0.25">
      <c r="A864" t="s">
        <v>253</v>
      </c>
      <c r="B864" t="s">
        <v>2338</v>
      </c>
      <c r="C864">
        <v>137787</v>
      </c>
      <c r="D864" t="s">
        <v>2339</v>
      </c>
      <c r="E864" t="s">
        <v>437</v>
      </c>
      <c r="F864" t="s">
        <v>88</v>
      </c>
      <c r="G864" t="s">
        <v>89</v>
      </c>
      <c r="H864" t="s">
        <v>122</v>
      </c>
      <c r="I864" t="s">
        <v>122</v>
      </c>
      <c r="J864" s="127">
        <v>46013.631249999999</v>
      </c>
      <c r="K864" s="127">
        <v>46034</v>
      </c>
      <c r="L864" s="127">
        <v>46036</v>
      </c>
      <c r="M864" s="127">
        <v>46036.559027777781</v>
      </c>
      <c r="N864" t="s">
        <v>72</v>
      </c>
      <c r="O864" t="s">
        <v>122</v>
      </c>
      <c r="P864" t="s">
        <v>122</v>
      </c>
      <c r="Q864">
        <v>70364</v>
      </c>
      <c r="R864" t="s">
        <v>2316</v>
      </c>
      <c r="S864" t="s">
        <v>2317</v>
      </c>
      <c r="T864" t="s">
        <v>2239</v>
      </c>
      <c r="U864" t="s">
        <v>126</v>
      </c>
    </row>
    <row r="865" spans="1:21" x14ac:dyDescent="0.25">
      <c r="A865" t="s">
        <v>118</v>
      </c>
      <c r="B865" t="s">
        <v>2340</v>
      </c>
      <c r="C865">
        <v>137742</v>
      </c>
      <c r="D865" t="s">
        <v>2341</v>
      </c>
      <c r="E865" t="s">
        <v>437</v>
      </c>
      <c r="F865" t="s">
        <v>88</v>
      </c>
      <c r="G865" t="s">
        <v>89</v>
      </c>
      <c r="H865" t="s">
        <v>122</v>
      </c>
      <c r="I865" t="s">
        <v>122</v>
      </c>
      <c r="J865" s="127">
        <v>46013.547222222223</v>
      </c>
      <c r="K865" s="127">
        <v>46020</v>
      </c>
      <c r="L865" s="127">
        <v>46020</v>
      </c>
      <c r="M865" s="127">
        <v>46021.443749999999</v>
      </c>
      <c r="N865" t="s">
        <v>72</v>
      </c>
      <c r="O865" t="s">
        <v>122</v>
      </c>
      <c r="P865" t="s">
        <v>122</v>
      </c>
      <c r="Q865">
        <v>70364</v>
      </c>
      <c r="R865" t="s">
        <v>2316</v>
      </c>
      <c r="S865" t="s">
        <v>2317</v>
      </c>
      <c r="T865" t="s">
        <v>2239</v>
      </c>
      <c r="U865" t="s">
        <v>126</v>
      </c>
    </row>
    <row r="866" spans="1:21" x14ac:dyDescent="0.25">
      <c r="A866" t="s">
        <v>253</v>
      </c>
      <c r="B866" t="s">
        <v>2342</v>
      </c>
      <c r="C866">
        <v>137717</v>
      </c>
      <c r="D866" t="s">
        <v>2343</v>
      </c>
      <c r="E866" t="s">
        <v>130</v>
      </c>
      <c r="F866" t="s">
        <v>88</v>
      </c>
      <c r="G866" t="s">
        <v>89</v>
      </c>
      <c r="H866" t="s">
        <v>122</v>
      </c>
      <c r="I866" t="s">
        <v>122</v>
      </c>
      <c r="J866" s="127">
        <v>46013.496527777781</v>
      </c>
      <c r="K866" s="127">
        <v>46013.686805555553</v>
      </c>
      <c r="L866" s="127">
        <v>46013</v>
      </c>
      <c r="M866" s="127">
        <v>46014.684027777781</v>
      </c>
      <c r="N866" t="s">
        <v>72</v>
      </c>
      <c r="O866" t="s">
        <v>122</v>
      </c>
      <c r="P866" t="s">
        <v>122</v>
      </c>
      <c r="R866" t="s">
        <v>122</v>
      </c>
      <c r="S866" t="s">
        <v>122</v>
      </c>
      <c r="T866" t="s">
        <v>2239</v>
      </c>
      <c r="U866" t="s">
        <v>126</v>
      </c>
    </row>
    <row r="867" spans="1:21" x14ac:dyDescent="0.25">
      <c r="A867" t="s">
        <v>253</v>
      </c>
      <c r="B867" t="s">
        <v>2344</v>
      </c>
      <c r="C867">
        <v>135131</v>
      </c>
      <c r="D867" t="s">
        <v>2345</v>
      </c>
      <c r="E867" t="s">
        <v>130</v>
      </c>
      <c r="F867" t="s">
        <v>88</v>
      </c>
      <c r="G867" t="s">
        <v>89</v>
      </c>
      <c r="H867" t="s">
        <v>122</v>
      </c>
      <c r="I867" t="s">
        <v>122</v>
      </c>
      <c r="J867" s="127">
        <v>46009.450694444444</v>
      </c>
      <c r="K867" s="127">
        <v>46009</v>
      </c>
      <c r="L867" s="127">
        <v>46009</v>
      </c>
      <c r="M867" s="127">
        <v>46013.405555555553</v>
      </c>
      <c r="N867" t="s">
        <v>72</v>
      </c>
      <c r="O867" t="s">
        <v>122</v>
      </c>
      <c r="P867" t="s">
        <v>122</v>
      </c>
      <c r="R867" t="s">
        <v>122</v>
      </c>
      <c r="S867" t="s">
        <v>122</v>
      </c>
      <c r="T867" t="s">
        <v>2239</v>
      </c>
      <c r="U867" t="s">
        <v>126</v>
      </c>
    </row>
    <row r="868" spans="1:21" x14ac:dyDescent="0.25">
      <c r="A868" t="s">
        <v>253</v>
      </c>
      <c r="B868" t="s">
        <v>2346</v>
      </c>
      <c r="C868">
        <v>135106</v>
      </c>
      <c r="D868" t="s">
        <v>2347</v>
      </c>
      <c r="E868" t="s">
        <v>223</v>
      </c>
      <c r="F868" t="s">
        <v>88</v>
      </c>
      <c r="G868" t="s">
        <v>89</v>
      </c>
      <c r="H868" t="s">
        <v>122</v>
      </c>
      <c r="I868" t="s">
        <v>122</v>
      </c>
      <c r="J868" s="127">
        <v>46009.432638888888</v>
      </c>
      <c r="K868" s="127">
        <v>46013.563194444447</v>
      </c>
      <c r="L868" s="127">
        <v>46013</v>
      </c>
      <c r="M868" s="127">
        <v>46014.397916666669</v>
      </c>
      <c r="N868" t="s">
        <v>72</v>
      </c>
      <c r="O868" t="s">
        <v>122</v>
      </c>
      <c r="P868" t="s">
        <v>122</v>
      </c>
      <c r="R868" t="s">
        <v>122</v>
      </c>
      <c r="S868" t="s">
        <v>122</v>
      </c>
      <c r="T868" t="s">
        <v>2239</v>
      </c>
      <c r="U868" t="s">
        <v>126</v>
      </c>
    </row>
    <row r="869" spans="1:21" x14ac:dyDescent="0.25">
      <c r="A869" t="s">
        <v>118</v>
      </c>
      <c r="B869" t="s">
        <v>2348</v>
      </c>
      <c r="C869">
        <v>134187</v>
      </c>
      <c r="D869" t="s">
        <v>2349</v>
      </c>
      <c r="E869" t="s">
        <v>437</v>
      </c>
      <c r="F869" t="s">
        <v>88</v>
      </c>
      <c r="G869" t="s">
        <v>89</v>
      </c>
      <c r="H869" t="s">
        <v>122</v>
      </c>
      <c r="I869" t="s">
        <v>122</v>
      </c>
      <c r="J869" s="127">
        <v>46008.451388888891</v>
      </c>
      <c r="K869" s="127">
        <v>46014.519444444442</v>
      </c>
      <c r="L869" s="127">
        <v>46014</v>
      </c>
      <c r="M869" s="127">
        <v>46013.40625</v>
      </c>
      <c r="N869" t="s">
        <v>72</v>
      </c>
      <c r="O869" t="s">
        <v>122</v>
      </c>
      <c r="P869" t="s">
        <v>122</v>
      </c>
      <c r="Q869">
        <v>66044</v>
      </c>
      <c r="R869" t="s">
        <v>2350</v>
      </c>
      <c r="S869" t="s">
        <v>2351</v>
      </c>
      <c r="T869" t="s">
        <v>2239</v>
      </c>
      <c r="U869" t="s">
        <v>126</v>
      </c>
    </row>
    <row r="870" spans="1:21" x14ac:dyDescent="0.25">
      <c r="A870" t="s">
        <v>118</v>
      </c>
      <c r="B870" t="s">
        <v>2352</v>
      </c>
      <c r="C870">
        <v>133159</v>
      </c>
      <c r="D870" t="s">
        <v>2353</v>
      </c>
      <c r="E870" t="s">
        <v>437</v>
      </c>
      <c r="F870" t="s">
        <v>88</v>
      </c>
      <c r="G870" t="s">
        <v>89</v>
      </c>
      <c r="H870" t="s">
        <v>122</v>
      </c>
      <c r="I870" t="s">
        <v>122</v>
      </c>
      <c r="J870" s="127">
        <v>46008.4</v>
      </c>
      <c r="K870" s="127">
        <v>46013</v>
      </c>
      <c r="L870" s="127">
        <v>46013</v>
      </c>
      <c r="M870" s="127">
        <v>46015.393055555556</v>
      </c>
      <c r="N870" t="s">
        <v>72</v>
      </c>
      <c r="O870" t="s">
        <v>122</v>
      </c>
      <c r="P870" t="s">
        <v>122</v>
      </c>
      <c r="Q870">
        <v>65642</v>
      </c>
      <c r="R870" t="s">
        <v>2354</v>
      </c>
      <c r="S870" t="s">
        <v>2355</v>
      </c>
      <c r="T870" t="s">
        <v>2239</v>
      </c>
      <c r="U870" t="s">
        <v>126</v>
      </c>
    </row>
    <row r="871" spans="1:21" x14ac:dyDescent="0.25">
      <c r="A871" t="s">
        <v>118</v>
      </c>
      <c r="B871" t="s">
        <v>2356</v>
      </c>
      <c r="C871">
        <v>129389</v>
      </c>
      <c r="D871" t="s">
        <v>2357</v>
      </c>
      <c r="E871" t="s">
        <v>437</v>
      </c>
      <c r="F871" t="s">
        <v>88</v>
      </c>
      <c r="G871" t="s">
        <v>89</v>
      </c>
      <c r="H871" t="s">
        <v>122</v>
      </c>
      <c r="I871" t="s">
        <v>122</v>
      </c>
      <c r="J871" s="127">
        <v>46006.80972222222</v>
      </c>
      <c r="K871" s="127">
        <v>46006</v>
      </c>
      <c r="L871" s="127">
        <v>46007</v>
      </c>
      <c r="M871" s="127">
        <v>46028.430555555555</v>
      </c>
      <c r="N871" t="s">
        <v>72</v>
      </c>
      <c r="O871" t="s">
        <v>122</v>
      </c>
      <c r="P871" t="s">
        <v>122</v>
      </c>
      <c r="Q871">
        <v>70364</v>
      </c>
      <c r="R871" t="s">
        <v>2316</v>
      </c>
      <c r="S871" t="s">
        <v>2317</v>
      </c>
      <c r="T871" t="s">
        <v>2239</v>
      </c>
      <c r="U871" t="s">
        <v>126</v>
      </c>
    </row>
    <row r="872" spans="1:21" x14ac:dyDescent="0.25">
      <c r="A872" t="s">
        <v>253</v>
      </c>
      <c r="B872" t="s">
        <v>2358</v>
      </c>
      <c r="C872">
        <v>129262</v>
      </c>
      <c r="D872" t="s">
        <v>2359</v>
      </c>
      <c r="E872" t="s">
        <v>437</v>
      </c>
      <c r="F872" t="s">
        <v>88</v>
      </c>
      <c r="G872" t="s">
        <v>89</v>
      </c>
      <c r="H872" t="s">
        <v>122</v>
      </c>
      <c r="I872" t="s">
        <v>122</v>
      </c>
      <c r="J872" s="127">
        <v>46006.59097222222</v>
      </c>
      <c r="K872" s="127">
        <v>46027</v>
      </c>
      <c r="L872" s="127">
        <v>46027</v>
      </c>
      <c r="M872" s="127">
        <v>46028.589583333334</v>
      </c>
      <c r="N872" t="s">
        <v>72</v>
      </c>
      <c r="O872" t="s">
        <v>122</v>
      </c>
      <c r="P872" t="s">
        <v>122</v>
      </c>
      <c r="R872" t="s">
        <v>122</v>
      </c>
      <c r="S872" t="s">
        <v>122</v>
      </c>
      <c r="T872" t="s">
        <v>2239</v>
      </c>
      <c r="U872" t="s">
        <v>126</v>
      </c>
    </row>
    <row r="873" spans="1:21" x14ac:dyDescent="0.25">
      <c r="A873" t="s">
        <v>127</v>
      </c>
      <c r="B873" t="s">
        <v>2360</v>
      </c>
      <c r="C873">
        <v>127504</v>
      </c>
      <c r="D873" t="s">
        <v>2361</v>
      </c>
      <c r="E873" t="s">
        <v>130</v>
      </c>
      <c r="F873" t="s">
        <v>88</v>
      </c>
      <c r="G873" t="s">
        <v>89</v>
      </c>
      <c r="H873" t="s">
        <v>122</v>
      </c>
      <c r="I873" t="s">
        <v>122</v>
      </c>
      <c r="J873" s="127">
        <v>46003.715277777781</v>
      </c>
      <c r="K873" s="127"/>
      <c r="L873" s="127"/>
      <c r="M873" s="127">
        <v>46015.462500000001</v>
      </c>
      <c r="N873" t="s">
        <v>72</v>
      </c>
      <c r="O873" t="s">
        <v>122</v>
      </c>
      <c r="P873" t="s">
        <v>122</v>
      </c>
      <c r="R873" t="s">
        <v>122</v>
      </c>
      <c r="S873" t="s">
        <v>122</v>
      </c>
      <c r="T873" t="s">
        <v>2239</v>
      </c>
      <c r="U873" t="s">
        <v>126</v>
      </c>
    </row>
    <row r="874" spans="1:21" x14ac:dyDescent="0.25">
      <c r="A874" t="s">
        <v>253</v>
      </c>
      <c r="B874" t="s">
        <v>2362</v>
      </c>
      <c r="C874">
        <v>125620</v>
      </c>
      <c r="D874" t="s">
        <v>2363</v>
      </c>
      <c r="E874" t="s">
        <v>437</v>
      </c>
      <c r="F874" t="s">
        <v>88</v>
      </c>
      <c r="G874" t="s">
        <v>89</v>
      </c>
      <c r="H874" t="s">
        <v>122</v>
      </c>
      <c r="I874" t="s">
        <v>122</v>
      </c>
      <c r="J874" s="127">
        <v>46002.422222222223</v>
      </c>
      <c r="K874" s="127">
        <v>46003</v>
      </c>
      <c r="L874" s="127">
        <v>46003</v>
      </c>
      <c r="M874" s="127">
        <v>46003.566666666666</v>
      </c>
      <c r="N874" t="s">
        <v>72</v>
      </c>
      <c r="O874" t="s">
        <v>122</v>
      </c>
      <c r="P874" t="s">
        <v>122</v>
      </c>
      <c r="R874" t="s">
        <v>122</v>
      </c>
      <c r="S874" t="s">
        <v>122</v>
      </c>
      <c r="T874" t="s">
        <v>2239</v>
      </c>
      <c r="U874" t="s">
        <v>126</v>
      </c>
    </row>
    <row r="875" spans="1:21" x14ac:dyDescent="0.25">
      <c r="A875" t="s">
        <v>118</v>
      </c>
      <c r="B875" t="s">
        <v>2364</v>
      </c>
      <c r="C875">
        <v>124698</v>
      </c>
      <c r="D875" t="s">
        <v>2365</v>
      </c>
      <c r="E875" t="s">
        <v>437</v>
      </c>
      <c r="F875" t="s">
        <v>88</v>
      </c>
      <c r="G875" t="s">
        <v>89</v>
      </c>
      <c r="H875" t="s">
        <v>122</v>
      </c>
      <c r="I875" t="s">
        <v>122</v>
      </c>
      <c r="J875" s="127">
        <v>46001.45416666667</v>
      </c>
      <c r="K875" s="127">
        <v>46007</v>
      </c>
      <c r="L875" s="127">
        <v>46007</v>
      </c>
      <c r="M875" s="127">
        <v>46014.394444444442</v>
      </c>
      <c r="N875" t="s">
        <v>72</v>
      </c>
      <c r="O875" t="s">
        <v>122</v>
      </c>
      <c r="P875" t="s">
        <v>122</v>
      </c>
      <c r="Q875">
        <v>66044</v>
      </c>
      <c r="R875" t="s">
        <v>2350</v>
      </c>
      <c r="S875" t="s">
        <v>2351</v>
      </c>
      <c r="T875" t="s">
        <v>2239</v>
      </c>
      <c r="U875" t="s">
        <v>126</v>
      </c>
    </row>
    <row r="876" spans="1:21" x14ac:dyDescent="0.25">
      <c r="A876" t="s">
        <v>118</v>
      </c>
      <c r="B876" t="s">
        <v>2366</v>
      </c>
      <c r="C876">
        <v>123758</v>
      </c>
      <c r="D876" t="s">
        <v>2367</v>
      </c>
      <c r="E876" t="s">
        <v>437</v>
      </c>
      <c r="F876" t="s">
        <v>88</v>
      </c>
      <c r="G876" t="s">
        <v>89</v>
      </c>
      <c r="H876" t="s">
        <v>122</v>
      </c>
      <c r="I876" t="s">
        <v>122</v>
      </c>
      <c r="J876" s="127">
        <v>46000.5</v>
      </c>
      <c r="K876" s="127">
        <v>46000</v>
      </c>
      <c r="L876" s="127"/>
      <c r="M876" s="127">
        <v>46013.397916666669</v>
      </c>
      <c r="N876" t="s">
        <v>72</v>
      </c>
      <c r="O876" t="s">
        <v>122</v>
      </c>
      <c r="P876" t="s">
        <v>122</v>
      </c>
      <c r="Q876">
        <v>70372</v>
      </c>
      <c r="R876" t="s">
        <v>2368</v>
      </c>
      <c r="S876" t="s">
        <v>2369</v>
      </c>
      <c r="T876" t="s">
        <v>2239</v>
      </c>
      <c r="U876" t="s">
        <v>126</v>
      </c>
    </row>
    <row r="877" spans="1:21" x14ac:dyDescent="0.25">
      <c r="A877" t="s">
        <v>118</v>
      </c>
      <c r="B877" t="s">
        <v>2370</v>
      </c>
      <c r="C877">
        <v>111773</v>
      </c>
      <c r="D877" t="s">
        <v>2371</v>
      </c>
      <c r="E877" t="s">
        <v>437</v>
      </c>
      <c r="F877" t="s">
        <v>88</v>
      </c>
      <c r="G877" t="s">
        <v>89</v>
      </c>
      <c r="H877" t="s">
        <v>122</v>
      </c>
      <c r="I877" t="s">
        <v>122</v>
      </c>
      <c r="J877" s="127">
        <v>45987.746527777781</v>
      </c>
      <c r="K877" s="127"/>
      <c r="L877" s="127"/>
      <c r="M877" s="127">
        <v>45995.645138888889</v>
      </c>
      <c r="N877" t="s">
        <v>72</v>
      </c>
      <c r="O877" t="s">
        <v>122</v>
      </c>
      <c r="P877" t="s">
        <v>122</v>
      </c>
      <c r="Q877">
        <v>70362</v>
      </c>
      <c r="R877" t="s">
        <v>2326</v>
      </c>
      <c r="S877" t="s">
        <v>2327</v>
      </c>
      <c r="T877" t="s">
        <v>2239</v>
      </c>
      <c r="U877" t="s">
        <v>126</v>
      </c>
    </row>
    <row r="878" spans="1:21" x14ac:dyDescent="0.25">
      <c r="A878" t="s">
        <v>118</v>
      </c>
      <c r="B878" t="s">
        <v>2372</v>
      </c>
      <c r="C878">
        <v>111737</v>
      </c>
      <c r="D878" t="s">
        <v>2373</v>
      </c>
      <c r="E878" t="s">
        <v>437</v>
      </c>
      <c r="F878" t="s">
        <v>88</v>
      </c>
      <c r="G878" t="s">
        <v>89</v>
      </c>
      <c r="H878" t="s">
        <v>122</v>
      </c>
      <c r="I878" t="s">
        <v>122</v>
      </c>
      <c r="J878" s="127">
        <v>45987.709027777775</v>
      </c>
      <c r="K878" s="127">
        <v>45989.525000000001</v>
      </c>
      <c r="L878" s="127"/>
      <c r="M878" s="127">
        <v>45989.400694444441</v>
      </c>
      <c r="N878" t="s">
        <v>72</v>
      </c>
      <c r="O878" t="s">
        <v>122</v>
      </c>
      <c r="P878" t="s">
        <v>122</v>
      </c>
      <c r="Q878">
        <v>70362</v>
      </c>
      <c r="R878" t="s">
        <v>2326</v>
      </c>
      <c r="S878" t="s">
        <v>2327</v>
      </c>
      <c r="T878" t="s">
        <v>2239</v>
      </c>
      <c r="U878" t="s">
        <v>126</v>
      </c>
    </row>
    <row r="879" spans="1:21" x14ac:dyDescent="0.25">
      <c r="A879" t="s">
        <v>118</v>
      </c>
      <c r="B879" t="s">
        <v>2374</v>
      </c>
      <c r="C879">
        <v>111693</v>
      </c>
      <c r="D879" t="s">
        <v>2375</v>
      </c>
      <c r="E879" t="s">
        <v>437</v>
      </c>
      <c r="F879" t="s">
        <v>88</v>
      </c>
      <c r="G879" t="s">
        <v>89</v>
      </c>
      <c r="H879" t="s">
        <v>122</v>
      </c>
      <c r="I879" t="s">
        <v>122</v>
      </c>
      <c r="J879" s="127">
        <v>45987.611111111109</v>
      </c>
      <c r="K879" s="127">
        <v>45989.915972222225</v>
      </c>
      <c r="L879" s="127">
        <v>45989.915972222225</v>
      </c>
      <c r="M879" s="127">
        <v>45999.324999999997</v>
      </c>
      <c r="N879" t="s">
        <v>72</v>
      </c>
      <c r="O879" t="s">
        <v>122</v>
      </c>
      <c r="P879" t="s">
        <v>122</v>
      </c>
      <c r="Q879">
        <v>70364</v>
      </c>
      <c r="R879" t="s">
        <v>2316</v>
      </c>
      <c r="S879" t="s">
        <v>2317</v>
      </c>
      <c r="T879" t="s">
        <v>2239</v>
      </c>
      <c r="U879" t="s">
        <v>126</v>
      </c>
    </row>
    <row r="880" spans="1:21" x14ac:dyDescent="0.25">
      <c r="A880" t="s">
        <v>253</v>
      </c>
      <c r="B880" t="s">
        <v>2376</v>
      </c>
      <c r="C880">
        <v>108383</v>
      </c>
      <c r="D880" t="s">
        <v>2377</v>
      </c>
      <c r="E880" t="s">
        <v>130</v>
      </c>
      <c r="F880" t="s">
        <v>88</v>
      </c>
      <c r="G880" t="s">
        <v>89</v>
      </c>
      <c r="H880" t="s">
        <v>122</v>
      </c>
      <c r="I880" t="s">
        <v>122</v>
      </c>
      <c r="J880" s="127">
        <v>45985.683333333334</v>
      </c>
      <c r="K880" s="127"/>
      <c r="L880" s="127"/>
      <c r="M880" s="127">
        <v>45987.395138888889</v>
      </c>
      <c r="N880" t="s">
        <v>72</v>
      </c>
      <c r="O880" t="s">
        <v>122</v>
      </c>
      <c r="P880" t="s">
        <v>122</v>
      </c>
      <c r="R880" t="s">
        <v>122</v>
      </c>
      <c r="S880" t="s">
        <v>122</v>
      </c>
      <c r="T880" t="s">
        <v>2239</v>
      </c>
      <c r="U880" t="s">
        <v>126</v>
      </c>
    </row>
    <row r="881" spans="1:21" x14ac:dyDescent="0.25">
      <c r="A881" t="s">
        <v>127</v>
      </c>
      <c r="B881" t="s">
        <v>2378</v>
      </c>
      <c r="C881">
        <v>108197</v>
      </c>
      <c r="D881" t="s">
        <v>2379</v>
      </c>
      <c r="E881" t="s">
        <v>223</v>
      </c>
      <c r="F881" t="s">
        <v>88</v>
      </c>
      <c r="G881" t="s">
        <v>122</v>
      </c>
      <c r="H881" t="s">
        <v>122</v>
      </c>
      <c r="I881" t="s">
        <v>122</v>
      </c>
      <c r="J881" s="127">
        <v>45985.398611111108</v>
      </c>
      <c r="K881" s="127">
        <v>45996.585416666669</v>
      </c>
      <c r="L881" s="127"/>
      <c r="M881" s="127">
        <v>46003.729861111111</v>
      </c>
      <c r="N881" t="s">
        <v>72</v>
      </c>
      <c r="O881" t="s">
        <v>122</v>
      </c>
      <c r="P881" t="s">
        <v>122</v>
      </c>
      <c r="R881" t="s">
        <v>122</v>
      </c>
      <c r="S881" t="s">
        <v>122</v>
      </c>
      <c r="T881" t="s">
        <v>450</v>
      </c>
      <c r="U881" t="s">
        <v>126</v>
      </c>
    </row>
    <row r="882" spans="1:21" x14ac:dyDescent="0.25">
      <c r="A882" t="s">
        <v>118</v>
      </c>
      <c r="B882" t="s">
        <v>2380</v>
      </c>
      <c r="C882">
        <v>108185</v>
      </c>
      <c r="D882" t="s">
        <v>2381</v>
      </c>
      <c r="E882" t="s">
        <v>437</v>
      </c>
      <c r="F882" t="s">
        <v>88</v>
      </c>
      <c r="G882" t="s">
        <v>89</v>
      </c>
      <c r="H882" t="s">
        <v>122</v>
      </c>
      <c r="I882" t="s">
        <v>122</v>
      </c>
      <c r="J882" s="127">
        <v>45985.395833333336</v>
      </c>
      <c r="K882" s="127">
        <v>45985.552083333336</v>
      </c>
      <c r="L882" s="127">
        <v>45986.866666666669</v>
      </c>
      <c r="M882" s="127">
        <v>46003.661805555559</v>
      </c>
      <c r="N882" t="s">
        <v>72</v>
      </c>
      <c r="O882" t="s">
        <v>122</v>
      </c>
      <c r="P882" t="s">
        <v>122</v>
      </c>
      <c r="Q882">
        <v>66044</v>
      </c>
      <c r="R882" t="s">
        <v>2350</v>
      </c>
      <c r="S882" t="s">
        <v>2351</v>
      </c>
      <c r="T882" t="s">
        <v>2239</v>
      </c>
      <c r="U882" t="s">
        <v>126</v>
      </c>
    </row>
    <row r="883" spans="1:21" x14ac:dyDescent="0.25">
      <c r="A883" t="s">
        <v>118</v>
      </c>
      <c r="B883" t="s">
        <v>2382</v>
      </c>
      <c r="C883">
        <v>108159</v>
      </c>
      <c r="D883" t="s">
        <v>2383</v>
      </c>
      <c r="E883" t="s">
        <v>437</v>
      </c>
      <c r="F883" t="s">
        <v>88</v>
      </c>
      <c r="G883" t="s">
        <v>89</v>
      </c>
      <c r="H883" t="s">
        <v>122</v>
      </c>
      <c r="I883" t="s">
        <v>122</v>
      </c>
      <c r="J883" s="127">
        <v>45985.370833333334</v>
      </c>
      <c r="K883" s="127">
        <v>45985.552083333336</v>
      </c>
      <c r="L883" s="127"/>
      <c r="M883" s="127">
        <v>45992.520833333336</v>
      </c>
      <c r="N883" t="s">
        <v>72</v>
      </c>
      <c r="O883" t="s">
        <v>122</v>
      </c>
      <c r="P883" t="s">
        <v>122</v>
      </c>
      <c r="Q883">
        <v>70364</v>
      </c>
      <c r="R883" t="s">
        <v>2316</v>
      </c>
      <c r="S883" t="s">
        <v>2317</v>
      </c>
      <c r="T883" t="s">
        <v>2239</v>
      </c>
      <c r="U883" t="s">
        <v>126</v>
      </c>
    </row>
    <row r="884" spans="1:21" x14ac:dyDescent="0.25">
      <c r="A884" t="s">
        <v>118</v>
      </c>
      <c r="B884" t="s">
        <v>2384</v>
      </c>
      <c r="C884">
        <v>107355</v>
      </c>
      <c r="D884" t="s">
        <v>2385</v>
      </c>
      <c r="E884" t="s">
        <v>437</v>
      </c>
      <c r="F884" t="s">
        <v>88</v>
      </c>
      <c r="G884" t="s">
        <v>89</v>
      </c>
      <c r="H884" t="s">
        <v>122</v>
      </c>
      <c r="I884" t="s">
        <v>122</v>
      </c>
      <c r="J884" s="127">
        <v>45985.352777777778</v>
      </c>
      <c r="K884" s="127">
        <v>45985.552083333336</v>
      </c>
      <c r="L884" s="127">
        <v>45986.760416666664</v>
      </c>
      <c r="M884" s="127">
        <v>45996.416666666664</v>
      </c>
      <c r="N884" t="s">
        <v>72</v>
      </c>
      <c r="O884" t="s">
        <v>122</v>
      </c>
      <c r="P884" t="s">
        <v>122</v>
      </c>
      <c r="Q884">
        <v>70364</v>
      </c>
      <c r="R884" t="s">
        <v>2316</v>
      </c>
      <c r="S884" t="s">
        <v>2317</v>
      </c>
      <c r="T884" t="s">
        <v>2239</v>
      </c>
      <c r="U884" t="s">
        <v>126</v>
      </c>
    </row>
    <row r="885" spans="1:21" x14ac:dyDescent="0.25">
      <c r="A885" t="s">
        <v>118</v>
      </c>
      <c r="B885" t="s">
        <v>2386</v>
      </c>
      <c r="C885">
        <v>106839</v>
      </c>
      <c r="D885" t="s">
        <v>2387</v>
      </c>
      <c r="E885" t="s">
        <v>437</v>
      </c>
      <c r="F885" t="s">
        <v>88</v>
      </c>
      <c r="G885" t="s">
        <v>89</v>
      </c>
      <c r="H885" t="s">
        <v>122</v>
      </c>
      <c r="I885" t="s">
        <v>122</v>
      </c>
      <c r="J885" s="127">
        <v>45985.335416666669</v>
      </c>
      <c r="K885" s="127">
        <v>45992</v>
      </c>
      <c r="L885" s="127">
        <v>45992</v>
      </c>
      <c r="M885" s="127">
        <v>46003.708333333336</v>
      </c>
      <c r="N885" t="s">
        <v>72</v>
      </c>
      <c r="O885" t="s">
        <v>122</v>
      </c>
      <c r="P885" t="s">
        <v>122</v>
      </c>
      <c r="Q885">
        <v>70363</v>
      </c>
      <c r="R885" t="s">
        <v>2388</v>
      </c>
      <c r="S885" t="s">
        <v>2389</v>
      </c>
      <c r="T885" t="s">
        <v>2239</v>
      </c>
      <c r="U885" t="s">
        <v>126</v>
      </c>
    </row>
    <row r="886" spans="1:21" x14ac:dyDescent="0.25">
      <c r="A886" t="s">
        <v>253</v>
      </c>
      <c r="B886" t="s">
        <v>2390</v>
      </c>
      <c r="C886">
        <v>106683</v>
      </c>
      <c r="D886" t="s">
        <v>2391</v>
      </c>
      <c r="E886" t="s">
        <v>130</v>
      </c>
      <c r="F886" t="s">
        <v>88</v>
      </c>
      <c r="G886" t="s">
        <v>89</v>
      </c>
      <c r="H886" t="s">
        <v>122</v>
      </c>
      <c r="I886" t="s">
        <v>122</v>
      </c>
      <c r="J886" s="127">
        <v>45982.616666666669</v>
      </c>
      <c r="K886" s="127">
        <v>45985.551388888889</v>
      </c>
      <c r="L886" s="127">
        <v>45985.777777777781</v>
      </c>
      <c r="M886" s="127">
        <v>45985.806250000001</v>
      </c>
      <c r="N886" t="s">
        <v>72</v>
      </c>
      <c r="O886" t="s">
        <v>122</v>
      </c>
      <c r="P886" t="s">
        <v>122</v>
      </c>
      <c r="R886" t="s">
        <v>122</v>
      </c>
      <c r="S886" t="s">
        <v>122</v>
      </c>
      <c r="T886" t="s">
        <v>2239</v>
      </c>
      <c r="U886" t="s">
        <v>126</v>
      </c>
    </row>
    <row r="887" spans="1:21" x14ac:dyDescent="0.25">
      <c r="A887" t="s">
        <v>118</v>
      </c>
      <c r="B887" t="s">
        <v>2392</v>
      </c>
      <c r="C887">
        <v>103139</v>
      </c>
      <c r="D887" t="s">
        <v>2393</v>
      </c>
      <c r="E887" t="s">
        <v>437</v>
      </c>
      <c r="F887" t="s">
        <v>88</v>
      </c>
      <c r="G887" t="s">
        <v>89</v>
      </c>
      <c r="H887" t="s">
        <v>122</v>
      </c>
      <c r="I887" t="s">
        <v>122</v>
      </c>
      <c r="J887" s="127">
        <v>45979.578472222223</v>
      </c>
      <c r="K887" s="127"/>
      <c r="L887" s="127"/>
      <c r="M887" s="127">
        <v>46015.464583333334</v>
      </c>
      <c r="N887" t="s">
        <v>72</v>
      </c>
      <c r="O887" t="s">
        <v>122</v>
      </c>
      <c r="P887" t="s">
        <v>122</v>
      </c>
      <c r="Q887">
        <v>103152</v>
      </c>
      <c r="R887" t="s">
        <v>2336</v>
      </c>
      <c r="S887" t="s">
        <v>2337</v>
      </c>
      <c r="T887" t="s">
        <v>2239</v>
      </c>
      <c r="U887" t="s">
        <v>126</v>
      </c>
    </row>
    <row r="888" spans="1:21" x14ac:dyDescent="0.25">
      <c r="A888" t="s">
        <v>118</v>
      </c>
      <c r="B888" t="s">
        <v>2394</v>
      </c>
      <c r="C888">
        <v>103124</v>
      </c>
      <c r="D888" t="s">
        <v>2395</v>
      </c>
      <c r="E888" t="s">
        <v>130</v>
      </c>
      <c r="F888" t="s">
        <v>88</v>
      </c>
      <c r="G888" t="s">
        <v>89</v>
      </c>
      <c r="H888" t="s">
        <v>122</v>
      </c>
      <c r="I888" t="s">
        <v>122</v>
      </c>
      <c r="J888" s="127">
        <v>45979.503472222219</v>
      </c>
      <c r="K888" s="127">
        <v>45979.763888888891</v>
      </c>
      <c r="L888" s="127">
        <v>45979.780555555553</v>
      </c>
      <c r="M888" s="127">
        <v>46003.709722222222</v>
      </c>
      <c r="N888" t="s">
        <v>72</v>
      </c>
      <c r="O888" t="s">
        <v>122</v>
      </c>
      <c r="P888" t="s">
        <v>122</v>
      </c>
      <c r="R888" t="s">
        <v>122</v>
      </c>
      <c r="S888" t="s">
        <v>122</v>
      </c>
      <c r="T888" t="s">
        <v>2239</v>
      </c>
      <c r="U888" t="s">
        <v>126</v>
      </c>
    </row>
    <row r="889" spans="1:21" x14ac:dyDescent="0.25">
      <c r="A889" t="s">
        <v>118</v>
      </c>
      <c r="B889" t="s">
        <v>2396</v>
      </c>
      <c r="C889">
        <v>103066</v>
      </c>
      <c r="D889" t="s">
        <v>2397</v>
      </c>
      <c r="E889" t="s">
        <v>437</v>
      </c>
      <c r="F889" t="s">
        <v>88</v>
      </c>
      <c r="G889" t="s">
        <v>89</v>
      </c>
      <c r="H889" t="s">
        <v>122</v>
      </c>
      <c r="I889" t="s">
        <v>122</v>
      </c>
      <c r="J889" s="127">
        <v>45979.386111111111</v>
      </c>
      <c r="K889" s="127"/>
      <c r="L889" s="127"/>
      <c r="M889" s="127">
        <v>45979.392361111109</v>
      </c>
      <c r="N889" t="s">
        <v>72</v>
      </c>
      <c r="O889" t="s">
        <v>122</v>
      </c>
      <c r="P889" t="s">
        <v>122</v>
      </c>
      <c r="Q889">
        <v>73105</v>
      </c>
      <c r="R889" t="s">
        <v>2398</v>
      </c>
      <c r="S889" t="s">
        <v>2399</v>
      </c>
      <c r="T889" t="s">
        <v>2239</v>
      </c>
      <c r="U889" t="s">
        <v>126</v>
      </c>
    </row>
    <row r="890" spans="1:21" x14ac:dyDescent="0.25">
      <c r="A890" t="s">
        <v>118</v>
      </c>
      <c r="B890" t="s">
        <v>2400</v>
      </c>
      <c r="C890">
        <v>97691</v>
      </c>
      <c r="D890" t="s">
        <v>2401</v>
      </c>
      <c r="E890" t="s">
        <v>437</v>
      </c>
      <c r="F890" t="s">
        <v>88</v>
      </c>
      <c r="G890" t="s">
        <v>89</v>
      </c>
      <c r="H890" t="s">
        <v>122</v>
      </c>
      <c r="I890" t="s">
        <v>122</v>
      </c>
      <c r="J890" s="127">
        <v>45975.429861111108</v>
      </c>
      <c r="K890" s="127">
        <v>46007.681250000001</v>
      </c>
      <c r="L890" s="127">
        <v>46007</v>
      </c>
      <c r="M890" s="127">
        <v>46014.393750000003</v>
      </c>
      <c r="N890" t="s">
        <v>75</v>
      </c>
      <c r="O890" t="s">
        <v>122</v>
      </c>
      <c r="P890" t="s">
        <v>122</v>
      </c>
      <c r="Q890">
        <v>70362</v>
      </c>
      <c r="R890" t="s">
        <v>2326</v>
      </c>
      <c r="S890" t="s">
        <v>2327</v>
      </c>
      <c r="T890" t="s">
        <v>2239</v>
      </c>
      <c r="U890" t="s">
        <v>137</v>
      </c>
    </row>
    <row r="891" spans="1:21" x14ac:dyDescent="0.25">
      <c r="A891" t="s">
        <v>118</v>
      </c>
      <c r="B891" t="s">
        <v>2402</v>
      </c>
      <c r="C891">
        <v>96005</v>
      </c>
      <c r="D891" t="s">
        <v>2403</v>
      </c>
      <c r="E891" t="s">
        <v>437</v>
      </c>
      <c r="F891" t="s">
        <v>88</v>
      </c>
      <c r="G891" t="s">
        <v>89</v>
      </c>
      <c r="H891" t="s">
        <v>122</v>
      </c>
      <c r="I891" t="s">
        <v>122</v>
      </c>
      <c r="J891" s="127">
        <v>45974.350694444445</v>
      </c>
      <c r="K891" s="127">
        <v>45985.552083333336</v>
      </c>
      <c r="L891" s="127">
        <v>45985.552083333336</v>
      </c>
      <c r="M891" s="127">
        <v>45989.730555555558</v>
      </c>
      <c r="N891" t="s">
        <v>72</v>
      </c>
      <c r="O891" t="s">
        <v>122</v>
      </c>
      <c r="P891" t="s">
        <v>122</v>
      </c>
      <c r="Q891">
        <v>66044</v>
      </c>
      <c r="R891" t="s">
        <v>2350</v>
      </c>
      <c r="S891" t="s">
        <v>2351</v>
      </c>
      <c r="T891" t="s">
        <v>2239</v>
      </c>
      <c r="U891" t="s">
        <v>126</v>
      </c>
    </row>
    <row r="892" spans="1:21" x14ac:dyDescent="0.25">
      <c r="A892" t="s">
        <v>118</v>
      </c>
      <c r="B892" t="s">
        <v>2404</v>
      </c>
      <c r="C892">
        <v>95794</v>
      </c>
      <c r="D892" t="s">
        <v>2405</v>
      </c>
      <c r="E892" t="s">
        <v>437</v>
      </c>
      <c r="F892" t="s">
        <v>88</v>
      </c>
      <c r="G892" t="s">
        <v>89</v>
      </c>
      <c r="H892" t="s">
        <v>122</v>
      </c>
      <c r="I892" t="s">
        <v>122</v>
      </c>
      <c r="J892" s="127">
        <v>45973.40347222222</v>
      </c>
      <c r="K892" s="127">
        <v>45985.552083333336</v>
      </c>
      <c r="L892" s="127">
        <v>45985.602083333331</v>
      </c>
      <c r="M892" s="127">
        <v>45989.392361111109</v>
      </c>
      <c r="N892" t="s">
        <v>72</v>
      </c>
      <c r="O892" t="s">
        <v>122</v>
      </c>
      <c r="P892" t="s">
        <v>122</v>
      </c>
      <c r="Q892">
        <v>111806</v>
      </c>
      <c r="R892" t="s">
        <v>2320</v>
      </c>
      <c r="S892" t="s">
        <v>2321</v>
      </c>
      <c r="T892" t="s">
        <v>2239</v>
      </c>
      <c r="U892" t="s">
        <v>126</v>
      </c>
    </row>
    <row r="893" spans="1:21" x14ac:dyDescent="0.25">
      <c r="A893" t="s">
        <v>118</v>
      </c>
      <c r="B893" t="s">
        <v>2406</v>
      </c>
      <c r="C893">
        <v>95781</v>
      </c>
      <c r="D893" t="s">
        <v>2407</v>
      </c>
      <c r="E893" t="s">
        <v>437</v>
      </c>
      <c r="F893" t="s">
        <v>88</v>
      </c>
      <c r="G893" t="s">
        <v>89</v>
      </c>
      <c r="H893" t="s">
        <v>122</v>
      </c>
      <c r="I893" t="s">
        <v>122</v>
      </c>
      <c r="J893" s="127">
        <v>45973.400694444441</v>
      </c>
      <c r="K893" s="127">
        <v>46001</v>
      </c>
      <c r="L893" s="127">
        <v>46001</v>
      </c>
      <c r="M893" s="127">
        <v>46008.388194444444</v>
      </c>
      <c r="N893" t="s">
        <v>75</v>
      </c>
      <c r="O893" t="s">
        <v>122</v>
      </c>
      <c r="P893" t="s">
        <v>122</v>
      </c>
      <c r="Q893">
        <v>65642</v>
      </c>
      <c r="R893" t="s">
        <v>2354</v>
      </c>
      <c r="S893" t="s">
        <v>2355</v>
      </c>
      <c r="T893" t="s">
        <v>2239</v>
      </c>
      <c r="U893" t="s">
        <v>137</v>
      </c>
    </row>
    <row r="894" spans="1:21" x14ac:dyDescent="0.25">
      <c r="A894" t="s">
        <v>127</v>
      </c>
      <c r="B894" t="s">
        <v>2408</v>
      </c>
      <c r="C894">
        <v>94138</v>
      </c>
      <c r="D894" t="s">
        <v>2409</v>
      </c>
      <c r="E894" t="s">
        <v>437</v>
      </c>
      <c r="F894" t="s">
        <v>88</v>
      </c>
      <c r="G894" t="s">
        <v>89</v>
      </c>
      <c r="H894" t="s">
        <v>122</v>
      </c>
      <c r="I894" t="s">
        <v>122</v>
      </c>
      <c r="J894" s="127">
        <v>45972.397916666669</v>
      </c>
      <c r="K894" s="127">
        <v>45972.523611111108</v>
      </c>
      <c r="L894" s="127"/>
      <c r="M894" s="127">
        <v>45986.67291666667</v>
      </c>
      <c r="N894" t="s">
        <v>72</v>
      </c>
      <c r="O894" t="s">
        <v>122</v>
      </c>
      <c r="P894" t="s">
        <v>122</v>
      </c>
      <c r="R894" t="s">
        <v>122</v>
      </c>
      <c r="S894" t="s">
        <v>122</v>
      </c>
      <c r="T894" t="s">
        <v>2239</v>
      </c>
      <c r="U894" t="s">
        <v>126</v>
      </c>
    </row>
    <row r="895" spans="1:21" x14ac:dyDescent="0.25">
      <c r="A895" t="s">
        <v>118</v>
      </c>
      <c r="B895" t="s">
        <v>2410</v>
      </c>
      <c r="C895">
        <v>84116</v>
      </c>
      <c r="D895" t="s">
        <v>2411</v>
      </c>
      <c r="E895" t="s">
        <v>121</v>
      </c>
      <c r="F895" t="s">
        <v>88</v>
      </c>
      <c r="G895" t="s">
        <v>89</v>
      </c>
      <c r="H895" t="s">
        <v>122</v>
      </c>
      <c r="I895" t="s">
        <v>122</v>
      </c>
      <c r="J895" s="127">
        <v>45964.788888888892</v>
      </c>
      <c r="K895" s="127"/>
      <c r="L895" s="127"/>
      <c r="M895" s="127"/>
      <c r="N895" t="s">
        <v>75</v>
      </c>
      <c r="O895" t="s">
        <v>122</v>
      </c>
      <c r="P895" t="s">
        <v>122</v>
      </c>
      <c r="Q895">
        <v>149493</v>
      </c>
      <c r="R895" t="s">
        <v>2412</v>
      </c>
      <c r="S895" t="s">
        <v>2413</v>
      </c>
      <c r="T895" t="s">
        <v>2239</v>
      </c>
      <c r="U895" t="s">
        <v>137</v>
      </c>
    </row>
    <row r="896" spans="1:21" x14ac:dyDescent="0.25">
      <c r="A896" t="s">
        <v>127</v>
      </c>
      <c r="B896" t="s">
        <v>2414</v>
      </c>
      <c r="C896">
        <v>84060</v>
      </c>
      <c r="D896" t="s">
        <v>2415</v>
      </c>
      <c r="E896" t="s">
        <v>437</v>
      </c>
      <c r="F896" t="s">
        <v>122</v>
      </c>
      <c r="G896" t="s">
        <v>89</v>
      </c>
      <c r="H896" t="s">
        <v>122</v>
      </c>
      <c r="I896" t="s">
        <v>122</v>
      </c>
      <c r="J896" s="127">
        <v>45964.631944444445</v>
      </c>
      <c r="K896" s="127">
        <v>45964.767361111109</v>
      </c>
      <c r="L896" s="127"/>
      <c r="M896" s="127">
        <v>46035.494444444441</v>
      </c>
      <c r="N896" t="s">
        <v>2416</v>
      </c>
      <c r="O896" t="s">
        <v>72</v>
      </c>
      <c r="P896" t="s">
        <v>122</v>
      </c>
      <c r="Q896">
        <v>66044</v>
      </c>
      <c r="R896" t="s">
        <v>2350</v>
      </c>
      <c r="S896" t="s">
        <v>2351</v>
      </c>
      <c r="T896" t="s">
        <v>2239</v>
      </c>
      <c r="U896" t="s">
        <v>2417</v>
      </c>
    </row>
    <row r="897" spans="1:21" x14ac:dyDescent="0.25">
      <c r="A897" t="s">
        <v>127</v>
      </c>
      <c r="B897" t="s">
        <v>2418</v>
      </c>
      <c r="C897">
        <v>83991</v>
      </c>
      <c r="D897" t="s">
        <v>2419</v>
      </c>
      <c r="E897" t="s">
        <v>130</v>
      </c>
      <c r="F897" t="s">
        <v>88</v>
      </c>
      <c r="G897" t="s">
        <v>89</v>
      </c>
      <c r="H897" t="s">
        <v>122</v>
      </c>
      <c r="I897" t="s">
        <v>122</v>
      </c>
      <c r="J897" s="127">
        <v>45964.429166666669</v>
      </c>
      <c r="K897" s="127">
        <v>45964</v>
      </c>
      <c r="L897" s="127">
        <v>45964</v>
      </c>
      <c r="M897" s="127"/>
      <c r="N897" t="s">
        <v>72</v>
      </c>
      <c r="O897" t="s">
        <v>122</v>
      </c>
      <c r="P897" t="s">
        <v>122</v>
      </c>
      <c r="R897" t="s">
        <v>122</v>
      </c>
      <c r="S897" t="s">
        <v>122</v>
      </c>
      <c r="T897" t="s">
        <v>2239</v>
      </c>
      <c r="U897" t="s">
        <v>126</v>
      </c>
    </row>
    <row r="898" spans="1:21" x14ac:dyDescent="0.25">
      <c r="A898" t="s">
        <v>118</v>
      </c>
      <c r="B898" t="s">
        <v>2420</v>
      </c>
      <c r="C898">
        <v>80394</v>
      </c>
      <c r="D898" t="s">
        <v>2421</v>
      </c>
      <c r="E898" t="s">
        <v>437</v>
      </c>
      <c r="F898" t="s">
        <v>88</v>
      </c>
      <c r="G898" t="s">
        <v>89</v>
      </c>
      <c r="H898" t="s">
        <v>122</v>
      </c>
      <c r="I898" t="s">
        <v>122</v>
      </c>
      <c r="J898" s="127">
        <v>45960.581250000003</v>
      </c>
      <c r="K898" s="127">
        <v>45964</v>
      </c>
      <c r="L898" s="127">
        <v>45964</v>
      </c>
      <c r="M898" s="127">
        <v>45964.868750000001</v>
      </c>
      <c r="N898" t="s">
        <v>72</v>
      </c>
      <c r="O898" t="s">
        <v>122</v>
      </c>
      <c r="P898" t="s">
        <v>122</v>
      </c>
      <c r="Q898">
        <v>66044</v>
      </c>
      <c r="R898" t="s">
        <v>2350</v>
      </c>
      <c r="S898" t="s">
        <v>2351</v>
      </c>
      <c r="T898" t="s">
        <v>2239</v>
      </c>
      <c r="U898" t="s">
        <v>126</v>
      </c>
    </row>
    <row r="899" spans="1:21" x14ac:dyDescent="0.25">
      <c r="A899" t="s">
        <v>118</v>
      </c>
      <c r="B899" t="s">
        <v>2422</v>
      </c>
      <c r="C899">
        <v>80363</v>
      </c>
      <c r="D899" t="s">
        <v>2423</v>
      </c>
      <c r="E899" t="s">
        <v>437</v>
      </c>
      <c r="F899" t="s">
        <v>88</v>
      </c>
      <c r="G899" t="s">
        <v>89</v>
      </c>
      <c r="H899" t="s">
        <v>122</v>
      </c>
      <c r="I899" t="s">
        <v>122</v>
      </c>
      <c r="J899" s="127">
        <v>45960.442361111112</v>
      </c>
      <c r="K899" s="127">
        <v>46014.726388888892</v>
      </c>
      <c r="L899" s="127">
        <v>46014</v>
      </c>
      <c r="M899" s="127">
        <v>46030.623611111114</v>
      </c>
      <c r="N899" t="s">
        <v>75</v>
      </c>
      <c r="O899" t="s">
        <v>122</v>
      </c>
      <c r="P899" t="s">
        <v>122</v>
      </c>
      <c r="Q899">
        <v>65642</v>
      </c>
      <c r="R899" t="s">
        <v>2354</v>
      </c>
      <c r="S899" t="s">
        <v>2355</v>
      </c>
      <c r="T899" t="s">
        <v>2239</v>
      </c>
      <c r="U899" t="s">
        <v>137</v>
      </c>
    </row>
    <row r="900" spans="1:21" x14ac:dyDescent="0.25">
      <c r="A900" t="s">
        <v>118</v>
      </c>
      <c r="B900" t="s">
        <v>2424</v>
      </c>
      <c r="C900">
        <v>77407</v>
      </c>
      <c r="D900" t="s">
        <v>2425</v>
      </c>
      <c r="E900" t="s">
        <v>437</v>
      </c>
      <c r="F900" t="s">
        <v>88</v>
      </c>
      <c r="G900" t="s">
        <v>89</v>
      </c>
      <c r="H900" t="s">
        <v>122</v>
      </c>
      <c r="I900" t="s">
        <v>122</v>
      </c>
      <c r="J900" s="127">
        <v>45957.412499999999</v>
      </c>
      <c r="K900" s="127">
        <v>45957</v>
      </c>
      <c r="L900" s="127">
        <v>45957</v>
      </c>
      <c r="M900" s="127"/>
      <c r="N900" t="s">
        <v>2416</v>
      </c>
      <c r="O900" t="s">
        <v>72</v>
      </c>
      <c r="P900" t="s">
        <v>122</v>
      </c>
      <c r="Q900">
        <v>70203</v>
      </c>
      <c r="R900" t="s">
        <v>2426</v>
      </c>
      <c r="S900" t="s">
        <v>2427</v>
      </c>
      <c r="T900" t="s">
        <v>2239</v>
      </c>
      <c r="U900" t="s">
        <v>2417</v>
      </c>
    </row>
    <row r="901" spans="1:21" x14ac:dyDescent="0.25">
      <c r="A901" t="s">
        <v>253</v>
      </c>
      <c r="B901" t="s">
        <v>2428</v>
      </c>
      <c r="C901">
        <v>75967</v>
      </c>
      <c r="D901" t="s">
        <v>2429</v>
      </c>
      <c r="E901" t="s">
        <v>130</v>
      </c>
      <c r="F901" t="s">
        <v>88</v>
      </c>
      <c r="G901" t="s">
        <v>89</v>
      </c>
      <c r="H901" t="s">
        <v>122</v>
      </c>
      <c r="I901" t="s">
        <v>122</v>
      </c>
      <c r="J901" s="127">
        <v>45953.73333333333</v>
      </c>
      <c r="K901" s="127">
        <v>45957</v>
      </c>
      <c r="L901" s="127">
        <v>45957</v>
      </c>
      <c r="M901" s="127">
        <v>45964.909722222219</v>
      </c>
      <c r="N901" t="s">
        <v>72</v>
      </c>
      <c r="O901" t="s">
        <v>122</v>
      </c>
      <c r="P901" t="s">
        <v>122</v>
      </c>
      <c r="R901" t="s">
        <v>122</v>
      </c>
      <c r="S901" t="s">
        <v>122</v>
      </c>
      <c r="T901" t="s">
        <v>2239</v>
      </c>
      <c r="U901" t="s">
        <v>126</v>
      </c>
    </row>
    <row r="902" spans="1:21" x14ac:dyDescent="0.25">
      <c r="A902" t="s">
        <v>118</v>
      </c>
      <c r="B902" t="s">
        <v>2430</v>
      </c>
      <c r="C902">
        <v>75204</v>
      </c>
      <c r="D902" t="s">
        <v>2431</v>
      </c>
      <c r="E902" t="s">
        <v>437</v>
      </c>
      <c r="F902" t="s">
        <v>88</v>
      </c>
      <c r="G902" t="s">
        <v>89</v>
      </c>
      <c r="H902" t="s">
        <v>122</v>
      </c>
      <c r="I902" t="s">
        <v>122</v>
      </c>
      <c r="J902" s="127">
        <v>45952.381944444445</v>
      </c>
      <c r="K902" s="127">
        <v>45953.822916666664</v>
      </c>
      <c r="L902" s="127">
        <v>45953</v>
      </c>
      <c r="M902" s="127"/>
      <c r="N902" t="s">
        <v>72</v>
      </c>
      <c r="O902" t="s">
        <v>122</v>
      </c>
      <c r="P902" t="s">
        <v>122</v>
      </c>
      <c r="Q902">
        <v>66044</v>
      </c>
      <c r="R902" t="s">
        <v>2350</v>
      </c>
      <c r="S902" t="s">
        <v>2351</v>
      </c>
      <c r="T902" t="s">
        <v>2239</v>
      </c>
      <c r="U902" t="s">
        <v>126</v>
      </c>
    </row>
    <row r="903" spans="1:21" x14ac:dyDescent="0.25">
      <c r="A903" t="s">
        <v>118</v>
      </c>
      <c r="B903" t="s">
        <v>2432</v>
      </c>
      <c r="C903">
        <v>74708</v>
      </c>
      <c r="D903" t="s">
        <v>2433</v>
      </c>
      <c r="E903" t="s">
        <v>437</v>
      </c>
      <c r="F903" t="s">
        <v>88</v>
      </c>
      <c r="G903" t="s">
        <v>89</v>
      </c>
      <c r="H903" t="s">
        <v>122</v>
      </c>
      <c r="I903" t="s">
        <v>122</v>
      </c>
      <c r="J903" s="127">
        <v>45950.363194444442</v>
      </c>
      <c r="K903" s="127">
        <v>45957</v>
      </c>
      <c r="L903" s="127">
        <v>45957</v>
      </c>
      <c r="M903" s="127">
        <v>45960.387499999997</v>
      </c>
      <c r="N903" t="s">
        <v>72</v>
      </c>
      <c r="O903" t="s">
        <v>122</v>
      </c>
      <c r="P903" t="s">
        <v>122</v>
      </c>
      <c r="Q903">
        <v>65642</v>
      </c>
      <c r="R903" t="s">
        <v>2354</v>
      </c>
      <c r="S903" t="s">
        <v>2355</v>
      </c>
      <c r="T903" t="s">
        <v>2239</v>
      </c>
      <c r="U903" t="s">
        <v>126</v>
      </c>
    </row>
    <row r="904" spans="1:21" x14ac:dyDescent="0.25">
      <c r="A904" t="s">
        <v>142</v>
      </c>
      <c r="B904" t="s">
        <v>2434</v>
      </c>
      <c r="C904">
        <v>74415</v>
      </c>
      <c r="D904" t="s">
        <v>2435</v>
      </c>
      <c r="E904" t="s">
        <v>437</v>
      </c>
      <c r="F904" t="s">
        <v>88</v>
      </c>
      <c r="G904" t="s">
        <v>89</v>
      </c>
      <c r="H904" t="s">
        <v>122</v>
      </c>
      <c r="I904" t="s">
        <v>122</v>
      </c>
      <c r="J904" s="127">
        <v>45947.420138888891</v>
      </c>
      <c r="K904" s="127">
        <v>45971.588194444441</v>
      </c>
      <c r="L904" s="127">
        <v>45971.588194444441</v>
      </c>
      <c r="M904" s="127">
        <v>45971.464583333334</v>
      </c>
      <c r="N904" t="s">
        <v>72</v>
      </c>
      <c r="O904" t="s">
        <v>122</v>
      </c>
      <c r="P904" t="s">
        <v>122</v>
      </c>
      <c r="Q904">
        <v>73105</v>
      </c>
      <c r="R904" t="s">
        <v>2398</v>
      </c>
      <c r="S904" t="s">
        <v>2399</v>
      </c>
      <c r="T904" t="s">
        <v>2239</v>
      </c>
      <c r="U904" t="s">
        <v>126</v>
      </c>
    </row>
    <row r="905" spans="1:21" x14ac:dyDescent="0.25">
      <c r="A905" t="s">
        <v>118</v>
      </c>
      <c r="B905" t="s">
        <v>2436</v>
      </c>
      <c r="C905">
        <v>74391</v>
      </c>
      <c r="D905" t="s">
        <v>2437</v>
      </c>
      <c r="E905" t="s">
        <v>437</v>
      </c>
      <c r="F905" t="s">
        <v>88</v>
      </c>
      <c r="G905" t="s">
        <v>89</v>
      </c>
      <c r="H905" t="s">
        <v>122</v>
      </c>
      <c r="I905" t="s">
        <v>122</v>
      </c>
      <c r="J905" s="127">
        <v>45947.418749999997</v>
      </c>
      <c r="K905" s="127">
        <v>45992</v>
      </c>
      <c r="L905" s="127">
        <v>45992</v>
      </c>
      <c r="M905" s="127">
        <v>45996.373611111114</v>
      </c>
      <c r="N905" t="s">
        <v>72</v>
      </c>
      <c r="O905" t="s">
        <v>122</v>
      </c>
      <c r="P905" t="s">
        <v>122</v>
      </c>
      <c r="Q905">
        <v>70372</v>
      </c>
      <c r="R905" t="s">
        <v>2368</v>
      </c>
      <c r="S905" t="s">
        <v>2369</v>
      </c>
      <c r="T905" t="s">
        <v>2239</v>
      </c>
      <c r="U905" t="s">
        <v>126</v>
      </c>
    </row>
    <row r="906" spans="1:21" x14ac:dyDescent="0.25">
      <c r="A906" t="s">
        <v>118</v>
      </c>
      <c r="B906" t="s">
        <v>2438</v>
      </c>
      <c r="C906">
        <v>74379</v>
      </c>
      <c r="D906" t="s">
        <v>2439</v>
      </c>
      <c r="E906" t="s">
        <v>437</v>
      </c>
      <c r="F906" t="s">
        <v>88</v>
      </c>
      <c r="G906" t="s">
        <v>89</v>
      </c>
      <c r="H906" t="s">
        <v>122</v>
      </c>
      <c r="I906" t="s">
        <v>122</v>
      </c>
      <c r="J906" s="127">
        <v>45947.418055555558</v>
      </c>
      <c r="K906" s="127">
        <v>45973.572916666664</v>
      </c>
      <c r="L906" s="127">
        <v>45973.572916666664</v>
      </c>
      <c r="M906" s="127">
        <v>45975.709722222222</v>
      </c>
      <c r="N906" t="s">
        <v>72</v>
      </c>
      <c r="O906" t="s">
        <v>122</v>
      </c>
      <c r="P906" t="s">
        <v>122</v>
      </c>
      <c r="Q906">
        <v>66044</v>
      </c>
      <c r="R906" t="s">
        <v>2350</v>
      </c>
      <c r="S906" t="s">
        <v>2351</v>
      </c>
      <c r="T906" t="s">
        <v>2239</v>
      </c>
      <c r="U906" t="s">
        <v>126</v>
      </c>
    </row>
    <row r="907" spans="1:21" x14ac:dyDescent="0.25">
      <c r="A907" t="s">
        <v>118</v>
      </c>
      <c r="B907" t="s">
        <v>2440</v>
      </c>
      <c r="C907">
        <v>74367</v>
      </c>
      <c r="D907" t="s">
        <v>2441</v>
      </c>
      <c r="E907" t="s">
        <v>437</v>
      </c>
      <c r="F907" t="s">
        <v>88</v>
      </c>
      <c r="G907" t="s">
        <v>89</v>
      </c>
      <c r="H907" t="s">
        <v>122</v>
      </c>
      <c r="I907" t="s">
        <v>122</v>
      </c>
      <c r="J907" s="127">
        <v>45947.418055555558</v>
      </c>
      <c r="K907" s="127">
        <v>45973.515277777777</v>
      </c>
      <c r="L907" s="127">
        <v>45973.515972222223</v>
      </c>
      <c r="M907" s="127">
        <v>45981.929861111108</v>
      </c>
      <c r="N907" t="s">
        <v>72</v>
      </c>
      <c r="O907" t="s">
        <v>122</v>
      </c>
      <c r="P907" t="s">
        <v>122</v>
      </c>
      <c r="Q907">
        <v>70372</v>
      </c>
      <c r="R907" t="s">
        <v>2368</v>
      </c>
      <c r="S907" t="s">
        <v>2369</v>
      </c>
      <c r="T907" t="s">
        <v>2239</v>
      </c>
      <c r="U907" t="s">
        <v>126</v>
      </c>
    </row>
    <row r="908" spans="1:21" x14ac:dyDescent="0.25">
      <c r="A908" t="s">
        <v>118</v>
      </c>
      <c r="B908" t="s">
        <v>2442</v>
      </c>
      <c r="C908">
        <v>74331</v>
      </c>
      <c r="D908" t="s">
        <v>2443</v>
      </c>
      <c r="E908" t="s">
        <v>437</v>
      </c>
      <c r="F908" t="s">
        <v>88</v>
      </c>
      <c r="G908" t="s">
        <v>89</v>
      </c>
      <c r="H908" t="s">
        <v>122</v>
      </c>
      <c r="I908" t="s">
        <v>122</v>
      </c>
      <c r="J908" s="127">
        <v>45947.415277777778</v>
      </c>
      <c r="K908" s="127">
        <v>45972.823611111111</v>
      </c>
      <c r="L908" s="127">
        <v>45972.823611111111</v>
      </c>
      <c r="M908" s="127">
        <v>46020.750694444447</v>
      </c>
      <c r="N908" t="s">
        <v>72</v>
      </c>
      <c r="O908" t="s">
        <v>122</v>
      </c>
      <c r="P908" t="s">
        <v>122</v>
      </c>
      <c r="Q908">
        <v>70364</v>
      </c>
      <c r="R908" t="s">
        <v>2316</v>
      </c>
      <c r="S908" t="s">
        <v>2317</v>
      </c>
      <c r="T908" t="s">
        <v>2239</v>
      </c>
      <c r="U908" t="s">
        <v>126</v>
      </c>
    </row>
    <row r="909" spans="1:21" x14ac:dyDescent="0.25">
      <c r="A909" t="s">
        <v>118</v>
      </c>
      <c r="B909" t="s">
        <v>2444</v>
      </c>
      <c r="C909">
        <v>74318</v>
      </c>
      <c r="D909" t="s">
        <v>2445</v>
      </c>
      <c r="E909" t="s">
        <v>437</v>
      </c>
      <c r="F909" t="s">
        <v>88</v>
      </c>
      <c r="G909" t="s">
        <v>89</v>
      </c>
      <c r="H909" t="s">
        <v>122</v>
      </c>
      <c r="I909" t="s">
        <v>122</v>
      </c>
      <c r="J909" s="127">
        <v>45947.414583333331</v>
      </c>
      <c r="K909" s="127"/>
      <c r="L909" s="127"/>
      <c r="M909" s="127">
        <v>45978.416666666664</v>
      </c>
      <c r="N909" t="s">
        <v>72</v>
      </c>
      <c r="O909" t="s">
        <v>122</v>
      </c>
      <c r="P909" t="s">
        <v>122</v>
      </c>
      <c r="Q909">
        <v>70363</v>
      </c>
      <c r="R909" t="s">
        <v>2388</v>
      </c>
      <c r="S909" t="s">
        <v>2389</v>
      </c>
      <c r="T909" t="s">
        <v>2239</v>
      </c>
      <c r="U909" t="s">
        <v>126</v>
      </c>
    </row>
    <row r="910" spans="1:21" x14ac:dyDescent="0.25">
      <c r="A910" t="s">
        <v>118</v>
      </c>
      <c r="B910" t="s">
        <v>2446</v>
      </c>
      <c r="C910">
        <v>74306</v>
      </c>
      <c r="D910" t="s">
        <v>2447</v>
      </c>
      <c r="E910" t="s">
        <v>437</v>
      </c>
      <c r="F910" t="s">
        <v>88</v>
      </c>
      <c r="G910" t="s">
        <v>89</v>
      </c>
      <c r="H910" t="s">
        <v>122</v>
      </c>
      <c r="I910" t="s">
        <v>122</v>
      </c>
      <c r="J910" s="127">
        <v>45947.413888888892</v>
      </c>
      <c r="K910" s="127"/>
      <c r="L910" s="127"/>
      <c r="M910" s="127">
        <v>45972.382638888892</v>
      </c>
      <c r="N910" t="s">
        <v>72</v>
      </c>
      <c r="O910" t="s">
        <v>122</v>
      </c>
      <c r="P910" t="s">
        <v>122</v>
      </c>
      <c r="Q910">
        <v>70363</v>
      </c>
      <c r="R910" t="s">
        <v>2388</v>
      </c>
      <c r="S910" t="s">
        <v>2389</v>
      </c>
      <c r="T910" t="s">
        <v>2239</v>
      </c>
      <c r="U910" t="s">
        <v>126</v>
      </c>
    </row>
    <row r="911" spans="1:21" x14ac:dyDescent="0.25">
      <c r="A911" t="s">
        <v>118</v>
      </c>
      <c r="B911" t="s">
        <v>2448</v>
      </c>
      <c r="C911">
        <v>74275</v>
      </c>
      <c r="D911" t="s">
        <v>2449</v>
      </c>
      <c r="E911" t="s">
        <v>437</v>
      </c>
      <c r="F911" t="s">
        <v>88</v>
      </c>
      <c r="G911" t="s">
        <v>89</v>
      </c>
      <c r="H911" t="s">
        <v>122</v>
      </c>
      <c r="I911" t="s">
        <v>122</v>
      </c>
      <c r="J911" s="127">
        <v>45947.385416666664</v>
      </c>
      <c r="K911" s="127"/>
      <c r="L911" s="127"/>
      <c r="M911" s="127">
        <v>45972.378472222219</v>
      </c>
      <c r="N911" t="s">
        <v>72</v>
      </c>
      <c r="O911" t="s">
        <v>122</v>
      </c>
      <c r="P911" t="s">
        <v>122</v>
      </c>
      <c r="Q911">
        <v>70363</v>
      </c>
      <c r="R911" t="s">
        <v>2388</v>
      </c>
      <c r="S911" t="s">
        <v>2389</v>
      </c>
      <c r="T911" t="s">
        <v>2239</v>
      </c>
      <c r="U911" t="s">
        <v>126</v>
      </c>
    </row>
    <row r="912" spans="1:21" x14ac:dyDescent="0.25">
      <c r="A912" t="s">
        <v>118</v>
      </c>
      <c r="B912" t="s">
        <v>2450</v>
      </c>
      <c r="C912">
        <v>74263</v>
      </c>
      <c r="D912" t="s">
        <v>2451</v>
      </c>
      <c r="E912" t="s">
        <v>437</v>
      </c>
      <c r="F912" t="s">
        <v>88</v>
      </c>
      <c r="G912" t="s">
        <v>89</v>
      </c>
      <c r="H912" t="s">
        <v>122</v>
      </c>
      <c r="I912" t="s">
        <v>122</v>
      </c>
      <c r="J912" s="127">
        <v>45947.384722222225</v>
      </c>
      <c r="K912" s="127">
        <v>45971.734027777777</v>
      </c>
      <c r="L912" s="127"/>
      <c r="M912" s="127">
        <v>45975.442361111112</v>
      </c>
      <c r="N912" t="s">
        <v>72</v>
      </c>
      <c r="O912" t="s">
        <v>122</v>
      </c>
      <c r="P912" t="s">
        <v>122</v>
      </c>
      <c r="Q912">
        <v>70373</v>
      </c>
      <c r="R912" t="s">
        <v>2452</v>
      </c>
      <c r="S912" t="s">
        <v>2453</v>
      </c>
      <c r="T912" t="s">
        <v>2239</v>
      </c>
      <c r="U912" t="s">
        <v>126</v>
      </c>
    </row>
    <row r="913" spans="1:21" x14ac:dyDescent="0.25">
      <c r="A913" t="s">
        <v>118</v>
      </c>
      <c r="B913" t="s">
        <v>2454</v>
      </c>
      <c r="C913">
        <v>74023</v>
      </c>
      <c r="D913" t="s">
        <v>2455</v>
      </c>
      <c r="E913" t="s">
        <v>437</v>
      </c>
      <c r="F913" t="s">
        <v>88</v>
      </c>
      <c r="G913" t="s">
        <v>89</v>
      </c>
      <c r="H913" t="s">
        <v>122</v>
      </c>
      <c r="I913" t="s">
        <v>122</v>
      </c>
      <c r="J913" s="127">
        <v>45946.572916666664</v>
      </c>
      <c r="K913" s="127">
        <v>45999</v>
      </c>
      <c r="L913" s="127">
        <v>45999</v>
      </c>
      <c r="M913" s="127">
        <v>46020.750694444447</v>
      </c>
      <c r="N913" t="s">
        <v>75</v>
      </c>
      <c r="O913" t="s">
        <v>122</v>
      </c>
      <c r="P913" t="s">
        <v>122</v>
      </c>
      <c r="Q913">
        <v>70373</v>
      </c>
      <c r="R913" t="s">
        <v>2452</v>
      </c>
      <c r="S913" t="s">
        <v>2453</v>
      </c>
      <c r="T913" t="s">
        <v>2239</v>
      </c>
      <c r="U913" t="s">
        <v>137</v>
      </c>
    </row>
    <row r="914" spans="1:21" x14ac:dyDescent="0.25">
      <c r="A914" t="s">
        <v>118</v>
      </c>
      <c r="B914" t="s">
        <v>2456</v>
      </c>
      <c r="C914">
        <v>74011</v>
      </c>
      <c r="D914" t="s">
        <v>2457</v>
      </c>
      <c r="E914" t="s">
        <v>437</v>
      </c>
      <c r="F914" t="s">
        <v>88</v>
      </c>
      <c r="G914" t="s">
        <v>89</v>
      </c>
      <c r="H914" t="s">
        <v>122</v>
      </c>
      <c r="I914" t="s">
        <v>122</v>
      </c>
      <c r="J914" s="127">
        <v>45946.571527777778</v>
      </c>
      <c r="K914" s="127">
        <v>45999</v>
      </c>
      <c r="L914" s="127">
        <v>45999</v>
      </c>
      <c r="M914" s="127">
        <v>46002.393055555556</v>
      </c>
      <c r="N914" t="s">
        <v>72</v>
      </c>
      <c r="O914" t="s">
        <v>122</v>
      </c>
      <c r="P914" t="s">
        <v>122</v>
      </c>
      <c r="Q914">
        <v>66044</v>
      </c>
      <c r="R914" t="s">
        <v>2350</v>
      </c>
      <c r="S914" t="s">
        <v>2351</v>
      </c>
      <c r="T914" t="s">
        <v>2239</v>
      </c>
      <c r="U914" t="s">
        <v>126</v>
      </c>
    </row>
    <row r="915" spans="1:21" x14ac:dyDescent="0.25">
      <c r="A915" t="s">
        <v>118</v>
      </c>
      <c r="B915" t="s">
        <v>2458</v>
      </c>
      <c r="C915">
        <v>73999</v>
      </c>
      <c r="D915" t="s">
        <v>2459</v>
      </c>
      <c r="E915" t="s">
        <v>437</v>
      </c>
      <c r="F915" t="s">
        <v>88</v>
      </c>
      <c r="G915" t="s">
        <v>89</v>
      </c>
      <c r="H915" t="s">
        <v>122</v>
      </c>
      <c r="I915" t="s">
        <v>122</v>
      </c>
      <c r="J915" s="127">
        <v>45946.570138888892</v>
      </c>
      <c r="K915" s="127">
        <v>46049</v>
      </c>
      <c r="L915" s="127">
        <v>46049</v>
      </c>
      <c r="M915" s="127">
        <v>46057.73541666667</v>
      </c>
      <c r="N915" t="s">
        <v>75</v>
      </c>
      <c r="O915" t="s">
        <v>122</v>
      </c>
      <c r="P915" t="s">
        <v>122</v>
      </c>
      <c r="Q915">
        <v>148012</v>
      </c>
      <c r="R915" t="s">
        <v>2460</v>
      </c>
      <c r="S915" t="s">
        <v>2461</v>
      </c>
      <c r="T915" t="s">
        <v>2239</v>
      </c>
      <c r="U915" t="s">
        <v>137</v>
      </c>
    </row>
    <row r="916" spans="1:21" x14ac:dyDescent="0.25">
      <c r="A916" t="s">
        <v>118</v>
      </c>
      <c r="B916" t="s">
        <v>2462</v>
      </c>
      <c r="C916">
        <v>73987</v>
      </c>
      <c r="D916" t="s">
        <v>2463</v>
      </c>
      <c r="E916" t="s">
        <v>437</v>
      </c>
      <c r="F916" t="s">
        <v>88</v>
      </c>
      <c r="G916" t="s">
        <v>89</v>
      </c>
      <c r="H916" t="s">
        <v>122</v>
      </c>
      <c r="I916" t="s">
        <v>122</v>
      </c>
      <c r="J916" s="127">
        <v>45946.568749999999</v>
      </c>
      <c r="K916" s="127">
        <v>45966.613194444442</v>
      </c>
      <c r="L916" s="127">
        <v>45966</v>
      </c>
      <c r="M916" s="127">
        <v>45982.6</v>
      </c>
      <c r="N916" t="s">
        <v>72</v>
      </c>
      <c r="O916" t="s">
        <v>122</v>
      </c>
      <c r="P916" t="s">
        <v>122</v>
      </c>
      <c r="Q916">
        <v>65642</v>
      </c>
      <c r="R916" t="s">
        <v>2354</v>
      </c>
      <c r="S916" t="s">
        <v>2355</v>
      </c>
      <c r="T916" t="s">
        <v>2239</v>
      </c>
      <c r="U916" t="s">
        <v>126</v>
      </c>
    </row>
    <row r="917" spans="1:21" x14ac:dyDescent="0.25">
      <c r="A917" t="s">
        <v>118</v>
      </c>
      <c r="B917" t="s">
        <v>2464</v>
      </c>
      <c r="C917">
        <v>73975</v>
      </c>
      <c r="D917" t="s">
        <v>2465</v>
      </c>
      <c r="E917" t="s">
        <v>437</v>
      </c>
      <c r="F917" t="s">
        <v>88</v>
      </c>
      <c r="G917" t="s">
        <v>89</v>
      </c>
      <c r="H917" t="s">
        <v>122</v>
      </c>
      <c r="I917" t="s">
        <v>122</v>
      </c>
      <c r="J917" s="127">
        <v>45946.567361111112</v>
      </c>
      <c r="K917" s="127">
        <v>46014</v>
      </c>
      <c r="L917" s="127">
        <v>46021</v>
      </c>
      <c r="M917" s="127">
        <v>46028.713888888888</v>
      </c>
      <c r="N917" t="s">
        <v>75</v>
      </c>
      <c r="O917" t="s">
        <v>122</v>
      </c>
      <c r="P917" t="s">
        <v>122</v>
      </c>
      <c r="Q917">
        <v>65642</v>
      </c>
      <c r="R917" t="s">
        <v>2354</v>
      </c>
      <c r="S917" t="s">
        <v>2355</v>
      </c>
      <c r="T917" t="s">
        <v>2239</v>
      </c>
      <c r="U917" t="s">
        <v>137</v>
      </c>
    </row>
    <row r="918" spans="1:21" x14ac:dyDescent="0.25">
      <c r="A918" t="s">
        <v>118</v>
      </c>
      <c r="B918" t="s">
        <v>2466</v>
      </c>
      <c r="C918">
        <v>73951</v>
      </c>
      <c r="D918" t="s">
        <v>2467</v>
      </c>
      <c r="E918" t="s">
        <v>437</v>
      </c>
      <c r="F918" t="s">
        <v>88</v>
      </c>
      <c r="G918" t="s">
        <v>89</v>
      </c>
      <c r="H918" t="s">
        <v>122</v>
      </c>
      <c r="I918" t="s">
        <v>122</v>
      </c>
      <c r="J918" s="127">
        <v>45946.558333333334</v>
      </c>
      <c r="K918" s="127">
        <v>45957.556944444441</v>
      </c>
      <c r="L918" s="127">
        <v>45957</v>
      </c>
      <c r="M918" s="127">
        <v>46035.494444444441</v>
      </c>
      <c r="N918" t="s">
        <v>72</v>
      </c>
      <c r="O918" t="s">
        <v>122</v>
      </c>
      <c r="P918" t="s">
        <v>122</v>
      </c>
      <c r="Q918">
        <v>66044</v>
      </c>
      <c r="R918" t="s">
        <v>2350</v>
      </c>
      <c r="S918" t="s">
        <v>2351</v>
      </c>
      <c r="T918" t="s">
        <v>2239</v>
      </c>
      <c r="U918" t="s">
        <v>126</v>
      </c>
    </row>
    <row r="919" spans="1:21" x14ac:dyDescent="0.25">
      <c r="A919" t="s">
        <v>118</v>
      </c>
      <c r="B919" t="s">
        <v>2468</v>
      </c>
      <c r="C919">
        <v>73134</v>
      </c>
      <c r="D919" t="s">
        <v>2469</v>
      </c>
      <c r="E919" t="s">
        <v>437</v>
      </c>
      <c r="F919" t="s">
        <v>88</v>
      </c>
      <c r="G919" t="s">
        <v>89</v>
      </c>
      <c r="H919" t="s">
        <v>122</v>
      </c>
      <c r="I919" t="s">
        <v>122</v>
      </c>
      <c r="J919" s="127">
        <v>45944.626388888886</v>
      </c>
      <c r="K919" s="127">
        <v>45944</v>
      </c>
      <c r="L919" s="127">
        <v>45951</v>
      </c>
      <c r="M919" s="127">
        <v>45978.836111111108</v>
      </c>
      <c r="N919" t="s">
        <v>72</v>
      </c>
      <c r="O919" t="s">
        <v>122</v>
      </c>
      <c r="P919" t="s">
        <v>122</v>
      </c>
      <c r="Q919">
        <v>66044</v>
      </c>
      <c r="R919" t="s">
        <v>2350</v>
      </c>
      <c r="S919" t="s">
        <v>2351</v>
      </c>
      <c r="T919" t="s">
        <v>2239</v>
      </c>
      <c r="U919" t="s">
        <v>126</v>
      </c>
    </row>
    <row r="920" spans="1:21" x14ac:dyDescent="0.25">
      <c r="A920" t="s">
        <v>118</v>
      </c>
      <c r="B920" t="s">
        <v>2470</v>
      </c>
      <c r="C920">
        <v>71300</v>
      </c>
      <c r="D920" t="s">
        <v>2471</v>
      </c>
      <c r="E920" t="s">
        <v>437</v>
      </c>
      <c r="F920" t="s">
        <v>88</v>
      </c>
      <c r="G920" t="s">
        <v>89</v>
      </c>
      <c r="H920" t="s">
        <v>122</v>
      </c>
      <c r="I920" t="s">
        <v>122</v>
      </c>
      <c r="J920" s="127">
        <v>45943.418055555558</v>
      </c>
      <c r="K920" s="127">
        <v>45943</v>
      </c>
      <c r="L920" s="127">
        <v>45946.673611111109</v>
      </c>
      <c r="M920" s="127">
        <v>45952.689583333333</v>
      </c>
      <c r="N920" t="s">
        <v>72</v>
      </c>
      <c r="O920" t="s">
        <v>122</v>
      </c>
      <c r="P920" t="s">
        <v>122</v>
      </c>
      <c r="Q920">
        <v>66044</v>
      </c>
      <c r="R920" t="s">
        <v>2350</v>
      </c>
      <c r="S920" t="s">
        <v>2351</v>
      </c>
      <c r="T920" t="s">
        <v>2239</v>
      </c>
      <c r="U920" t="s">
        <v>126</v>
      </c>
    </row>
    <row r="921" spans="1:21" x14ac:dyDescent="0.25">
      <c r="A921" t="s">
        <v>118</v>
      </c>
      <c r="B921" t="s">
        <v>2472</v>
      </c>
      <c r="C921">
        <v>70316</v>
      </c>
      <c r="D921" t="s">
        <v>2473</v>
      </c>
      <c r="E921" t="s">
        <v>437</v>
      </c>
      <c r="F921" t="s">
        <v>88</v>
      </c>
      <c r="G921" t="s">
        <v>89</v>
      </c>
      <c r="H921" t="s">
        <v>122</v>
      </c>
      <c r="I921" t="s">
        <v>122</v>
      </c>
      <c r="J921" s="127">
        <v>45939.466666666667</v>
      </c>
      <c r="K921" s="127">
        <v>46027</v>
      </c>
      <c r="L921" s="127">
        <v>46029</v>
      </c>
      <c r="M921" s="127">
        <v>46034.64166666667</v>
      </c>
      <c r="N921" t="s">
        <v>75</v>
      </c>
      <c r="O921" t="s">
        <v>122</v>
      </c>
      <c r="P921" t="s">
        <v>122</v>
      </c>
      <c r="Q921">
        <v>66044</v>
      </c>
      <c r="R921" t="s">
        <v>2350</v>
      </c>
      <c r="S921" t="s">
        <v>2351</v>
      </c>
      <c r="T921" t="s">
        <v>2239</v>
      </c>
      <c r="U921" t="s">
        <v>137</v>
      </c>
    </row>
    <row r="922" spans="1:21" x14ac:dyDescent="0.25">
      <c r="A922" t="s">
        <v>118</v>
      </c>
      <c r="B922" t="s">
        <v>2474</v>
      </c>
      <c r="C922">
        <v>70255</v>
      </c>
      <c r="D922" t="s">
        <v>2475</v>
      </c>
      <c r="E922" t="s">
        <v>437</v>
      </c>
      <c r="F922" t="s">
        <v>88</v>
      </c>
      <c r="G922" t="s">
        <v>89</v>
      </c>
      <c r="H922" t="s">
        <v>122</v>
      </c>
      <c r="I922" t="s">
        <v>122</v>
      </c>
      <c r="J922" s="127">
        <v>45939.450694444444</v>
      </c>
      <c r="K922" s="127">
        <v>45957.54583333333</v>
      </c>
      <c r="L922" s="127">
        <v>45958</v>
      </c>
      <c r="M922" s="127"/>
      <c r="N922" t="s">
        <v>72</v>
      </c>
      <c r="O922" t="s">
        <v>122</v>
      </c>
      <c r="P922" t="s">
        <v>122</v>
      </c>
      <c r="Q922">
        <v>70203</v>
      </c>
      <c r="R922" t="s">
        <v>2426</v>
      </c>
      <c r="S922" t="s">
        <v>2427</v>
      </c>
      <c r="T922" t="s">
        <v>2239</v>
      </c>
      <c r="U922" t="s">
        <v>126</v>
      </c>
    </row>
    <row r="923" spans="1:21" x14ac:dyDescent="0.25">
      <c r="A923" t="s">
        <v>118</v>
      </c>
      <c r="B923" t="s">
        <v>2476</v>
      </c>
      <c r="C923">
        <v>70225</v>
      </c>
      <c r="D923" t="s">
        <v>2477</v>
      </c>
      <c r="E923" t="s">
        <v>437</v>
      </c>
      <c r="F923" t="s">
        <v>88</v>
      </c>
      <c r="G923" t="s">
        <v>89</v>
      </c>
      <c r="H923" t="s">
        <v>122</v>
      </c>
      <c r="I923" t="s">
        <v>122</v>
      </c>
      <c r="J923" s="127">
        <v>45939.447916666664</v>
      </c>
      <c r="K923" s="127">
        <v>45943</v>
      </c>
      <c r="L923" s="127">
        <v>45944.51458333333</v>
      </c>
      <c r="M923" s="127">
        <v>45954.395833333336</v>
      </c>
      <c r="N923" t="s">
        <v>72</v>
      </c>
      <c r="O923" t="s">
        <v>122</v>
      </c>
      <c r="P923" t="s">
        <v>122</v>
      </c>
      <c r="Q923">
        <v>70203</v>
      </c>
      <c r="R923" t="s">
        <v>2426</v>
      </c>
      <c r="S923" t="s">
        <v>2427</v>
      </c>
      <c r="T923" t="s">
        <v>2239</v>
      </c>
      <c r="U923" t="s">
        <v>126</v>
      </c>
    </row>
    <row r="924" spans="1:21" x14ac:dyDescent="0.25">
      <c r="A924" t="s">
        <v>118</v>
      </c>
      <c r="B924" t="s">
        <v>2478</v>
      </c>
      <c r="C924">
        <v>66565</v>
      </c>
      <c r="D924" t="s">
        <v>2479</v>
      </c>
      <c r="E924" t="s">
        <v>437</v>
      </c>
      <c r="F924" t="s">
        <v>88</v>
      </c>
      <c r="G924" t="s">
        <v>89</v>
      </c>
      <c r="H924" t="s">
        <v>122</v>
      </c>
      <c r="I924" t="s">
        <v>122</v>
      </c>
      <c r="J924" s="127">
        <v>45936.315972222219</v>
      </c>
      <c r="K924" s="127">
        <v>45943</v>
      </c>
      <c r="L924" s="127"/>
      <c r="M924" s="127">
        <v>45946.314583333333</v>
      </c>
      <c r="N924" t="s">
        <v>72</v>
      </c>
      <c r="O924" t="s">
        <v>122</v>
      </c>
      <c r="P924" t="s">
        <v>122</v>
      </c>
      <c r="Q924">
        <v>66044</v>
      </c>
      <c r="R924" t="s">
        <v>2350</v>
      </c>
      <c r="S924" t="s">
        <v>2351</v>
      </c>
      <c r="T924" t="s">
        <v>2239</v>
      </c>
      <c r="U924" t="s">
        <v>126</v>
      </c>
    </row>
    <row r="925" spans="1:21" x14ac:dyDescent="0.25">
      <c r="A925" t="s">
        <v>118</v>
      </c>
      <c r="B925" t="s">
        <v>2480</v>
      </c>
      <c r="C925">
        <v>66266</v>
      </c>
      <c r="D925" t="s">
        <v>2481</v>
      </c>
      <c r="E925" t="s">
        <v>437</v>
      </c>
      <c r="F925" t="s">
        <v>88</v>
      </c>
      <c r="G925" t="s">
        <v>89</v>
      </c>
      <c r="H925" t="s">
        <v>122</v>
      </c>
      <c r="I925" t="s">
        <v>122</v>
      </c>
      <c r="J925" s="127">
        <v>45932.879861111112</v>
      </c>
      <c r="K925" s="127">
        <v>45950</v>
      </c>
      <c r="L925" s="127"/>
      <c r="M925" s="127"/>
      <c r="N925" t="s">
        <v>72</v>
      </c>
      <c r="O925" t="s">
        <v>122</v>
      </c>
      <c r="P925" t="s">
        <v>122</v>
      </c>
      <c r="Q925">
        <v>66044</v>
      </c>
      <c r="R925" t="s">
        <v>2350</v>
      </c>
      <c r="S925" t="s">
        <v>2351</v>
      </c>
      <c r="T925" t="s">
        <v>2239</v>
      </c>
      <c r="U925" t="s">
        <v>126</v>
      </c>
    </row>
    <row r="926" spans="1:21" x14ac:dyDescent="0.25">
      <c r="A926" t="s">
        <v>118</v>
      </c>
      <c r="B926" t="s">
        <v>2482</v>
      </c>
      <c r="C926">
        <v>65757</v>
      </c>
      <c r="D926" t="s">
        <v>2483</v>
      </c>
      <c r="E926" t="s">
        <v>437</v>
      </c>
      <c r="F926" t="s">
        <v>88</v>
      </c>
      <c r="G926" t="s">
        <v>89</v>
      </c>
      <c r="H926" t="s">
        <v>122</v>
      </c>
      <c r="I926" t="s">
        <v>122</v>
      </c>
      <c r="J926" s="127">
        <v>45930.677083333336</v>
      </c>
      <c r="K926" s="127">
        <v>45952</v>
      </c>
      <c r="L926" s="127">
        <v>45954</v>
      </c>
      <c r="M926" s="127">
        <v>45957.402777777781</v>
      </c>
      <c r="N926" t="s">
        <v>72</v>
      </c>
      <c r="O926" t="s">
        <v>122</v>
      </c>
      <c r="P926" t="s">
        <v>122</v>
      </c>
      <c r="Q926">
        <v>70203</v>
      </c>
      <c r="R926" t="s">
        <v>2426</v>
      </c>
      <c r="S926" t="s">
        <v>2427</v>
      </c>
      <c r="T926" t="s">
        <v>2239</v>
      </c>
      <c r="U926" t="s">
        <v>126</v>
      </c>
    </row>
    <row r="927" spans="1:21" x14ac:dyDescent="0.25">
      <c r="A927" t="s">
        <v>118</v>
      </c>
      <c r="B927" t="s">
        <v>2484</v>
      </c>
      <c r="C927">
        <v>65690</v>
      </c>
      <c r="D927" t="s">
        <v>2485</v>
      </c>
      <c r="E927" t="s">
        <v>437</v>
      </c>
      <c r="F927" t="s">
        <v>88</v>
      </c>
      <c r="G927" t="s">
        <v>89</v>
      </c>
      <c r="H927" t="s">
        <v>122</v>
      </c>
      <c r="I927" t="s">
        <v>122</v>
      </c>
      <c r="J927" s="127">
        <v>45930.591666666667</v>
      </c>
      <c r="K927" s="127">
        <v>46014.835416666669</v>
      </c>
      <c r="L927" s="127">
        <v>46014</v>
      </c>
      <c r="M927" s="127">
        <v>46059.662499999999</v>
      </c>
      <c r="N927" t="s">
        <v>75</v>
      </c>
      <c r="O927" t="s">
        <v>122</v>
      </c>
      <c r="P927" t="s">
        <v>122</v>
      </c>
      <c r="Q927">
        <v>70373</v>
      </c>
      <c r="R927" t="s">
        <v>2452</v>
      </c>
      <c r="S927" t="s">
        <v>2453</v>
      </c>
      <c r="T927" t="s">
        <v>2239</v>
      </c>
      <c r="U927" t="s">
        <v>137</v>
      </c>
    </row>
    <row r="928" spans="1:21" x14ac:dyDescent="0.25">
      <c r="A928" t="s">
        <v>118</v>
      </c>
      <c r="B928" t="s">
        <v>2486</v>
      </c>
      <c r="C928">
        <v>65647</v>
      </c>
      <c r="D928" t="s">
        <v>2487</v>
      </c>
      <c r="E928" t="s">
        <v>437</v>
      </c>
      <c r="F928" t="s">
        <v>88</v>
      </c>
      <c r="G928" t="s">
        <v>89</v>
      </c>
      <c r="H928" t="s">
        <v>122</v>
      </c>
      <c r="I928" t="s">
        <v>122</v>
      </c>
      <c r="J928" s="127">
        <v>45930.576388888891</v>
      </c>
      <c r="K928" s="127">
        <v>45943</v>
      </c>
      <c r="L928" s="127">
        <v>45943.737500000003</v>
      </c>
      <c r="M928" s="127">
        <v>45961.390972222223</v>
      </c>
      <c r="N928" t="s">
        <v>72</v>
      </c>
      <c r="O928" t="s">
        <v>122</v>
      </c>
      <c r="P928" t="s">
        <v>122</v>
      </c>
      <c r="Q928">
        <v>70202</v>
      </c>
      <c r="R928" t="s">
        <v>2488</v>
      </c>
      <c r="S928" t="s">
        <v>2489</v>
      </c>
      <c r="T928" t="s">
        <v>2239</v>
      </c>
      <c r="U928" t="s">
        <v>126</v>
      </c>
    </row>
    <row r="929" spans="1:21" x14ac:dyDescent="0.25">
      <c r="A929" t="s">
        <v>118</v>
      </c>
      <c r="B929" t="s">
        <v>2490</v>
      </c>
      <c r="C929">
        <v>65346</v>
      </c>
      <c r="D929" t="s">
        <v>2491</v>
      </c>
      <c r="E929" t="s">
        <v>437</v>
      </c>
      <c r="F929" t="s">
        <v>88</v>
      </c>
      <c r="G929" t="s">
        <v>89</v>
      </c>
      <c r="H929" t="s">
        <v>122</v>
      </c>
      <c r="I929" t="s">
        <v>122</v>
      </c>
      <c r="J929" s="127">
        <v>45929.548611111109</v>
      </c>
      <c r="K929" s="127">
        <v>45944</v>
      </c>
      <c r="L929" s="127"/>
      <c r="M929" s="127">
        <v>45946.431250000001</v>
      </c>
      <c r="N929" t="s">
        <v>72</v>
      </c>
      <c r="O929" t="s">
        <v>122</v>
      </c>
      <c r="P929" t="s">
        <v>122</v>
      </c>
      <c r="Q929">
        <v>66044</v>
      </c>
      <c r="R929" t="s">
        <v>2350</v>
      </c>
      <c r="S929" t="s">
        <v>2351</v>
      </c>
      <c r="T929" t="s">
        <v>2239</v>
      </c>
      <c r="U929" t="s">
        <v>126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7320-F1E2-446D-AE5B-3C972CAA93AB}">
  <sheetPr>
    <tabColor rgb="FFFF6464"/>
  </sheetPr>
  <dimension ref="E1:S473"/>
  <sheetViews>
    <sheetView showGridLines="0" tabSelected="1" workbookViewId="0">
      <pane ySplit="2" topLeftCell="A3" activePane="bottomLeft" state="frozen"/>
      <selection pane="bottomLeft" activeCell="F32" sqref="F3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2.625" defaultRowHeight="15" customHeight="1" x14ac:dyDescent="0.45"/>
  <cols>
    <col min="1" max="4" width="0.5" style="39" customWidth="1"/>
    <col min="5" max="5" width="16" style="78" bestFit="1" customWidth="1"/>
    <col min="6" max="6" width="7.625" style="59" customWidth="1"/>
    <col min="7" max="16" width="7.625" style="39" customWidth="1"/>
    <col min="17" max="17" width="8.375" style="39" customWidth="1"/>
    <col min="18" max="19" width="7.625" style="39" customWidth="1"/>
    <col min="20" max="16384" width="12.625" style="39"/>
  </cols>
  <sheetData>
    <row r="1" spans="5:19" ht="19.5" customHeight="1" x14ac:dyDescent="0.45">
      <c r="E1" s="115" t="s">
        <v>75</v>
      </c>
      <c r="F1" s="152" t="s">
        <v>76</v>
      </c>
      <c r="G1" s="152"/>
      <c r="H1" s="152" t="s">
        <v>73</v>
      </c>
      <c r="I1" s="152"/>
      <c r="J1" s="152" t="s">
        <v>79</v>
      </c>
      <c r="K1" s="152"/>
      <c r="L1" s="152" t="s">
        <v>70</v>
      </c>
      <c r="M1" s="152"/>
      <c r="N1" s="152" t="s">
        <v>86</v>
      </c>
      <c r="O1" s="152"/>
      <c r="P1" s="152" t="s">
        <v>88</v>
      </c>
      <c r="Q1" s="152"/>
      <c r="R1" s="152" t="s">
        <v>67</v>
      </c>
      <c r="S1" s="152"/>
    </row>
    <row r="2" spans="5:19" ht="37.5" customHeight="1" x14ac:dyDescent="0.45">
      <c r="E2" s="129" t="s">
        <v>65</v>
      </c>
      <c r="F2" s="153" t="str">
        <f>VLOOKUP(F1,'LEIA-ME'!$A:$B,2,0)</f>
        <v>VENDAS_ASSISTIDAS</v>
      </c>
      <c r="G2" s="153"/>
      <c r="H2" s="153" t="str">
        <f>VLOOKUP(H1,'LEIA-ME'!$A:$B,2,0)</f>
        <v>FATURAMENTO</v>
      </c>
      <c r="I2" s="153"/>
      <c r="J2" s="153" t="str">
        <f>VLOOKUP(J1,'LEIA-ME'!$A:$B,2,0)</f>
        <v>CONTRATOS</v>
      </c>
      <c r="K2" s="153"/>
      <c r="L2" s="153" t="str">
        <f>VLOOKUP(L1,'LEIA-ME'!$A:$B,2,0)</f>
        <v>COMERCIAL</v>
      </c>
      <c r="M2" s="153"/>
      <c r="N2" s="153" t="str">
        <f>VLOOKUP(N1,'LEIA-ME'!$A:$B,2,0)</f>
        <v>CREDITO</v>
      </c>
      <c r="O2" s="153"/>
      <c r="P2" s="153" t="str">
        <f>VLOOKUP(P1,'LEIA-ME'!$A:$B,2,0)</f>
        <v>SALESFORCE_PÓSVEND</v>
      </c>
      <c r="Q2" s="153"/>
      <c r="R2" s="153" t="str">
        <f>VLOOKUP(R1,'LEIA-ME'!$A:$B,2,0)</f>
        <v>WHATSAPP</v>
      </c>
      <c r="S2" s="153"/>
    </row>
    <row r="3" spans="5:19" ht="14.25" customHeight="1" x14ac:dyDescent="0.45">
      <c r="E3" s="129" t="s">
        <v>52</v>
      </c>
      <c r="F3" s="131" t="s">
        <v>2492</v>
      </c>
      <c r="G3" s="131" t="s">
        <v>2493</v>
      </c>
      <c r="H3" s="128" t="s">
        <v>2492</v>
      </c>
      <c r="I3" s="30" t="s">
        <v>2493</v>
      </c>
      <c r="J3" s="46" t="s">
        <v>2492</v>
      </c>
      <c r="K3" s="46" t="s">
        <v>2493</v>
      </c>
      <c r="L3" s="131" t="s">
        <v>2492</v>
      </c>
      <c r="M3" s="131" t="s">
        <v>2493</v>
      </c>
      <c r="N3" s="128" t="s">
        <v>2492</v>
      </c>
      <c r="O3" s="30" t="s">
        <v>2493</v>
      </c>
      <c r="P3" s="46" t="s">
        <v>2492</v>
      </c>
      <c r="Q3" s="46" t="s">
        <v>2493</v>
      </c>
      <c r="R3" s="46" t="s">
        <v>2492</v>
      </c>
      <c r="S3" s="46" t="s">
        <v>2493</v>
      </c>
    </row>
    <row r="4" spans="5:19" ht="14.25" customHeight="1" x14ac:dyDescent="0.45">
      <c r="E4" s="130">
        <v>45936</v>
      </c>
      <c r="F4" s="59">
        <f>'GOL O4R2'!C15</f>
        <v>64</v>
      </c>
      <c r="G4" s="39">
        <f>'GOL O4R2'!D15</f>
        <v>64</v>
      </c>
      <c r="H4" s="43">
        <f>'TERA O4R2'!C15</f>
        <v>31</v>
      </c>
      <c r="I4" s="39">
        <f>'TERA O4R2'!D15</f>
        <v>31</v>
      </c>
      <c r="J4" s="114">
        <f>'OPTIMUS O4R2'!C15</f>
        <v>72</v>
      </c>
      <c r="K4" s="114">
        <f>'OPTIMUS O4R2'!D15</f>
        <v>72</v>
      </c>
      <c r="L4" s="59">
        <f>'NIVUS O4R2'!C15</f>
        <v>53</v>
      </c>
      <c r="M4" s="39">
        <f>'NIVUS O4R2'!D15</f>
        <v>53</v>
      </c>
      <c r="N4" s="43">
        <f>'TAOS O4R2'!C15</f>
        <v>16</v>
      </c>
      <c r="O4" s="39">
        <f>'TAOS O4R2'!D15</f>
        <v>16</v>
      </c>
      <c r="P4" s="114">
        <f>'FUSCA O4R2'!C15</f>
        <v>21</v>
      </c>
      <c r="Q4" s="114">
        <f>'FUSCA O4R2'!D15</f>
        <v>21</v>
      </c>
      <c r="R4" s="114">
        <f>'UP O4R2'!C15</f>
        <v>39</v>
      </c>
      <c r="S4" s="114">
        <f>'UP O4R2'!D15</f>
        <v>39</v>
      </c>
    </row>
    <row r="5" spans="5:19" ht="14.25" customHeight="1" x14ac:dyDescent="0.45">
      <c r="E5" s="130">
        <f>E4+7</f>
        <v>45943</v>
      </c>
      <c r="F5" s="59">
        <f>'GOL O4R2'!C16</f>
        <v>64</v>
      </c>
      <c r="G5" s="39">
        <f>'GOL O4R2'!D16</f>
        <v>64</v>
      </c>
      <c r="H5" s="43">
        <f>'TERA O4R2'!C16</f>
        <v>31</v>
      </c>
      <c r="I5" s="39">
        <f>'TERA O4R2'!D16</f>
        <v>31</v>
      </c>
      <c r="J5" s="114">
        <f>'OPTIMUS O4R2'!C16</f>
        <v>72</v>
      </c>
      <c r="K5" s="114">
        <f>'OPTIMUS O4R2'!D16</f>
        <v>72</v>
      </c>
      <c r="L5" s="59">
        <f>'NIVUS O4R2'!C16</f>
        <v>53</v>
      </c>
      <c r="M5" s="39">
        <f>'NIVUS O4R2'!D16</f>
        <v>53</v>
      </c>
      <c r="N5" s="43">
        <f>'TAOS O4R2'!C16</f>
        <v>16</v>
      </c>
      <c r="O5" s="39">
        <f>'TAOS O4R2'!D16</f>
        <v>16</v>
      </c>
      <c r="P5" s="114">
        <f>'FUSCA O4R2'!C16</f>
        <v>21</v>
      </c>
      <c r="Q5" s="114">
        <f>'FUSCA O4R2'!D16</f>
        <v>21</v>
      </c>
      <c r="R5" s="114">
        <f>'UP O4R2'!C16</f>
        <v>39</v>
      </c>
      <c r="S5" s="114">
        <f>'UP O4R2'!D16</f>
        <v>39</v>
      </c>
    </row>
    <row r="6" spans="5:19" ht="14.25" customHeight="1" x14ac:dyDescent="0.45">
      <c r="E6" s="130">
        <f t="shared" ref="E6:E57" si="0">E5+7</f>
        <v>45950</v>
      </c>
      <c r="F6" s="59">
        <f>'GOL O4R2'!C17</f>
        <v>64</v>
      </c>
      <c r="G6" s="39">
        <f>'GOL O4R2'!D17</f>
        <v>64</v>
      </c>
      <c r="H6" s="43">
        <f>'TERA O4R2'!C17</f>
        <v>31</v>
      </c>
      <c r="I6" s="39">
        <f>'TERA O4R2'!D17</f>
        <v>31</v>
      </c>
      <c r="J6" s="114">
        <f>'OPTIMUS O4R2'!C17</f>
        <v>72</v>
      </c>
      <c r="K6" s="114">
        <f>'OPTIMUS O4R2'!D17</f>
        <v>72</v>
      </c>
      <c r="L6" s="59">
        <f>'NIVUS O4R2'!C17</f>
        <v>53</v>
      </c>
      <c r="M6" s="39">
        <f>'NIVUS O4R2'!D17</f>
        <v>53</v>
      </c>
      <c r="N6" s="43">
        <f>'TAOS O4R2'!C17</f>
        <v>16</v>
      </c>
      <c r="O6" s="39">
        <f>'TAOS O4R2'!D17</f>
        <v>16</v>
      </c>
      <c r="P6" s="114">
        <f>'FUSCA O4R2'!C17</f>
        <v>21</v>
      </c>
      <c r="Q6" s="114">
        <f>'FUSCA O4R2'!D17</f>
        <v>21</v>
      </c>
      <c r="R6" s="114">
        <f>'UP O4R2'!C17</f>
        <v>39</v>
      </c>
      <c r="S6" s="114">
        <f>'UP O4R2'!D17</f>
        <v>39</v>
      </c>
    </row>
    <row r="7" spans="5:19" ht="14.25" customHeight="1" x14ac:dyDescent="0.45">
      <c r="E7" s="130">
        <f t="shared" si="0"/>
        <v>45957</v>
      </c>
      <c r="F7" s="59">
        <f>'GOL O4R2'!C18</f>
        <v>63</v>
      </c>
      <c r="G7" s="39">
        <f>'GOL O4R2'!D18</f>
        <v>63</v>
      </c>
      <c r="H7" s="43">
        <f>'TERA O4R2'!C18</f>
        <v>31</v>
      </c>
      <c r="I7" s="39">
        <f>'TERA O4R2'!D18</f>
        <v>31</v>
      </c>
      <c r="J7" s="114">
        <f>'OPTIMUS O4R2'!C18</f>
        <v>70</v>
      </c>
      <c r="K7" s="114">
        <f>'OPTIMUS O4R2'!D18</f>
        <v>70</v>
      </c>
      <c r="L7" s="59">
        <f>'NIVUS O4R2'!C18</f>
        <v>53</v>
      </c>
      <c r="M7" s="39">
        <f>'NIVUS O4R2'!D18</f>
        <v>53</v>
      </c>
      <c r="N7" s="43">
        <f>'TAOS O4R2'!C18</f>
        <v>16</v>
      </c>
      <c r="O7" s="39">
        <f>'TAOS O4R2'!D18</f>
        <v>16</v>
      </c>
      <c r="P7" s="114">
        <f>'FUSCA O4R2'!C18</f>
        <v>21</v>
      </c>
      <c r="Q7" s="114">
        <f>'FUSCA O4R2'!D18</f>
        <v>21</v>
      </c>
      <c r="R7" s="114">
        <f>'UP O4R2'!C18</f>
        <v>39</v>
      </c>
      <c r="S7" s="114">
        <f>'UP O4R2'!D18</f>
        <v>39</v>
      </c>
    </row>
    <row r="8" spans="5:19" ht="14.25" customHeight="1" x14ac:dyDescent="0.45">
      <c r="E8" s="130">
        <f t="shared" si="0"/>
        <v>45964</v>
      </c>
      <c r="F8" s="59">
        <f>'GOL O4R2'!C19</f>
        <v>63</v>
      </c>
      <c r="G8" s="39">
        <f>'GOL O4R2'!D19</f>
        <v>63</v>
      </c>
      <c r="H8" s="43">
        <f>'TERA O4R2'!C19</f>
        <v>31</v>
      </c>
      <c r="I8" s="39">
        <f>'TERA O4R2'!D19</f>
        <v>31</v>
      </c>
      <c r="J8" s="114">
        <f>'OPTIMUS O4R2'!C19</f>
        <v>69</v>
      </c>
      <c r="K8" s="114">
        <f>'OPTIMUS O4R2'!D19</f>
        <v>69</v>
      </c>
      <c r="L8" s="59">
        <f>'NIVUS O4R2'!C19</f>
        <v>53</v>
      </c>
      <c r="M8" s="39">
        <f>'NIVUS O4R2'!D19</f>
        <v>53</v>
      </c>
      <c r="N8" s="43">
        <f>'TAOS O4R2'!C19</f>
        <v>16</v>
      </c>
      <c r="O8" s="39">
        <f>'TAOS O4R2'!D19</f>
        <v>16</v>
      </c>
      <c r="P8" s="114">
        <f>'FUSCA O4R2'!C19</f>
        <v>21</v>
      </c>
      <c r="Q8" s="114">
        <f>'FUSCA O4R2'!D19</f>
        <v>21</v>
      </c>
      <c r="R8" s="114">
        <f>'UP O4R2'!C19</f>
        <v>39</v>
      </c>
      <c r="S8" s="114">
        <f>'UP O4R2'!D19</f>
        <v>39</v>
      </c>
    </row>
    <row r="9" spans="5:19" ht="14.25" customHeight="1" x14ac:dyDescent="0.45">
      <c r="E9" s="130">
        <f t="shared" si="0"/>
        <v>45971</v>
      </c>
      <c r="F9" s="59">
        <f>'GOL O4R2'!C20</f>
        <v>62</v>
      </c>
      <c r="G9" s="39">
        <f>'GOL O4R2'!D20</f>
        <v>62</v>
      </c>
      <c r="H9" s="43">
        <f>'TERA O4R2'!C20</f>
        <v>31</v>
      </c>
      <c r="I9" s="39">
        <f>'TERA O4R2'!D20</f>
        <v>31</v>
      </c>
      <c r="J9" s="114">
        <f>'OPTIMUS O4R2'!C20</f>
        <v>68</v>
      </c>
      <c r="K9" s="114">
        <f>'OPTIMUS O4R2'!D20</f>
        <v>68</v>
      </c>
      <c r="L9" s="59">
        <f>'NIVUS O4R2'!C20</f>
        <v>53</v>
      </c>
      <c r="M9" s="39">
        <f>'NIVUS O4R2'!D20</f>
        <v>53</v>
      </c>
      <c r="N9" s="43">
        <f>'TAOS O4R2'!C20</f>
        <v>16</v>
      </c>
      <c r="O9" s="39">
        <f>'TAOS O4R2'!D20</f>
        <v>16</v>
      </c>
      <c r="P9" s="114">
        <f>'FUSCA O4R2'!C20</f>
        <v>21</v>
      </c>
      <c r="Q9" s="114">
        <f>'FUSCA O4R2'!D20</f>
        <v>21</v>
      </c>
      <c r="R9" s="114">
        <f>'UP O4R2'!C20</f>
        <v>38</v>
      </c>
      <c r="S9" s="114">
        <f>'UP O4R2'!D20</f>
        <v>38</v>
      </c>
    </row>
    <row r="10" spans="5:19" ht="14.25" customHeight="1" x14ac:dyDescent="0.45">
      <c r="E10" s="130">
        <f t="shared" si="0"/>
        <v>45978</v>
      </c>
      <c r="F10" s="59">
        <f>'GOL O4R2'!C21</f>
        <v>57</v>
      </c>
      <c r="G10" s="39">
        <f>'GOL O4R2'!D21</f>
        <v>57</v>
      </c>
      <c r="H10" s="43">
        <f>'TERA O4R2'!C21</f>
        <v>31</v>
      </c>
      <c r="I10" s="39">
        <f>'TERA O4R2'!D21</f>
        <v>31</v>
      </c>
      <c r="J10" s="114">
        <f>'OPTIMUS O4R2'!C21</f>
        <v>68</v>
      </c>
      <c r="K10" s="114">
        <f>'OPTIMUS O4R2'!D21</f>
        <v>68</v>
      </c>
      <c r="L10" s="59">
        <f>'NIVUS O4R2'!C21</f>
        <v>53</v>
      </c>
      <c r="M10" s="39">
        <f>'NIVUS O4R2'!D21</f>
        <v>53</v>
      </c>
      <c r="N10" s="43">
        <f>'TAOS O4R2'!C21</f>
        <v>16</v>
      </c>
      <c r="O10" s="39">
        <f>'TAOS O4R2'!D21</f>
        <v>16</v>
      </c>
      <c r="P10" s="114">
        <f>'FUSCA O4R2'!C21</f>
        <v>21</v>
      </c>
      <c r="Q10" s="114">
        <f>'FUSCA O4R2'!D21</f>
        <v>21</v>
      </c>
      <c r="R10" s="114">
        <f>'UP O4R2'!C21</f>
        <v>37</v>
      </c>
      <c r="S10" s="114">
        <f>'UP O4R2'!D21</f>
        <v>37</v>
      </c>
    </row>
    <row r="11" spans="5:19" ht="14.25" customHeight="1" x14ac:dyDescent="0.45">
      <c r="E11" s="130">
        <f t="shared" si="0"/>
        <v>45985</v>
      </c>
      <c r="F11" s="59">
        <f>'GOL O4R2'!C22</f>
        <v>55</v>
      </c>
      <c r="G11" s="39">
        <f>'GOL O4R2'!D22</f>
        <v>55</v>
      </c>
      <c r="H11" s="43">
        <f>'TERA O4R2'!C22</f>
        <v>31</v>
      </c>
      <c r="I11" s="39">
        <f>'TERA O4R2'!D22</f>
        <v>31</v>
      </c>
      <c r="J11" s="114">
        <f>'OPTIMUS O4R2'!C22</f>
        <v>68</v>
      </c>
      <c r="K11" s="114">
        <f>'OPTIMUS O4R2'!D22</f>
        <v>68</v>
      </c>
      <c r="L11" s="59">
        <f>'NIVUS O4R2'!C22</f>
        <v>53</v>
      </c>
      <c r="M11" s="39">
        <f>'NIVUS O4R2'!D22</f>
        <v>53</v>
      </c>
      <c r="N11" s="43">
        <f>'TAOS O4R2'!C22</f>
        <v>16</v>
      </c>
      <c r="O11" s="39">
        <f>'TAOS O4R2'!D22</f>
        <v>16</v>
      </c>
      <c r="P11" s="114">
        <f>'FUSCA O4R2'!C22</f>
        <v>21</v>
      </c>
      <c r="Q11" s="114">
        <f>'FUSCA O4R2'!D22</f>
        <v>21</v>
      </c>
      <c r="R11" s="114">
        <f>'UP O4R2'!C22</f>
        <v>35</v>
      </c>
      <c r="S11" s="114">
        <f>'UP O4R2'!D22</f>
        <v>35</v>
      </c>
    </row>
    <row r="12" spans="5:19" ht="14.25" customHeight="1" x14ac:dyDescent="0.45">
      <c r="E12" s="130">
        <f t="shared" si="0"/>
        <v>45992</v>
      </c>
      <c r="F12" s="59">
        <f>'GOL O4R2'!C23</f>
        <v>51</v>
      </c>
      <c r="G12" s="39">
        <f>'GOL O4R2'!D23</f>
        <v>51</v>
      </c>
      <c r="H12" s="43">
        <f>'TERA O4R2'!C23</f>
        <v>31</v>
      </c>
      <c r="I12" s="39">
        <f>'TERA O4R2'!D23</f>
        <v>31</v>
      </c>
      <c r="J12" s="114">
        <f>'OPTIMUS O4R2'!C23</f>
        <v>67</v>
      </c>
      <c r="K12" s="114">
        <f>'OPTIMUS O4R2'!D23</f>
        <v>67</v>
      </c>
      <c r="L12" s="59">
        <f>'NIVUS O4R2'!C23</f>
        <v>53</v>
      </c>
      <c r="M12" s="39">
        <f>'NIVUS O4R2'!D23</f>
        <v>53</v>
      </c>
      <c r="N12" s="43">
        <f>'TAOS O4R2'!C23</f>
        <v>16</v>
      </c>
      <c r="O12" s="39">
        <f>'TAOS O4R2'!D23</f>
        <v>16</v>
      </c>
      <c r="P12" s="114">
        <f>'FUSCA O4R2'!C23</f>
        <v>21</v>
      </c>
      <c r="Q12" s="114">
        <f>'FUSCA O4R2'!D23</f>
        <v>21</v>
      </c>
      <c r="R12" s="114">
        <f>'UP O4R2'!C23</f>
        <v>25</v>
      </c>
      <c r="S12" s="114">
        <f>'UP O4R2'!D23</f>
        <v>25</v>
      </c>
    </row>
    <row r="13" spans="5:19" ht="14.25" customHeight="1" x14ac:dyDescent="0.45">
      <c r="E13" s="130">
        <f t="shared" si="0"/>
        <v>45999</v>
      </c>
      <c r="F13" s="59">
        <f>'GOL O4R2'!C24</f>
        <v>49</v>
      </c>
      <c r="G13" s="39">
        <f>'GOL O4R2'!D24</f>
        <v>49</v>
      </c>
      <c r="H13" s="43">
        <f>'TERA O4R2'!C24</f>
        <v>31</v>
      </c>
      <c r="I13" s="39">
        <f>'TERA O4R2'!D24</f>
        <v>31</v>
      </c>
      <c r="J13" s="114">
        <f>'OPTIMUS O4R2'!C24</f>
        <v>65</v>
      </c>
      <c r="K13" s="114">
        <f>'OPTIMUS O4R2'!D24</f>
        <v>65</v>
      </c>
      <c r="L13" s="59">
        <f>'NIVUS O4R2'!C24</f>
        <v>53</v>
      </c>
      <c r="M13" s="39">
        <f>'NIVUS O4R2'!D24</f>
        <v>53</v>
      </c>
      <c r="N13" s="43">
        <f>'TAOS O4R2'!C24</f>
        <v>16</v>
      </c>
      <c r="O13" s="39">
        <f>'TAOS O4R2'!D24</f>
        <v>16</v>
      </c>
      <c r="P13" s="114">
        <f>'FUSCA O4R2'!C24</f>
        <v>21</v>
      </c>
      <c r="Q13" s="114">
        <f>'FUSCA O4R2'!D24</f>
        <v>21</v>
      </c>
      <c r="R13" s="114">
        <f>'UP O4R2'!C24</f>
        <v>25</v>
      </c>
      <c r="S13" s="114">
        <f>'UP O4R2'!D24</f>
        <v>25</v>
      </c>
    </row>
    <row r="14" spans="5:19" ht="14.25" customHeight="1" x14ac:dyDescent="0.45">
      <c r="E14" s="130">
        <f t="shared" si="0"/>
        <v>46006</v>
      </c>
      <c r="F14" s="59">
        <f>'GOL O4R2'!C25</f>
        <v>46</v>
      </c>
      <c r="G14" s="39">
        <f>'GOL O4R2'!D25</f>
        <v>46</v>
      </c>
      <c r="H14" s="43">
        <f>'TERA O4R2'!C25</f>
        <v>31</v>
      </c>
      <c r="I14" s="39">
        <f>'TERA O4R2'!D25</f>
        <v>31</v>
      </c>
      <c r="J14" s="114">
        <f>'OPTIMUS O4R2'!C25</f>
        <v>59</v>
      </c>
      <c r="K14" s="114">
        <f>'OPTIMUS O4R2'!D25</f>
        <v>59</v>
      </c>
      <c r="L14" s="59">
        <f>'NIVUS O4R2'!C25</f>
        <v>53</v>
      </c>
      <c r="M14" s="39">
        <f>'NIVUS O4R2'!D25</f>
        <v>53</v>
      </c>
      <c r="N14" s="43">
        <f>'TAOS O4R2'!C25</f>
        <v>16</v>
      </c>
      <c r="O14" s="39">
        <f>'TAOS O4R2'!D25</f>
        <v>16</v>
      </c>
      <c r="P14" s="114">
        <f>'FUSCA O4R2'!C25</f>
        <v>21</v>
      </c>
      <c r="Q14" s="114">
        <f>'FUSCA O4R2'!D25</f>
        <v>21</v>
      </c>
      <c r="R14" s="114">
        <f>'UP O4R2'!C25</f>
        <v>20</v>
      </c>
      <c r="S14" s="114">
        <f>'UP O4R2'!D25</f>
        <v>20</v>
      </c>
    </row>
    <row r="15" spans="5:19" s="116" customFormat="1" ht="14.25" customHeight="1" x14ac:dyDescent="0.45">
      <c r="E15" s="130">
        <f t="shared" si="0"/>
        <v>46013</v>
      </c>
      <c r="F15" s="59">
        <f>'GOL O4R2'!C26</f>
        <v>44</v>
      </c>
      <c r="G15" s="39">
        <f>'GOL O4R2'!D26</f>
        <v>44</v>
      </c>
      <c r="H15" s="43">
        <f>'TERA O4R2'!C26</f>
        <v>31</v>
      </c>
      <c r="I15" s="39">
        <f>'TERA O4R2'!D26</f>
        <v>31</v>
      </c>
      <c r="J15" s="114">
        <f>'OPTIMUS O4R2'!C26</f>
        <v>56</v>
      </c>
      <c r="K15" s="114">
        <f>'OPTIMUS O4R2'!D26</f>
        <v>56</v>
      </c>
      <c r="L15" s="59">
        <f>'NIVUS O4R2'!C26</f>
        <v>53</v>
      </c>
      <c r="M15" s="39">
        <f>'NIVUS O4R2'!D26</f>
        <v>53</v>
      </c>
      <c r="N15" s="43">
        <f>'TAOS O4R2'!C26</f>
        <v>15</v>
      </c>
      <c r="O15" s="39">
        <f>'TAOS O4R2'!D26</f>
        <v>15</v>
      </c>
      <c r="P15" s="114">
        <f>'FUSCA O4R2'!C26</f>
        <v>21</v>
      </c>
      <c r="Q15" s="114">
        <f>'FUSCA O4R2'!D26</f>
        <v>21</v>
      </c>
      <c r="R15" s="114">
        <f>'UP O4R2'!C26</f>
        <v>17</v>
      </c>
      <c r="S15" s="114">
        <f>'UP O4R2'!D26</f>
        <v>17</v>
      </c>
    </row>
    <row r="16" spans="5:19" ht="14.25" customHeight="1" x14ac:dyDescent="0.45">
      <c r="E16" s="130">
        <f t="shared" si="0"/>
        <v>46020</v>
      </c>
      <c r="F16" s="59">
        <f>'GOL O4R2'!C27</f>
        <v>43</v>
      </c>
      <c r="G16" s="39">
        <f>'GOL O4R2'!D27</f>
        <v>43</v>
      </c>
      <c r="H16" s="43">
        <f>'TERA O4R2'!C27</f>
        <v>31</v>
      </c>
      <c r="I16" s="39">
        <f>'TERA O4R2'!D27</f>
        <v>31</v>
      </c>
      <c r="J16" s="114">
        <f>'OPTIMUS O4R2'!C27</f>
        <v>54</v>
      </c>
      <c r="K16" s="114">
        <f>'OPTIMUS O4R2'!D27</f>
        <v>54</v>
      </c>
      <c r="L16" s="59">
        <f>'NIVUS O4R2'!C27</f>
        <v>53</v>
      </c>
      <c r="M16" s="39">
        <f>'NIVUS O4R2'!D27</f>
        <v>53</v>
      </c>
      <c r="N16" s="43">
        <f>'TAOS O4R2'!C27</f>
        <v>15</v>
      </c>
      <c r="O16" s="39">
        <f>'TAOS O4R2'!D27</f>
        <v>15</v>
      </c>
      <c r="P16" s="114">
        <f>'FUSCA O4R2'!C27</f>
        <v>21</v>
      </c>
      <c r="Q16" s="114">
        <f>'FUSCA O4R2'!D27</f>
        <v>21</v>
      </c>
      <c r="R16" s="114">
        <f>'UP O4R2'!C27</f>
        <v>16</v>
      </c>
      <c r="S16" s="114">
        <f>'UP O4R2'!D27</f>
        <v>16</v>
      </c>
    </row>
    <row r="17" spans="5:19" ht="14.25" customHeight="1" x14ac:dyDescent="0.45">
      <c r="E17" s="130">
        <f t="shared" si="0"/>
        <v>46027</v>
      </c>
      <c r="F17" s="59">
        <f>'GOL O4R2'!C28</f>
        <v>43</v>
      </c>
      <c r="G17" s="39">
        <f>'GOL O4R2'!D28</f>
        <v>43</v>
      </c>
      <c r="H17" s="43">
        <f>'TERA O4R2'!C28</f>
        <v>31</v>
      </c>
      <c r="I17" s="39">
        <f>'TERA O4R2'!D28</f>
        <v>31</v>
      </c>
      <c r="J17" s="114">
        <f>'OPTIMUS O4R2'!C28</f>
        <v>53</v>
      </c>
      <c r="K17" s="114">
        <f>'OPTIMUS O4R2'!D28</f>
        <v>53</v>
      </c>
      <c r="L17" s="59">
        <f>'NIVUS O4R2'!C28</f>
        <v>53</v>
      </c>
      <c r="M17" s="39">
        <f>'NIVUS O4R2'!D28</f>
        <v>53</v>
      </c>
      <c r="N17" s="43">
        <f>'TAOS O4R2'!C28</f>
        <v>15</v>
      </c>
      <c r="O17" s="39">
        <f>'TAOS O4R2'!D28</f>
        <v>15</v>
      </c>
      <c r="P17" s="114">
        <f>'FUSCA O4R2'!C28</f>
        <v>21</v>
      </c>
      <c r="Q17" s="114">
        <f>'FUSCA O4R2'!D28</f>
        <v>21</v>
      </c>
      <c r="R17" s="114">
        <f>'UP O4R2'!C28</f>
        <v>14</v>
      </c>
      <c r="S17" s="114">
        <f>'UP O4R2'!D28</f>
        <v>14</v>
      </c>
    </row>
    <row r="18" spans="5:19" s="116" customFormat="1" ht="14.25" customHeight="1" x14ac:dyDescent="0.45">
      <c r="E18" s="130">
        <f t="shared" si="0"/>
        <v>46034</v>
      </c>
      <c r="F18" s="59">
        <f>'GOL O4R2'!C29</f>
        <v>41</v>
      </c>
      <c r="G18" s="39">
        <f>'GOL O4R2'!D29</f>
        <v>41</v>
      </c>
      <c r="H18" s="43">
        <f>'TERA O4R2'!C29</f>
        <v>31</v>
      </c>
      <c r="I18" s="39">
        <f>'TERA O4R2'!D29</f>
        <v>31</v>
      </c>
      <c r="J18" s="114">
        <f>'OPTIMUS O4R2'!C29</f>
        <v>53</v>
      </c>
      <c r="K18" s="114">
        <f>'OPTIMUS O4R2'!D29</f>
        <v>53</v>
      </c>
      <c r="L18" s="59">
        <f>'NIVUS O4R2'!C29</f>
        <v>53</v>
      </c>
      <c r="M18" s="39">
        <f>'NIVUS O4R2'!D29</f>
        <v>53</v>
      </c>
      <c r="N18" s="43">
        <f>'TAOS O4R2'!C29</f>
        <v>14</v>
      </c>
      <c r="O18" s="39">
        <f>'TAOS O4R2'!D29</f>
        <v>14</v>
      </c>
      <c r="P18" s="114">
        <f>'FUSCA O4R2'!C29</f>
        <v>21</v>
      </c>
      <c r="Q18" s="114">
        <f>'FUSCA O4R2'!D29</f>
        <v>21</v>
      </c>
      <c r="R18" s="114">
        <f>'UP O4R2'!C29</f>
        <v>9</v>
      </c>
      <c r="S18" s="114">
        <f>'UP O4R2'!D29</f>
        <v>9</v>
      </c>
    </row>
    <row r="19" spans="5:19" ht="14.25" customHeight="1" x14ac:dyDescent="0.45">
      <c r="E19" s="130">
        <f t="shared" si="0"/>
        <v>46041</v>
      </c>
      <c r="F19" s="59">
        <f>'GOL O4R2'!C30</f>
        <v>38</v>
      </c>
      <c r="G19" s="39">
        <f>'GOL O4R2'!D30</f>
        <v>38</v>
      </c>
      <c r="H19" s="43">
        <f>'TERA O4R2'!C30</f>
        <v>31</v>
      </c>
      <c r="I19" s="39">
        <f>'TERA O4R2'!D30</f>
        <v>31</v>
      </c>
      <c r="J19" s="114">
        <f>'OPTIMUS O4R2'!C30</f>
        <v>52</v>
      </c>
      <c r="K19" s="114">
        <f>'OPTIMUS O4R2'!D30</f>
        <v>52</v>
      </c>
      <c r="L19" s="59">
        <f>'NIVUS O4R2'!C30</f>
        <v>53</v>
      </c>
      <c r="M19" s="39">
        <f>'NIVUS O4R2'!D30</f>
        <v>53</v>
      </c>
      <c r="N19" s="43">
        <f>'TAOS O4R2'!C30</f>
        <v>14</v>
      </c>
      <c r="O19" s="39">
        <f>'TAOS O4R2'!D30</f>
        <v>14</v>
      </c>
      <c r="P19" s="114">
        <f>'FUSCA O4R2'!C30</f>
        <v>21</v>
      </c>
      <c r="Q19" s="114">
        <f>'FUSCA O4R2'!D30</f>
        <v>21</v>
      </c>
      <c r="R19" s="114">
        <f>'UP O4R2'!C30</f>
        <v>9</v>
      </c>
      <c r="S19" s="114">
        <f>'UP O4R2'!D30</f>
        <v>9</v>
      </c>
    </row>
    <row r="20" spans="5:19" ht="14.25" customHeight="1" x14ac:dyDescent="0.45">
      <c r="E20" s="130">
        <f t="shared" si="0"/>
        <v>46048</v>
      </c>
      <c r="F20" s="59">
        <f>'GOL O4R2'!C31</f>
        <v>34</v>
      </c>
      <c r="G20" s="39">
        <f>'GOL O4R2'!D31</f>
        <v>34</v>
      </c>
      <c r="H20" s="43">
        <f>'TERA O4R2'!C31</f>
        <v>31</v>
      </c>
      <c r="I20" s="39">
        <f>'TERA O4R2'!D31</f>
        <v>31</v>
      </c>
      <c r="J20" s="114">
        <f>'OPTIMUS O4R2'!C31</f>
        <v>52</v>
      </c>
      <c r="K20" s="114">
        <f>'OPTIMUS O4R2'!D31</f>
        <v>52</v>
      </c>
      <c r="L20" s="59">
        <f>'NIVUS O4R2'!C31</f>
        <v>53</v>
      </c>
      <c r="M20" s="39">
        <f>'NIVUS O4R2'!D31</f>
        <v>53</v>
      </c>
      <c r="N20" s="43">
        <f>'TAOS O4R2'!C31</f>
        <v>13</v>
      </c>
      <c r="O20" s="39">
        <f>'TAOS O4R2'!D31</f>
        <v>13</v>
      </c>
      <c r="P20" s="114">
        <f>'FUSCA O4R2'!C31</f>
        <v>21</v>
      </c>
      <c r="Q20" s="114">
        <f>'FUSCA O4R2'!D31</f>
        <v>21</v>
      </c>
      <c r="R20" s="114">
        <f>'UP O4R2'!C31</f>
        <v>9</v>
      </c>
      <c r="S20" s="114">
        <f>'UP O4R2'!D31</f>
        <v>9</v>
      </c>
    </row>
    <row r="21" spans="5:19" ht="14.25" customHeight="1" x14ac:dyDescent="0.45">
      <c r="E21" s="130">
        <f t="shared" si="0"/>
        <v>46055</v>
      </c>
      <c r="F21" s="59">
        <f>'GOL O4R2'!C32</f>
        <v>33</v>
      </c>
      <c r="G21" s="39">
        <f>'GOL O4R2'!D32</f>
        <v>33</v>
      </c>
      <c r="H21" s="43">
        <f>'TERA O4R2'!C32</f>
        <v>30</v>
      </c>
      <c r="I21" s="39">
        <f>'TERA O4R2'!D32</f>
        <v>30</v>
      </c>
      <c r="J21" s="114">
        <f>'OPTIMUS O4R2'!C32</f>
        <v>52</v>
      </c>
      <c r="K21" s="114">
        <f>'OPTIMUS O4R2'!D32</f>
        <v>52</v>
      </c>
      <c r="L21" s="59">
        <f>'NIVUS O4R2'!C32</f>
        <v>47</v>
      </c>
      <c r="M21" s="39">
        <f>'NIVUS O4R2'!D32</f>
        <v>47</v>
      </c>
      <c r="N21" s="43">
        <f>'TAOS O4R2'!C32</f>
        <v>13</v>
      </c>
      <c r="O21" s="39">
        <f>'TAOS O4R2'!D32</f>
        <v>13</v>
      </c>
      <c r="P21" s="114">
        <f>'FUSCA O4R2'!C32</f>
        <v>21</v>
      </c>
      <c r="Q21" s="114">
        <f>'FUSCA O4R2'!D32</f>
        <v>21</v>
      </c>
      <c r="R21" s="114">
        <f>'UP O4R2'!C32</f>
        <v>9</v>
      </c>
      <c r="S21" s="114">
        <f>'UP O4R2'!D32</f>
        <v>9</v>
      </c>
    </row>
    <row r="22" spans="5:19" ht="14.25" customHeight="1" x14ac:dyDescent="0.45">
      <c r="E22" s="130">
        <f t="shared" si="0"/>
        <v>46062</v>
      </c>
      <c r="F22" s="59">
        <f>'GOL O4R2'!C33</f>
        <v>32</v>
      </c>
      <c r="G22" s="39">
        <f>'GOL O4R2'!D33</f>
        <v>32</v>
      </c>
      <c r="H22" s="43">
        <f>'TERA O4R2'!C33</f>
        <v>29</v>
      </c>
      <c r="I22" s="39">
        <f>'TERA O4R2'!D33</f>
        <v>29</v>
      </c>
      <c r="J22" s="114">
        <f>'OPTIMUS O4R2'!C33</f>
        <v>44</v>
      </c>
      <c r="K22" s="114">
        <f>'OPTIMUS O4R2'!D33</f>
        <v>44</v>
      </c>
      <c r="L22" s="59">
        <f>'NIVUS O4R2'!C33</f>
        <v>46</v>
      </c>
      <c r="M22" s="39">
        <f>'NIVUS O4R2'!D33</f>
        <v>46</v>
      </c>
      <c r="N22" s="43">
        <f>'TAOS O4R2'!C33</f>
        <v>12</v>
      </c>
      <c r="O22" s="39">
        <f>'TAOS O4R2'!D33</f>
        <v>12</v>
      </c>
      <c r="P22" s="114">
        <f>'FUSCA O4R2'!C33</f>
        <v>20</v>
      </c>
      <c r="Q22" s="114">
        <f>'FUSCA O4R2'!D33</f>
        <v>20</v>
      </c>
      <c r="R22" s="114">
        <f>'UP O4R2'!C33</f>
        <v>8</v>
      </c>
      <c r="S22" s="114">
        <f>'UP O4R2'!D33</f>
        <v>8</v>
      </c>
    </row>
    <row r="23" spans="5:19" ht="14.25" customHeight="1" x14ac:dyDescent="0.45">
      <c r="E23" s="130">
        <f t="shared" si="0"/>
        <v>46069</v>
      </c>
      <c r="F23" s="59">
        <f>'GOL O4R2'!C34</f>
        <v>31</v>
      </c>
      <c r="G23" s="39">
        <f>'GOL O4R2'!D34</f>
        <v>31</v>
      </c>
      <c r="H23" s="43">
        <f>'TERA O4R2'!C34</f>
        <v>26</v>
      </c>
      <c r="I23" s="39">
        <f>'TERA O4R2'!D34</f>
        <v>26</v>
      </c>
      <c r="J23" s="114">
        <f>'OPTIMUS O4R2'!C34</f>
        <v>40</v>
      </c>
      <c r="K23" s="114">
        <f>'OPTIMUS O4R2'!D34</f>
        <v>40</v>
      </c>
      <c r="L23" s="59">
        <f>'NIVUS O4R2'!C34</f>
        <v>38</v>
      </c>
      <c r="M23" s="39">
        <f>'NIVUS O4R2'!D34</f>
        <v>38</v>
      </c>
      <c r="N23" s="43">
        <f>'TAOS O4R2'!C34</f>
        <v>12</v>
      </c>
      <c r="O23" s="39">
        <f>'TAOS O4R2'!D34</f>
        <v>12</v>
      </c>
      <c r="P23" s="114">
        <f>'FUSCA O4R2'!C34</f>
        <v>20</v>
      </c>
      <c r="Q23" s="114">
        <f>'FUSCA O4R2'!D34</f>
        <v>20</v>
      </c>
      <c r="R23" s="114">
        <f>'UP O4R2'!C34</f>
        <v>7</v>
      </c>
      <c r="S23" s="114">
        <f>'UP O4R2'!D34</f>
        <v>7</v>
      </c>
    </row>
    <row r="24" spans="5:19" ht="14.25" customHeight="1" x14ac:dyDescent="0.45">
      <c r="E24" s="130">
        <f t="shared" si="0"/>
        <v>46076</v>
      </c>
      <c r="F24" s="59">
        <f>'GOL O4R2'!C35</f>
        <v>28</v>
      </c>
      <c r="G24" s="39">
        <f>'GOL O4R2'!D35</f>
        <v>28</v>
      </c>
      <c r="H24" s="43">
        <f>'TERA O4R2'!C35</f>
        <v>26</v>
      </c>
      <c r="I24" s="39">
        <f>'TERA O4R2'!D35</f>
        <v>26</v>
      </c>
      <c r="J24" s="114">
        <f>'OPTIMUS O4R2'!C35</f>
        <v>33</v>
      </c>
      <c r="K24" s="114">
        <f>'OPTIMUS O4R2'!D35</f>
        <v>33</v>
      </c>
      <c r="L24" s="59">
        <f>'NIVUS O4R2'!C35</f>
        <v>35</v>
      </c>
      <c r="M24" s="39">
        <f>'NIVUS O4R2'!D35</f>
        <v>35</v>
      </c>
      <c r="N24" s="43">
        <f>'TAOS O4R2'!C35</f>
        <v>11</v>
      </c>
      <c r="O24" s="39">
        <f>'TAOS O4R2'!D35</f>
        <v>11</v>
      </c>
      <c r="P24" s="114">
        <f>'FUSCA O4R2'!C35</f>
        <v>16</v>
      </c>
      <c r="Q24" s="114">
        <f>'FUSCA O4R2'!D35</f>
        <v>16</v>
      </c>
      <c r="R24" s="114">
        <f>'UP O4R2'!C35</f>
        <v>6</v>
      </c>
      <c r="S24" s="114">
        <f>'UP O4R2'!D35</f>
        <v>6</v>
      </c>
    </row>
    <row r="25" spans="5:19" ht="14.25" customHeight="1" x14ac:dyDescent="0.45">
      <c r="E25" s="130">
        <f t="shared" si="0"/>
        <v>46083</v>
      </c>
      <c r="F25" s="59">
        <f>'GOL O4R2'!C36</f>
        <v>28</v>
      </c>
      <c r="G25" s="39">
        <f>'GOL O4R2'!D36</f>
        <v>28</v>
      </c>
      <c r="H25" s="43">
        <f>'TERA O4R2'!C36</f>
        <v>23</v>
      </c>
      <c r="I25" s="39">
        <f>'TERA O4R2'!D36</f>
        <v>23</v>
      </c>
      <c r="J25" s="114">
        <f>'OPTIMUS O4R2'!C36</f>
        <v>26</v>
      </c>
      <c r="K25" s="114">
        <f>'OPTIMUS O4R2'!D36</f>
        <v>26</v>
      </c>
      <c r="L25" s="59">
        <f>'NIVUS O4R2'!C36</f>
        <v>34</v>
      </c>
      <c r="M25" s="39">
        <f>'NIVUS O4R2'!D36</f>
        <v>34</v>
      </c>
      <c r="N25" s="43">
        <f>'TAOS O4R2'!C36</f>
        <v>11</v>
      </c>
      <c r="O25" s="39">
        <f>'TAOS O4R2'!D36</f>
        <v>11</v>
      </c>
      <c r="P25" s="114">
        <f>'FUSCA O4R2'!C36</f>
        <v>16</v>
      </c>
      <c r="Q25" s="114">
        <f>'FUSCA O4R2'!D36</f>
        <v>16</v>
      </c>
      <c r="R25" s="114">
        <f>'UP O4R2'!C36</f>
        <v>3</v>
      </c>
      <c r="S25" s="114">
        <f>'UP O4R2'!D36</f>
        <v>3</v>
      </c>
    </row>
    <row r="26" spans="5:19" ht="14.25" customHeight="1" x14ac:dyDescent="0.45">
      <c r="E26" s="130">
        <f t="shared" si="0"/>
        <v>46090</v>
      </c>
      <c r="F26" s="59">
        <f>'GOL O4R2'!C37</f>
        <v>28</v>
      </c>
      <c r="G26" s="39">
        <f>'GOL O4R2'!D37</f>
        <v>28</v>
      </c>
      <c r="H26" s="43">
        <f>'TERA O4R2'!C37</f>
        <v>17</v>
      </c>
      <c r="I26" s="39">
        <f>'TERA O4R2'!D37</f>
        <v>17</v>
      </c>
      <c r="J26" s="114">
        <f>'OPTIMUS O4R2'!C37</f>
        <v>18</v>
      </c>
      <c r="K26" s="114">
        <f>'OPTIMUS O4R2'!D37</f>
        <v>18</v>
      </c>
      <c r="L26" s="59">
        <f>'NIVUS O4R2'!C37</f>
        <v>27</v>
      </c>
      <c r="M26" s="39">
        <f>'NIVUS O4R2'!D37</f>
        <v>27</v>
      </c>
      <c r="N26" s="43">
        <f>'TAOS O4R2'!C37</f>
        <v>9</v>
      </c>
      <c r="O26" s="39">
        <f>'TAOS O4R2'!D37</f>
        <v>9</v>
      </c>
      <c r="P26" s="114">
        <f>'FUSCA O4R2'!C37</f>
        <v>11</v>
      </c>
      <c r="Q26" s="114">
        <f>'FUSCA O4R2'!D37</f>
        <v>11</v>
      </c>
      <c r="R26" s="114">
        <f>'UP O4R2'!C37</f>
        <v>2</v>
      </c>
      <c r="S26" s="114">
        <f>'UP O4R2'!D37</f>
        <v>2</v>
      </c>
    </row>
    <row r="27" spans="5:19" ht="14.25" customHeight="1" x14ac:dyDescent="0.45">
      <c r="E27" s="130">
        <f t="shared" si="0"/>
        <v>46097</v>
      </c>
      <c r="F27" s="59">
        <f>'GOL O4R2'!C38</f>
        <v>28</v>
      </c>
      <c r="G27" s="39">
        <f>'GOL O4R2'!D38</f>
        <v>28</v>
      </c>
      <c r="H27" s="43">
        <f>'TERA O4R2'!C38</f>
        <v>14</v>
      </c>
      <c r="I27" s="39">
        <f>'TERA O4R2'!D38</f>
        <v>14</v>
      </c>
      <c r="J27" s="114">
        <f>'OPTIMUS O4R2'!C38</f>
        <v>16</v>
      </c>
      <c r="K27" s="114">
        <f>'OPTIMUS O4R2'!D38</f>
        <v>16</v>
      </c>
      <c r="L27" s="59">
        <f>'NIVUS O4R2'!C38</f>
        <v>21</v>
      </c>
      <c r="M27" s="39">
        <f>'NIVUS O4R2'!D38</f>
        <v>21</v>
      </c>
      <c r="N27" s="43">
        <f>'TAOS O4R2'!C38</f>
        <v>6</v>
      </c>
      <c r="O27" s="39">
        <f>'TAOS O4R2'!D38</f>
        <v>6</v>
      </c>
      <c r="P27" s="114">
        <f>'FUSCA O4R2'!C38</f>
        <v>10</v>
      </c>
      <c r="Q27" s="114">
        <f>'FUSCA O4R2'!D38</f>
        <v>10</v>
      </c>
      <c r="R27" s="114">
        <f>'UP O4R2'!C38</f>
        <v>1</v>
      </c>
      <c r="S27" s="114">
        <f>'UP O4R2'!D38</f>
        <v>1</v>
      </c>
    </row>
    <row r="28" spans="5:19" ht="14.25" customHeight="1" x14ac:dyDescent="0.45">
      <c r="E28" s="130">
        <f t="shared" si="0"/>
        <v>46104</v>
      </c>
      <c r="F28" s="59">
        <f>'GOL O4R2'!C39</f>
        <v>21</v>
      </c>
      <c r="G28" s="39">
        <f>'GOL O4R2'!D39</f>
        <v>21</v>
      </c>
      <c r="H28" s="43">
        <f>'TERA O4R2'!C39</f>
        <v>10</v>
      </c>
      <c r="I28" s="39">
        <f>'TERA O4R2'!D39</f>
        <v>10</v>
      </c>
      <c r="J28" s="114">
        <f ca="1">'OPTIMUS O4R2'!C39</f>
        <v>9</v>
      </c>
      <c r="K28" s="114">
        <f ca="1">'OPTIMUS O4R2'!D39</f>
        <v>9</v>
      </c>
      <c r="L28" s="59">
        <f>'NIVUS O4R2'!C39</f>
        <v>17</v>
      </c>
      <c r="M28" s="39">
        <f>'NIVUS O4R2'!D39</f>
        <v>17</v>
      </c>
      <c r="N28" s="43">
        <f>'TAOS O4R2'!C39</f>
        <v>5</v>
      </c>
      <c r="O28" s="39">
        <f>'TAOS O4R2'!D39</f>
        <v>5</v>
      </c>
      <c r="P28" s="114">
        <f>'FUSCA O4R2'!C39</f>
        <v>7</v>
      </c>
      <c r="Q28" s="114">
        <f>'FUSCA O4R2'!D39</f>
        <v>7</v>
      </c>
      <c r="R28" s="114">
        <f>'UP O4R2'!C39</f>
        <v>1</v>
      </c>
      <c r="S28" s="114">
        <f>'UP O4R2'!D39</f>
        <v>1</v>
      </c>
    </row>
    <row r="29" spans="5:19" ht="14.25" customHeight="1" x14ac:dyDescent="0.45">
      <c r="E29" s="130">
        <f t="shared" si="0"/>
        <v>46111</v>
      </c>
      <c r="F29" s="59">
        <f>'GOL O4R2'!C40</f>
        <v>21</v>
      </c>
      <c r="G29" s="39">
        <f>'GOL O4R2'!D40</f>
        <v>21</v>
      </c>
      <c r="H29" s="43">
        <f>'TERA O4R2'!C40</f>
        <v>10</v>
      </c>
      <c r="I29" s="39">
        <f>'TERA O4R2'!D40</f>
        <v>10</v>
      </c>
      <c r="J29" s="114">
        <f ca="1">'OPTIMUS O4R2'!C40</f>
        <v>9</v>
      </c>
      <c r="K29" s="114">
        <f ca="1">'OPTIMUS O4R2'!D40</f>
        <v>9</v>
      </c>
      <c r="L29" s="59">
        <f>'NIVUS O4R2'!C40</f>
        <v>13</v>
      </c>
      <c r="M29" s="39">
        <f>'NIVUS O4R2'!D40</f>
        <v>13</v>
      </c>
      <c r="N29" s="43">
        <f>'TAOS O4R2'!C40</f>
        <v>5</v>
      </c>
      <c r="O29" s="39">
        <f>'TAOS O4R2'!D40</f>
        <v>5</v>
      </c>
      <c r="P29" s="114">
        <f>'FUSCA O4R2'!C40</f>
        <v>7</v>
      </c>
      <c r="Q29" s="114">
        <f>'FUSCA O4R2'!D40</f>
        <v>7</v>
      </c>
      <c r="R29" s="114">
        <f>'UP O4R2'!C40</f>
        <v>0</v>
      </c>
      <c r="S29" s="114">
        <f>'UP O4R2'!D40</f>
        <v>0</v>
      </c>
    </row>
    <row r="30" spans="5:19" ht="14.25" customHeight="1" x14ac:dyDescent="0.45">
      <c r="E30" s="130">
        <f t="shared" si="0"/>
        <v>46118</v>
      </c>
      <c r="F30" s="59">
        <f>'GOL O4R2'!C41</f>
        <v>14</v>
      </c>
      <c r="G30" s="39">
        <f>'GOL O4R2'!D41</f>
        <v>20</v>
      </c>
      <c r="H30" s="43">
        <f>'TERA O4R2'!C41</f>
        <v>5</v>
      </c>
      <c r="I30" s="39">
        <f>'TERA O4R2'!D41</f>
        <v>9</v>
      </c>
      <c r="J30" s="114">
        <f ca="1">'OPTIMUS O4R2'!C41</f>
        <v>1</v>
      </c>
      <c r="K30" s="114">
        <f ca="1">'OPTIMUS O4R2'!D41</f>
        <v>8</v>
      </c>
      <c r="L30" s="59">
        <f>'NIVUS O4R2'!C41</f>
        <v>5</v>
      </c>
      <c r="M30" s="39">
        <f>'NIVUS O4R2'!D41</f>
        <v>12</v>
      </c>
      <c r="N30" s="43">
        <f>'TAOS O4R2'!C41</f>
        <v>2</v>
      </c>
      <c r="O30" s="39">
        <f>'TAOS O4R2'!D41</f>
        <v>4</v>
      </c>
      <c r="P30" s="114">
        <f>'FUSCA O4R2'!C41</f>
        <v>2</v>
      </c>
      <c r="Q30" s="114">
        <f>'FUSCA O4R2'!D41</f>
        <v>6</v>
      </c>
      <c r="R30" s="114" t="str">
        <f>'UP O4R2'!C41</f>
        <v/>
      </c>
      <c r="S30" s="114" t="str">
        <f>'UP O4R2'!D41</f>
        <v/>
      </c>
    </row>
    <row r="31" spans="5:19" ht="14.25" customHeight="1" x14ac:dyDescent="0.45">
      <c r="E31" s="130">
        <f t="shared" si="0"/>
        <v>46125</v>
      </c>
      <c r="F31" s="59">
        <f>'GOL O4R2'!C42</f>
        <v>7</v>
      </c>
      <c r="G31" s="39">
        <f>'GOL O4R2'!D42</f>
        <v>19</v>
      </c>
      <c r="H31" s="43">
        <f>'TERA O4R2'!C42</f>
        <v>0</v>
      </c>
      <c r="I31" s="39">
        <f>'TERA O4R2'!D42</f>
        <v>8</v>
      </c>
      <c r="J31" s="114">
        <f ca="1">'OPTIMUS O4R2'!C42</f>
        <v>0</v>
      </c>
      <c r="K31" s="114">
        <f ca="1">'OPTIMUS O4R2'!D42</f>
        <v>7</v>
      </c>
      <c r="L31" s="59">
        <f>'NIVUS O4R2'!C42</f>
        <v>0</v>
      </c>
      <c r="M31" s="39">
        <f>'NIVUS O4R2'!D42</f>
        <v>11</v>
      </c>
      <c r="N31" s="43">
        <f>'TAOS O4R2'!C42</f>
        <v>0</v>
      </c>
      <c r="O31" s="39">
        <f>'TAOS O4R2'!D42</f>
        <v>3</v>
      </c>
      <c r="P31" s="114">
        <f>'FUSCA O4R2'!C42</f>
        <v>0</v>
      </c>
      <c r="Q31" s="114">
        <f>'FUSCA O4R2'!D42</f>
        <v>5</v>
      </c>
      <c r="R31" s="114" t="str">
        <f>'UP O4R2'!C42</f>
        <v/>
      </c>
      <c r="S31" s="114" t="str">
        <f>'UP O4R2'!D42</f>
        <v/>
      </c>
    </row>
    <row r="32" spans="5:19" ht="14.25" customHeight="1" x14ac:dyDescent="0.45">
      <c r="E32" s="130">
        <f t="shared" si="0"/>
        <v>46132</v>
      </c>
      <c r="F32" s="59">
        <f>'GOL O4R2'!C43</f>
        <v>0</v>
      </c>
      <c r="G32" s="39">
        <f>'GOL O4R2'!D43</f>
        <v>18</v>
      </c>
      <c r="H32" s="43" t="str">
        <f>'TERA O4R2'!C43</f>
        <v/>
      </c>
      <c r="I32" s="39">
        <f>'TERA O4R2'!D43</f>
        <v>7</v>
      </c>
      <c r="J32" s="114" t="str">
        <f ca="1">'OPTIMUS O4R2'!C43</f>
        <v/>
      </c>
      <c r="K32" s="114">
        <f ca="1">'OPTIMUS O4R2'!D43</f>
        <v>6</v>
      </c>
      <c r="L32" s="59" t="str">
        <f>'NIVUS O4R2'!C43</f>
        <v/>
      </c>
      <c r="M32" s="39">
        <f>'NIVUS O4R2'!D43</f>
        <v>10</v>
      </c>
      <c r="N32" s="43" t="str">
        <f>'TAOS O4R2'!C43</f>
        <v/>
      </c>
      <c r="O32" s="39">
        <f>'TAOS O4R2'!D43</f>
        <v>2</v>
      </c>
      <c r="P32" s="114" t="str">
        <f>'FUSCA O4R2'!C43</f>
        <v/>
      </c>
      <c r="Q32" s="114">
        <f>'FUSCA O4R2'!D43</f>
        <v>4</v>
      </c>
      <c r="R32" s="114" t="str">
        <f>'UP O4R2'!C43</f>
        <v/>
      </c>
      <c r="S32" s="114" t="str">
        <f>'UP O4R2'!D43</f>
        <v/>
      </c>
    </row>
    <row r="33" spans="5:19" ht="14.25" customHeight="1" x14ac:dyDescent="0.45">
      <c r="E33" s="146">
        <f t="shared" si="0"/>
        <v>46139</v>
      </c>
      <c r="F33" s="59" t="str">
        <f>'GOL O4R2'!C44</f>
        <v/>
      </c>
      <c r="G33" s="147">
        <f>'GOL O4R2'!D44</f>
        <v>17</v>
      </c>
      <c r="H33" s="148" t="str">
        <f>'TERA O4R2'!C44</f>
        <v/>
      </c>
      <c r="I33" s="147">
        <f>'TERA O4R2'!D44</f>
        <v>6</v>
      </c>
      <c r="J33" s="149" t="str">
        <f ca="1">'OPTIMUS O4R2'!C44</f>
        <v/>
      </c>
      <c r="K33" s="149">
        <f ca="1">'OPTIMUS O4R2'!D44</f>
        <v>5</v>
      </c>
      <c r="L33" s="139" t="str">
        <f>'NIVUS O4R2'!C44</f>
        <v/>
      </c>
      <c r="M33" s="147">
        <f>'NIVUS O4R2'!D44</f>
        <v>9</v>
      </c>
      <c r="N33" s="148" t="str">
        <f>'TAOS O4R2'!C44</f>
        <v/>
      </c>
      <c r="O33" s="147">
        <f>'TAOS O4R2'!D44</f>
        <v>1</v>
      </c>
      <c r="P33" s="149" t="str">
        <f>'FUSCA O4R2'!C44</f>
        <v/>
      </c>
      <c r="Q33" s="149">
        <f>'FUSCA O4R2'!D44</f>
        <v>3</v>
      </c>
      <c r="R33" s="149" t="str">
        <f>'UP O4R2'!C44</f>
        <v/>
      </c>
      <c r="S33" s="149" t="str">
        <f>'UP O4R2'!D44</f>
        <v/>
      </c>
    </row>
    <row r="34" spans="5:19" ht="14.25" customHeight="1" x14ac:dyDescent="0.45">
      <c r="E34" s="130">
        <f t="shared" si="0"/>
        <v>46146</v>
      </c>
      <c r="F34" s="59" t="str">
        <f>'GOL O4R2'!C45</f>
        <v/>
      </c>
      <c r="G34" s="39">
        <f>'GOL O4R2'!D45</f>
        <v>16</v>
      </c>
      <c r="H34" s="43" t="str">
        <f>'TERA O4R2'!C45</f>
        <v/>
      </c>
      <c r="I34" s="39">
        <f>'TERA O4R2'!D45</f>
        <v>5</v>
      </c>
      <c r="J34" s="114" t="str">
        <f ca="1">'OPTIMUS O4R2'!C45</f>
        <v/>
      </c>
      <c r="K34" s="114">
        <f ca="1">'OPTIMUS O4R2'!D45</f>
        <v>4</v>
      </c>
      <c r="L34" s="59" t="str">
        <f>'NIVUS O4R2'!C45</f>
        <v/>
      </c>
      <c r="M34" s="39">
        <f>'NIVUS O4R2'!D45</f>
        <v>8</v>
      </c>
      <c r="N34" s="43" t="str">
        <f>'TAOS O4R2'!C45</f>
        <v/>
      </c>
      <c r="O34" s="39">
        <f>'TAOS O4R2'!D45</f>
        <v>0</v>
      </c>
      <c r="P34" s="114" t="str">
        <f>'FUSCA O4R2'!C45</f>
        <v/>
      </c>
      <c r="Q34" s="114">
        <f>'FUSCA O4R2'!D45</f>
        <v>2</v>
      </c>
      <c r="R34" s="114" t="str">
        <f>'UP O4R2'!C45</f>
        <v/>
      </c>
      <c r="S34" s="114" t="str">
        <f>'UP O4R2'!D45</f>
        <v/>
      </c>
    </row>
    <row r="35" spans="5:19" ht="14.25" customHeight="1" x14ac:dyDescent="0.45">
      <c r="E35" s="130">
        <f t="shared" si="0"/>
        <v>46153</v>
      </c>
      <c r="F35" s="59" t="str">
        <f>'GOL O4R2'!C46</f>
        <v/>
      </c>
      <c r="G35" s="39">
        <f>'GOL O4R2'!D46</f>
        <v>15</v>
      </c>
      <c r="H35" s="43" t="str">
        <f>'TERA O4R2'!C46</f>
        <v/>
      </c>
      <c r="I35" s="39">
        <f>'TERA O4R2'!D46</f>
        <v>4</v>
      </c>
      <c r="J35" s="114" t="str">
        <f ca="1">'OPTIMUS O4R2'!C46</f>
        <v/>
      </c>
      <c r="K35" s="114">
        <f ca="1">'OPTIMUS O4R2'!D46</f>
        <v>3</v>
      </c>
      <c r="L35" s="59" t="str">
        <f>'NIVUS O4R2'!C46</f>
        <v/>
      </c>
      <c r="M35" s="39">
        <f>'NIVUS O4R2'!D46</f>
        <v>7</v>
      </c>
      <c r="N35" s="43" t="str">
        <f>'TAOS O4R2'!C46</f>
        <v/>
      </c>
      <c r="O35" s="39" t="str">
        <f>'TAOS O4R2'!D46</f>
        <v/>
      </c>
      <c r="P35" s="114" t="str">
        <f>'FUSCA O4R2'!C46</f>
        <v/>
      </c>
      <c r="Q35" s="114">
        <f>'FUSCA O4R2'!D46</f>
        <v>1</v>
      </c>
      <c r="R35" s="114" t="str">
        <f>'UP O4R2'!C46</f>
        <v/>
      </c>
      <c r="S35" s="114" t="str">
        <f>'UP O4R2'!D46</f>
        <v/>
      </c>
    </row>
    <row r="36" spans="5:19" ht="14.25" customHeight="1" x14ac:dyDescent="0.45">
      <c r="E36" s="146">
        <f t="shared" si="0"/>
        <v>46160</v>
      </c>
      <c r="F36" s="59" t="str">
        <f>'GOL O4R2'!C47</f>
        <v/>
      </c>
      <c r="G36" s="39">
        <f>'GOL O4R2'!D47</f>
        <v>14</v>
      </c>
      <c r="H36" s="43" t="str">
        <f>'TERA O4R2'!C47</f>
        <v/>
      </c>
      <c r="I36" s="39">
        <f>'TERA O4R2'!D47</f>
        <v>3</v>
      </c>
      <c r="J36" s="114" t="str">
        <f ca="1">'OPTIMUS O4R2'!C47</f>
        <v/>
      </c>
      <c r="K36" s="114">
        <f ca="1">'OPTIMUS O4R2'!D47</f>
        <v>2</v>
      </c>
      <c r="L36" s="59" t="str">
        <f>'NIVUS O4R2'!C47</f>
        <v/>
      </c>
      <c r="M36" s="39">
        <f>'NIVUS O4R2'!D47</f>
        <v>6</v>
      </c>
      <c r="N36" s="43" t="str">
        <f>'TAOS O4R2'!C47</f>
        <v/>
      </c>
      <c r="O36" s="39" t="str">
        <f>'TAOS O4R2'!D47</f>
        <v/>
      </c>
      <c r="P36" s="114" t="str">
        <f>'FUSCA O4R2'!C47</f>
        <v/>
      </c>
      <c r="Q36" s="114">
        <f>'FUSCA O4R2'!D47</f>
        <v>0</v>
      </c>
      <c r="R36" s="114" t="str">
        <f>'UP O4R2'!C47</f>
        <v/>
      </c>
      <c r="S36" s="114" t="str">
        <f>'UP O4R2'!D47</f>
        <v/>
      </c>
    </row>
    <row r="37" spans="5:19" ht="14.25" customHeight="1" x14ac:dyDescent="0.45">
      <c r="E37" s="146">
        <f t="shared" si="0"/>
        <v>46167</v>
      </c>
      <c r="F37" s="59" t="str">
        <f>'GOL O4R2'!C48</f>
        <v/>
      </c>
      <c r="G37" s="39">
        <f>'GOL O4R2'!D48</f>
        <v>13</v>
      </c>
      <c r="H37" s="43" t="str">
        <f>'TERA O4R2'!C48</f>
        <v/>
      </c>
      <c r="I37" s="39">
        <f>'TERA O4R2'!D48</f>
        <v>2</v>
      </c>
      <c r="J37" s="114" t="str">
        <f ca="1">'OPTIMUS O4R2'!C48</f>
        <v/>
      </c>
      <c r="K37" s="114">
        <f ca="1">'OPTIMUS O4R2'!D48</f>
        <v>1</v>
      </c>
      <c r="L37" s="59" t="str">
        <f>'NIVUS O4R2'!C48</f>
        <v/>
      </c>
      <c r="M37" s="39">
        <f>'NIVUS O4R2'!D48</f>
        <v>5</v>
      </c>
      <c r="N37" s="43" t="str">
        <f>'TAOS O4R2'!C48</f>
        <v/>
      </c>
      <c r="O37" s="39" t="str">
        <f>'TAOS O4R2'!D48</f>
        <v/>
      </c>
      <c r="P37" s="114" t="str">
        <f>'FUSCA O4R2'!C48</f>
        <v/>
      </c>
      <c r="Q37" s="114" t="str">
        <f>'FUSCA O4R2'!D48</f>
        <v/>
      </c>
      <c r="R37" s="114" t="str">
        <f>'UP O4R2'!C48</f>
        <v/>
      </c>
      <c r="S37" s="114" t="str">
        <f>'UP O4R2'!D48</f>
        <v/>
      </c>
    </row>
    <row r="38" spans="5:19" ht="14.25" customHeight="1" x14ac:dyDescent="0.45">
      <c r="E38" s="130">
        <f t="shared" si="0"/>
        <v>46174</v>
      </c>
      <c r="F38" s="59" t="str">
        <f>'GOL O4R2'!C49</f>
        <v/>
      </c>
      <c r="G38" s="39">
        <f>'GOL O4R2'!D49</f>
        <v>12</v>
      </c>
      <c r="H38" s="43" t="str">
        <f>'TERA O4R2'!C49</f>
        <v/>
      </c>
      <c r="I38" s="39">
        <f>'TERA O4R2'!D49</f>
        <v>1</v>
      </c>
      <c r="J38" s="114" t="str">
        <f ca="1">'OPTIMUS O4R2'!C49</f>
        <v/>
      </c>
      <c r="K38" s="114">
        <f ca="1">'OPTIMUS O4R2'!D49</f>
        <v>0</v>
      </c>
      <c r="L38" s="59" t="str">
        <f>'NIVUS O4R2'!C49</f>
        <v/>
      </c>
      <c r="M38" s="39">
        <f>'NIVUS O4R2'!D49</f>
        <v>4</v>
      </c>
      <c r="N38" s="43" t="str">
        <f>'TAOS O4R2'!C49</f>
        <v/>
      </c>
      <c r="O38" s="39" t="str">
        <f>'TAOS O4R2'!D49</f>
        <v/>
      </c>
      <c r="P38" s="114" t="str">
        <f>'FUSCA O4R2'!C49</f>
        <v/>
      </c>
      <c r="Q38" s="114" t="str">
        <f>'FUSCA O4R2'!D49</f>
        <v/>
      </c>
      <c r="R38" s="114" t="str">
        <f>'UP O4R2'!C49</f>
        <v/>
      </c>
      <c r="S38" s="114" t="str">
        <f>'UP O4R2'!D49</f>
        <v/>
      </c>
    </row>
    <row r="39" spans="5:19" ht="14.25" customHeight="1" x14ac:dyDescent="0.45">
      <c r="E39" s="130">
        <f t="shared" si="0"/>
        <v>46181</v>
      </c>
      <c r="F39" s="59" t="str">
        <f>'GOL O4R2'!C50</f>
        <v/>
      </c>
      <c r="G39" s="39">
        <f>'GOL O4R2'!D50</f>
        <v>11</v>
      </c>
      <c r="H39" s="43" t="str">
        <f>'TERA O4R2'!C50</f>
        <v/>
      </c>
      <c r="I39" s="39">
        <f>'TERA O4R2'!D50</f>
        <v>0</v>
      </c>
      <c r="J39" s="114" t="str">
        <f ca="1">'OPTIMUS O4R2'!C50</f>
        <v/>
      </c>
      <c r="K39" s="114" t="str">
        <f ca="1">'OPTIMUS O4R2'!D50</f>
        <v/>
      </c>
      <c r="L39" s="59" t="str">
        <f>'NIVUS O4R2'!C50</f>
        <v/>
      </c>
      <c r="M39" s="39">
        <f>'NIVUS O4R2'!D50</f>
        <v>3</v>
      </c>
      <c r="N39" s="43" t="str">
        <f>'TAOS O4R2'!C50</f>
        <v/>
      </c>
      <c r="O39" s="39" t="str">
        <f>'TAOS O4R2'!D50</f>
        <v/>
      </c>
      <c r="P39" s="114" t="str">
        <f>'FUSCA O4R2'!C50</f>
        <v/>
      </c>
      <c r="Q39" s="114" t="str">
        <f>'FUSCA O4R2'!D50</f>
        <v/>
      </c>
      <c r="R39" s="114" t="str">
        <f>'UP O4R2'!C50</f>
        <v/>
      </c>
      <c r="S39" s="114" t="str">
        <f>'UP O4R2'!D50</f>
        <v/>
      </c>
    </row>
    <row r="40" spans="5:19" ht="14.25" customHeight="1" x14ac:dyDescent="0.45">
      <c r="E40" s="130">
        <f t="shared" si="0"/>
        <v>46188</v>
      </c>
      <c r="F40" s="59" t="str">
        <f>'GOL O4R2'!C51</f>
        <v/>
      </c>
      <c r="G40" s="39">
        <f>'GOL O4R2'!D51</f>
        <v>10</v>
      </c>
      <c r="H40" s="43" t="str">
        <f>'TERA O4R2'!C51</f>
        <v/>
      </c>
      <c r="I40" s="39" t="str">
        <f>'TERA O4R2'!D51</f>
        <v/>
      </c>
      <c r="J40" s="114" t="str">
        <f ca="1">'OPTIMUS O4R2'!C51</f>
        <v/>
      </c>
      <c r="K40" s="114" t="str">
        <f ca="1">'OPTIMUS O4R2'!D51</f>
        <v/>
      </c>
      <c r="L40" s="59" t="str">
        <f>'NIVUS O4R2'!C51</f>
        <v/>
      </c>
      <c r="M40" s="39">
        <f>'NIVUS O4R2'!D51</f>
        <v>2</v>
      </c>
      <c r="N40" s="43" t="str">
        <f>'TAOS O4R2'!C51</f>
        <v/>
      </c>
      <c r="O40" s="39" t="str">
        <f>'TAOS O4R2'!D51</f>
        <v/>
      </c>
      <c r="P40" s="114" t="str">
        <f>'FUSCA O4R2'!C51</f>
        <v/>
      </c>
      <c r="Q40" s="114" t="str">
        <f>'FUSCA O4R2'!D51</f>
        <v/>
      </c>
      <c r="R40" s="114" t="str">
        <f>'UP O4R2'!C51</f>
        <v/>
      </c>
      <c r="S40" s="114" t="str">
        <f>'UP O4R2'!D51</f>
        <v/>
      </c>
    </row>
    <row r="41" spans="5:19" ht="14.25" customHeight="1" x14ac:dyDescent="0.45">
      <c r="E41" s="130">
        <f t="shared" si="0"/>
        <v>46195</v>
      </c>
      <c r="F41" s="59" t="str">
        <f>'GOL O4R2'!C52</f>
        <v/>
      </c>
      <c r="G41" s="39">
        <f>'GOL O4R2'!D52</f>
        <v>9</v>
      </c>
      <c r="H41" s="43" t="str">
        <f>'TERA O4R2'!C52</f>
        <v/>
      </c>
      <c r="I41" s="39" t="str">
        <f>'TERA O4R2'!D52</f>
        <v/>
      </c>
      <c r="J41" s="114" t="str">
        <f ca="1">'OPTIMUS O4R2'!C52</f>
        <v/>
      </c>
      <c r="K41" s="114" t="str">
        <f ca="1">'OPTIMUS O4R2'!D52</f>
        <v/>
      </c>
      <c r="L41" s="59" t="str">
        <f>'NIVUS O4R2'!C52</f>
        <v/>
      </c>
      <c r="M41" s="39">
        <f>'NIVUS O4R2'!D52</f>
        <v>1</v>
      </c>
      <c r="N41" s="43" t="str">
        <f>'TAOS O4R2'!C52</f>
        <v/>
      </c>
      <c r="O41" s="39" t="str">
        <f>'TAOS O4R2'!D52</f>
        <v/>
      </c>
      <c r="P41" s="114" t="str">
        <f>'FUSCA O4R2'!C52</f>
        <v/>
      </c>
      <c r="Q41" s="114" t="str">
        <f>'FUSCA O4R2'!D52</f>
        <v/>
      </c>
      <c r="R41" s="114" t="str">
        <f>'UP O4R2'!C52</f>
        <v/>
      </c>
      <c r="S41" s="114" t="str">
        <f>'UP O4R2'!D52</f>
        <v/>
      </c>
    </row>
    <row r="42" spans="5:19" ht="14.25" customHeight="1" x14ac:dyDescent="0.45">
      <c r="E42" s="130">
        <f t="shared" si="0"/>
        <v>46202</v>
      </c>
      <c r="F42" s="59" t="str">
        <f>'GOL O4R2'!C53</f>
        <v/>
      </c>
      <c r="G42" s="39">
        <f>'GOL O4R2'!D53</f>
        <v>8</v>
      </c>
      <c r="H42" s="43" t="str">
        <f>'TERA O4R2'!C53</f>
        <v/>
      </c>
      <c r="I42" s="39" t="str">
        <f>'TERA O4R2'!D53</f>
        <v/>
      </c>
      <c r="J42" s="114" t="str">
        <f ca="1">'OPTIMUS O4R2'!C53</f>
        <v/>
      </c>
      <c r="K42" s="114" t="str">
        <f ca="1">'OPTIMUS O4R2'!D53</f>
        <v/>
      </c>
      <c r="L42" s="59" t="str">
        <f>'NIVUS O4R2'!C53</f>
        <v/>
      </c>
      <c r="M42" s="39">
        <f>'NIVUS O4R2'!D53</f>
        <v>0</v>
      </c>
      <c r="N42" s="43" t="str">
        <f>'TAOS O4R2'!C53</f>
        <v/>
      </c>
      <c r="O42" s="39" t="str">
        <f>'TAOS O4R2'!D53</f>
        <v/>
      </c>
      <c r="P42" s="114" t="str">
        <f>'FUSCA O4R2'!C53</f>
        <v/>
      </c>
      <c r="Q42" s="114" t="str">
        <f>'FUSCA O4R2'!D53</f>
        <v/>
      </c>
      <c r="R42" s="114" t="str">
        <f>'UP O4R2'!C53</f>
        <v/>
      </c>
      <c r="S42" s="114" t="str">
        <f>'UP O4R2'!D53</f>
        <v/>
      </c>
    </row>
    <row r="43" spans="5:19" ht="14.25" customHeight="1" x14ac:dyDescent="0.45">
      <c r="E43" s="130">
        <f t="shared" si="0"/>
        <v>46209</v>
      </c>
      <c r="F43" s="59" t="str">
        <f>'GOL O4R2'!C54</f>
        <v/>
      </c>
      <c r="G43" s="39">
        <f>'GOL O4R2'!D54</f>
        <v>7</v>
      </c>
      <c r="H43" s="43" t="str">
        <f>'TERA O4R2'!C54</f>
        <v/>
      </c>
      <c r="I43" s="39" t="str">
        <f>'TERA O4R2'!D54</f>
        <v/>
      </c>
      <c r="J43" s="114" t="str">
        <f ca="1">'OPTIMUS O4R2'!C54</f>
        <v/>
      </c>
      <c r="K43" s="114" t="str">
        <f ca="1">'OPTIMUS O4R2'!D54</f>
        <v/>
      </c>
      <c r="L43" s="59" t="str">
        <f>'NIVUS O4R2'!C54</f>
        <v/>
      </c>
      <c r="M43" s="39" t="str">
        <f>'NIVUS O4R2'!D54</f>
        <v/>
      </c>
      <c r="N43" s="43" t="str">
        <f>'TAOS O4R2'!C54</f>
        <v/>
      </c>
      <c r="O43" s="39" t="str">
        <f>'TAOS O4R2'!D54</f>
        <v/>
      </c>
      <c r="P43" s="114" t="str">
        <f>'FUSCA O4R2'!C54</f>
        <v/>
      </c>
      <c r="Q43" s="114" t="str">
        <f>'FUSCA O4R2'!D54</f>
        <v/>
      </c>
      <c r="R43" s="114" t="str">
        <f>'UP O4R2'!C54</f>
        <v/>
      </c>
      <c r="S43" s="114" t="str">
        <f>'UP O4R2'!D54</f>
        <v/>
      </c>
    </row>
    <row r="44" spans="5:19" ht="14.25" customHeight="1" x14ac:dyDescent="0.45">
      <c r="E44" s="130">
        <f t="shared" si="0"/>
        <v>46216</v>
      </c>
      <c r="F44" s="59" t="str">
        <f>'GOL O4R2'!C55</f>
        <v/>
      </c>
      <c r="G44" s="39">
        <f>'GOL O4R2'!D55</f>
        <v>6</v>
      </c>
      <c r="H44" s="43" t="str">
        <f>'TERA O4R2'!C55</f>
        <v/>
      </c>
      <c r="I44" s="39" t="str">
        <f>'TERA O4R2'!D55</f>
        <v/>
      </c>
      <c r="J44" s="114" t="str">
        <f ca="1">'OPTIMUS O4R2'!C55</f>
        <v/>
      </c>
      <c r="K44" s="114" t="str">
        <f ca="1">'OPTIMUS O4R2'!D55</f>
        <v/>
      </c>
      <c r="L44" s="59" t="str">
        <f>'NIVUS O4R2'!C55</f>
        <v/>
      </c>
      <c r="M44" s="39" t="str">
        <f>'NIVUS O4R2'!D55</f>
        <v/>
      </c>
      <c r="N44" s="43" t="str">
        <f>'TAOS O4R2'!C55</f>
        <v/>
      </c>
      <c r="O44" s="39" t="str">
        <f>'TAOS O4R2'!D55</f>
        <v/>
      </c>
      <c r="P44" s="114" t="str">
        <f>'FUSCA O4R2'!C55</f>
        <v/>
      </c>
      <c r="Q44" s="114" t="str">
        <f>'FUSCA O4R2'!D55</f>
        <v/>
      </c>
      <c r="R44" s="114" t="str">
        <f>'UP O4R2'!C55</f>
        <v/>
      </c>
      <c r="S44" s="114" t="str">
        <f>'UP O4R2'!D55</f>
        <v/>
      </c>
    </row>
    <row r="45" spans="5:19" ht="14.25" customHeight="1" x14ac:dyDescent="0.45">
      <c r="E45" s="130">
        <f t="shared" si="0"/>
        <v>46223</v>
      </c>
      <c r="F45" s="59" t="str">
        <f>'GOL O4R2'!C56</f>
        <v/>
      </c>
      <c r="G45" s="39">
        <f>'GOL O4R2'!D56</f>
        <v>5</v>
      </c>
      <c r="H45" s="43" t="str">
        <f>'TERA O4R2'!C56</f>
        <v/>
      </c>
      <c r="I45" s="39" t="str">
        <f>'TERA O4R2'!D56</f>
        <v/>
      </c>
      <c r="J45" s="114" t="str">
        <f ca="1">'OPTIMUS O4R2'!C56</f>
        <v/>
      </c>
      <c r="K45" s="114" t="str">
        <f ca="1">'OPTIMUS O4R2'!D56</f>
        <v/>
      </c>
      <c r="L45" s="59" t="str">
        <f>'NIVUS O4R2'!C56</f>
        <v/>
      </c>
      <c r="M45" s="39" t="str">
        <f>'NIVUS O4R2'!D56</f>
        <v/>
      </c>
      <c r="N45" s="43" t="str">
        <f>'TAOS O4R2'!C56</f>
        <v/>
      </c>
      <c r="O45" s="39" t="str">
        <f>'TAOS O4R2'!D56</f>
        <v/>
      </c>
      <c r="P45" s="114" t="str">
        <f>'FUSCA O4R2'!C56</f>
        <v/>
      </c>
      <c r="Q45" s="114" t="str">
        <f>'FUSCA O4R2'!D56</f>
        <v/>
      </c>
      <c r="R45" s="114" t="str">
        <f>'UP O4R2'!C56</f>
        <v/>
      </c>
      <c r="S45" s="114" t="str">
        <f>'UP O4R2'!D56</f>
        <v/>
      </c>
    </row>
    <row r="46" spans="5:19" ht="14.25" customHeight="1" x14ac:dyDescent="0.45">
      <c r="E46" s="130">
        <f t="shared" si="0"/>
        <v>46230</v>
      </c>
      <c r="F46" s="59" t="str">
        <f>'GOL O4R2'!C57</f>
        <v/>
      </c>
      <c r="G46" s="39">
        <f>'GOL O4R2'!D57</f>
        <v>4</v>
      </c>
      <c r="H46" s="43" t="str">
        <f>'TERA O4R2'!C57</f>
        <v/>
      </c>
      <c r="I46" s="39" t="str">
        <f>'TERA O4R2'!D57</f>
        <v/>
      </c>
      <c r="J46" s="114" t="str">
        <f ca="1">'OPTIMUS O4R2'!C57</f>
        <v/>
      </c>
      <c r="K46" s="114" t="str">
        <f ca="1">'OPTIMUS O4R2'!D57</f>
        <v/>
      </c>
      <c r="L46" s="59" t="str">
        <f>'NIVUS O4R2'!C57</f>
        <v/>
      </c>
      <c r="M46" s="39" t="str">
        <f>'NIVUS O4R2'!D57</f>
        <v/>
      </c>
      <c r="N46" s="43" t="str">
        <f>'TAOS O4R2'!C57</f>
        <v/>
      </c>
      <c r="O46" s="39" t="str">
        <f>'TAOS O4R2'!D57</f>
        <v/>
      </c>
      <c r="P46" s="114" t="str">
        <f>'FUSCA O4R2'!C57</f>
        <v/>
      </c>
      <c r="Q46" s="114" t="str">
        <f>'FUSCA O4R2'!D57</f>
        <v/>
      </c>
      <c r="R46" s="114" t="str">
        <f>'UP O4R2'!C57</f>
        <v/>
      </c>
      <c r="S46" s="114" t="str">
        <f>'UP O4R2'!D57</f>
        <v/>
      </c>
    </row>
    <row r="47" spans="5:19" ht="14.25" customHeight="1" x14ac:dyDescent="0.45">
      <c r="E47" s="130">
        <f t="shared" si="0"/>
        <v>46237</v>
      </c>
      <c r="F47" s="59" t="str">
        <f>'GOL O4R2'!C58</f>
        <v/>
      </c>
      <c r="G47" s="39">
        <f>'GOL O4R2'!D58</f>
        <v>3</v>
      </c>
      <c r="H47" s="43" t="str">
        <f>'TERA O4R2'!C58</f>
        <v/>
      </c>
      <c r="I47" s="39" t="str">
        <f>'TERA O4R2'!D58</f>
        <v/>
      </c>
      <c r="J47" s="114" t="str">
        <f ca="1">'OPTIMUS O4R2'!C58</f>
        <v/>
      </c>
      <c r="K47" s="114" t="str">
        <f ca="1">'OPTIMUS O4R2'!D58</f>
        <v/>
      </c>
      <c r="L47" s="59" t="str">
        <f>'NIVUS O4R2'!C58</f>
        <v/>
      </c>
      <c r="M47" s="39" t="str">
        <f>'NIVUS O4R2'!D58</f>
        <v/>
      </c>
      <c r="N47" s="43" t="str">
        <f>'TAOS O4R2'!C58</f>
        <v/>
      </c>
      <c r="O47" s="39" t="str">
        <f>'TAOS O4R2'!D58</f>
        <v/>
      </c>
      <c r="P47" s="114" t="str">
        <f>'FUSCA O4R2'!C58</f>
        <v/>
      </c>
      <c r="Q47" s="114" t="str">
        <f>'FUSCA O4R2'!D58</f>
        <v/>
      </c>
      <c r="R47" s="114" t="str">
        <f>'UP O4R2'!C58</f>
        <v/>
      </c>
      <c r="S47" s="114" t="str">
        <f>'UP O4R2'!D58</f>
        <v/>
      </c>
    </row>
    <row r="48" spans="5:19" ht="14.25" customHeight="1" x14ac:dyDescent="0.45">
      <c r="E48" s="130">
        <f t="shared" si="0"/>
        <v>46244</v>
      </c>
      <c r="F48" s="59" t="str">
        <f>'GOL O4R2'!C59</f>
        <v/>
      </c>
      <c r="G48" s="39">
        <f>'GOL O4R2'!D59</f>
        <v>2</v>
      </c>
      <c r="H48" s="43" t="str">
        <f>'TERA O4R2'!C59</f>
        <v/>
      </c>
      <c r="I48" s="39" t="str">
        <f>'TERA O4R2'!D59</f>
        <v/>
      </c>
      <c r="J48" s="114" t="str">
        <f ca="1">'OPTIMUS O4R2'!C59</f>
        <v/>
      </c>
      <c r="K48" s="114" t="str">
        <f ca="1">'OPTIMUS O4R2'!D59</f>
        <v/>
      </c>
      <c r="L48" s="59" t="str">
        <f>'NIVUS O4R2'!C59</f>
        <v/>
      </c>
      <c r="M48" s="39" t="str">
        <f>'NIVUS O4R2'!D59</f>
        <v/>
      </c>
      <c r="N48" s="43" t="str">
        <f>'TAOS O4R2'!C59</f>
        <v/>
      </c>
      <c r="O48" s="39" t="str">
        <f>'TAOS O4R2'!D59</f>
        <v/>
      </c>
      <c r="P48" s="114" t="str">
        <f>'FUSCA O4R2'!C59</f>
        <v/>
      </c>
      <c r="Q48" s="114" t="str">
        <f>'FUSCA O4R2'!D59</f>
        <v/>
      </c>
      <c r="R48" s="114" t="str">
        <f>'UP O4R2'!C59</f>
        <v/>
      </c>
      <c r="S48" s="114" t="str">
        <f>'UP O4R2'!D59</f>
        <v/>
      </c>
    </row>
    <row r="49" spans="5:19" ht="14.25" customHeight="1" x14ac:dyDescent="0.45">
      <c r="E49" s="130">
        <f t="shared" si="0"/>
        <v>46251</v>
      </c>
      <c r="F49" s="59" t="str">
        <f>'GOL O4R2'!C60</f>
        <v/>
      </c>
      <c r="G49" s="39">
        <f>'GOL O4R2'!D60</f>
        <v>1</v>
      </c>
      <c r="H49" s="43" t="str">
        <f>'TERA O4R2'!C60</f>
        <v/>
      </c>
      <c r="I49" s="39" t="str">
        <f>'TERA O4R2'!D60</f>
        <v/>
      </c>
      <c r="J49" s="114" t="str">
        <f ca="1">'OPTIMUS O4R2'!C60</f>
        <v/>
      </c>
      <c r="K49" s="114" t="str">
        <f ca="1">'OPTIMUS O4R2'!D60</f>
        <v/>
      </c>
      <c r="L49" s="59" t="str">
        <f>'NIVUS O4R2'!C60</f>
        <v/>
      </c>
      <c r="M49" s="39" t="str">
        <f>'NIVUS O4R2'!D60</f>
        <v/>
      </c>
      <c r="N49" s="43" t="str">
        <f>'TAOS O4R2'!C60</f>
        <v/>
      </c>
      <c r="O49" s="39" t="str">
        <f>'TAOS O4R2'!D60</f>
        <v/>
      </c>
      <c r="P49" s="114" t="str">
        <f>'FUSCA O4R2'!C60</f>
        <v/>
      </c>
      <c r="Q49" s="114" t="str">
        <f>'FUSCA O4R2'!D60</f>
        <v/>
      </c>
      <c r="R49" s="114" t="str">
        <f>'UP O4R2'!C60</f>
        <v/>
      </c>
      <c r="S49" s="114" t="str">
        <f>'UP O4R2'!D60</f>
        <v/>
      </c>
    </row>
    <row r="50" spans="5:19" ht="14.25" customHeight="1" x14ac:dyDescent="0.45">
      <c r="E50" s="130">
        <f t="shared" si="0"/>
        <v>46258</v>
      </c>
      <c r="F50" s="59" t="str">
        <f>'GOL O4R2'!C61</f>
        <v/>
      </c>
      <c r="G50" s="39">
        <f>'GOL O4R2'!D61</f>
        <v>0</v>
      </c>
      <c r="H50" s="43" t="str">
        <f>'TERA O4R2'!C61</f>
        <v/>
      </c>
      <c r="I50" s="39" t="str">
        <f>'TERA O4R2'!D61</f>
        <v/>
      </c>
      <c r="J50" s="114" t="str">
        <f ca="1">'OPTIMUS O4R2'!C61</f>
        <v/>
      </c>
      <c r="K50" s="114" t="str">
        <f ca="1">'OPTIMUS O4R2'!D61</f>
        <v/>
      </c>
      <c r="L50" s="59" t="str">
        <f>'NIVUS O4R2'!C61</f>
        <v/>
      </c>
      <c r="M50" s="39" t="str">
        <f>'NIVUS O4R2'!D61</f>
        <v/>
      </c>
      <c r="N50" s="43" t="str">
        <f>'TAOS O4R2'!C61</f>
        <v/>
      </c>
      <c r="O50" s="39" t="str">
        <f>'TAOS O4R2'!D61</f>
        <v/>
      </c>
      <c r="P50" s="114" t="str">
        <f>'FUSCA O4R2'!C61</f>
        <v/>
      </c>
      <c r="Q50" s="114" t="str">
        <f>'FUSCA O4R2'!D61</f>
        <v/>
      </c>
      <c r="R50" s="114" t="str">
        <f>'UP O4R2'!C61</f>
        <v/>
      </c>
      <c r="S50" s="114" t="str">
        <f>'UP O4R2'!D61</f>
        <v/>
      </c>
    </row>
    <row r="51" spans="5:19" ht="14.25" customHeight="1" x14ac:dyDescent="0.45">
      <c r="E51" s="130">
        <f t="shared" si="0"/>
        <v>46265</v>
      </c>
      <c r="F51" s="59" t="str">
        <f>'GOL O4R2'!C62</f>
        <v/>
      </c>
      <c r="G51" s="39" t="str">
        <f>'GOL O4R2'!D62</f>
        <v/>
      </c>
      <c r="H51" s="43" t="str">
        <f>'TERA O4R2'!C62</f>
        <v/>
      </c>
      <c r="I51" s="39" t="str">
        <f>'TERA O4R2'!D62</f>
        <v/>
      </c>
      <c r="J51" s="114" t="str">
        <f ca="1">'OPTIMUS O4R2'!C62</f>
        <v/>
      </c>
      <c r="K51" s="114" t="str">
        <f ca="1">'OPTIMUS O4R2'!D62</f>
        <v/>
      </c>
      <c r="L51" s="59" t="str">
        <f>'NIVUS O4R2'!C62</f>
        <v/>
      </c>
      <c r="M51" s="39" t="str">
        <f>'NIVUS O4R2'!D62</f>
        <v/>
      </c>
      <c r="N51" s="43" t="str">
        <f>'TAOS O4R2'!C62</f>
        <v/>
      </c>
      <c r="O51" s="39" t="str">
        <f>'TAOS O4R2'!D62</f>
        <v/>
      </c>
      <c r="P51" s="114" t="str">
        <f>'FUSCA O4R2'!C62</f>
        <v/>
      </c>
      <c r="Q51" s="114" t="str">
        <f>'FUSCA O4R2'!D62</f>
        <v/>
      </c>
      <c r="R51" s="114" t="str">
        <f>'UP O4R2'!C62</f>
        <v/>
      </c>
      <c r="S51" s="114" t="str">
        <f>'UP O4R2'!D62</f>
        <v/>
      </c>
    </row>
    <row r="52" spans="5:19" ht="14.25" customHeight="1" x14ac:dyDescent="0.45">
      <c r="E52" s="130">
        <f t="shared" si="0"/>
        <v>46272</v>
      </c>
      <c r="F52" s="59" t="str">
        <f>'GOL O4R2'!C63</f>
        <v/>
      </c>
      <c r="G52" s="39" t="str">
        <f>'GOL O4R2'!D63</f>
        <v/>
      </c>
      <c r="H52" s="43" t="str">
        <f>'TERA O4R2'!C63</f>
        <v/>
      </c>
      <c r="I52" s="39" t="str">
        <f>'TERA O4R2'!D63</f>
        <v/>
      </c>
      <c r="J52" s="114" t="str">
        <f ca="1">'OPTIMUS O4R2'!C63</f>
        <v/>
      </c>
      <c r="K52" s="114" t="str">
        <f ca="1">'OPTIMUS O4R2'!D63</f>
        <v/>
      </c>
      <c r="L52" s="59" t="str">
        <f>'NIVUS O4R2'!C63</f>
        <v/>
      </c>
      <c r="M52" s="39" t="str">
        <f>'NIVUS O4R2'!D63</f>
        <v/>
      </c>
      <c r="N52" s="43" t="str">
        <f>'TAOS O4R2'!C63</f>
        <v/>
      </c>
      <c r="O52" s="39" t="str">
        <f>'TAOS O4R2'!D63</f>
        <v/>
      </c>
      <c r="P52" s="114" t="str">
        <f>'FUSCA O4R2'!C63</f>
        <v/>
      </c>
      <c r="Q52" s="114" t="str">
        <f>'FUSCA O4R2'!D63</f>
        <v/>
      </c>
      <c r="R52" s="114" t="str">
        <f>'UP O4R2'!C63</f>
        <v/>
      </c>
      <c r="S52" s="114" t="str">
        <f>'UP O4R2'!D63</f>
        <v/>
      </c>
    </row>
    <row r="53" spans="5:19" ht="14.25" customHeight="1" x14ac:dyDescent="0.45">
      <c r="E53" s="130">
        <f t="shared" si="0"/>
        <v>46279</v>
      </c>
      <c r="F53" s="59" t="str">
        <f>'GOL O4R2'!C64</f>
        <v/>
      </c>
      <c r="G53" s="39" t="str">
        <f>'GOL O4R2'!D64</f>
        <v/>
      </c>
      <c r="H53" s="43" t="str">
        <f>'TERA O4R2'!C64</f>
        <v/>
      </c>
      <c r="I53" s="39" t="str">
        <f>'TERA O4R2'!D64</f>
        <v/>
      </c>
      <c r="J53" s="114" t="str">
        <f ca="1">'OPTIMUS O4R2'!C64</f>
        <v/>
      </c>
      <c r="K53" s="114" t="str">
        <f ca="1">'OPTIMUS O4R2'!D64</f>
        <v/>
      </c>
      <c r="L53" s="59" t="str">
        <f>'NIVUS O4R2'!C64</f>
        <v/>
      </c>
      <c r="M53" s="39" t="str">
        <f>'NIVUS O4R2'!D64</f>
        <v/>
      </c>
      <c r="N53" s="43" t="str">
        <f>'TAOS O4R2'!C64</f>
        <v/>
      </c>
      <c r="O53" s="39" t="str">
        <f>'TAOS O4R2'!D64</f>
        <v/>
      </c>
      <c r="P53" s="114" t="str">
        <f>'FUSCA O4R2'!C64</f>
        <v/>
      </c>
      <c r="Q53" s="114" t="str">
        <f>'FUSCA O4R2'!D64</f>
        <v/>
      </c>
      <c r="R53" s="114" t="str">
        <f>'UP O4R2'!C64</f>
        <v/>
      </c>
      <c r="S53" s="114" t="str">
        <f>'UP O4R2'!D64</f>
        <v/>
      </c>
    </row>
    <row r="54" spans="5:19" ht="14.25" customHeight="1" x14ac:dyDescent="0.45">
      <c r="E54" s="130">
        <f t="shared" si="0"/>
        <v>46286</v>
      </c>
      <c r="F54" s="59" t="str">
        <f>'GOL O4R2'!C65</f>
        <v/>
      </c>
      <c r="G54" s="39" t="str">
        <f>'GOL O4R2'!D65</f>
        <v/>
      </c>
      <c r="H54" s="43" t="str">
        <f>'TERA O4R2'!C65</f>
        <v/>
      </c>
      <c r="I54" s="39" t="str">
        <f>'TERA O4R2'!D65</f>
        <v/>
      </c>
      <c r="J54" s="114" t="str">
        <f ca="1">'OPTIMUS O4R2'!C65</f>
        <v/>
      </c>
      <c r="K54" s="114" t="str">
        <f ca="1">'OPTIMUS O4R2'!D65</f>
        <v/>
      </c>
      <c r="L54" s="59" t="str">
        <f>'NIVUS O4R2'!C65</f>
        <v/>
      </c>
      <c r="M54" s="39" t="str">
        <f>'NIVUS O4R2'!D65</f>
        <v/>
      </c>
      <c r="N54" s="43" t="str">
        <f>'TAOS O4R2'!C65</f>
        <v/>
      </c>
      <c r="O54" s="39" t="str">
        <f>'TAOS O4R2'!D65</f>
        <v/>
      </c>
      <c r="P54" s="114" t="str">
        <f>'FUSCA O4R2'!C65</f>
        <v/>
      </c>
      <c r="Q54" s="114" t="str">
        <f>'FUSCA O4R2'!D65</f>
        <v/>
      </c>
      <c r="R54" s="114" t="str">
        <f>'UP O4R2'!C65</f>
        <v/>
      </c>
      <c r="S54" s="114" t="str">
        <f>'UP O4R2'!D65</f>
        <v/>
      </c>
    </row>
    <row r="55" spans="5:19" ht="15" customHeight="1" x14ac:dyDescent="0.45">
      <c r="E55" s="130">
        <f t="shared" si="0"/>
        <v>46293</v>
      </c>
      <c r="F55" s="59" t="str">
        <f>'GOL O4R2'!C66</f>
        <v/>
      </c>
      <c r="G55" s="39" t="str">
        <f>'GOL O4R2'!D66</f>
        <v/>
      </c>
      <c r="H55" s="43" t="str">
        <f>'TERA O4R2'!C66</f>
        <v/>
      </c>
      <c r="I55" s="39" t="str">
        <f>'TERA O4R2'!D66</f>
        <v/>
      </c>
      <c r="J55" s="114" t="str">
        <f ca="1">'OPTIMUS O4R2'!C66</f>
        <v/>
      </c>
      <c r="K55" s="114" t="str">
        <f ca="1">'OPTIMUS O4R2'!D66</f>
        <v/>
      </c>
      <c r="L55" s="59" t="str">
        <f>'NIVUS O4R2'!C66</f>
        <v/>
      </c>
      <c r="M55" s="39" t="str">
        <f>'NIVUS O4R2'!D66</f>
        <v/>
      </c>
      <c r="N55" s="43" t="str">
        <f>'TAOS O4R2'!C66</f>
        <v/>
      </c>
      <c r="O55" s="39" t="str">
        <f>'TAOS O4R2'!D66</f>
        <v/>
      </c>
      <c r="P55" s="114" t="str">
        <f>'FUSCA O4R2'!C66</f>
        <v/>
      </c>
      <c r="Q55" s="114" t="str">
        <f>'FUSCA O4R2'!D66</f>
        <v/>
      </c>
      <c r="R55" s="114" t="str">
        <f>'UP O4R2'!C66</f>
        <v/>
      </c>
      <c r="S55" s="114" t="str">
        <f>'UP O4R2'!D66</f>
        <v/>
      </c>
    </row>
    <row r="56" spans="5:19" ht="15" customHeight="1" x14ac:dyDescent="0.45">
      <c r="E56" s="130">
        <f t="shared" si="0"/>
        <v>46300</v>
      </c>
      <c r="F56" s="59" t="str">
        <f>'GOL O4R2'!C67</f>
        <v/>
      </c>
      <c r="G56" s="39" t="str">
        <f>'GOL O4R2'!D67</f>
        <v/>
      </c>
      <c r="H56" s="43" t="str">
        <f>'TERA O4R2'!C67</f>
        <v/>
      </c>
      <c r="I56" s="39" t="str">
        <f>'TERA O4R2'!D67</f>
        <v/>
      </c>
      <c r="J56" s="114" t="str">
        <f ca="1">'OPTIMUS O4R2'!C67</f>
        <v/>
      </c>
      <c r="K56" s="114" t="str">
        <f ca="1">'OPTIMUS O4R2'!D67</f>
        <v/>
      </c>
      <c r="L56" s="59" t="str">
        <f>'NIVUS O4R2'!C67</f>
        <v/>
      </c>
      <c r="M56" s="39" t="str">
        <f>'NIVUS O4R2'!D67</f>
        <v/>
      </c>
      <c r="N56" s="43" t="str">
        <f>'TAOS O4R2'!C67</f>
        <v/>
      </c>
      <c r="O56" s="39" t="str">
        <f>'TAOS O4R2'!D67</f>
        <v/>
      </c>
      <c r="P56" s="114" t="str">
        <f>'FUSCA O4R2'!C67</f>
        <v/>
      </c>
      <c r="Q56" s="114" t="str">
        <f>'FUSCA O4R2'!D67</f>
        <v/>
      </c>
      <c r="R56" s="114" t="str">
        <f>'UP O4R2'!C67</f>
        <v/>
      </c>
      <c r="S56" s="114" t="str">
        <f>'UP O4R2'!D67</f>
        <v/>
      </c>
    </row>
    <row r="57" spans="5:19" ht="15" customHeight="1" x14ac:dyDescent="0.45">
      <c r="E57" s="130">
        <f t="shared" si="0"/>
        <v>46307</v>
      </c>
      <c r="F57" s="59" t="str">
        <f>'GOL O4R2'!C68</f>
        <v/>
      </c>
      <c r="G57" s="39" t="str">
        <f>'GOL O4R2'!D68</f>
        <v/>
      </c>
      <c r="H57" s="43" t="str">
        <f>'TERA O4R2'!C68</f>
        <v/>
      </c>
      <c r="I57" s="39" t="str">
        <f>'TERA O4R2'!D68</f>
        <v/>
      </c>
      <c r="J57" s="114" t="str">
        <f ca="1">'OPTIMUS O4R2'!C68</f>
        <v/>
      </c>
      <c r="K57" s="114" t="str">
        <f ca="1">'OPTIMUS O4R2'!D68</f>
        <v/>
      </c>
      <c r="L57" s="59" t="str">
        <f>'NIVUS O4R2'!C68</f>
        <v/>
      </c>
      <c r="M57" s="39" t="str">
        <f>'NIVUS O4R2'!D68</f>
        <v/>
      </c>
      <c r="N57" s="43" t="str">
        <f>'TAOS O4R2'!C68</f>
        <v/>
      </c>
      <c r="O57" s="39" t="str">
        <f>'TAOS O4R2'!D68</f>
        <v/>
      </c>
      <c r="P57" s="114" t="str">
        <f>'FUSCA O4R2'!C68</f>
        <v/>
      </c>
      <c r="Q57" s="114" t="str">
        <f>'FUSCA O4R2'!D68</f>
        <v/>
      </c>
      <c r="R57" s="114" t="str">
        <f>'UP O4R2'!C68</f>
        <v/>
      </c>
      <c r="S57" s="114" t="str">
        <f>'UP O4R2'!D68</f>
        <v/>
      </c>
    </row>
    <row r="58" spans="5:19" ht="15.75" customHeight="1" x14ac:dyDescent="0.45">
      <c r="F58" s="76"/>
    </row>
    <row r="59" spans="5:19" ht="15.75" customHeight="1" x14ac:dyDescent="0.45">
      <c r="F59" s="76"/>
    </row>
    <row r="60" spans="5:19" ht="15.75" customHeight="1" x14ac:dyDescent="0.45">
      <c r="F60" s="76"/>
    </row>
    <row r="61" spans="5:19" ht="15.75" customHeight="1" x14ac:dyDescent="0.45">
      <c r="F61" s="76"/>
    </row>
    <row r="62" spans="5:19" ht="15.75" customHeight="1" x14ac:dyDescent="0.45">
      <c r="F62" s="76"/>
    </row>
    <row r="63" spans="5:19" ht="15.75" customHeight="1" x14ac:dyDescent="0.45">
      <c r="F63" s="76"/>
    </row>
    <row r="64" spans="5:19" ht="15.75" customHeight="1" x14ac:dyDescent="0.45">
      <c r="F64" s="76"/>
    </row>
    <row r="65" spans="6:6" ht="15.75" customHeight="1" x14ac:dyDescent="0.45">
      <c r="F65" s="76"/>
    </row>
    <row r="66" spans="6:6" ht="15.75" customHeight="1" x14ac:dyDescent="0.45">
      <c r="F66" s="76"/>
    </row>
    <row r="67" spans="6:6" ht="15.75" customHeight="1" x14ac:dyDescent="0.45">
      <c r="F67" s="76"/>
    </row>
    <row r="68" spans="6:6" ht="15.75" customHeight="1" x14ac:dyDescent="0.45">
      <c r="F68" s="76"/>
    </row>
    <row r="69" spans="6:6" ht="15.75" customHeight="1" x14ac:dyDescent="0.45">
      <c r="F69" s="76"/>
    </row>
    <row r="70" spans="6:6" ht="15.75" customHeight="1" x14ac:dyDescent="0.45">
      <c r="F70" s="76"/>
    </row>
    <row r="71" spans="6:6" ht="15.75" customHeight="1" x14ac:dyDescent="0.45">
      <c r="F71" s="76"/>
    </row>
    <row r="72" spans="6:6" ht="15.75" customHeight="1" x14ac:dyDescent="0.45">
      <c r="F72" s="76"/>
    </row>
    <row r="73" spans="6:6" ht="15.75" customHeight="1" x14ac:dyDescent="0.45">
      <c r="F73" s="76"/>
    </row>
    <row r="74" spans="6:6" ht="15.75" customHeight="1" x14ac:dyDescent="0.45">
      <c r="F74" s="76"/>
    </row>
    <row r="75" spans="6:6" ht="15.75" customHeight="1" x14ac:dyDescent="0.45">
      <c r="F75" s="76"/>
    </row>
    <row r="76" spans="6:6" ht="15.75" customHeight="1" x14ac:dyDescent="0.45">
      <c r="F76" s="76"/>
    </row>
    <row r="77" spans="6:6" ht="15.75" customHeight="1" x14ac:dyDescent="0.45">
      <c r="F77" s="76"/>
    </row>
    <row r="78" spans="6:6" ht="15.75" customHeight="1" x14ac:dyDescent="0.45">
      <c r="F78" s="76"/>
    </row>
    <row r="79" spans="6:6" ht="15.75" customHeight="1" x14ac:dyDescent="0.45">
      <c r="F79" s="76"/>
    </row>
    <row r="80" spans="6:6" ht="15.75" customHeight="1" x14ac:dyDescent="0.45">
      <c r="F80" s="76"/>
    </row>
    <row r="81" spans="6:6" ht="15.75" customHeight="1" x14ac:dyDescent="0.45">
      <c r="F81" s="76"/>
    </row>
    <row r="82" spans="6:6" ht="15.75" customHeight="1" x14ac:dyDescent="0.45">
      <c r="F82" s="76"/>
    </row>
    <row r="83" spans="6:6" ht="15.75" customHeight="1" x14ac:dyDescent="0.45">
      <c r="F83" s="76"/>
    </row>
    <row r="84" spans="6:6" ht="15.75" customHeight="1" x14ac:dyDescent="0.45">
      <c r="F84" s="76"/>
    </row>
    <row r="85" spans="6:6" ht="15.75" customHeight="1" x14ac:dyDescent="0.45">
      <c r="F85" s="76"/>
    </row>
    <row r="86" spans="6:6" ht="15.75" customHeight="1" x14ac:dyDescent="0.45">
      <c r="F86" s="76"/>
    </row>
    <row r="87" spans="6:6" ht="15.75" customHeight="1" x14ac:dyDescent="0.45">
      <c r="F87" s="76"/>
    </row>
    <row r="88" spans="6:6" ht="15.75" customHeight="1" x14ac:dyDescent="0.45">
      <c r="F88" s="76"/>
    </row>
    <row r="89" spans="6:6" ht="15.75" customHeight="1" x14ac:dyDescent="0.45">
      <c r="F89" s="76"/>
    </row>
    <row r="90" spans="6:6" ht="15.75" customHeight="1" x14ac:dyDescent="0.45">
      <c r="F90" s="76"/>
    </row>
    <row r="91" spans="6:6" ht="15.75" customHeight="1" x14ac:dyDescent="0.45">
      <c r="F91" s="76"/>
    </row>
    <row r="92" spans="6:6" ht="15.75" customHeight="1" x14ac:dyDescent="0.45">
      <c r="F92" s="76"/>
    </row>
    <row r="93" spans="6:6" ht="15.75" customHeight="1" x14ac:dyDescent="0.45">
      <c r="F93" s="76"/>
    </row>
    <row r="94" spans="6:6" ht="15.75" customHeight="1" x14ac:dyDescent="0.45">
      <c r="F94" s="76"/>
    </row>
    <row r="95" spans="6:6" ht="15.75" customHeight="1" x14ac:dyDescent="0.45">
      <c r="F95" s="76"/>
    </row>
    <row r="96" spans="6:6" ht="15.75" customHeight="1" x14ac:dyDescent="0.45">
      <c r="F96" s="76"/>
    </row>
    <row r="97" spans="6:6" ht="15.75" customHeight="1" x14ac:dyDescent="0.45">
      <c r="F97" s="76"/>
    </row>
    <row r="98" spans="6:6" ht="15.75" customHeight="1" x14ac:dyDescent="0.45">
      <c r="F98" s="76"/>
    </row>
    <row r="99" spans="6:6" ht="15.75" customHeight="1" x14ac:dyDescent="0.45">
      <c r="F99" s="76"/>
    </row>
    <row r="100" spans="6:6" ht="15.75" customHeight="1" x14ac:dyDescent="0.45">
      <c r="F100" s="76"/>
    </row>
    <row r="101" spans="6:6" ht="15.75" customHeight="1" x14ac:dyDescent="0.45">
      <c r="F101" s="76"/>
    </row>
    <row r="102" spans="6:6" ht="15.75" customHeight="1" x14ac:dyDescent="0.45">
      <c r="F102" s="76"/>
    </row>
    <row r="103" spans="6:6" ht="15.75" customHeight="1" x14ac:dyDescent="0.45">
      <c r="F103" s="76"/>
    </row>
    <row r="104" spans="6:6" ht="15.75" customHeight="1" x14ac:dyDescent="0.45">
      <c r="F104" s="76"/>
    </row>
    <row r="105" spans="6:6" ht="15.75" customHeight="1" x14ac:dyDescent="0.45">
      <c r="F105" s="76"/>
    </row>
    <row r="106" spans="6:6" ht="15.75" customHeight="1" x14ac:dyDescent="0.45">
      <c r="F106" s="76"/>
    </row>
    <row r="107" spans="6:6" ht="15.75" customHeight="1" x14ac:dyDescent="0.45">
      <c r="F107" s="76"/>
    </row>
    <row r="108" spans="6:6" ht="15.75" customHeight="1" x14ac:dyDescent="0.45">
      <c r="F108" s="76"/>
    </row>
    <row r="109" spans="6:6" ht="15.75" customHeight="1" x14ac:dyDescent="0.45">
      <c r="F109" s="76"/>
    </row>
    <row r="110" spans="6:6" ht="15.75" customHeight="1" x14ac:dyDescent="0.45">
      <c r="F110" s="76"/>
    </row>
    <row r="111" spans="6:6" ht="15.75" customHeight="1" x14ac:dyDescent="0.45">
      <c r="F111" s="76"/>
    </row>
    <row r="112" spans="6:6" ht="15.75" customHeight="1" x14ac:dyDescent="0.45">
      <c r="F112" s="76"/>
    </row>
    <row r="113" spans="6:6" ht="15.75" customHeight="1" x14ac:dyDescent="0.45">
      <c r="F113" s="76"/>
    </row>
    <row r="114" spans="6:6" ht="15.75" customHeight="1" x14ac:dyDescent="0.45">
      <c r="F114" s="76"/>
    </row>
    <row r="115" spans="6:6" ht="15.75" customHeight="1" x14ac:dyDescent="0.45">
      <c r="F115" s="76"/>
    </row>
    <row r="116" spans="6:6" ht="15.75" customHeight="1" x14ac:dyDescent="0.45">
      <c r="F116" s="76"/>
    </row>
    <row r="117" spans="6:6" ht="15.75" customHeight="1" x14ac:dyDescent="0.45">
      <c r="F117" s="76"/>
    </row>
    <row r="118" spans="6:6" ht="15.75" customHeight="1" x14ac:dyDescent="0.45">
      <c r="F118" s="76"/>
    </row>
    <row r="119" spans="6:6" ht="15.75" customHeight="1" x14ac:dyDescent="0.45">
      <c r="F119" s="76"/>
    </row>
    <row r="120" spans="6:6" ht="15.75" customHeight="1" x14ac:dyDescent="0.45">
      <c r="F120" s="76"/>
    </row>
    <row r="121" spans="6:6" ht="15.75" customHeight="1" x14ac:dyDescent="0.45">
      <c r="F121" s="76"/>
    </row>
    <row r="122" spans="6:6" ht="15.75" customHeight="1" x14ac:dyDescent="0.45">
      <c r="F122" s="76"/>
    </row>
    <row r="123" spans="6:6" ht="15.75" customHeight="1" x14ac:dyDescent="0.45">
      <c r="F123" s="76"/>
    </row>
    <row r="124" spans="6:6" ht="15.75" customHeight="1" x14ac:dyDescent="0.45">
      <c r="F124" s="76"/>
    </row>
    <row r="125" spans="6:6" ht="15.75" customHeight="1" x14ac:dyDescent="0.45">
      <c r="F125" s="76"/>
    </row>
    <row r="126" spans="6:6" ht="15.75" customHeight="1" x14ac:dyDescent="0.45">
      <c r="F126" s="76"/>
    </row>
    <row r="127" spans="6:6" ht="15.75" customHeight="1" x14ac:dyDescent="0.45">
      <c r="F127" s="76"/>
    </row>
    <row r="128" spans="6:6" ht="15.75" customHeight="1" x14ac:dyDescent="0.45">
      <c r="F128" s="76"/>
    </row>
    <row r="129" spans="6:6" ht="15.75" customHeight="1" x14ac:dyDescent="0.45">
      <c r="F129" s="76"/>
    </row>
    <row r="130" spans="6:6" ht="15.75" customHeight="1" x14ac:dyDescent="0.45">
      <c r="F130" s="76"/>
    </row>
    <row r="131" spans="6:6" ht="15.75" customHeight="1" x14ac:dyDescent="0.45">
      <c r="F131" s="76"/>
    </row>
    <row r="132" spans="6:6" ht="15.75" customHeight="1" x14ac:dyDescent="0.45">
      <c r="F132" s="76"/>
    </row>
    <row r="133" spans="6:6" ht="15.75" customHeight="1" x14ac:dyDescent="0.45">
      <c r="F133" s="76"/>
    </row>
    <row r="134" spans="6:6" ht="15.75" customHeight="1" x14ac:dyDescent="0.45">
      <c r="F134" s="76"/>
    </row>
    <row r="135" spans="6:6" ht="15.75" customHeight="1" x14ac:dyDescent="0.45">
      <c r="F135" s="76"/>
    </row>
    <row r="136" spans="6:6" ht="15.75" customHeight="1" x14ac:dyDescent="0.45">
      <c r="F136" s="76"/>
    </row>
    <row r="137" spans="6:6" ht="15.75" customHeight="1" x14ac:dyDescent="0.45">
      <c r="F137" s="76"/>
    </row>
    <row r="138" spans="6:6" ht="15.75" customHeight="1" x14ac:dyDescent="0.45">
      <c r="F138" s="76"/>
    </row>
    <row r="139" spans="6:6" ht="15.75" customHeight="1" x14ac:dyDescent="0.45">
      <c r="F139" s="76"/>
    </row>
    <row r="140" spans="6:6" ht="15.75" customHeight="1" x14ac:dyDescent="0.45">
      <c r="F140" s="76"/>
    </row>
    <row r="141" spans="6:6" ht="15.75" customHeight="1" x14ac:dyDescent="0.45">
      <c r="F141" s="76"/>
    </row>
    <row r="142" spans="6:6" ht="15.75" customHeight="1" x14ac:dyDescent="0.45">
      <c r="F142" s="76"/>
    </row>
    <row r="143" spans="6:6" ht="15.75" customHeight="1" x14ac:dyDescent="0.45">
      <c r="F143" s="76"/>
    </row>
    <row r="144" spans="6:6" ht="15.75" customHeight="1" x14ac:dyDescent="0.45">
      <c r="F144" s="76"/>
    </row>
    <row r="145" spans="6:6" ht="15.75" customHeight="1" x14ac:dyDescent="0.45">
      <c r="F145" s="76"/>
    </row>
    <row r="146" spans="6:6" ht="15.75" customHeight="1" x14ac:dyDescent="0.45">
      <c r="F146" s="76"/>
    </row>
    <row r="147" spans="6:6" ht="15.75" customHeight="1" x14ac:dyDescent="0.45">
      <c r="F147" s="76"/>
    </row>
    <row r="148" spans="6:6" ht="15.75" customHeight="1" x14ac:dyDescent="0.45">
      <c r="F148" s="76"/>
    </row>
    <row r="149" spans="6:6" ht="15.75" customHeight="1" x14ac:dyDescent="0.45">
      <c r="F149" s="76"/>
    </row>
    <row r="150" spans="6:6" ht="15.75" customHeight="1" x14ac:dyDescent="0.45">
      <c r="F150" s="76"/>
    </row>
    <row r="151" spans="6:6" ht="15.75" customHeight="1" x14ac:dyDescent="0.45">
      <c r="F151" s="76"/>
    </row>
    <row r="152" spans="6:6" ht="15.75" customHeight="1" x14ac:dyDescent="0.45">
      <c r="F152" s="76"/>
    </row>
    <row r="153" spans="6:6" ht="15.75" customHeight="1" x14ac:dyDescent="0.45">
      <c r="F153" s="76"/>
    </row>
    <row r="154" spans="6:6" ht="15.75" customHeight="1" x14ac:dyDescent="0.45">
      <c r="F154" s="76"/>
    </row>
    <row r="155" spans="6:6" ht="15.75" customHeight="1" x14ac:dyDescent="0.45">
      <c r="F155" s="76"/>
    </row>
    <row r="156" spans="6:6" ht="15.75" customHeight="1" x14ac:dyDescent="0.45">
      <c r="F156" s="76"/>
    </row>
    <row r="157" spans="6:6" ht="15.75" customHeight="1" x14ac:dyDescent="0.45">
      <c r="F157" s="76"/>
    </row>
    <row r="158" spans="6:6" ht="15.75" customHeight="1" x14ac:dyDescent="0.45">
      <c r="F158" s="76"/>
    </row>
    <row r="159" spans="6:6" ht="15.75" customHeight="1" x14ac:dyDescent="0.45">
      <c r="F159" s="76"/>
    </row>
    <row r="160" spans="6:6" ht="15.75" customHeight="1" x14ac:dyDescent="0.45">
      <c r="F160" s="76"/>
    </row>
    <row r="161" spans="6:6" ht="15.75" customHeight="1" x14ac:dyDescent="0.45">
      <c r="F161" s="76"/>
    </row>
    <row r="162" spans="6:6" ht="15.75" customHeight="1" x14ac:dyDescent="0.45">
      <c r="F162" s="76"/>
    </row>
    <row r="163" spans="6:6" ht="15.75" customHeight="1" x14ac:dyDescent="0.45">
      <c r="F163" s="76"/>
    </row>
    <row r="164" spans="6:6" ht="15.75" customHeight="1" x14ac:dyDescent="0.45">
      <c r="F164" s="76"/>
    </row>
    <row r="165" spans="6:6" ht="15.75" customHeight="1" x14ac:dyDescent="0.45">
      <c r="F165" s="76"/>
    </row>
    <row r="166" spans="6:6" ht="15.75" customHeight="1" x14ac:dyDescent="0.45">
      <c r="F166" s="76"/>
    </row>
    <row r="167" spans="6:6" ht="15.75" customHeight="1" x14ac:dyDescent="0.45">
      <c r="F167" s="76"/>
    </row>
    <row r="168" spans="6:6" ht="15.75" customHeight="1" x14ac:dyDescent="0.45">
      <c r="F168" s="76"/>
    </row>
    <row r="169" spans="6:6" ht="15.75" customHeight="1" x14ac:dyDescent="0.45">
      <c r="F169" s="76"/>
    </row>
    <row r="170" spans="6:6" ht="15.75" customHeight="1" x14ac:dyDescent="0.45">
      <c r="F170" s="76"/>
    </row>
    <row r="171" spans="6:6" ht="15.75" customHeight="1" x14ac:dyDescent="0.45">
      <c r="F171" s="76"/>
    </row>
    <row r="172" spans="6:6" ht="15.75" customHeight="1" x14ac:dyDescent="0.45">
      <c r="F172" s="76"/>
    </row>
    <row r="173" spans="6:6" ht="15.75" customHeight="1" x14ac:dyDescent="0.45">
      <c r="F173" s="76"/>
    </row>
    <row r="174" spans="6:6" ht="15.75" customHeight="1" x14ac:dyDescent="0.45">
      <c r="F174" s="76"/>
    </row>
    <row r="175" spans="6:6" ht="15.75" customHeight="1" x14ac:dyDescent="0.45">
      <c r="F175" s="76"/>
    </row>
    <row r="176" spans="6:6" ht="15.75" customHeight="1" x14ac:dyDescent="0.45">
      <c r="F176" s="76"/>
    </row>
    <row r="177" spans="6:6" ht="15.75" customHeight="1" x14ac:dyDescent="0.45">
      <c r="F177" s="76"/>
    </row>
    <row r="178" spans="6:6" ht="15.75" customHeight="1" x14ac:dyDescent="0.45">
      <c r="F178" s="76"/>
    </row>
    <row r="179" spans="6:6" ht="15.75" customHeight="1" x14ac:dyDescent="0.45">
      <c r="F179" s="76"/>
    </row>
    <row r="180" spans="6:6" ht="15.75" customHeight="1" x14ac:dyDescent="0.45">
      <c r="F180" s="76"/>
    </row>
    <row r="181" spans="6:6" ht="15.75" customHeight="1" x14ac:dyDescent="0.45">
      <c r="F181" s="76"/>
    </row>
    <row r="182" spans="6:6" ht="15.75" customHeight="1" x14ac:dyDescent="0.45">
      <c r="F182" s="76"/>
    </row>
    <row r="183" spans="6:6" ht="15.75" customHeight="1" x14ac:dyDescent="0.45">
      <c r="F183" s="76"/>
    </row>
    <row r="184" spans="6:6" ht="15.75" customHeight="1" x14ac:dyDescent="0.45">
      <c r="F184" s="76"/>
    </row>
    <row r="185" spans="6:6" ht="15.75" customHeight="1" x14ac:dyDescent="0.45">
      <c r="F185" s="76"/>
    </row>
    <row r="186" spans="6:6" ht="15.75" customHeight="1" x14ac:dyDescent="0.45">
      <c r="F186" s="76"/>
    </row>
    <row r="187" spans="6:6" ht="15.75" customHeight="1" x14ac:dyDescent="0.45">
      <c r="F187" s="76"/>
    </row>
    <row r="188" spans="6:6" ht="15.75" customHeight="1" x14ac:dyDescent="0.45">
      <c r="F188" s="76"/>
    </row>
    <row r="189" spans="6:6" ht="15.75" customHeight="1" x14ac:dyDescent="0.45">
      <c r="F189" s="76"/>
    </row>
    <row r="190" spans="6:6" ht="15.75" customHeight="1" x14ac:dyDescent="0.45">
      <c r="F190" s="76"/>
    </row>
    <row r="191" spans="6:6" ht="15.75" customHeight="1" x14ac:dyDescent="0.45">
      <c r="F191" s="76"/>
    </row>
    <row r="192" spans="6:6" ht="15.75" customHeight="1" x14ac:dyDescent="0.45">
      <c r="F192" s="76"/>
    </row>
    <row r="193" spans="6:6" ht="15.75" customHeight="1" x14ac:dyDescent="0.45">
      <c r="F193" s="76"/>
    </row>
    <row r="194" spans="6:6" ht="15.75" customHeight="1" x14ac:dyDescent="0.45">
      <c r="F194" s="76"/>
    </row>
    <row r="195" spans="6:6" ht="15.75" customHeight="1" x14ac:dyDescent="0.45">
      <c r="F195" s="76"/>
    </row>
    <row r="196" spans="6:6" ht="15.75" customHeight="1" x14ac:dyDescent="0.45">
      <c r="F196" s="76"/>
    </row>
    <row r="197" spans="6:6" ht="15.75" customHeight="1" x14ac:dyDescent="0.45">
      <c r="F197" s="76"/>
    </row>
    <row r="198" spans="6:6" ht="15.75" customHeight="1" x14ac:dyDescent="0.45">
      <c r="F198" s="76"/>
    </row>
    <row r="199" spans="6:6" ht="15.75" customHeight="1" x14ac:dyDescent="0.45">
      <c r="F199" s="76"/>
    </row>
    <row r="200" spans="6:6" ht="15.75" customHeight="1" x14ac:dyDescent="0.45">
      <c r="F200" s="76"/>
    </row>
    <row r="201" spans="6:6" ht="15.75" customHeight="1" x14ac:dyDescent="0.45">
      <c r="F201" s="76"/>
    </row>
    <row r="202" spans="6:6" ht="15.75" customHeight="1" x14ac:dyDescent="0.45">
      <c r="F202" s="76"/>
    </row>
    <row r="203" spans="6:6" ht="15.75" customHeight="1" x14ac:dyDescent="0.45">
      <c r="F203" s="76"/>
    </row>
    <row r="204" spans="6:6" ht="15.75" customHeight="1" x14ac:dyDescent="0.45">
      <c r="F204" s="76"/>
    </row>
    <row r="205" spans="6:6" ht="15.75" customHeight="1" x14ac:dyDescent="0.45">
      <c r="F205" s="76"/>
    </row>
    <row r="206" spans="6:6" ht="15.75" customHeight="1" x14ac:dyDescent="0.45">
      <c r="F206" s="76"/>
    </row>
    <row r="207" spans="6:6" ht="15.75" customHeight="1" x14ac:dyDescent="0.45">
      <c r="F207" s="76"/>
    </row>
    <row r="208" spans="6:6" ht="15.75" customHeight="1" x14ac:dyDescent="0.45">
      <c r="F208" s="76"/>
    </row>
    <row r="209" spans="6:6" ht="15.75" customHeight="1" x14ac:dyDescent="0.45">
      <c r="F209" s="76"/>
    </row>
    <row r="210" spans="6:6" ht="15.75" customHeight="1" x14ac:dyDescent="0.45">
      <c r="F210" s="76"/>
    </row>
    <row r="211" spans="6:6" ht="15.75" customHeight="1" x14ac:dyDescent="0.45">
      <c r="F211" s="76"/>
    </row>
    <row r="212" spans="6:6" ht="15.75" customHeight="1" x14ac:dyDescent="0.45">
      <c r="F212" s="76"/>
    </row>
    <row r="213" spans="6:6" ht="15.75" customHeight="1" x14ac:dyDescent="0.45">
      <c r="F213" s="76"/>
    </row>
    <row r="214" spans="6:6" ht="15.75" customHeight="1" x14ac:dyDescent="0.45">
      <c r="F214" s="76"/>
    </row>
    <row r="215" spans="6:6" ht="15.75" customHeight="1" x14ac:dyDescent="0.45">
      <c r="F215" s="76"/>
    </row>
    <row r="216" spans="6:6" ht="15.75" customHeight="1" x14ac:dyDescent="0.45">
      <c r="F216" s="76"/>
    </row>
    <row r="217" spans="6:6" ht="15.75" customHeight="1" x14ac:dyDescent="0.45">
      <c r="F217" s="76"/>
    </row>
    <row r="218" spans="6:6" ht="15.75" customHeight="1" x14ac:dyDescent="0.45">
      <c r="F218" s="76"/>
    </row>
    <row r="219" spans="6:6" ht="15.75" customHeight="1" x14ac:dyDescent="0.45">
      <c r="F219" s="76"/>
    </row>
    <row r="220" spans="6:6" ht="15.75" customHeight="1" x14ac:dyDescent="0.45">
      <c r="F220" s="76"/>
    </row>
    <row r="221" spans="6:6" ht="15.75" customHeight="1" x14ac:dyDescent="0.45">
      <c r="F221" s="76"/>
    </row>
    <row r="222" spans="6:6" ht="15.75" customHeight="1" x14ac:dyDescent="0.45">
      <c r="F222" s="76"/>
    </row>
    <row r="223" spans="6:6" ht="15.75" customHeight="1" x14ac:dyDescent="0.45">
      <c r="F223" s="76"/>
    </row>
    <row r="224" spans="6:6" ht="15.75" customHeight="1" x14ac:dyDescent="0.45">
      <c r="F224" s="76"/>
    </row>
    <row r="225" spans="6:6" ht="15.75" customHeight="1" x14ac:dyDescent="0.45">
      <c r="F225" s="76"/>
    </row>
    <row r="226" spans="6:6" ht="15.75" customHeight="1" x14ac:dyDescent="0.45">
      <c r="F226" s="76"/>
    </row>
    <row r="227" spans="6:6" ht="15.75" customHeight="1" x14ac:dyDescent="0.45">
      <c r="F227" s="76"/>
    </row>
    <row r="228" spans="6:6" ht="15.75" customHeight="1" x14ac:dyDescent="0.45">
      <c r="F228" s="76"/>
    </row>
    <row r="229" spans="6:6" ht="15.75" customHeight="1" x14ac:dyDescent="0.45">
      <c r="F229" s="76"/>
    </row>
    <row r="230" spans="6:6" ht="15.75" customHeight="1" x14ac:dyDescent="0.45">
      <c r="F230" s="76"/>
    </row>
    <row r="231" spans="6:6" ht="15.75" customHeight="1" x14ac:dyDescent="0.45">
      <c r="F231" s="76"/>
    </row>
    <row r="232" spans="6:6" ht="15.75" customHeight="1" x14ac:dyDescent="0.45">
      <c r="F232" s="76"/>
    </row>
    <row r="233" spans="6:6" ht="15.75" customHeight="1" x14ac:dyDescent="0.45">
      <c r="F233" s="76"/>
    </row>
    <row r="234" spans="6:6" ht="15.75" customHeight="1" x14ac:dyDescent="0.45">
      <c r="F234" s="76"/>
    </row>
    <row r="235" spans="6:6" ht="15.75" customHeight="1" x14ac:dyDescent="0.45">
      <c r="F235" s="76"/>
    </row>
    <row r="236" spans="6:6" ht="15.75" customHeight="1" x14ac:dyDescent="0.45">
      <c r="F236" s="76"/>
    </row>
    <row r="237" spans="6:6" ht="15.75" customHeight="1" x14ac:dyDescent="0.45">
      <c r="F237" s="76"/>
    </row>
    <row r="238" spans="6:6" ht="15.75" customHeight="1" x14ac:dyDescent="0.45">
      <c r="F238" s="76"/>
    </row>
    <row r="239" spans="6:6" ht="15.75" customHeight="1" x14ac:dyDescent="0.45">
      <c r="F239" s="76"/>
    </row>
    <row r="240" spans="6:6" ht="15.75" customHeight="1" x14ac:dyDescent="0.45">
      <c r="F240" s="76"/>
    </row>
    <row r="241" spans="6:6" ht="15.75" customHeight="1" x14ac:dyDescent="0.45">
      <c r="F241" s="76"/>
    </row>
    <row r="242" spans="6:6" ht="15.75" customHeight="1" x14ac:dyDescent="0.45">
      <c r="F242" s="76"/>
    </row>
    <row r="243" spans="6:6" ht="15.75" customHeight="1" x14ac:dyDescent="0.45">
      <c r="F243" s="76"/>
    </row>
    <row r="244" spans="6:6" ht="15.75" customHeight="1" x14ac:dyDescent="0.45">
      <c r="F244" s="76"/>
    </row>
    <row r="245" spans="6:6" ht="15.75" customHeight="1" x14ac:dyDescent="0.45">
      <c r="F245" s="76"/>
    </row>
    <row r="246" spans="6:6" ht="15.75" customHeight="1" x14ac:dyDescent="0.45">
      <c r="F246" s="76"/>
    </row>
    <row r="247" spans="6:6" ht="15.75" customHeight="1" x14ac:dyDescent="0.45">
      <c r="F247" s="76"/>
    </row>
    <row r="248" spans="6:6" ht="15.75" customHeight="1" x14ac:dyDescent="0.45">
      <c r="F248" s="76"/>
    </row>
    <row r="249" spans="6:6" ht="15.75" customHeight="1" x14ac:dyDescent="0.45">
      <c r="F249" s="76"/>
    </row>
    <row r="250" spans="6:6" ht="15.75" customHeight="1" x14ac:dyDescent="0.45">
      <c r="F250" s="76"/>
    </row>
    <row r="251" spans="6:6" ht="15.75" customHeight="1" x14ac:dyDescent="0.45">
      <c r="F251" s="76"/>
    </row>
    <row r="252" spans="6:6" ht="15.75" customHeight="1" x14ac:dyDescent="0.45">
      <c r="F252" s="76"/>
    </row>
    <row r="253" spans="6:6" ht="15.75" customHeight="1" x14ac:dyDescent="0.45">
      <c r="F253" s="76"/>
    </row>
    <row r="254" spans="6:6" ht="15.75" customHeight="1" x14ac:dyDescent="0.45">
      <c r="F254" s="76"/>
    </row>
    <row r="255" spans="6:6" ht="15.75" customHeight="1" x14ac:dyDescent="0.45">
      <c r="F255" s="76"/>
    </row>
    <row r="256" spans="6:6" ht="15.75" customHeight="1" x14ac:dyDescent="0.45">
      <c r="F256" s="76"/>
    </row>
    <row r="257" spans="6:6" ht="15.75" customHeight="1" x14ac:dyDescent="0.45">
      <c r="F257" s="76"/>
    </row>
    <row r="258" spans="6:6" ht="15.75" customHeight="1" x14ac:dyDescent="0.45">
      <c r="F258" s="76"/>
    </row>
    <row r="259" spans="6:6" ht="15.75" customHeight="1" x14ac:dyDescent="0.45">
      <c r="F259" s="76"/>
    </row>
    <row r="260" spans="6:6" ht="15.75" customHeight="1" x14ac:dyDescent="0.45">
      <c r="F260" s="76"/>
    </row>
    <row r="261" spans="6:6" ht="15.75" customHeight="1" x14ac:dyDescent="0.45">
      <c r="F261" s="76"/>
    </row>
    <row r="262" spans="6:6" ht="15.75" customHeight="1" x14ac:dyDescent="0.45">
      <c r="F262" s="76"/>
    </row>
    <row r="263" spans="6:6" ht="15.75" customHeight="1" x14ac:dyDescent="0.45">
      <c r="F263" s="76"/>
    </row>
    <row r="264" spans="6:6" ht="15.75" customHeight="1" x14ac:dyDescent="0.45">
      <c r="F264" s="76"/>
    </row>
    <row r="265" spans="6:6" ht="15.75" customHeight="1" x14ac:dyDescent="0.45">
      <c r="F265" s="76"/>
    </row>
    <row r="266" spans="6:6" ht="15.75" customHeight="1" x14ac:dyDescent="0.45">
      <c r="F266" s="76"/>
    </row>
    <row r="267" spans="6:6" ht="15.75" customHeight="1" x14ac:dyDescent="0.45">
      <c r="F267" s="76"/>
    </row>
    <row r="268" spans="6:6" ht="15.75" customHeight="1" x14ac:dyDescent="0.45">
      <c r="F268" s="76"/>
    </row>
    <row r="269" spans="6:6" ht="15.75" customHeight="1" x14ac:dyDescent="0.45">
      <c r="F269" s="76"/>
    </row>
    <row r="270" spans="6:6" ht="15.75" customHeight="1" x14ac:dyDescent="0.45">
      <c r="F270" s="76"/>
    </row>
    <row r="271" spans="6:6" ht="15.75" customHeight="1" x14ac:dyDescent="0.45">
      <c r="F271" s="76"/>
    </row>
    <row r="272" spans="6:6" ht="15.75" customHeight="1" x14ac:dyDescent="0.45">
      <c r="F272" s="76"/>
    </row>
    <row r="273" spans="6:6" ht="15.75" customHeight="1" x14ac:dyDescent="0.45">
      <c r="F273" s="76"/>
    </row>
    <row r="274" spans="6:6" ht="15.75" customHeight="1" x14ac:dyDescent="0.45">
      <c r="F274" s="76"/>
    </row>
    <row r="275" spans="6:6" ht="15.75" customHeight="1" x14ac:dyDescent="0.45">
      <c r="F275" s="76"/>
    </row>
    <row r="276" spans="6:6" ht="15.75" customHeight="1" x14ac:dyDescent="0.45">
      <c r="F276" s="76"/>
    </row>
    <row r="277" spans="6:6" ht="15.75" customHeight="1" x14ac:dyDescent="0.45">
      <c r="F277" s="76"/>
    </row>
    <row r="278" spans="6:6" ht="15.75" customHeight="1" x14ac:dyDescent="0.45">
      <c r="F278" s="76"/>
    </row>
    <row r="279" spans="6:6" ht="15.75" customHeight="1" x14ac:dyDescent="0.45">
      <c r="F279" s="76"/>
    </row>
    <row r="280" spans="6:6" ht="15.75" customHeight="1" x14ac:dyDescent="0.45">
      <c r="F280" s="76"/>
    </row>
    <row r="281" spans="6:6" ht="15.75" customHeight="1" x14ac:dyDescent="0.45">
      <c r="F281" s="76"/>
    </row>
    <row r="282" spans="6:6" ht="15.75" customHeight="1" x14ac:dyDescent="0.45">
      <c r="F282" s="76"/>
    </row>
    <row r="283" spans="6:6" ht="15.75" customHeight="1" x14ac:dyDescent="0.45">
      <c r="F283" s="76"/>
    </row>
    <row r="284" spans="6:6" ht="15.75" customHeight="1" x14ac:dyDescent="0.45">
      <c r="F284" s="76"/>
    </row>
    <row r="285" spans="6:6" ht="15.75" customHeight="1" x14ac:dyDescent="0.45">
      <c r="F285" s="76"/>
    </row>
    <row r="286" spans="6:6" ht="15.75" customHeight="1" x14ac:dyDescent="0.45">
      <c r="F286" s="76"/>
    </row>
    <row r="287" spans="6:6" ht="15.75" customHeight="1" x14ac:dyDescent="0.45">
      <c r="F287" s="76"/>
    </row>
    <row r="288" spans="6:6" ht="15.75" customHeight="1" x14ac:dyDescent="0.45">
      <c r="F288" s="76"/>
    </row>
    <row r="289" spans="6:6" ht="15.75" customHeight="1" x14ac:dyDescent="0.45">
      <c r="F289" s="76"/>
    </row>
    <row r="290" spans="6:6" ht="15.75" customHeight="1" x14ac:dyDescent="0.45">
      <c r="F290" s="76"/>
    </row>
    <row r="291" spans="6:6" ht="15.75" customHeight="1" x14ac:dyDescent="0.45">
      <c r="F291" s="76"/>
    </row>
    <row r="292" spans="6:6" ht="15.75" customHeight="1" x14ac:dyDescent="0.45">
      <c r="F292" s="76"/>
    </row>
    <row r="293" spans="6:6" ht="15.75" customHeight="1" x14ac:dyDescent="0.45">
      <c r="F293" s="76"/>
    </row>
    <row r="294" spans="6:6" ht="15.75" customHeight="1" x14ac:dyDescent="0.45">
      <c r="F294" s="76"/>
    </row>
    <row r="295" spans="6:6" ht="15.75" customHeight="1" x14ac:dyDescent="0.45">
      <c r="F295" s="76"/>
    </row>
    <row r="296" spans="6:6" ht="15.75" customHeight="1" x14ac:dyDescent="0.45">
      <c r="F296" s="76"/>
    </row>
    <row r="297" spans="6:6" ht="15.75" customHeight="1" x14ac:dyDescent="0.45">
      <c r="F297" s="76"/>
    </row>
    <row r="298" spans="6:6" ht="15.75" customHeight="1" x14ac:dyDescent="0.45">
      <c r="F298" s="76"/>
    </row>
    <row r="299" spans="6:6" ht="15.75" customHeight="1" x14ac:dyDescent="0.45">
      <c r="F299" s="76"/>
    </row>
    <row r="300" spans="6:6" ht="15.75" customHeight="1" x14ac:dyDescent="0.45">
      <c r="F300" s="76"/>
    </row>
    <row r="301" spans="6:6" ht="15.75" customHeight="1" x14ac:dyDescent="0.45">
      <c r="F301" s="76"/>
    </row>
    <row r="302" spans="6:6" ht="15.75" customHeight="1" x14ac:dyDescent="0.45">
      <c r="F302" s="76"/>
    </row>
    <row r="303" spans="6:6" ht="15.75" customHeight="1" x14ac:dyDescent="0.45">
      <c r="F303" s="76"/>
    </row>
    <row r="304" spans="6:6" ht="15.75" customHeight="1" x14ac:dyDescent="0.45">
      <c r="F304" s="76"/>
    </row>
    <row r="305" spans="6:6" ht="15.75" customHeight="1" x14ac:dyDescent="0.45">
      <c r="F305" s="76"/>
    </row>
    <row r="306" spans="6:6" ht="15.75" customHeight="1" x14ac:dyDescent="0.45">
      <c r="F306" s="76"/>
    </row>
    <row r="307" spans="6:6" ht="15.75" customHeight="1" x14ac:dyDescent="0.45">
      <c r="F307" s="76"/>
    </row>
    <row r="308" spans="6:6" ht="15.75" customHeight="1" x14ac:dyDescent="0.45">
      <c r="F308" s="76"/>
    </row>
    <row r="309" spans="6:6" ht="15.75" customHeight="1" x14ac:dyDescent="0.45">
      <c r="F309" s="76"/>
    </row>
    <row r="310" spans="6:6" ht="15.75" customHeight="1" x14ac:dyDescent="0.45">
      <c r="F310" s="76"/>
    </row>
    <row r="311" spans="6:6" ht="15.75" customHeight="1" x14ac:dyDescent="0.45">
      <c r="F311" s="76"/>
    </row>
    <row r="312" spans="6:6" ht="15.75" customHeight="1" x14ac:dyDescent="0.45">
      <c r="F312" s="76"/>
    </row>
    <row r="313" spans="6:6" ht="15.75" customHeight="1" x14ac:dyDescent="0.45">
      <c r="F313" s="76"/>
    </row>
    <row r="314" spans="6:6" ht="15.75" customHeight="1" x14ac:dyDescent="0.45">
      <c r="F314" s="76"/>
    </row>
    <row r="315" spans="6:6" ht="15.75" customHeight="1" x14ac:dyDescent="0.45">
      <c r="F315" s="76"/>
    </row>
    <row r="316" spans="6:6" ht="15.75" customHeight="1" x14ac:dyDescent="0.45">
      <c r="F316" s="76"/>
    </row>
    <row r="317" spans="6:6" ht="15.75" customHeight="1" x14ac:dyDescent="0.45">
      <c r="F317" s="76"/>
    </row>
    <row r="318" spans="6:6" ht="15.75" customHeight="1" x14ac:dyDescent="0.45">
      <c r="F318" s="76"/>
    </row>
    <row r="319" spans="6:6" ht="15.75" customHeight="1" x14ac:dyDescent="0.45">
      <c r="F319" s="76"/>
    </row>
    <row r="320" spans="6:6" ht="15.75" customHeight="1" x14ac:dyDescent="0.45">
      <c r="F320" s="76"/>
    </row>
    <row r="321" spans="6:6" ht="15.75" customHeight="1" x14ac:dyDescent="0.45">
      <c r="F321" s="76"/>
    </row>
    <row r="322" spans="6:6" ht="15.75" customHeight="1" x14ac:dyDescent="0.45">
      <c r="F322" s="76"/>
    </row>
    <row r="323" spans="6:6" ht="15.75" customHeight="1" x14ac:dyDescent="0.45">
      <c r="F323" s="76"/>
    </row>
    <row r="324" spans="6:6" ht="15.75" customHeight="1" x14ac:dyDescent="0.45">
      <c r="F324" s="76"/>
    </row>
    <row r="325" spans="6:6" ht="15.75" customHeight="1" x14ac:dyDescent="0.45">
      <c r="F325" s="76"/>
    </row>
    <row r="326" spans="6:6" ht="15.75" customHeight="1" x14ac:dyDescent="0.45">
      <c r="F326" s="76"/>
    </row>
    <row r="327" spans="6:6" ht="15.75" customHeight="1" x14ac:dyDescent="0.45">
      <c r="F327" s="76"/>
    </row>
    <row r="328" spans="6:6" ht="15.75" customHeight="1" x14ac:dyDescent="0.45">
      <c r="F328" s="76"/>
    </row>
    <row r="329" spans="6:6" ht="15.75" customHeight="1" x14ac:dyDescent="0.45">
      <c r="F329" s="76"/>
    </row>
    <row r="330" spans="6:6" ht="15.75" customHeight="1" x14ac:dyDescent="0.45">
      <c r="F330" s="76"/>
    </row>
    <row r="331" spans="6:6" ht="15.75" customHeight="1" x14ac:dyDescent="0.45">
      <c r="F331" s="76"/>
    </row>
    <row r="332" spans="6:6" ht="15.75" customHeight="1" x14ac:dyDescent="0.45">
      <c r="F332" s="76"/>
    </row>
    <row r="333" spans="6:6" ht="15.75" customHeight="1" x14ac:dyDescent="0.45">
      <c r="F333" s="76"/>
    </row>
    <row r="334" spans="6:6" ht="15.75" customHeight="1" x14ac:dyDescent="0.45">
      <c r="F334" s="76"/>
    </row>
    <row r="335" spans="6:6" ht="15.75" customHeight="1" x14ac:dyDescent="0.45">
      <c r="F335" s="76"/>
    </row>
    <row r="336" spans="6:6" ht="15.75" customHeight="1" x14ac:dyDescent="0.45">
      <c r="F336" s="76"/>
    </row>
    <row r="337" spans="6:6" ht="15.75" customHeight="1" x14ac:dyDescent="0.45">
      <c r="F337" s="76"/>
    </row>
    <row r="338" spans="6:6" ht="15.75" customHeight="1" x14ac:dyDescent="0.45">
      <c r="F338" s="76"/>
    </row>
    <row r="339" spans="6:6" ht="15.75" customHeight="1" x14ac:dyDescent="0.45">
      <c r="F339" s="76"/>
    </row>
    <row r="340" spans="6:6" ht="15.75" customHeight="1" x14ac:dyDescent="0.45">
      <c r="F340" s="76"/>
    </row>
    <row r="341" spans="6:6" ht="15.75" customHeight="1" x14ac:dyDescent="0.45">
      <c r="F341" s="76"/>
    </row>
    <row r="342" spans="6:6" ht="15.75" customHeight="1" x14ac:dyDescent="0.45">
      <c r="F342" s="76"/>
    </row>
    <row r="343" spans="6:6" ht="15.75" customHeight="1" x14ac:dyDescent="0.45">
      <c r="F343" s="76"/>
    </row>
    <row r="344" spans="6:6" ht="15.75" customHeight="1" x14ac:dyDescent="0.45">
      <c r="F344" s="76"/>
    </row>
    <row r="345" spans="6:6" ht="15.75" customHeight="1" x14ac:dyDescent="0.45">
      <c r="F345" s="76"/>
    </row>
    <row r="346" spans="6:6" ht="15.75" customHeight="1" x14ac:dyDescent="0.45">
      <c r="F346" s="76"/>
    </row>
    <row r="347" spans="6:6" ht="15.75" customHeight="1" x14ac:dyDescent="0.45">
      <c r="F347" s="76"/>
    </row>
    <row r="348" spans="6:6" ht="15.75" customHeight="1" x14ac:dyDescent="0.45">
      <c r="F348" s="76"/>
    </row>
    <row r="349" spans="6:6" ht="15.75" customHeight="1" x14ac:dyDescent="0.45">
      <c r="F349" s="76"/>
    </row>
    <row r="350" spans="6:6" ht="15.75" customHeight="1" x14ac:dyDescent="0.45">
      <c r="F350" s="76"/>
    </row>
    <row r="351" spans="6:6" ht="15.75" customHeight="1" x14ac:dyDescent="0.45">
      <c r="F351" s="76"/>
    </row>
    <row r="352" spans="6:6" ht="15.75" customHeight="1" x14ac:dyDescent="0.45">
      <c r="F352" s="76"/>
    </row>
    <row r="353" spans="6:6" ht="15.75" customHeight="1" x14ac:dyDescent="0.45">
      <c r="F353" s="76"/>
    </row>
    <row r="354" spans="6:6" ht="15.75" customHeight="1" x14ac:dyDescent="0.45">
      <c r="F354" s="76"/>
    </row>
    <row r="355" spans="6:6" ht="15.75" customHeight="1" x14ac:dyDescent="0.45">
      <c r="F355" s="76"/>
    </row>
    <row r="356" spans="6:6" ht="15.75" customHeight="1" x14ac:dyDescent="0.45">
      <c r="F356" s="76"/>
    </row>
    <row r="357" spans="6:6" ht="15.75" customHeight="1" x14ac:dyDescent="0.45">
      <c r="F357" s="76"/>
    </row>
    <row r="358" spans="6:6" ht="15.75" customHeight="1" x14ac:dyDescent="0.45">
      <c r="F358" s="76"/>
    </row>
    <row r="359" spans="6:6" ht="15.75" customHeight="1" x14ac:dyDescent="0.45">
      <c r="F359" s="76"/>
    </row>
    <row r="360" spans="6:6" ht="15.75" customHeight="1" x14ac:dyDescent="0.45">
      <c r="F360" s="76"/>
    </row>
    <row r="361" spans="6:6" ht="15.75" customHeight="1" x14ac:dyDescent="0.45">
      <c r="F361" s="76"/>
    </row>
    <row r="362" spans="6:6" ht="15.75" customHeight="1" x14ac:dyDescent="0.45">
      <c r="F362" s="76"/>
    </row>
    <row r="363" spans="6:6" ht="15.75" customHeight="1" x14ac:dyDescent="0.45">
      <c r="F363" s="76"/>
    </row>
    <row r="364" spans="6:6" ht="15.75" customHeight="1" x14ac:dyDescent="0.45">
      <c r="F364" s="76"/>
    </row>
    <row r="365" spans="6:6" ht="15.75" customHeight="1" x14ac:dyDescent="0.45">
      <c r="F365" s="76"/>
    </row>
    <row r="366" spans="6:6" ht="15.75" customHeight="1" x14ac:dyDescent="0.45">
      <c r="F366" s="76"/>
    </row>
    <row r="367" spans="6:6" ht="15.75" customHeight="1" x14ac:dyDescent="0.45">
      <c r="F367" s="76"/>
    </row>
    <row r="368" spans="6:6" ht="15.75" customHeight="1" x14ac:dyDescent="0.45">
      <c r="F368" s="76"/>
    </row>
    <row r="369" spans="6:6" ht="15.75" customHeight="1" x14ac:dyDescent="0.45">
      <c r="F369" s="76"/>
    </row>
    <row r="370" spans="6:6" ht="15.75" customHeight="1" x14ac:dyDescent="0.45">
      <c r="F370" s="76"/>
    </row>
    <row r="371" spans="6:6" ht="15.75" customHeight="1" x14ac:dyDescent="0.45">
      <c r="F371" s="76"/>
    </row>
    <row r="372" spans="6:6" ht="15.75" customHeight="1" x14ac:dyDescent="0.45">
      <c r="F372" s="76"/>
    </row>
    <row r="373" spans="6:6" ht="15.75" customHeight="1" x14ac:dyDescent="0.45">
      <c r="F373" s="76"/>
    </row>
    <row r="374" spans="6:6" ht="15.75" customHeight="1" x14ac:dyDescent="0.45">
      <c r="F374" s="76"/>
    </row>
    <row r="375" spans="6:6" ht="15.75" customHeight="1" x14ac:dyDescent="0.45">
      <c r="F375" s="76"/>
    </row>
    <row r="376" spans="6:6" ht="15.75" customHeight="1" x14ac:dyDescent="0.45">
      <c r="F376" s="76"/>
    </row>
    <row r="377" spans="6:6" ht="15.75" customHeight="1" x14ac:dyDescent="0.45">
      <c r="F377" s="76"/>
    </row>
    <row r="378" spans="6:6" ht="15.75" customHeight="1" x14ac:dyDescent="0.45">
      <c r="F378" s="76"/>
    </row>
    <row r="379" spans="6:6" ht="15.75" customHeight="1" x14ac:dyDescent="0.45">
      <c r="F379" s="76"/>
    </row>
    <row r="380" spans="6:6" ht="15.75" customHeight="1" x14ac:dyDescent="0.45">
      <c r="F380" s="76"/>
    </row>
    <row r="381" spans="6:6" ht="15.75" customHeight="1" x14ac:dyDescent="0.45">
      <c r="F381" s="76"/>
    </row>
    <row r="382" spans="6:6" ht="15.75" customHeight="1" x14ac:dyDescent="0.45">
      <c r="F382" s="76"/>
    </row>
    <row r="383" spans="6:6" ht="15.75" customHeight="1" x14ac:dyDescent="0.45">
      <c r="F383" s="76"/>
    </row>
    <row r="384" spans="6:6" ht="15.75" customHeight="1" x14ac:dyDescent="0.45">
      <c r="F384" s="76"/>
    </row>
    <row r="385" spans="6:6" ht="15.75" customHeight="1" x14ac:dyDescent="0.45">
      <c r="F385" s="76"/>
    </row>
    <row r="386" spans="6:6" ht="15.75" customHeight="1" x14ac:dyDescent="0.45">
      <c r="F386" s="76"/>
    </row>
    <row r="387" spans="6:6" ht="15.75" customHeight="1" x14ac:dyDescent="0.45">
      <c r="F387" s="76"/>
    </row>
    <row r="388" spans="6:6" ht="15.75" customHeight="1" x14ac:dyDescent="0.45">
      <c r="F388" s="76"/>
    </row>
    <row r="389" spans="6:6" ht="15.75" customHeight="1" x14ac:dyDescent="0.45">
      <c r="F389" s="76"/>
    </row>
    <row r="390" spans="6:6" ht="15.75" customHeight="1" x14ac:dyDescent="0.45">
      <c r="F390" s="76"/>
    </row>
    <row r="391" spans="6:6" ht="15.75" customHeight="1" x14ac:dyDescent="0.45">
      <c r="F391" s="76"/>
    </row>
    <row r="392" spans="6:6" ht="15.75" customHeight="1" x14ac:dyDescent="0.45">
      <c r="F392" s="76"/>
    </row>
    <row r="393" spans="6:6" ht="15.75" customHeight="1" x14ac:dyDescent="0.45">
      <c r="F393" s="76"/>
    </row>
    <row r="394" spans="6:6" ht="15.75" customHeight="1" x14ac:dyDescent="0.45">
      <c r="F394" s="76"/>
    </row>
    <row r="395" spans="6:6" ht="15.75" customHeight="1" x14ac:dyDescent="0.45">
      <c r="F395" s="76"/>
    </row>
    <row r="396" spans="6:6" ht="15.75" customHeight="1" x14ac:dyDescent="0.45">
      <c r="F396" s="76"/>
    </row>
    <row r="397" spans="6:6" ht="15.75" customHeight="1" x14ac:dyDescent="0.45">
      <c r="F397" s="76"/>
    </row>
    <row r="398" spans="6:6" ht="15.75" customHeight="1" x14ac:dyDescent="0.45">
      <c r="F398" s="76"/>
    </row>
    <row r="399" spans="6:6" ht="15.75" customHeight="1" x14ac:dyDescent="0.45">
      <c r="F399" s="76"/>
    </row>
    <row r="400" spans="6:6" ht="15.75" customHeight="1" x14ac:dyDescent="0.45">
      <c r="F400" s="76"/>
    </row>
    <row r="401" spans="6:6" ht="15.75" customHeight="1" x14ac:dyDescent="0.45">
      <c r="F401" s="76"/>
    </row>
    <row r="402" spans="6:6" ht="15.75" customHeight="1" x14ac:dyDescent="0.45">
      <c r="F402" s="76"/>
    </row>
    <row r="403" spans="6:6" ht="15.75" customHeight="1" x14ac:dyDescent="0.45">
      <c r="F403" s="76"/>
    </row>
    <row r="404" spans="6:6" ht="15.75" customHeight="1" x14ac:dyDescent="0.45">
      <c r="F404" s="76"/>
    </row>
    <row r="405" spans="6:6" ht="15.75" customHeight="1" x14ac:dyDescent="0.45">
      <c r="F405" s="76"/>
    </row>
    <row r="406" spans="6:6" ht="15.75" customHeight="1" x14ac:dyDescent="0.45">
      <c r="F406" s="76"/>
    </row>
    <row r="407" spans="6:6" ht="15.75" customHeight="1" x14ac:dyDescent="0.45">
      <c r="F407" s="76"/>
    </row>
    <row r="408" spans="6:6" ht="15.75" customHeight="1" x14ac:dyDescent="0.45">
      <c r="F408" s="76"/>
    </row>
    <row r="409" spans="6:6" ht="15.75" customHeight="1" x14ac:dyDescent="0.45">
      <c r="F409" s="76"/>
    </row>
    <row r="410" spans="6:6" ht="15.75" customHeight="1" x14ac:dyDescent="0.45">
      <c r="F410" s="76"/>
    </row>
    <row r="411" spans="6:6" ht="15.75" customHeight="1" x14ac:dyDescent="0.45">
      <c r="F411" s="76"/>
    </row>
    <row r="412" spans="6:6" ht="15.75" customHeight="1" x14ac:dyDescent="0.45">
      <c r="F412" s="76"/>
    </row>
    <row r="413" spans="6:6" ht="15.75" customHeight="1" x14ac:dyDescent="0.45">
      <c r="F413" s="76"/>
    </row>
    <row r="414" spans="6:6" ht="15.75" customHeight="1" x14ac:dyDescent="0.45">
      <c r="F414" s="76"/>
    </row>
    <row r="415" spans="6:6" ht="15.75" customHeight="1" x14ac:dyDescent="0.45">
      <c r="F415" s="76"/>
    </row>
    <row r="416" spans="6:6" ht="15.75" customHeight="1" x14ac:dyDescent="0.45">
      <c r="F416" s="76"/>
    </row>
    <row r="417" spans="6:6" ht="15.75" customHeight="1" x14ac:dyDescent="0.45">
      <c r="F417" s="76"/>
    </row>
    <row r="418" spans="6:6" ht="15.75" customHeight="1" x14ac:dyDescent="0.45">
      <c r="F418" s="76"/>
    </row>
    <row r="419" spans="6:6" ht="15.75" customHeight="1" x14ac:dyDescent="0.45">
      <c r="F419" s="76"/>
    </row>
    <row r="420" spans="6:6" ht="15.75" customHeight="1" x14ac:dyDescent="0.45">
      <c r="F420" s="76"/>
    </row>
    <row r="421" spans="6:6" ht="15.75" customHeight="1" x14ac:dyDescent="0.45">
      <c r="F421" s="76"/>
    </row>
    <row r="422" spans="6:6" ht="15.75" customHeight="1" x14ac:dyDescent="0.45">
      <c r="F422" s="76"/>
    </row>
    <row r="423" spans="6:6" ht="15.75" customHeight="1" x14ac:dyDescent="0.45">
      <c r="F423" s="76"/>
    </row>
    <row r="424" spans="6:6" ht="15.75" customHeight="1" x14ac:dyDescent="0.45">
      <c r="F424" s="76"/>
    </row>
    <row r="425" spans="6:6" ht="15.75" customHeight="1" x14ac:dyDescent="0.45">
      <c r="F425" s="76"/>
    </row>
    <row r="426" spans="6:6" ht="15.75" customHeight="1" x14ac:dyDescent="0.45">
      <c r="F426" s="76"/>
    </row>
    <row r="427" spans="6:6" ht="15.75" customHeight="1" x14ac:dyDescent="0.45">
      <c r="F427" s="76"/>
    </row>
    <row r="428" spans="6:6" ht="15.75" customHeight="1" x14ac:dyDescent="0.45">
      <c r="F428" s="76"/>
    </row>
    <row r="429" spans="6:6" ht="15.75" customHeight="1" x14ac:dyDescent="0.45">
      <c r="F429" s="76"/>
    </row>
    <row r="430" spans="6:6" ht="15.75" customHeight="1" x14ac:dyDescent="0.45">
      <c r="F430" s="76"/>
    </row>
    <row r="431" spans="6:6" ht="15.75" customHeight="1" x14ac:dyDescent="0.45">
      <c r="F431" s="76"/>
    </row>
    <row r="432" spans="6:6" ht="15.75" customHeight="1" x14ac:dyDescent="0.45">
      <c r="F432" s="76"/>
    </row>
    <row r="433" spans="6:6" ht="15.75" customHeight="1" x14ac:dyDescent="0.45">
      <c r="F433" s="76"/>
    </row>
    <row r="434" spans="6:6" ht="15.75" customHeight="1" x14ac:dyDescent="0.45">
      <c r="F434" s="76"/>
    </row>
    <row r="435" spans="6:6" ht="15.75" customHeight="1" x14ac:dyDescent="0.45">
      <c r="F435" s="76"/>
    </row>
    <row r="436" spans="6:6" ht="15.75" customHeight="1" x14ac:dyDescent="0.45">
      <c r="F436" s="76"/>
    </row>
    <row r="437" spans="6:6" ht="15.75" customHeight="1" x14ac:dyDescent="0.45">
      <c r="F437" s="76"/>
    </row>
    <row r="438" spans="6:6" ht="15.75" customHeight="1" x14ac:dyDescent="0.45">
      <c r="F438" s="76"/>
    </row>
    <row r="439" spans="6:6" ht="15.75" customHeight="1" x14ac:dyDescent="0.45">
      <c r="F439" s="76"/>
    </row>
    <row r="440" spans="6:6" ht="15.75" customHeight="1" x14ac:dyDescent="0.45">
      <c r="F440" s="76"/>
    </row>
    <row r="441" spans="6:6" ht="15.75" customHeight="1" x14ac:dyDescent="0.45">
      <c r="F441" s="76"/>
    </row>
    <row r="442" spans="6:6" ht="15.75" customHeight="1" x14ac:dyDescent="0.45">
      <c r="F442" s="76"/>
    </row>
    <row r="443" spans="6:6" ht="15.75" customHeight="1" x14ac:dyDescent="0.45">
      <c r="F443" s="76"/>
    </row>
    <row r="444" spans="6:6" ht="15.75" customHeight="1" x14ac:dyDescent="0.45">
      <c r="F444" s="76"/>
    </row>
    <row r="445" spans="6:6" ht="15.75" customHeight="1" x14ac:dyDescent="0.45">
      <c r="F445" s="76"/>
    </row>
    <row r="446" spans="6:6" ht="15.75" customHeight="1" x14ac:dyDescent="0.45">
      <c r="F446" s="76"/>
    </row>
    <row r="447" spans="6:6" ht="15.75" customHeight="1" x14ac:dyDescent="0.45">
      <c r="F447" s="76"/>
    </row>
    <row r="448" spans="6:6" ht="15.75" customHeight="1" x14ac:dyDescent="0.45">
      <c r="F448" s="76"/>
    </row>
    <row r="449" spans="6:6" ht="15.75" customHeight="1" x14ac:dyDescent="0.45">
      <c r="F449" s="76"/>
    </row>
    <row r="450" spans="6:6" ht="15.75" customHeight="1" x14ac:dyDescent="0.45">
      <c r="F450" s="76"/>
    </row>
    <row r="451" spans="6:6" ht="15.75" customHeight="1" x14ac:dyDescent="0.45">
      <c r="F451" s="76"/>
    </row>
    <row r="452" spans="6:6" ht="15.75" customHeight="1" x14ac:dyDescent="0.45">
      <c r="F452" s="76"/>
    </row>
    <row r="453" spans="6:6" ht="15.75" customHeight="1" x14ac:dyDescent="0.45">
      <c r="F453" s="76"/>
    </row>
    <row r="454" spans="6:6" ht="15.75" customHeight="1" x14ac:dyDescent="0.45">
      <c r="F454" s="76"/>
    </row>
    <row r="455" spans="6:6" ht="15.75" customHeight="1" x14ac:dyDescent="0.45">
      <c r="F455" s="76"/>
    </row>
    <row r="456" spans="6:6" ht="15.75" customHeight="1" x14ac:dyDescent="0.45">
      <c r="F456" s="76"/>
    </row>
    <row r="457" spans="6:6" ht="15.75" customHeight="1" x14ac:dyDescent="0.45">
      <c r="F457" s="76"/>
    </row>
    <row r="458" spans="6:6" ht="15.75" customHeight="1" x14ac:dyDescent="0.45">
      <c r="F458" s="76"/>
    </row>
    <row r="459" spans="6:6" ht="15.75" customHeight="1" x14ac:dyDescent="0.45">
      <c r="F459" s="76"/>
    </row>
    <row r="460" spans="6:6" ht="15.75" customHeight="1" x14ac:dyDescent="0.45">
      <c r="F460" s="76"/>
    </row>
    <row r="461" spans="6:6" ht="15.75" customHeight="1" x14ac:dyDescent="0.45">
      <c r="F461" s="76"/>
    </row>
    <row r="462" spans="6:6" ht="15.75" customHeight="1" x14ac:dyDescent="0.45">
      <c r="F462" s="76"/>
    </row>
    <row r="463" spans="6:6" ht="15.75" customHeight="1" x14ac:dyDescent="0.45">
      <c r="F463" s="76"/>
    </row>
    <row r="464" spans="6:6" ht="15.75" customHeight="1" x14ac:dyDescent="0.45">
      <c r="F464" s="76"/>
    </row>
    <row r="465" spans="6:6" ht="15.75" customHeight="1" x14ac:dyDescent="0.45">
      <c r="F465" s="76"/>
    </row>
    <row r="466" spans="6:6" ht="15.75" customHeight="1" x14ac:dyDescent="0.45">
      <c r="F466" s="76"/>
    </row>
    <row r="467" spans="6:6" ht="15.75" customHeight="1" x14ac:dyDescent="0.45">
      <c r="F467" s="76"/>
    </row>
    <row r="468" spans="6:6" ht="15.75" customHeight="1" x14ac:dyDescent="0.45">
      <c r="F468" s="76"/>
    </row>
    <row r="469" spans="6:6" ht="15.75" customHeight="1" x14ac:dyDescent="0.45">
      <c r="F469" s="76"/>
    </row>
    <row r="470" spans="6:6" ht="15.75" customHeight="1" x14ac:dyDescent="0.45">
      <c r="F470" s="76"/>
    </row>
    <row r="471" spans="6:6" ht="15.75" customHeight="1" x14ac:dyDescent="0.45">
      <c r="F471" s="76"/>
    </row>
    <row r="472" spans="6:6" ht="15.75" customHeight="1" x14ac:dyDescent="0.45">
      <c r="F472" s="76"/>
    </row>
    <row r="473" spans="6:6" ht="15.75" customHeight="1" x14ac:dyDescent="0.45">
      <c r="F473" s="76"/>
    </row>
  </sheetData>
  <mergeCells count="14">
    <mergeCell ref="R1:S1"/>
    <mergeCell ref="F2:G2"/>
    <mergeCell ref="H2:I2"/>
    <mergeCell ref="J2:K2"/>
    <mergeCell ref="L2:M2"/>
    <mergeCell ref="N2:O2"/>
    <mergeCell ref="P2:Q2"/>
    <mergeCell ref="R2:S2"/>
    <mergeCell ref="P1:Q1"/>
    <mergeCell ref="F1:G1"/>
    <mergeCell ref="H1:I1"/>
    <mergeCell ref="J1:K1"/>
    <mergeCell ref="L1:M1"/>
    <mergeCell ref="N1:O1"/>
  </mergeCells>
  <conditionalFormatting sqref="F4:F57">
    <cfRule type="notContainsBlanks" dxfId="148" priority="28">
      <formula>LEN(TRIM(F4))&gt;0</formula>
    </cfRule>
  </conditionalFormatting>
  <conditionalFormatting sqref="G4:G57">
    <cfRule type="notContainsBlanks" dxfId="147" priority="27">
      <formula>LEN(TRIM(G4))&gt;0</formula>
    </cfRule>
  </conditionalFormatting>
  <conditionalFormatting sqref="H4:H57">
    <cfRule type="notContainsBlanks" dxfId="146" priority="26">
      <formula>LEN(TRIM(H4))&gt;0</formula>
    </cfRule>
  </conditionalFormatting>
  <conditionalFormatting sqref="I4:I57">
    <cfRule type="notContainsBlanks" dxfId="145" priority="25">
      <formula>LEN(TRIM(I4))&gt;0</formula>
    </cfRule>
  </conditionalFormatting>
  <conditionalFormatting sqref="J4:J73">
    <cfRule type="notContainsBlanks" dxfId="144" priority="36">
      <formula>LEN(TRIM(J4))&gt;0</formula>
    </cfRule>
  </conditionalFormatting>
  <conditionalFormatting sqref="K4:K57">
    <cfRule type="notContainsBlanks" dxfId="143" priority="37">
      <formula>LEN(TRIM(K4))&gt;0</formula>
    </cfRule>
  </conditionalFormatting>
  <conditionalFormatting sqref="L4:L57">
    <cfRule type="notContainsBlanks" dxfId="142" priority="22">
      <formula>LEN(TRIM(L4))&gt;0</formula>
    </cfRule>
  </conditionalFormatting>
  <conditionalFormatting sqref="M4:M57">
    <cfRule type="notContainsBlanks" dxfId="141" priority="21">
      <formula>LEN(TRIM(M4))&gt;0</formula>
    </cfRule>
  </conditionalFormatting>
  <conditionalFormatting sqref="N4:N57">
    <cfRule type="notContainsBlanks" dxfId="140" priority="20">
      <formula>LEN(TRIM(N4))&gt;0</formula>
    </cfRule>
  </conditionalFormatting>
  <conditionalFormatting sqref="O4:O57">
    <cfRule type="notContainsBlanks" dxfId="139" priority="19">
      <formula>LEN(TRIM(O4))&gt;0</formula>
    </cfRule>
  </conditionalFormatting>
  <conditionalFormatting sqref="P4:P57">
    <cfRule type="notContainsBlanks" dxfId="138" priority="23">
      <formula>LEN(TRIM(P4))&gt;0</formula>
    </cfRule>
  </conditionalFormatting>
  <conditionalFormatting sqref="Q4:Q57">
    <cfRule type="notContainsBlanks" dxfId="137" priority="24">
      <formula>LEN(TRIM(Q4))&gt;0</formula>
    </cfRule>
  </conditionalFormatting>
  <conditionalFormatting sqref="R4:R57">
    <cfRule type="notContainsBlanks" dxfId="136" priority="10">
      <formula>LEN(TRIM(R4))&gt;0</formula>
    </cfRule>
  </conditionalFormatting>
  <conditionalFormatting sqref="S4:S57">
    <cfRule type="notContainsBlanks" dxfId="135" priority="11">
      <formula>LEN(TRIM(S4))&gt;0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3BFC-52AD-4A42-BA12-17C578114AFB}">
  <sheetPr>
    <tabColor theme="9" tint="-0.499984740745262"/>
  </sheetPr>
  <dimension ref="A1:L511"/>
  <sheetViews>
    <sheetView workbookViewId="0">
      <selection activeCell="C7" sqref="C7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7" width="12.625" style="59" customWidth="1"/>
    <col min="8" max="8" width="25.125" style="59" customWidth="1"/>
    <col min="9" max="9" width="12.625" style="59" customWidth="1"/>
    <col min="10" max="10" width="11.875" style="59" customWidth="1"/>
    <col min="11" max="11" width="26.875" style="59" customWidth="1"/>
    <col min="12" max="12" width="22.25" style="59" customWidth="1"/>
    <col min="13" max="13" width="34.375" style="59" customWidth="1"/>
    <col min="14" max="16384" width="12.625" style="59"/>
  </cols>
  <sheetData>
    <row r="1" spans="1:12" ht="19.5" x14ac:dyDescent="0.25">
      <c r="A1" s="154" t="s">
        <v>20</v>
      </c>
      <c r="B1" s="155"/>
      <c r="C1" s="155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25">
      <c r="A2" s="68"/>
      <c r="B2" s="62" t="s">
        <v>21</v>
      </c>
      <c r="C2" s="105"/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19.5" x14ac:dyDescent="0.25">
      <c r="B3" s="89" t="s">
        <v>2494</v>
      </c>
      <c r="C3" s="110">
        <v>15</v>
      </c>
      <c r="D3" s="70" t="s">
        <v>25</v>
      </c>
      <c r="E3" s="71" t="s">
        <v>26</v>
      </c>
      <c r="F3" s="71"/>
      <c r="G3" s="65"/>
      <c r="H3" s="65"/>
      <c r="I3" s="65"/>
      <c r="J3" s="65"/>
      <c r="K3" s="65"/>
      <c r="L3" s="65"/>
    </row>
    <row r="4" spans="1:12" ht="15.75" customHeight="1" x14ac:dyDescent="0.25">
      <c r="B4" s="64" t="s">
        <v>27</v>
      </c>
      <c r="C4" s="107">
        <v>46062</v>
      </c>
      <c r="D4" s="70" t="s">
        <v>28</v>
      </c>
      <c r="E4" s="65"/>
      <c r="F4" s="65"/>
      <c r="G4" s="65"/>
      <c r="H4" s="65"/>
      <c r="I4" s="65"/>
      <c r="J4" s="65"/>
      <c r="K4" s="65"/>
      <c r="L4" s="65"/>
    </row>
    <row r="5" spans="1:12" ht="15.75" customHeight="1" x14ac:dyDescent="0.25">
      <c r="B5" s="64" t="s">
        <v>29</v>
      </c>
      <c r="C5" s="107">
        <v>46118</v>
      </c>
      <c r="D5" s="70" t="s">
        <v>30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63" t="s">
        <v>31</v>
      </c>
      <c r="C6" s="106">
        <v>4</v>
      </c>
      <c r="D6" s="70" t="s">
        <v>32</v>
      </c>
      <c r="E6" s="71" t="s">
        <v>33</v>
      </c>
      <c r="F6" s="71"/>
      <c r="G6" s="65"/>
      <c r="H6" s="65"/>
      <c r="I6" s="65"/>
      <c r="J6" s="65"/>
      <c r="K6" s="65"/>
      <c r="L6" s="65"/>
    </row>
    <row r="7" spans="1:12" ht="15.75" customHeight="1" x14ac:dyDescent="0.25">
      <c r="B7" s="63" t="s">
        <v>34</v>
      </c>
      <c r="C7" s="106">
        <v>1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64" t="s">
        <v>35</v>
      </c>
      <c r="C8" s="108">
        <v>6</v>
      </c>
      <c r="D8" s="70" t="s">
        <v>32</v>
      </c>
      <c r="E8" s="65"/>
      <c r="F8" s="65"/>
      <c r="G8" s="65"/>
      <c r="H8" s="65"/>
      <c r="I8" s="65"/>
      <c r="J8" s="65"/>
      <c r="K8" s="65"/>
      <c r="L8" s="65"/>
    </row>
    <row r="9" spans="1:12" ht="15.75" customHeight="1" x14ac:dyDescent="0.25">
      <c r="B9" s="64" t="s">
        <v>36</v>
      </c>
      <c r="C9" s="109">
        <v>7</v>
      </c>
      <c r="D9" s="70" t="s">
        <v>37</v>
      </c>
      <c r="E9" s="65"/>
      <c r="F9" s="65"/>
      <c r="G9" s="65"/>
      <c r="H9" s="65"/>
      <c r="I9" s="65"/>
      <c r="J9" s="65"/>
      <c r="K9" s="65"/>
      <c r="L9" s="65"/>
    </row>
    <row r="10" spans="1:12" ht="15.75" hidden="1" customHeight="1" x14ac:dyDescent="0.25">
      <c r="B10" s="112"/>
      <c r="C10" s="65"/>
      <c r="D10" s="113"/>
      <c r="E10" s="65"/>
      <c r="F10" s="65"/>
      <c r="G10" s="65"/>
      <c r="H10" s="65"/>
      <c r="I10" s="65"/>
      <c r="J10" s="65"/>
      <c r="K10" s="65"/>
      <c r="L10" s="65"/>
    </row>
    <row r="11" spans="1:12" s="39" customFormat="1" ht="40.5" customHeight="1" x14ac:dyDescent="0.45">
      <c r="A11" s="88"/>
      <c r="B11" s="61" t="s">
        <v>38</v>
      </c>
      <c r="C11" s="60" t="s">
        <v>39</v>
      </c>
      <c r="D11" s="60" t="s">
        <v>40</v>
      </c>
      <c r="E11" s="60" t="s">
        <v>41</v>
      </c>
      <c r="F11" s="60" t="s">
        <v>42</v>
      </c>
      <c r="G11" s="60" t="s">
        <v>43</v>
      </c>
      <c r="H11" s="60" t="s">
        <v>44</v>
      </c>
      <c r="I11" s="60" t="s">
        <v>45</v>
      </c>
      <c r="J11" s="60" t="s">
        <v>46</v>
      </c>
      <c r="K11" s="60" t="s">
        <v>47</v>
      </c>
      <c r="L11" s="60" t="s">
        <v>48</v>
      </c>
    </row>
    <row r="12" spans="1:12" ht="19.5" customHeight="1" x14ac:dyDescent="0.25">
      <c r="A12" s="91"/>
      <c r="B12" s="162" t="s">
        <v>49</v>
      </c>
      <c r="C12" s="163"/>
      <c r="D12" s="163"/>
      <c r="E12" s="163"/>
      <c r="F12" s="164"/>
      <c r="G12" s="165" t="s">
        <v>50</v>
      </c>
      <c r="H12" s="166"/>
      <c r="I12" s="166"/>
      <c r="J12" s="166"/>
      <c r="K12" s="166"/>
      <c r="L12" s="166"/>
    </row>
    <row r="13" spans="1:12" ht="31.5" customHeight="1" x14ac:dyDescent="0.25">
      <c r="A13" s="44" t="s">
        <v>51</v>
      </c>
      <c r="B13" s="45" t="s">
        <v>52</v>
      </c>
      <c r="C13" s="30" t="s">
        <v>2495</v>
      </c>
      <c r="D13" s="30" t="s">
        <v>2496</v>
      </c>
      <c r="E13" s="30" t="s">
        <v>55</v>
      </c>
      <c r="F13" s="58" t="s">
        <v>56</v>
      </c>
      <c r="G13" s="47" t="s">
        <v>57</v>
      </c>
      <c r="H13" s="47" t="s">
        <v>58</v>
      </c>
      <c r="I13" s="31" t="s">
        <v>59</v>
      </c>
      <c r="J13" s="49" t="s">
        <v>60</v>
      </c>
      <c r="K13" s="57" t="s">
        <v>61</v>
      </c>
      <c r="L13" s="77" t="s">
        <v>62</v>
      </c>
    </row>
    <row r="14" spans="1:12" ht="15.75" customHeight="1" x14ac:dyDescent="0.25">
      <c r="A14" s="73"/>
      <c r="B14" s="66">
        <f>C4</f>
        <v>46062</v>
      </c>
      <c r="C14" s="79">
        <f>$C$3</f>
        <v>15</v>
      </c>
      <c r="D14" s="79">
        <f>$C$3</f>
        <v>15</v>
      </c>
      <c r="E14" s="79">
        <f>$C$3</f>
        <v>15</v>
      </c>
      <c r="F14" s="80"/>
      <c r="G14" s="81"/>
      <c r="H14" s="81"/>
      <c r="I14" s="82"/>
      <c r="J14" s="83"/>
      <c r="K14" s="84"/>
      <c r="L14" s="86"/>
    </row>
    <row r="15" spans="1:12" ht="15.75" customHeight="1" x14ac:dyDescent="0.25">
      <c r="A15" s="73" t="s">
        <v>2497</v>
      </c>
      <c r="B15" s="66">
        <f t="shared" ref="B15:B54" si="0">B14+$C$9</f>
        <v>46069</v>
      </c>
      <c r="C15" s="79">
        <f>IF(OR(C14="",C14=0),"",IF(ISBLANK($J14),IF(C14+$K14+$I14-$C$6&lt;=0,IF(AND(C14&gt;0,C14&lt;&gt;""),0,""),C14+$K14+$I14-$C$6),IF((C14-$J14)+$K14+$I14&lt;=0,IF(AND(C14&gt;0,C14&lt;&gt;""),0,""),(C14-$J14)+$K14+$I14)))</f>
        <v>11</v>
      </c>
      <c r="D15" s="79">
        <f t="shared" ref="D15:D54" si="1">IF(OR(D14="",D14=0),"",IF(ISBLANK($J14),IF(D14+$K14+$I14-$C$7&lt;=0,IF(AND(D14&gt;0,D14&lt;&gt;""),0,""),D14+$K14+$I14-$C$7),IF((D14-$J14)+$K14+$I14&lt;=0,IF(AND(D14&gt;0,D14&lt;&gt;""),0,""),(D14-$J14)+$K14+$I14)))</f>
        <v>14</v>
      </c>
      <c r="E15" s="79">
        <f t="shared" ref="E15:E54" si="2">IF(OR(E14="",E14=0),"",IF(ISBLANK($J14),IF(E14+$K14+$I14-$C$8&lt;=0,IF(AND(E14&gt;0,E14&lt;&gt;""),0,""),E14+$K14+$I14-$C$8),IF((E14-$J14)+$K14+$I14&lt;=0,IF(AND(E14&gt;0,E14&lt;&gt;""),0,""),(E14-$J14)+$K14+$I14)))</f>
        <v>9</v>
      </c>
      <c r="F15" s="80" t="str">
        <f>IF(J14="","",IF(G14+F14+H14+I14-J14&lt;0,0,G14+F14+H14+I14-J14))</f>
        <v/>
      </c>
      <c r="G15" s="81"/>
      <c r="H15" s="81"/>
      <c r="I15" s="82"/>
      <c r="J15" s="83"/>
      <c r="K15" s="84"/>
      <c r="L15" s="86"/>
    </row>
    <row r="16" spans="1:12" ht="15.75" customHeight="1" x14ac:dyDescent="0.25">
      <c r="A16" s="73" t="s">
        <v>2498</v>
      </c>
      <c r="B16" s="66">
        <f t="shared" si="0"/>
        <v>46076</v>
      </c>
      <c r="C16" s="85">
        <f t="shared" ref="C16:C54" si="3">IF(OR(C15="",C15=0),"",IF(ISBLANK(J15),IF(C15+K15+I15-$C$6&lt;=0,IF(AND(C15&gt;0,C15&lt;&gt;""),0,""),C15+K15+I15-$C$6),IF((C15-J15)+K15+I15&lt;=0,IF(AND(C15&gt;0,C15&lt;&gt;""),0,""),(C15-J15)+K15+I15)))</f>
        <v>7</v>
      </c>
      <c r="D16" s="85">
        <f t="shared" si="1"/>
        <v>13</v>
      </c>
      <c r="E16" s="85">
        <f t="shared" si="2"/>
        <v>3</v>
      </c>
      <c r="F16" s="80" t="str">
        <f t="shared" ref="F16:F54" si="4">IF(J15="","",IF(G15+F15+H15+I15-J15&lt;0,0,G15+F15+H15+I15-J15))</f>
        <v/>
      </c>
      <c r="G16" s="81"/>
      <c r="H16" s="81"/>
      <c r="I16" s="82"/>
      <c r="J16" s="83"/>
      <c r="K16" s="84"/>
      <c r="L16" s="86"/>
    </row>
    <row r="17" spans="1:12" ht="23.25" customHeight="1" x14ac:dyDescent="0.25">
      <c r="A17" s="73" t="s">
        <v>2499</v>
      </c>
      <c r="B17" s="66">
        <f t="shared" si="0"/>
        <v>46083</v>
      </c>
      <c r="C17" s="85">
        <f t="shared" si="3"/>
        <v>3</v>
      </c>
      <c r="D17" s="85">
        <f t="shared" si="1"/>
        <v>12</v>
      </c>
      <c r="E17" s="85">
        <f t="shared" si="2"/>
        <v>0</v>
      </c>
      <c r="F17" s="80" t="str">
        <f t="shared" si="4"/>
        <v/>
      </c>
      <c r="G17" s="81"/>
      <c r="H17" s="81"/>
      <c r="I17" s="82"/>
      <c r="J17" s="83"/>
      <c r="K17" s="84"/>
      <c r="L17" s="111"/>
    </row>
    <row r="18" spans="1:12" ht="15.75" customHeight="1" x14ac:dyDescent="0.25">
      <c r="A18" s="73" t="s">
        <v>2500</v>
      </c>
      <c r="B18" s="66">
        <f t="shared" si="0"/>
        <v>46090</v>
      </c>
      <c r="C18" s="85">
        <f t="shared" si="3"/>
        <v>0</v>
      </c>
      <c r="D18" s="85">
        <f t="shared" si="1"/>
        <v>11</v>
      </c>
      <c r="E18" s="85" t="str">
        <f t="shared" si="2"/>
        <v/>
      </c>
      <c r="F18" s="80" t="str">
        <f t="shared" si="4"/>
        <v/>
      </c>
      <c r="G18" s="81"/>
      <c r="H18" s="81"/>
      <c r="I18" s="82"/>
      <c r="J18" s="83"/>
      <c r="K18" s="84"/>
      <c r="L18" s="86"/>
    </row>
    <row r="19" spans="1:12" ht="15.75" customHeight="1" x14ac:dyDescent="0.25">
      <c r="A19" s="73" t="s">
        <v>2501</v>
      </c>
      <c r="B19" s="66">
        <f t="shared" si="0"/>
        <v>46097</v>
      </c>
      <c r="C19" s="85" t="str">
        <f t="shared" si="3"/>
        <v/>
      </c>
      <c r="D19" s="85">
        <f t="shared" si="1"/>
        <v>10</v>
      </c>
      <c r="E19" s="85" t="str">
        <f t="shared" si="2"/>
        <v/>
      </c>
      <c r="F19" s="80" t="str">
        <f t="shared" si="4"/>
        <v/>
      </c>
      <c r="G19" s="81"/>
      <c r="H19" s="81"/>
      <c r="I19" s="82"/>
      <c r="J19" s="83"/>
      <c r="K19" s="84"/>
      <c r="L19" s="86"/>
    </row>
    <row r="20" spans="1:12" ht="15.75" customHeight="1" x14ac:dyDescent="0.25">
      <c r="A20" s="73" t="s">
        <v>2502</v>
      </c>
      <c r="B20" s="66">
        <f t="shared" si="0"/>
        <v>46104</v>
      </c>
      <c r="C20" s="85" t="str">
        <f t="shared" si="3"/>
        <v/>
      </c>
      <c r="D20" s="85">
        <f t="shared" si="1"/>
        <v>9</v>
      </c>
      <c r="E20" s="85" t="str">
        <f t="shared" si="2"/>
        <v/>
      </c>
      <c r="F20" s="80" t="str">
        <f t="shared" si="4"/>
        <v/>
      </c>
      <c r="G20" s="81"/>
      <c r="H20" s="81"/>
      <c r="I20" s="82"/>
      <c r="J20" s="83"/>
      <c r="K20" s="84"/>
      <c r="L20" s="86"/>
    </row>
    <row r="21" spans="1:12" ht="15.75" customHeight="1" x14ac:dyDescent="0.25">
      <c r="A21" s="73" t="s">
        <v>2503</v>
      </c>
      <c r="B21" s="66">
        <f t="shared" si="0"/>
        <v>46111</v>
      </c>
      <c r="C21" s="85" t="str">
        <f t="shared" si="3"/>
        <v/>
      </c>
      <c r="D21" s="85">
        <f t="shared" si="1"/>
        <v>8</v>
      </c>
      <c r="E21" s="85" t="str">
        <f t="shared" si="2"/>
        <v/>
      </c>
      <c r="F21" s="80" t="str">
        <f t="shared" si="4"/>
        <v/>
      </c>
      <c r="G21" s="81"/>
      <c r="H21" s="81"/>
      <c r="I21" s="82"/>
      <c r="J21" s="83"/>
      <c r="K21" s="84"/>
      <c r="L21" s="86"/>
    </row>
    <row r="22" spans="1:12" ht="15.75" customHeight="1" x14ac:dyDescent="0.25">
      <c r="A22" s="73" t="s">
        <v>2504</v>
      </c>
      <c r="B22" s="66">
        <f t="shared" si="0"/>
        <v>46118</v>
      </c>
      <c r="C22" s="85" t="str">
        <f t="shared" si="3"/>
        <v/>
      </c>
      <c r="D22" s="85">
        <f t="shared" si="1"/>
        <v>7</v>
      </c>
      <c r="E22" s="85" t="str">
        <f t="shared" si="2"/>
        <v/>
      </c>
      <c r="F22" s="80" t="str">
        <f t="shared" si="4"/>
        <v/>
      </c>
      <c r="G22" s="81"/>
      <c r="H22" s="81"/>
      <c r="I22" s="82"/>
      <c r="J22" s="83"/>
      <c r="K22" s="84"/>
      <c r="L22" s="86"/>
    </row>
    <row r="23" spans="1:12" ht="15.75" customHeight="1" x14ac:dyDescent="0.25">
      <c r="A23" s="73" t="s">
        <v>2505</v>
      </c>
      <c r="B23" s="66">
        <f t="shared" si="0"/>
        <v>46125</v>
      </c>
      <c r="C23" s="85" t="str">
        <f t="shared" si="3"/>
        <v/>
      </c>
      <c r="D23" s="85">
        <f t="shared" si="1"/>
        <v>6</v>
      </c>
      <c r="E23" s="85" t="str">
        <f t="shared" si="2"/>
        <v/>
      </c>
      <c r="F23" s="80" t="str">
        <f t="shared" si="4"/>
        <v/>
      </c>
      <c r="G23" s="81"/>
      <c r="H23" s="81"/>
      <c r="I23" s="82"/>
      <c r="J23" s="83"/>
      <c r="K23" s="84"/>
      <c r="L23" s="86"/>
    </row>
    <row r="24" spans="1:12" ht="15.75" customHeight="1" x14ac:dyDescent="0.25">
      <c r="A24" s="73" t="s">
        <v>2506</v>
      </c>
      <c r="B24" s="66">
        <f t="shared" si="0"/>
        <v>46132</v>
      </c>
      <c r="C24" s="85" t="str">
        <f t="shared" si="3"/>
        <v/>
      </c>
      <c r="D24" s="85">
        <f t="shared" si="1"/>
        <v>5</v>
      </c>
      <c r="E24" s="85" t="str">
        <f t="shared" si="2"/>
        <v/>
      </c>
      <c r="F24" s="80" t="str">
        <f t="shared" si="4"/>
        <v/>
      </c>
      <c r="G24" s="81"/>
      <c r="H24" s="81"/>
      <c r="I24" s="82"/>
      <c r="J24" s="83"/>
      <c r="K24" s="84"/>
      <c r="L24" s="86"/>
    </row>
    <row r="25" spans="1:12" ht="15.75" customHeight="1" x14ac:dyDescent="0.25">
      <c r="A25" s="73" t="s">
        <v>2507</v>
      </c>
      <c r="B25" s="66">
        <f t="shared" si="0"/>
        <v>46139</v>
      </c>
      <c r="C25" s="85" t="str">
        <f t="shared" si="3"/>
        <v/>
      </c>
      <c r="D25" s="85">
        <f t="shared" si="1"/>
        <v>4</v>
      </c>
      <c r="E25" s="85" t="str">
        <f t="shared" si="2"/>
        <v/>
      </c>
      <c r="F25" s="80" t="str">
        <f t="shared" si="4"/>
        <v/>
      </c>
      <c r="G25" s="81"/>
      <c r="H25" s="81"/>
      <c r="I25" s="82"/>
      <c r="J25" s="83"/>
      <c r="K25" s="84"/>
      <c r="L25" s="86"/>
    </row>
    <row r="26" spans="1:12" ht="15.75" customHeight="1" x14ac:dyDescent="0.25">
      <c r="A26" s="73" t="s">
        <v>2508</v>
      </c>
      <c r="B26" s="66">
        <f t="shared" si="0"/>
        <v>46146</v>
      </c>
      <c r="C26" s="85" t="str">
        <f t="shared" si="3"/>
        <v/>
      </c>
      <c r="D26" s="85">
        <f t="shared" si="1"/>
        <v>3</v>
      </c>
      <c r="E26" s="85" t="str">
        <f t="shared" si="2"/>
        <v/>
      </c>
      <c r="F26" s="80" t="str">
        <f t="shared" si="4"/>
        <v/>
      </c>
      <c r="G26" s="81"/>
      <c r="H26" s="81"/>
      <c r="I26" s="82"/>
      <c r="J26" s="83"/>
      <c r="K26" s="84"/>
      <c r="L26" s="86"/>
    </row>
    <row r="27" spans="1:12" ht="15.75" customHeight="1" x14ac:dyDescent="0.25">
      <c r="A27" s="73" t="s">
        <v>2509</v>
      </c>
      <c r="B27" s="66">
        <f t="shared" si="0"/>
        <v>46153</v>
      </c>
      <c r="C27" s="85" t="str">
        <f t="shared" si="3"/>
        <v/>
      </c>
      <c r="D27" s="85">
        <f t="shared" si="1"/>
        <v>2</v>
      </c>
      <c r="E27" s="85" t="str">
        <f t="shared" si="2"/>
        <v/>
      </c>
      <c r="F27" s="80" t="str">
        <f t="shared" si="4"/>
        <v/>
      </c>
      <c r="G27" s="81"/>
      <c r="H27" s="81"/>
      <c r="I27" s="82"/>
      <c r="J27" s="83"/>
      <c r="K27" s="84"/>
      <c r="L27" s="86"/>
    </row>
    <row r="28" spans="1:12" ht="15.75" customHeight="1" x14ac:dyDescent="0.25">
      <c r="A28" s="73" t="s">
        <v>2510</v>
      </c>
      <c r="B28" s="66">
        <f t="shared" si="0"/>
        <v>46160</v>
      </c>
      <c r="C28" s="85" t="str">
        <f t="shared" si="3"/>
        <v/>
      </c>
      <c r="D28" s="85">
        <f t="shared" si="1"/>
        <v>1</v>
      </c>
      <c r="E28" s="85" t="str">
        <f t="shared" si="2"/>
        <v/>
      </c>
      <c r="F28" s="80" t="str">
        <f t="shared" si="4"/>
        <v/>
      </c>
      <c r="G28" s="81"/>
      <c r="H28" s="81"/>
      <c r="I28" s="82"/>
      <c r="J28" s="83"/>
      <c r="K28" s="84"/>
      <c r="L28" s="86"/>
    </row>
    <row r="29" spans="1:12" ht="15.75" customHeight="1" x14ac:dyDescent="0.25">
      <c r="A29" s="73" t="s">
        <v>2511</v>
      </c>
      <c r="B29" s="66">
        <f t="shared" si="0"/>
        <v>46167</v>
      </c>
      <c r="C29" s="85" t="str">
        <f t="shared" si="3"/>
        <v/>
      </c>
      <c r="D29" s="85">
        <f t="shared" si="1"/>
        <v>0</v>
      </c>
      <c r="E29" s="85" t="str">
        <f t="shared" si="2"/>
        <v/>
      </c>
      <c r="F29" s="80" t="str">
        <f t="shared" si="4"/>
        <v/>
      </c>
      <c r="G29" s="81"/>
      <c r="H29" s="81"/>
      <c r="I29" s="82"/>
      <c r="J29" s="83"/>
      <c r="K29" s="84"/>
      <c r="L29" s="86"/>
    </row>
    <row r="30" spans="1:12" ht="15.75" customHeight="1" x14ac:dyDescent="0.25">
      <c r="A30" s="73" t="s">
        <v>2512</v>
      </c>
      <c r="B30" s="66">
        <f t="shared" si="0"/>
        <v>46174</v>
      </c>
      <c r="C30" s="85" t="str">
        <f t="shared" si="3"/>
        <v/>
      </c>
      <c r="D30" s="85" t="str">
        <f t="shared" si="1"/>
        <v/>
      </c>
      <c r="E30" s="85" t="str">
        <f t="shared" si="2"/>
        <v/>
      </c>
      <c r="F30" s="80" t="str">
        <f t="shared" si="4"/>
        <v/>
      </c>
      <c r="G30" s="81"/>
      <c r="H30" s="81"/>
      <c r="I30" s="82"/>
      <c r="J30" s="83"/>
      <c r="K30" s="84"/>
      <c r="L30" s="86"/>
    </row>
    <row r="31" spans="1:12" ht="15.75" customHeight="1" x14ac:dyDescent="0.25">
      <c r="A31" s="73"/>
      <c r="B31" s="66">
        <f t="shared" si="0"/>
        <v>46181</v>
      </c>
      <c r="C31" s="85" t="str">
        <f t="shared" si="3"/>
        <v/>
      </c>
      <c r="D31" s="85" t="str">
        <f t="shared" si="1"/>
        <v/>
      </c>
      <c r="E31" s="85" t="str">
        <f t="shared" si="2"/>
        <v/>
      </c>
      <c r="F31" s="80" t="str">
        <f t="shared" si="4"/>
        <v/>
      </c>
      <c r="G31" s="81"/>
      <c r="H31" s="81"/>
      <c r="I31" s="82"/>
      <c r="J31" s="83"/>
      <c r="K31" s="84"/>
      <c r="L31" s="86"/>
    </row>
    <row r="32" spans="1:12" ht="15.75" customHeight="1" x14ac:dyDescent="0.25">
      <c r="A32" s="73"/>
      <c r="B32" s="66">
        <f t="shared" si="0"/>
        <v>46188</v>
      </c>
      <c r="C32" s="85" t="str">
        <f t="shared" si="3"/>
        <v/>
      </c>
      <c r="D32" s="85" t="str">
        <f t="shared" si="1"/>
        <v/>
      </c>
      <c r="E32" s="85" t="str">
        <f t="shared" si="2"/>
        <v/>
      </c>
      <c r="F32" s="80" t="str">
        <f t="shared" si="4"/>
        <v/>
      </c>
      <c r="G32" s="81"/>
      <c r="H32" s="81"/>
      <c r="I32" s="82"/>
      <c r="J32" s="83"/>
      <c r="K32" s="84"/>
      <c r="L32" s="86"/>
    </row>
    <row r="33" spans="1:12" ht="15.75" customHeight="1" x14ac:dyDescent="0.25">
      <c r="A33" s="73"/>
      <c r="B33" s="66">
        <f t="shared" si="0"/>
        <v>46195</v>
      </c>
      <c r="C33" s="85" t="str">
        <f t="shared" si="3"/>
        <v/>
      </c>
      <c r="D33" s="85" t="str">
        <f t="shared" si="1"/>
        <v/>
      </c>
      <c r="E33" s="85" t="str">
        <f t="shared" si="2"/>
        <v/>
      </c>
      <c r="F33" s="80" t="str">
        <f t="shared" si="4"/>
        <v/>
      </c>
      <c r="G33" s="81"/>
      <c r="H33" s="81"/>
      <c r="I33" s="82"/>
      <c r="J33" s="83"/>
      <c r="K33" s="84"/>
      <c r="L33" s="86"/>
    </row>
    <row r="34" spans="1:12" ht="15.75" customHeight="1" x14ac:dyDescent="0.25">
      <c r="A34" s="73"/>
      <c r="B34" s="66">
        <f t="shared" si="0"/>
        <v>46202</v>
      </c>
      <c r="C34" s="85" t="str">
        <f t="shared" si="3"/>
        <v/>
      </c>
      <c r="D34" s="85" t="str">
        <f t="shared" si="1"/>
        <v/>
      </c>
      <c r="E34" s="85" t="str">
        <f t="shared" si="2"/>
        <v/>
      </c>
      <c r="F34" s="80" t="str">
        <f t="shared" si="4"/>
        <v/>
      </c>
      <c r="G34" s="81"/>
      <c r="H34" s="81"/>
      <c r="I34" s="82"/>
      <c r="J34" s="83"/>
      <c r="K34" s="84"/>
      <c r="L34" s="86"/>
    </row>
    <row r="35" spans="1:12" ht="15.75" customHeight="1" x14ac:dyDescent="0.25">
      <c r="A35" s="73"/>
      <c r="B35" s="66">
        <f t="shared" si="0"/>
        <v>46209</v>
      </c>
      <c r="C35" s="85" t="str">
        <f t="shared" si="3"/>
        <v/>
      </c>
      <c r="D35" s="85" t="str">
        <f t="shared" si="1"/>
        <v/>
      </c>
      <c r="E35" s="85" t="str">
        <f t="shared" si="2"/>
        <v/>
      </c>
      <c r="F35" s="80" t="str">
        <f t="shared" si="4"/>
        <v/>
      </c>
      <c r="G35" s="81"/>
      <c r="H35" s="81"/>
      <c r="I35" s="82"/>
      <c r="J35" s="83"/>
      <c r="K35" s="84"/>
      <c r="L35" s="86"/>
    </row>
    <row r="36" spans="1:12" ht="15.75" customHeight="1" x14ac:dyDescent="0.25">
      <c r="A36" s="73"/>
      <c r="B36" s="66">
        <f t="shared" si="0"/>
        <v>46216</v>
      </c>
      <c r="C36" s="85" t="str">
        <f t="shared" si="3"/>
        <v/>
      </c>
      <c r="D36" s="85" t="str">
        <f t="shared" si="1"/>
        <v/>
      </c>
      <c r="E36" s="85" t="str">
        <f t="shared" si="2"/>
        <v/>
      </c>
      <c r="F36" s="80" t="str">
        <f t="shared" si="4"/>
        <v/>
      </c>
      <c r="G36" s="81"/>
      <c r="H36" s="81"/>
      <c r="I36" s="82"/>
      <c r="J36" s="83"/>
      <c r="K36" s="84"/>
      <c r="L36" s="86"/>
    </row>
    <row r="37" spans="1:12" ht="15.75" customHeight="1" x14ac:dyDescent="0.25">
      <c r="A37" s="73"/>
      <c r="B37" s="66">
        <f t="shared" si="0"/>
        <v>46223</v>
      </c>
      <c r="C37" s="85" t="str">
        <f t="shared" si="3"/>
        <v/>
      </c>
      <c r="D37" s="85" t="str">
        <f t="shared" si="1"/>
        <v/>
      </c>
      <c r="E37" s="85" t="str">
        <f t="shared" si="2"/>
        <v/>
      </c>
      <c r="F37" s="80" t="str">
        <f t="shared" si="4"/>
        <v/>
      </c>
      <c r="G37" s="81"/>
      <c r="H37" s="81"/>
      <c r="I37" s="82"/>
      <c r="J37" s="83"/>
      <c r="K37" s="84"/>
      <c r="L37" s="86"/>
    </row>
    <row r="38" spans="1:12" ht="15.75" customHeight="1" x14ac:dyDescent="0.25">
      <c r="A38" s="73"/>
      <c r="B38" s="66">
        <f t="shared" si="0"/>
        <v>46230</v>
      </c>
      <c r="C38" s="85" t="str">
        <f t="shared" si="3"/>
        <v/>
      </c>
      <c r="D38" s="85" t="str">
        <f t="shared" si="1"/>
        <v/>
      </c>
      <c r="E38" s="85" t="str">
        <f t="shared" si="2"/>
        <v/>
      </c>
      <c r="F38" s="80" t="str">
        <f t="shared" si="4"/>
        <v/>
      </c>
      <c r="G38" s="81"/>
      <c r="H38" s="81"/>
      <c r="I38" s="82"/>
      <c r="J38" s="83"/>
      <c r="K38" s="84"/>
      <c r="L38" s="86"/>
    </row>
    <row r="39" spans="1:12" ht="15.75" customHeight="1" x14ac:dyDescent="0.25">
      <c r="A39" s="73"/>
      <c r="B39" s="66">
        <f t="shared" si="0"/>
        <v>46237</v>
      </c>
      <c r="C39" s="85" t="str">
        <f t="shared" si="3"/>
        <v/>
      </c>
      <c r="D39" s="85" t="str">
        <f t="shared" si="1"/>
        <v/>
      </c>
      <c r="E39" s="85" t="str">
        <f t="shared" si="2"/>
        <v/>
      </c>
      <c r="F39" s="80" t="str">
        <f t="shared" si="4"/>
        <v/>
      </c>
      <c r="G39" s="81"/>
      <c r="H39" s="81"/>
      <c r="I39" s="82"/>
      <c r="J39" s="83"/>
      <c r="K39" s="84"/>
      <c r="L39" s="86"/>
    </row>
    <row r="40" spans="1:12" ht="15.75" customHeight="1" x14ac:dyDescent="0.25">
      <c r="A40" s="73"/>
      <c r="B40" s="66">
        <f t="shared" si="0"/>
        <v>46244</v>
      </c>
      <c r="C40" s="85" t="str">
        <f t="shared" si="3"/>
        <v/>
      </c>
      <c r="D40" s="85" t="str">
        <f t="shared" si="1"/>
        <v/>
      </c>
      <c r="E40" s="85" t="str">
        <f t="shared" si="2"/>
        <v/>
      </c>
      <c r="F40" s="80" t="str">
        <f t="shared" si="4"/>
        <v/>
      </c>
      <c r="G40" s="81"/>
      <c r="H40" s="81"/>
      <c r="I40" s="82"/>
      <c r="J40" s="83"/>
      <c r="K40" s="84"/>
      <c r="L40" s="86"/>
    </row>
    <row r="41" spans="1:12" ht="15.75" customHeight="1" x14ac:dyDescent="0.25">
      <c r="A41" s="73"/>
      <c r="B41" s="66">
        <f t="shared" si="0"/>
        <v>46251</v>
      </c>
      <c r="C41" s="85" t="str">
        <f t="shared" si="3"/>
        <v/>
      </c>
      <c r="D41" s="85" t="str">
        <f t="shared" si="1"/>
        <v/>
      </c>
      <c r="E41" s="85" t="str">
        <f t="shared" si="2"/>
        <v/>
      </c>
      <c r="F41" s="80" t="str">
        <f t="shared" si="4"/>
        <v/>
      </c>
      <c r="G41" s="81"/>
      <c r="H41" s="81"/>
      <c r="I41" s="82"/>
      <c r="J41" s="83"/>
      <c r="K41" s="84"/>
      <c r="L41" s="86"/>
    </row>
    <row r="42" spans="1:12" ht="15.75" customHeight="1" x14ac:dyDescent="0.25">
      <c r="A42" s="73"/>
      <c r="B42" s="66">
        <f t="shared" si="0"/>
        <v>46258</v>
      </c>
      <c r="C42" s="85" t="str">
        <f t="shared" si="3"/>
        <v/>
      </c>
      <c r="D42" s="85" t="str">
        <f t="shared" si="1"/>
        <v/>
      </c>
      <c r="E42" s="85" t="str">
        <f t="shared" si="2"/>
        <v/>
      </c>
      <c r="F42" s="80" t="str">
        <f t="shared" si="4"/>
        <v/>
      </c>
      <c r="G42" s="81"/>
      <c r="H42" s="81"/>
      <c r="I42" s="82"/>
      <c r="J42" s="83"/>
      <c r="K42" s="84"/>
      <c r="L42" s="86"/>
    </row>
    <row r="43" spans="1:12" ht="15.75" customHeight="1" x14ac:dyDescent="0.25">
      <c r="A43" s="73"/>
      <c r="B43" s="66">
        <f t="shared" si="0"/>
        <v>46265</v>
      </c>
      <c r="C43" s="85" t="str">
        <f t="shared" si="3"/>
        <v/>
      </c>
      <c r="D43" s="85" t="str">
        <f t="shared" si="1"/>
        <v/>
      </c>
      <c r="E43" s="85" t="str">
        <f t="shared" si="2"/>
        <v/>
      </c>
      <c r="F43" s="80" t="str">
        <f t="shared" si="4"/>
        <v/>
      </c>
      <c r="G43" s="81"/>
      <c r="H43" s="81"/>
      <c r="I43" s="82"/>
      <c r="J43" s="83"/>
      <c r="K43" s="84"/>
      <c r="L43" s="86"/>
    </row>
    <row r="44" spans="1:12" ht="15.75" customHeight="1" x14ac:dyDescent="0.25">
      <c r="A44" s="73"/>
      <c r="B44" s="66">
        <f t="shared" si="0"/>
        <v>46272</v>
      </c>
      <c r="C44" s="85" t="str">
        <f t="shared" si="3"/>
        <v/>
      </c>
      <c r="D44" s="85" t="str">
        <f t="shared" si="1"/>
        <v/>
      </c>
      <c r="E44" s="85" t="str">
        <f t="shared" si="2"/>
        <v/>
      </c>
      <c r="F44" s="80" t="str">
        <f t="shared" si="4"/>
        <v/>
      </c>
      <c r="G44" s="81"/>
      <c r="H44" s="81"/>
      <c r="I44" s="82"/>
      <c r="J44" s="83"/>
      <c r="K44" s="84"/>
      <c r="L44" s="86"/>
    </row>
    <row r="45" spans="1:12" ht="15.75" customHeight="1" x14ac:dyDescent="0.25">
      <c r="A45" s="73"/>
      <c r="B45" s="66">
        <f t="shared" si="0"/>
        <v>46279</v>
      </c>
      <c r="C45" s="85" t="str">
        <f t="shared" si="3"/>
        <v/>
      </c>
      <c r="D45" s="85" t="str">
        <f t="shared" si="1"/>
        <v/>
      </c>
      <c r="E45" s="85" t="str">
        <f t="shared" si="2"/>
        <v/>
      </c>
      <c r="F45" s="80" t="str">
        <f t="shared" si="4"/>
        <v/>
      </c>
      <c r="G45" s="81"/>
      <c r="H45" s="81"/>
      <c r="I45" s="82"/>
      <c r="J45" s="83"/>
      <c r="K45" s="84"/>
      <c r="L45" s="86"/>
    </row>
    <row r="46" spans="1:12" ht="15.75" customHeight="1" x14ac:dyDescent="0.25">
      <c r="A46" s="73"/>
      <c r="B46" s="66">
        <f t="shared" si="0"/>
        <v>46286</v>
      </c>
      <c r="C46" s="85" t="str">
        <f t="shared" si="3"/>
        <v/>
      </c>
      <c r="D46" s="85" t="str">
        <f t="shared" si="1"/>
        <v/>
      </c>
      <c r="E46" s="85" t="str">
        <f t="shared" si="2"/>
        <v/>
      </c>
      <c r="F46" s="80" t="str">
        <f t="shared" si="4"/>
        <v/>
      </c>
      <c r="G46" s="81"/>
      <c r="H46" s="81"/>
      <c r="I46" s="82"/>
      <c r="J46" s="83"/>
      <c r="K46" s="84"/>
      <c r="L46" s="86"/>
    </row>
    <row r="47" spans="1:12" ht="15.75" customHeight="1" x14ac:dyDescent="0.25">
      <c r="A47" s="73"/>
      <c r="B47" s="66">
        <f t="shared" si="0"/>
        <v>46293</v>
      </c>
      <c r="C47" s="85" t="str">
        <f t="shared" si="3"/>
        <v/>
      </c>
      <c r="D47" s="85" t="str">
        <f t="shared" si="1"/>
        <v/>
      </c>
      <c r="E47" s="85" t="str">
        <f t="shared" si="2"/>
        <v/>
      </c>
      <c r="F47" s="80" t="str">
        <f t="shared" si="4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/>
      <c r="B48" s="66">
        <f t="shared" si="0"/>
        <v>46300</v>
      </c>
      <c r="C48" s="85" t="str">
        <f t="shared" si="3"/>
        <v/>
      </c>
      <c r="D48" s="85" t="str">
        <f t="shared" si="1"/>
        <v/>
      </c>
      <c r="E48" s="85" t="str">
        <f t="shared" si="2"/>
        <v/>
      </c>
      <c r="F48" s="80" t="str">
        <f t="shared" si="4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0"/>
        <v>46307</v>
      </c>
      <c r="C49" s="85" t="str">
        <f t="shared" si="3"/>
        <v/>
      </c>
      <c r="D49" s="85" t="str">
        <f t="shared" si="1"/>
        <v/>
      </c>
      <c r="E49" s="85" t="str">
        <f t="shared" si="2"/>
        <v/>
      </c>
      <c r="F49" s="80" t="str">
        <f t="shared" si="4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0"/>
        <v>46314</v>
      </c>
      <c r="C50" s="85" t="str">
        <f t="shared" si="3"/>
        <v/>
      </c>
      <c r="D50" s="85" t="str">
        <f t="shared" si="1"/>
        <v/>
      </c>
      <c r="E50" s="85" t="str">
        <f t="shared" si="2"/>
        <v/>
      </c>
      <c r="F50" s="80" t="str">
        <f t="shared" si="4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0"/>
        <v>46321</v>
      </c>
      <c r="C51" s="85" t="str">
        <f t="shared" si="3"/>
        <v/>
      </c>
      <c r="D51" s="85" t="str">
        <f t="shared" si="1"/>
        <v/>
      </c>
      <c r="E51" s="85" t="str">
        <f t="shared" si="2"/>
        <v/>
      </c>
      <c r="F51" s="80" t="str">
        <f t="shared" si="4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0"/>
        <v>46328</v>
      </c>
      <c r="C52" s="85" t="str">
        <f t="shared" si="3"/>
        <v/>
      </c>
      <c r="D52" s="85" t="str">
        <f t="shared" si="1"/>
        <v/>
      </c>
      <c r="E52" s="85" t="str">
        <f t="shared" si="2"/>
        <v/>
      </c>
      <c r="F52" s="80" t="str">
        <f t="shared" si="4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0"/>
        <v>46335</v>
      </c>
      <c r="C53" s="85" t="str">
        <f t="shared" si="3"/>
        <v/>
      </c>
      <c r="D53" s="85" t="str">
        <f t="shared" si="1"/>
        <v/>
      </c>
      <c r="E53" s="85" t="str">
        <f t="shared" si="2"/>
        <v/>
      </c>
      <c r="F53" s="80" t="str">
        <f t="shared" si="4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0"/>
        <v>46342</v>
      </c>
      <c r="C54" s="85" t="str">
        <f t="shared" si="3"/>
        <v/>
      </c>
      <c r="D54" s="85" t="str">
        <f t="shared" si="1"/>
        <v/>
      </c>
      <c r="E54" s="85" t="str">
        <f t="shared" si="2"/>
        <v/>
      </c>
      <c r="F54" s="80" t="str">
        <f t="shared" si="4"/>
        <v/>
      </c>
      <c r="G54" s="81"/>
      <c r="H54" s="81"/>
      <c r="I54" s="82"/>
      <c r="J54" s="83"/>
      <c r="K54" s="84"/>
      <c r="L54" s="86"/>
    </row>
    <row r="92" spans="2:3" ht="15.75" customHeight="1" x14ac:dyDescent="0.25">
      <c r="B92" s="67" t="e">
        <f>IF(#REF!="","",IF(#REF!+$C$9&lt;=$C$5,#REF!+$C$9,""))</f>
        <v>#REF!</v>
      </c>
      <c r="C92" s="76" t="e">
        <f>IF(B92&lt;&gt;"",#REF!-$C$2/COUNT($B$17:$B$510),"")</f>
        <v>#REF!</v>
      </c>
    </row>
    <row r="93" spans="2:3" ht="15.75" customHeight="1" x14ac:dyDescent="0.25">
      <c r="B93" s="67" t="e">
        <f t="shared" ref="B93:B156" si="5">IF(B92="","",IF(B92+$C$9&lt;=$C$5,B92+$C$9,""))</f>
        <v>#REF!</v>
      </c>
      <c r="C93" s="76" t="e">
        <f t="shared" ref="C93:C156" si="6">IF(B93&lt;&gt;"",C92-$C$2/COUNT($B$17:$B$510),"")</f>
        <v>#REF!</v>
      </c>
    </row>
    <row r="94" spans="2:3" ht="15.75" customHeight="1" x14ac:dyDescent="0.25">
      <c r="B94" s="67" t="e">
        <f t="shared" si="5"/>
        <v>#REF!</v>
      </c>
      <c r="C94" s="76" t="e">
        <f t="shared" si="6"/>
        <v>#REF!</v>
      </c>
    </row>
    <row r="95" spans="2:3" ht="15.75" customHeight="1" x14ac:dyDescent="0.25">
      <c r="B95" s="67" t="e">
        <f t="shared" si="5"/>
        <v>#REF!</v>
      </c>
      <c r="C95" s="76" t="e">
        <f t="shared" si="6"/>
        <v>#REF!</v>
      </c>
    </row>
    <row r="96" spans="2:3" ht="15.75" customHeight="1" x14ac:dyDescent="0.25">
      <c r="B96" s="67" t="e">
        <f t="shared" si="5"/>
        <v>#REF!</v>
      </c>
      <c r="C96" s="76" t="e">
        <f t="shared" si="6"/>
        <v>#REF!</v>
      </c>
    </row>
    <row r="97" spans="2:3" ht="15.75" customHeight="1" x14ac:dyDescent="0.25">
      <c r="B97" s="67" t="e">
        <f t="shared" si="5"/>
        <v>#REF!</v>
      </c>
      <c r="C97" s="76" t="e">
        <f t="shared" si="6"/>
        <v>#REF!</v>
      </c>
    </row>
    <row r="98" spans="2:3" ht="15.75" customHeight="1" x14ac:dyDescent="0.25">
      <c r="B98" s="67" t="e">
        <f t="shared" si="5"/>
        <v>#REF!</v>
      </c>
      <c r="C98" s="76" t="e">
        <f t="shared" si="6"/>
        <v>#REF!</v>
      </c>
    </row>
    <row r="99" spans="2:3" ht="15.75" customHeight="1" x14ac:dyDescent="0.25">
      <c r="B99" s="67" t="e">
        <f t="shared" si="5"/>
        <v>#REF!</v>
      </c>
      <c r="C99" s="76" t="e">
        <f t="shared" si="6"/>
        <v>#REF!</v>
      </c>
    </row>
    <row r="100" spans="2:3" ht="15.75" customHeight="1" x14ac:dyDescent="0.25">
      <c r="B100" s="67" t="e">
        <f t="shared" si="5"/>
        <v>#REF!</v>
      </c>
      <c r="C100" s="76" t="e">
        <f t="shared" si="6"/>
        <v>#REF!</v>
      </c>
    </row>
    <row r="101" spans="2:3" ht="15.75" customHeight="1" x14ac:dyDescent="0.25">
      <c r="B101" s="67" t="e">
        <f t="shared" si="5"/>
        <v>#REF!</v>
      </c>
      <c r="C101" s="76" t="e">
        <f t="shared" si="6"/>
        <v>#REF!</v>
      </c>
    </row>
    <row r="102" spans="2:3" ht="15.75" customHeight="1" x14ac:dyDescent="0.25">
      <c r="B102" s="67" t="e">
        <f t="shared" si="5"/>
        <v>#REF!</v>
      </c>
      <c r="C102" s="76" t="e">
        <f t="shared" si="6"/>
        <v>#REF!</v>
      </c>
    </row>
    <row r="103" spans="2:3" ht="15.75" customHeight="1" x14ac:dyDescent="0.25">
      <c r="B103" s="67" t="e">
        <f t="shared" si="5"/>
        <v>#REF!</v>
      </c>
      <c r="C103" s="76" t="e">
        <f t="shared" si="6"/>
        <v>#REF!</v>
      </c>
    </row>
    <row r="104" spans="2:3" ht="15.75" customHeight="1" x14ac:dyDescent="0.25">
      <c r="B104" s="67" t="e">
        <f t="shared" si="5"/>
        <v>#REF!</v>
      </c>
      <c r="C104" s="76" t="e">
        <f t="shared" si="6"/>
        <v>#REF!</v>
      </c>
    </row>
    <row r="105" spans="2:3" ht="15.75" customHeight="1" x14ac:dyDescent="0.25">
      <c r="B105" s="67" t="e">
        <f t="shared" si="5"/>
        <v>#REF!</v>
      </c>
      <c r="C105" s="76" t="e">
        <f t="shared" si="6"/>
        <v>#REF!</v>
      </c>
    </row>
    <row r="106" spans="2:3" ht="15.75" customHeight="1" x14ac:dyDescent="0.25">
      <c r="B106" s="67" t="e">
        <f t="shared" si="5"/>
        <v>#REF!</v>
      </c>
      <c r="C106" s="76" t="e">
        <f t="shared" si="6"/>
        <v>#REF!</v>
      </c>
    </row>
    <row r="107" spans="2:3" ht="15.75" customHeight="1" x14ac:dyDescent="0.25">
      <c r="B107" s="67" t="e">
        <f t="shared" si="5"/>
        <v>#REF!</v>
      </c>
      <c r="C107" s="76" t="e">
        <f t="shared" si="6"/>
        <v>#REF!</v>
      </c>
    </row>
    <row r="108" spans="2:3" ht="15.75" customHeight="1" x14ac:dyDescent="0.25">
      <c r="B108" s="67" t="e">
        <f t="shared" si="5"/>
        <v>#REF!</v>
      </c>
      <c r="C108" s="76" t="e">
        <f t="shared" si="6"/>
        <v>#REF!</v>
      </c>
    </row>
    <row r="109" spans="2:3" ht="15.75" customHeight="1" x14ac:dyDescent="0.25">
      <c r="B109" s="67" t="e">
        <f t="shared" si="5"/>
        <v>#REF!</v>
      </c>
      <c r="C109" s="76" t="e">
        <f t="shared" si="6"/>
        <v>#REF!</v>
      </c>
    </row>
    <row r="110" spans="2:3" ht="15.75" customHeight="1" x14ac:dyDescent="0.25">
      <c r="B110" s="67" t="e">
        <f t="shared" si="5"/>
        <v>#REF!</v>
      </c>
      <c r="C110" s="76" t="e">
        <f t="shared" si="6"/>
        <v>#REF!</v>
      </c>
    </row>
    <row r="111" spans="2:3" ht="15.75" customHeight="1" x14ac:dyDescent="0.25">
      <c r="B111" s="67" t="e">
        <f t="shared" si="5"/>
        <v>#REF!</v>
      </c>
      <c r="C111" s="76" t="e">
        <f t="shared" si="6"/>
        <v>#REF!</v>
      </c>
    </row>
    <row r="112" spans="2:3" ht="15.75" customHeight="1" x14ac:dyDescent="0.25">
      <c r="B112" s="67" t="e">
        <f t="shared" si="5"/>
        <v>#REF!</v>
      </c>
      <c r="C112" s="76" t="e">
        <f t="shared" si="6"/>
        <v>#REF!</v>
      </c>
    </row>
    <row r="113" spans="2:3" ht="15.75" customHeight="1" x14ac:dyDescent="0.25">
      <c r="B113" s="67" t="e">
        <f t="shared" si="5"/>
        <v>#REF!</v>
      </c>
      <c r="C113" s="76" t="e">
        <f t="shared" si="6"/>
        <v>#REF!</v>
      </c>
    </row>
    <row r="114" spans="2:3" ht="15.75" customHeight="1" x14ac:dyDescent="0.25">
      <c r="B114" s="67" t="e">
        <f t="shared" si="5"/>
        <v>#REF!</v>
      </c>
      <c r="C114" s="76" t="e">
        <f t="shared" si="6"/>
        <v>#REF!</v>
      </c>
    </row>
    <row r="115" spans="2:3" ht="15.75" customHeight="1" x14ac:dyDescent="0.25">
      <c r="B115" s="67" t="e">
        <f t="shared" si="5"/>
        <v>#REF!</v>
      </c>
      <c r="C115" s="76" t="e">
        <f t="shared" si="6"/>
        <v>#REF!</v>
      </c>
    </row>
    <row r="116" spans="2:3" ht="15.75" customHeight="1" x14ac:dyDescent="0.25">
      <c r="B116" s="67" t="e">
        <f t="shared" si="5"/>
        <v>#REF!</v>
      </c>
      <c r="C116" s="76" t="e">
        <f t="shared" si="6"/>
        <v>#REF!</v>
      </c>
    </row>
    <row r="117" spans="2:3" ht="15.75" customHeight="1" x14ac:dyDescent="0.25">
      <c r="B117" s="67" t="e">
        <f t="shared" si="5"/>
        <v>#REF!</v>
      </c>
      <c r="C117" s="76" t="e">
        <f t="shared" si="6"/>
        <v>#REF!</v>
      </c>
    </row>
    <row r="118" spans="2:3" ht="15.75" customHeight="1" x14ac:dyDescent="0.25">
      <c r="B118" s="67" t="e">
        <f t="shared" si="5"/>
        <v>#REF!</v>
      </c>
      <c r="C118" s="76" t="e">
        <f t="shared" si="6"/>
        <v>#REF!</v>
      </c>
    </row>
    <row r="119" spans="2:3" ht="15.75" customHeight="1" x14ac:dyDescent="0.25">
      <c r="B119" s="67" t="e">
        <f t="shared" si="5"/>
        <v>#REF!</v>
      </c>
      <c r="C119" s="76" t="e">
        <f t="shared" si="6"/>
        <v>#REF!</v>
      </c>
    </row>
    <row r="120" spans="2:3" ht="15.75" customHeight="1" x14ac:dyDescent="0.25">
      <c r="B120" s="67" t="e">
        <f t="shared" si="5"/>
        <v>#REF!</v>
      </c>
      <c r="C120" s="76" t="e">
        <f t="shared" si="6"/>
        <v>#REF!</v>
      </c>
    </row>
    <row r="121" spans="2:3" ht="15.75" customHeight="1" x14ac:dyDescent="0.25">
      <c r="B121" s="67" t="e">
        <f t="shared" si="5"/>
        <v>#REF!</v>
      </c>
      <c r="C121" s="76" t="e">
        <f t="shared" si="6"/>
        <v>#REF!</v>
      </c>
    </row>
    <row r="122" spans="2:3" ht="15.75" customHeight="1" x14ac:dyDescent="0.25">
      <c r="B122" s="67" t="e">
        <f t="shared" si="5"/>
        <v>#REF!</v>
      </c>
      <c r="C122" s="76" t="e">
        <f t="shared" si="6"/>
        <v>#REF!</v>
      </c>
    </row>
    <row r="123" spans="2:3" ht="15.75" customHeight="1" x14ac:dyDescent="0.25">
      <c r="B123" s="67" t="e">
        <f t="shared" si="5"/>
        <v>#REF!</v>
      </c>
      <c r="C123" s="76" t="e">
        <f t="shared" si="6"/>
        <v>#REF!</v>
      </c>
    </row>
    <row r="124" spans="2:3" ht="15.75" customHeight="1" x14ac:dyDescent="0.25">
      <c r="B124" s="67" t="e">
        <f t="shared" si="5"/>
        <v>#REF!</v>
      </c>
      <c r="C124" s="76" t="e">
        <f t="shared" si="6"/>
        <v>#REF!</v>
      </c>
    </row>
    <row r="125" spans="2:3" ht="15.75" customHeight="1" x14ac:dyDescent="0.25">
      <c r="B125" s="67" t="e">
        <f t="shared" si="5"/>
        <v>#REF!</v>
      </c>
      <c r="C125" s="76" t="e">
        <f t="shared" si="6"/>
        <v>#REF!</v>
      </c>
    </row>
    <row r="126" spans="2:3" ht="15.75" customHeight="1" x14ac:dyDescent="0.25">
      <c r="B126" s="67" t="e">
        <f t="shared" si="5"/>
        <v>#REF!</v>
      </c>
      <c r="C126" s="76" t="e">
        <f t="shared" si="6"/>
        <v>#REF!</v>
      </c>
    </row>
    <row r="127" spans="2:3" ht="15.75" customHeight="1" x14ac:dyDescent="0.25">
      <c r="B127" s="67" t="e">
        <f t="shared" si="5"/>
        <v>#REF!</v>
      </c>
      <c r="C127" s="76" t="e">
        <f t="shared" si="6"/>
        <v>#REF!</v>
      </c>
    </row>
    <row r="128" spans="2:3" ht="15.75" customHeight="1" x14ac:dyDescent="0.25">
      <c r="B128" s="67" t="e">
        <f t="shared" si="5"/>
        <v>#REF!</v>
      </c>
      <c r="C128" s="76" t="e">
        <f t="shared" si="6"/>
        <v>#REF!</v>
      </c>
    </row>
    <row r="129" spans="2:3" ht="15.75" customHeight="1" x14ac:dyDescent="0.25">
      <c r="B129" s="67" t="e">
        <f t="shared" si="5"/>
        <v>#REF!</v>
      </c>
      <c r="C129" s="76" t="e">
        <f t="shared" si="6"/>
        <v>#REF!</v>
      </c>
    </row>
    <row r="130" spans="2:3" ht="15.75" customHeight="1" x14ac:dyDescent="0.25">
      <c r="B130" s="67" t="e">
        <f t="shared" si="5"/>
        <v>#REF!</v>
      </c>
      <c r="C130" s="76" t="e">
        <f t="shared" si="6"/>
        <v>#REF!</v>
      </c>
    </row>
    <row r="131" spans="2:3" ht="15.75" customHeight="1" x14ac:dyDescent="0.25">
      <c r="B131" s="67" t="e">
        <f t="shared" si="5"/>
        <v>#REF!</v>
      </c>
      <c r="C131" s="76" t="e">
        <f t="shared" si="6"/>
        <v>#REF!</v>
      </c>
    </row>
    <row r="132" spans="2:3" ht="15.75" customHeight="1" x14ac:dyDescent="0.25">
      <c r="B132" s="67" t="e">
        <f t="shared" si="5"/>
        <v>#REF!</v>
      </c>
      <c r="C132" s="76" t="e">
        <f t="shared" si="6"/>
        <v>#REF!</v>
      </c>
    </row>
    <row r="133" spans="2:3" ht="15.75" customHeight="1" x14ac:dyDescent="0.25">
      <c r="B133" s="67" t="e">
        <f t="shared" si="5"/>
        <v>#REF!</v>
      </c>
      <c r="C133" s="76" t="e">
        <f t="shared" si="6"/>
        <v>#REF!</v>
      </c>
    </row>
    <row r="134" spans="2:3" ht="15.75" customHeight="1" x14ac:dyDescent="0.25">
      <c r="B134" s="67" t="e">
        <f t="shared" si="5"/>
        <v>#REF!</v>
      </c>
      <c r="C134" s="76" t="e">
        <f t="shared" si="6"/>
        <v>#REF!</v>
      </c>
    </row>
    <row r="135" spans="2:3" ht="15.75" customHeight="1" x14ac:dyDescent="0.25">
      <c r="B135" s="67" t="e">
        <f t="shared" si="5"/>
        <v>#REF!</v>
      </c>
      <c r="C135" s="76" t="e">
        <f t="shared" si="6"/>
        <v>#REF!</v>
      </c>
    </row>
    <row r="136" spans="2:3" ht="15.75" customHeight="1" x14ac:dyDescent="0.25">
      <c r="B136" s="67" t="e">
        <f t="shared" si="5"/>
        <v>#REF!</v>
      </c>
      <c r="C136" s="76" t="e">
        <f t="shared" si="6"/>
        <v>#REF!</v>
      </c>
    </row>
    <row r="137" spans="2:3" ht="15.75" customHeight="1" x14ac:dyDescent="0.25">
      <c r="B137" s="67" t="e">
        <f t="shared" si="5"/>
        <v>#REF!</v>
      </c>
      <c r="C137" s="76" t="e">
        <f t="shared" si="6"/>
        <v>#REF!</v>
      </c>
    </row>
    <row r="138" spans="2:3" ht="15.75" customHeight="1" x14ac:dyDescent="0.25">
      <c r="B138" s="67" t="e">
        <f t="shared" si="5"/>
        <v>#REF!</v>
      </c>
      <c r="C138" s="76" t="e">
        <f t="shared" si="6"/>
        <v>#REF!</v>
      </c>
    </row>
    <row r="139" spans="2:3" ht="15.75" customHeight="1" x14ac:dyDescent="0.25">
      <c r="B139" s="67" t="e">
        <f t="shared" si="5"/>
        <v>#REF!</v>
      </c>
      <c r="C139" s="76" t="e">
        <f t="shared" si="6"/>
        <v>#REF!</v>
      </c>
    </row>
    <row r="140" spans="2:3" ht="15.75" customHeight="1" x14ac:dyDescent="0.25">
      <c r="B140" s="67" t="e">
        <f t="shared" si="5"/>
        <v>#REF!</v>
      </c>
      <c r="C140" s="76" t="e">
        <f t="shared" si="6"/>
        <v>#REF!</v>
      </c>
    </row>
    <row r="141" spans="2:3" ht="15.75" customHeight="1" x14ac:dyDescent="0.25">
      <c r="B141" s="67" t="e">
        <f t="shared" si="5"/>
        <v>#REF!</v>
      </c>
      <c r="C141" s="76" t="e">
        <f t="shared" si="6"/>
        <v>#REF!</v>
      </c>
    </row>
    <row r="142" spans="2:3" ht="15.75" customHeight="1" x14ac:dyDescent="0.25">
      <c r="B142" s="67" t="e">
        <f t="shared" si="5"/>
        <v>#REF!</v>
      </c>
      <c r="C142" s="76" t="e">
        <f t="shared" si="6"/>
        <v>#REF!</v>
      </c>
    </row>
    <row r="143" spans="2:3" ht="15.75" customHeight="1" x14ac:dyDescent="0.25">
      <c r="B143" s="67" t="e">
        <f t="shared" si="5"/>
        <v>#REF!</v>
      </c>
      <c r="C143" s="76" t="e">
        <f t="shared" si="6"/>
        <v>#REF!</v>
      </c>
    </row>
    <row r="144" spans="2:3" ht="15.75" customHeight="1" x14ac:dyDescent="0.25">
      <c r="B144" s="67" t="e">
        <f t="shared" si="5"/>
        <v>#REF!</v>
      </c>
      <c r="C144" s="76" t="e">
        <f t="shared" si="6"/>
        <v>#REF!</v>
      </c>
    </row>
    <row r="145" spans="2:3" ht="15.75" customHeight="1" x14ac:dyDescent="0.25">
      <c r="B145" s="67" t="e">
        <f t="shared" si="5"/>
        <v>#REF!</v>
      </c>
      <c r="C145" s="76" t="e">
        <f t="shared" si="6"/>
        <v>#REF!</v>
      </c>
    </row>
    <row r="146" spans="2:3" ht="15.75" customHeight="1" x14ac:dyDescent="0.25">
      <c r="B146" s="67" t="e">
        <f t="shared" si="5"/>
        <v>#REF!</v>
      </c>
      <c r="C146" s="76" t="e">
        <f t="shared" si="6"/>
        <v>#REF!</v>
      </c>
    </row>
    <row r="147" spans="2:3" ht="15.75" customHeight="1" x14ac:dyDescent="0.25">
      <c r="B147" s="67" t="e">
        <f t="shared" si="5"/>
        <v>#REF!</v>
      </c>
      <c r="C147" s="76" t="e">
        <f t="shared" si="6"/>
        <v>#REF!</v>
      </c>
    </row>
    <row r="148" spans="2:3" ht="15.75" customHeight="1" x14ac:dyDescent="0.25">
      <c r="B148" s="67" t="e">
        <f t="shared" si="5"/>
        <v>#REF!</v>
      </c>
      <c r="C148" s="76" t="e">
        <f t="shared" si="6"/>
        <v>#REF!</v>
      </c>
    </row>
    <row r="149" spans="2:3" ht="15.75" customHeight="1" x14ac:dyDescent="0.25">
      <c r="B149" s="67" t="e">
        <f t="shared" si="5"/>
        <v>#REF!</v>
      </c>
      <c r="C149" s="76" t="e">
        <f t="shared" si="6"/>
        <v>#REF!</v>
      </c>
    </row>
    <row r="150" spans="2:3" ht="15.75" customHeight="1" x14ac:dyDescent="0.25">
      <c r="B150" s="67" t="e">
        <f t="shared" si="5"/>
        <v>#REF!</v>
      </c>
      <c r="C150" s="76" t="e">
        <f t="shared" si="6"/>
        <v>#REF!</v>
      </c>
    </row>
    <row r="151" spans="2:3" ht="15.75" customHeight="1" x14ac:dyDescent="0.25">
      <c r="B151" s="67" t="e">
        <f t="shared" si="5"/>
        <v>#REF!</v>
      </c>
      <c r="C151" s="76" t="e">
        <f t="shared" si="6"/>
        <v>#REF!</v>
      </c>
    </row>
    <row r="152" spans="2:3" ht="15.75" customHeight="1" x14ac:dyDescent="0.25">
      <c r="B152" s="67" t="e">
        <f t="shared" si="5"/>
        <v>#REF!</v>
      </c>
      <c r="C152" s="76" t="e">
        <f t="shared" si="6"/>
        <v>#REF!</v>
      </c>
    </row>
    <row r="153" spans="2:3" ht="15.75" customHeight="1" x14ac:dyDescent="0.25">
      <c r="B153" s="67" t="e">
        <f t="shared" si="5"/>
        <v>#REF!</v>
      </c>
      <c r="C153" s="76" t="e">
        <f t="shared" si="6"/>
        <v>#REF!</v>
      </c>
    </row>
    <row r="154" spans="2:3" ht="15.75" customHeight="1" x14ac:dyDescent="0.25">
      <c r="B154" s="67" t="e">
        <f t="shared" si="5"/>
        <v>#REF!</v>
      </c>
      <c r="C154" s="76" t="e">
        <f t="shared" si="6"/>
        <v>#REF!</v>
      </c>
    </row>
    <row r="155" spans="2:3" ht="15.75" customHeight="1" x14ac:dyDescent="0.25">
      <c r="B155" s="67" t="e">
        <f t="shared" si="5"/>
        <v>#REF!</v>
      </c>
      <c r="C155" s="76" t="e">
        <f t="shared" si="6"/>
        <v>#REF!</v>
      </c>
    </row>
    <row r="156" spans="2:3" ht="15.75" customHeight="1" x14ac:dyDescent="0.25">
      <c r="B156" s="67" t="e">
        <f t="shared" si="5"/>
        <v>#REF!</v>
      </c>
      <c r="C156" s="76" t="e">
        <f t="shared" si="6"/>
        <v>#REF!</v>
      </c>
    </row>
    <row r="157" spans="2:3" ht="15.75" customHeight="1" x14ac:dyDescent="0.25">
      <c r="B157" s="67" t="e">
        <f t="shared" ref="B157:B220" si="7">IF(B156="","",IF(B156+$C$9&lt;=$C$5,B156+$C$9,""))</f>
        <v>#REF!</v>
      </c>
      <c r="C157" s="76" t="e">
        <f t="shared" ref="C157:C220" si="8">IF(B157&lt;&gt;"",C156-$C$2/COUNT($B$17:$B$510),"")</f>
        <v>#REF!</v>
      </c>
    </row>
    <row r="158" spans="2:3" ht="15.75" customHeight="1" x14ac:dyDescent="0.25">
      <c r="B158" s="67" t="e">
        <f t="shared" si="7"/>
        <v>#REF!</v>
      </c>
      <c r="C158" s="76" t="e">
        <f t="shared" si="8"/>
        <v>#REF!</v>
      </c>
    </row>
    <row r="159" spans="2:3" ht="15.75" customHeight="1" x14ac:dyDescent="0.25">
      <c r="B159" s="67" t="e">
        <f t="shared" si="7"/>
        <v>#REF!</v>
      </c>
      <c r="C159" s="76" t="e">
        <f t="shared" si="8"/>
        <v>#REF!</v>
      </c>
    </row>
    <row r="160" spans="2:3" ht="15.75" customHeight="1" x14ac:dyDescent="0.25">
      <c r="B160" s="67" t="e">
        <f t="shared" si="7"/>
        <v>#REF!</v>
      </c>
      <c r="C160" s="76" t="e">
        <f t="shared" si="8"/>
        <v>#REF!</v>
      </c>
    </row>
    <row r="161" spans="2:3" ht="15.75" customHeight="1" x14ac:dyDescent="0.25">
      <c r="B161" s="67" t="e">
        <f t="shared" si="7"/>
        <v>#REF!</v>
      </c>
      <c r="C161" s="76" t="e">
        <f t="shared" si="8"/>
        <v>#REF!</v>
      </c>
    </row>
    <row r="162" spans="2:3" ht="15.75" customHeight="1" x14ac:dyDescent="0.25">
      <c r="B162" s="67" t="e">
        <f t="shared" si="7"/>
        <v>#REF!</v>
      </c>
      <c r="C162" s="76" t="e">
        <f t="shared" si="8"/>
        <v>#REF!</v>
      </c>
    </row>
    <row r="163" spans="2:3" ht="15.75" customHeight="1" x14ac:dyDescent="0.25">
      <c r="B163" s="67" t="e">
        <f t="shared" si="7"/>
        <v>#REF!</v>
      </c>
      <c r="C163" s="76" t="e">
        <f t="shared" si="8"/>
        <v>#REF!</v>
      </c>
    </row>
    <row r="164" spans="2:3" ht="15.75" customHeight="1" x14ac:dyDescent="0.25">
      <c r="B164" s="67" t="e">
        <f t="shared" si="7"/>
        <v>#REF!</v>
      </c>
      <c r="C164" s="76" t="e">
        <f t="shared" si="8"/>
        <v>#REF!</v>
      </c>
    </row>
    <row r="165" spans="2:3" ht="15.75" customHeight="1" x14ac:dyDescent="0.25">
      <c r="B165" s="67" t="e">
        <f t="shared" si="7"/>
        <v>#REF!</v>
      </c>
      <c r="C165" s="76" t="e">
        <f t="shared" si="8"/>
        <v>#REF!</v>
      </c>
    </row>
    <row r="166" spans="2:3" ht="15.75" customHeight="1" x14ac:dyDescent="0.25">
      <c r="B166" s="67" t="e">
        <f t="shared" si="7"/>
        <v>#REF!</v>
      </c>
      <c r="C166" s="76" t="e">
        <f t="shared" si="8"/>
        <v>#REF!</v>
      </c>
    </row>
    <row r="167" spans="2:3" ht="15.75" customHeight="1" x14ac:dyDescent="0.25">
      <c r="B167" s="67" t="e">
        <f t="shared" si="7"/>
        <v>#REF!</v>
      </c>
      <c r="C167" s="76" t="e">
        <f t="shared" si="8"/>
        <v>#REF!</v>
      </c>
    </row>
    <row r="168" spans="2:3" ht="15.75" customHeight="1" x14ac:dyDescent="0.25">
      <c r="B168" s="67" t="e">
        <f t="shared" si="7"/>
        <v>#REF!</v>
      </c>
      <c r="C168" s="76" t="e">
        <f t="shared" si="8"/>
        <v>#REF!</v>
      </c>
    </row>
    <row r="169" spans="2:3" ht="15.75" customHeight="1" x14ac:dyDescent="0.25">
      <c r="B169" s="67" t="e">
        <f t="shared" si="7"/>
        <v>#REF!</v>
      </c>
      <c r="C169" s="76" t="e">
        <f t="shared" si="8"/>
        <v>#REF!</v>
      </c>
    </row>
    <row r="170" spans="2:3" ht="15.75" customHeight="1" x14ac:dyDescent="0.25">
      <c r="B170" s="67" t="e">
        <f t="shared" si="7"/>
        <v>#REF!</v>
      </c>
      <c r="C170" s="76" t="e">
        <f t="shared" si="8"/>
        <v>#REF!</v>
      </c>
    </row>
    <row r="171" spans="2:3" ht="15.75" customHeight="1" x14ac:dyDescent="0.25">
      <c r="B171" s="67" t="e">
        <f t="shared" si="7"/>
        <v>#REF!</v>
      </c>
      <c r="C171" s="76" t="e">
        <f t="shared" si="8"/>
        <v>#REF!</v>
      </c>
    </row>
    <row r="172" spans="2:3" ht="15.75" customHeight="1" x14ac:dyDescent="0.25">
      <c r="B172" s="67" t="e">
        <f t="shared" si="7"/>
        <v>#REF!</v>
      </c>
      <c r="C172" s="76" t="e">
        <f t="shared" si="8"/>
        <v>#REF!</v>
      </c>
    </row>
    <row r="173" spans="2:3" ht="15.75" customHeight="1" x14ac:dyDescent="0.25">
      <c r="B173" s="67" t="e">
        <f t="shared" si="7"/>
        <v>#REF!</v>
      </c>
      <c r="C173" s="76" t="e">
        <f t="shared" si="8"/>
        <v>#REF!</v>
      </c>
    </row>
    <row r="174" spans="2:3" ht="15.75" customHeight="1" x14ac:dyDescent="0.25">
      <c r="B174" s="67" t="e">
        <f t="shared" si="7"/>
        <v>#REF!</v>
      </c>
      <c r="C174" s="76" t="e">
        <f t="shared" si="8"/>
        <v>#REF!</v>
      </c>
    </row>
    <row r="175" spans="2:3" ht="15.75" customHeight="1" x14ac:dyDescent="0.25">
      <c r="B175" s="67" t="e">
        <f t="shared" si="7"/>
        <v>#REF!</v>
      </c>
      <c r="C175" s="76" t="e">
        <f t="shared" si="8"/>
        <v>#REF!</v>
      </c>
    </row>
    <row r="176" spans="2:3" ht="15.75" customHeight="1" x14ac:dyDescent="0.25">
      <c r="B176" s="67" t="e">
        <f t="shared" si="7"/>
        <v>#REF!</v>
      </c>
      <c r="C176" s="76" t="e">
        <f t="shared" si="8"/>
        <v>#REF!</v>
      </c>
    </row>
    <row r="177" spans="2:3" ht="15.75" customHeight="1" x14ac:dyDescent="0.25">
      <c r="B177" s="67" t="e">
        <f t="shared" si="7"/>
        <v>#REF!</v>
      </c>
      <c r="C177" s="76" t="e">
        <f t="shared" si="8"/>
        <v>#REF!</v>
      </c>
    </row>
    <row r="178" spans="2:3" ht="15.75" customHeight="1" x14ac:dyDescent="0.25">
      <c r="B178" s="67" t="e">
        <f t="shared" si="7"/>
        <v>#REF!</v>
      </c>
      <c r="C178" s="76" t="e">
        <f t="shared" si="8"/>
        <v>#REF!</v>
      </c>
    </row>
    <row r="179" spans="2:3" ht="15.75" customHeight="1" x14ac:dyDescent="0.25">
      <c r="B179" s="67" t="e">
        <f t="shared" si="7"/>
        <v>#REF!</v>
      </c>
      <c r="C179" s="76" t="e">
        <f t="shared" si="8"/>
        <v>#REF!</v>
      </c>
    </row>
    <row r="180" spans="2:3" ht="15.75" customHeight="1" x14ac:dyDescent="0.25">
      <c r="B180" s="67" t="e">
        <f t="shared" si="7"/>
        <v>#REF!</v>
      </c>
      <c r="C180" s="76" t="e">
        <f t="shared" si="8"/>
        <v>#REF!</v>
      </c>
    </row>
    <row r="181" spans="2:3" ht="15.75" customHeight="1" x14ac:dyDescent="0.25">
      <c r="B181" s="67" t="e">
        <f t="shared" si="7"/>
        <v>#REF!</v>
      </c>
      <c r="C181" s="76" t="e">
        <f t="shared" si="8"/>
        <v>#REF!</v>
      </c>
    </row>
    <row r="182" spans="2:3" ht="15.75" customHeight="1" x14ac:dyDescent="0.25">
      <c r="B182" s="67" t="e">
        <f t="shared" si="7"/>
        <v>#REF!</v>
      </c>
      <c r="C182" s="76" t="e">
        <f t="shared" si="8"/>
        <v>#REF!</v>
      </c>
    </row>
    <row r="183" spans="2:3" ht="15.75" customHeight="1" x14ac:dyDescent="0.25">
      <c r="B183" s="67" t="e">
        <f t="shared" si="7"/>
        <v>#REF!</v>
      </c>
      <c r="C183" s="76" t="e">
        <f t="shared" si="8"/>
        <v>#REF!</v>
      </c>
    </row>
    <row r="184" spans="2:3" ht="15.75" customHeight="1" x14ac:dyDescent="0.25">
      <c r="B184" s="67" t="e">
        <f t="shared" si="7"/>
        <v>#REF!</v>
      </c>
      <c r="C184" s="76" t="e">
        <f t="shared" si="8"/>
        <v>#REF!</v>
      </c>
    </row>
    <row r="185" spans="2:3" ht="15.75" customHeight="1" x14ac:dyDescent="0.25">
      <c r="B185" s="67" t="e">
        <f t="shared" si="7"/>
        <v>#REF!</v>
      </c>
      <c r="C185" s="76" t="e">
        <f t="shared" si="8"/>
        <v>#REF!</v>
      </c>
    </row>
    <row r="186" spans="2:3" ht="15.75" customHeight="1" x14ac:dyDescent="0.25">
      <c r="B186" s="67" t="e">
        <f t="shared" si="7"/>
        <v>#REF!</v>
      </c>
      <c r="C186" s="76" t="e">
        <f t="shared" si="8"/>
        <v>#REF!</v>
      </c>
    </row>
    <row r="187" spans="2:3" ht="15.75" customHeight="1" x14ac:dyDescent="0.25">
      <c r="B187" s="67" t="e">
        <f t="shared" si="7"/>
        <v>#REF!</v>
      </c>
      <c r="C187" s="76" t="e">
        <f t="shared" si="8"/>
        <v>#REF!</v>
      </c>
    </row>
    <row r="188" spans="2:3" ht="15.75" customHeight="1" x14ac:dyDescent="0.25">
      <c r="B188" s="67" t="e">
        <f t="shared" si="7"/>
        <v>#REF!</v>
      </c>
      <c r="C188" s="76" t="e">
        <f t="shared" si="8"/>
        <v>#REF!</v>
      </c>
    </row>
    <row r="189" spans="2:3" ht="15.75" customHeight="1" x14ac:dyDescent="0.25">
      <c r="B189" s="67" t="e">
        <f t="shared" si="7"/>
        <v>#REF!</v>
      </c>
      <c r="C189" s="76" t="e">
        <f t="shared" si="8"/>
        <v>#REF!</v>
      </c>
    </row>
    <row r="190" spans="2:3" ht="15.75" customHeight="1" x14ac:dyDescent="0.25">
      <c r="B190" s="67" t="e">
        <f t="shared" si="7"/>
        <v>#REF!</v>
      </c>
      <c r="C190" s="76" t="e">
        <f t="shared" si="8"/>
        <v>#REF!</v>
      </c>
    </row>
    <row r="191" spans="2:3" ht="15.75" customHeight="1" x14ac:dyDescent="0.25">
      <c r="B191" s="67" t="e">
        <f t="shared" si="7"/>
        <v>#REF!</v>
      </c>
      <c r="C191" s="76" t="e">
        <f t="shared" si="8"/>
        <v>#REF!</v>
      </c>
    </row>
    <row r="192" spans="2:3" ht="15.75" customHeight="1" x14ac:dyDescent="0.25">
      <c r="B192" s="67" t="e">
        <f t="shared" si="7"/>
        <v>#REF!</v>
      </c>
      <c r="C192" s="76" t="e">
        <f t="shared" si="8"/>
        <v>#REF!</v>
      </c>
    </row>
    <row r="193" spans="2:3" ht="15.75" customHeight="1" x14ac:dyDescent="0.25">
      <c r="B193" s="67" t="e">
        <f t="shared" si="7"/>
        <v>#REF!</v>
      </c>
      <c r="C193" s="76" t="e">
        <f t="shared" si="8"/>
        <v>#REF!</v>
      </c>
    </row>
    <row r="194" spans="2:3" ht="15.75" customHeight="1" x14ac:dyDescent="0.25">
      <c r="B194" s="67" t="e">
        <f t="shared" si="7"/>
        <v>#REF!</v>
      </c>
      <c r="C194" s="76" t="e">
        <f t="shared" si="8"/>
        <v>#REF!</v>
      </c>
    </row>
    <row r="195" spans="2:3" ht="15.75" customHeight="1" x14ac:dyDescent="0.25">
      <c r="B195" s="67" t="e">
        <f t="shared" si="7"/>
        <v>#REF!</v>
      </c>
      <c r="C195" s="76" t="e">
        <f t="shared" si="8"/>
        <v>#REF!</v>
      </c>
    </row>
    <row r="196" spans="2:3" ht="15.75" customHeight="1" x14ac:dyDescent="0.25">
      <c r="B196" s="67" t="e">
        <f t="shared" si="7"/>
        <v>#REF!</v>
      </c>
      <c r="C196" s="76" t="e">
        <f t="shared" si="8"/>
        <v>#REF!</v>
      </c>
    </row>
    <row r="197" spans="2:3" ht="15.75" customHeight="1" x14ac:dyDescent="0.25">
      <c r="B197" s="67" t="e">
        <f t="shared" si="7"/>
        <v>#REF!</v>
      </c>
      <c r="C197" s="76" t="e">
        <f t="shared" si="8"/>
        <v>#REF!</v>
      </c>
    </row>
    <row r="198" spans="2:3" ht="15.75" customHeight="1" x14ac:dyDescent="0.25">
      <c r="B198" s="67" t="e">
        <f t="shared" si="7"/>
        <v>#REF!</v>
      </c>
      <c r="C198" s="76" t="e">
        <f t="shared" si="8"/>
        <v>#REF!</v>
      </c>
    </row>
    <row r="199" spans="2:3" ht="15.75" customHeight="1" x14ac:dyDescent="0.25">
      <c r="B199" s="67" t="e">
        <f t="shared" si="7"/>
        <v>#REF!</v>
      </c>
      <c r="C199" s="76" t="e">
        <f t="shared" si="8"/>
        <v>#REF!</v>
      </c>
    </row>
    <row r="200" spans="2:3" ht="15.75" customHeight="1" x14ac:dyDescent="0.25">
      <c r="B200" s="67" t="e">
        <f t="shared" si="7"/>
        <v>#REF!</v>
      </c>
      <c r="C200" s="76" t="e">
        <f t="shared" si="8"/>
        <v>#REF!</v>
      </c>
    </row>
    <row r="201" spans="2:3" ht="15.75" customHeight="1" x14ac:dyDescent="0.25">
      <c r="B201" s="67" t="e">
        <f t="shared" si="7"/>
        <v>#REF!</v>
      </c>
      <c r="C201" s="76" t="e">
        <f t="shared" si="8"/>
        <v>#REF!</v>
      </c>
    </row>
    <row r="202" spans="2:3" ht="15.75" customHeight="1" x14ac:dyDescent="0.25">
      <c r="B202" s="67" t="e">
        <f t="shared" si="7"/>
        <v>#REF!</v>
      </c>
      <c r="C202" s="76" t="e">
        <f t="shared" si="8"/>
        <v>#REF!</v>
      </c>
    </row>
    <row r="203" spans="2:3" ht="15.75" customHeight="1" x14ac:dyDescent="0.25">
      <c r="B203" s="67" t="e">
        <f t="shared" si="7"/>
        <v>#REF!</v>
      </c>
      <c r="C203" s="76" t="e">
        <f t="shared" si="8"/>
        <v>#REF!</v>
      </c>
    </row>
    <row r="204" spans="2:3" ht="15.75" customHeight="1" x14ac:dyDescent="0.25">
      <c r="B204" s="67" t="e">
        <f t="shared" si="7"/>
        <v>#REF!</v>
      </c>
      <c r="C204" s="76" t="e">
        <f t="shared" si="8"/>
        <v>#REF!</v>
      </c>
    </row>
    <row r="205" spans="2:3" ht="15.75" customHeight="1" x14ac:dyDescent="0.25">
      <c r="B205" s="67" t="e">
        <f t="shared" si="7"/>
        <v>#REF!</v>
      </c>
      <c r="C205" s="76" t="e">
        <f t="shared" si="8"/>
        <v>#REF!</v>
      </c>
    </row>
    <row r="206" spans="2:3" ht="15.75" customHeight="1" x14ac:dyDescent="0.25">
      <c r="B206" s="67" t="e">
        <f t="shared" si="7"/>
        <v>#REF!</v>
      </c>
      <c r="C206" s="76" t="e">
        <f t="shared" si="8"/>
        <v>#REF!</v>
      </c>
    </row>
    <row r="207" spans="2:3" ht="15.75" customHeight="1" x14ac:dyDescent="0.25">
      <c r="B207" s="67" t="e">
        <f t="shared" si="7"/>
        <v>#REF!</v>
      </c>
      <c r="C207" s="76" t="e">
        <f t="shared" si="8"/>
        <v>#REF!</v>
      </c>
    </row>
    <row r="208" spans="2:3" ht="15.75" customHeight="1" x14ac:dyDescent="0.25">
      <c r="B208" s="67" t="e">
        <f t="shared" si="7"/>
        <v>#REF!</v>
      </c>
      <c r="C208" s="76" t="e">
        <f t="shared" si="8"/>
        <v>#REF!</v>
      </c>
    </row>
    <row r="209" spans="2:3" ht="15.75" customHeight="1" x14ac:dyDescent="0.25">
      <c r="B209" s="67" t="e">
        <f t="shared" si="7"/>
        <v>#REF!</v>
      </c>
      <c r="C209" s="76" t="e">
        <f t="shared" si="8"/>
        <v>#REF!</v>
      </c>
    </row>
    <row r="210" spans="2:3" ht="15.75" customHeight="1" x14ac:dyDescent="0.25">
      <c r="B210" s="67" t="e">
        <f t="shared" si="7"/>
        <v>#REF!</v>
      </c>
      <c r="C210" s="76" t="e">
        <f t="shared" si="8"/>
        <v>#REF!</v>
      </c>
    </row>
    <row r="211" spans="2:3" ht="15.75" customHeight="1" x14ac:dyDescent="0.25">
      <c r="B211" s="67" t="e">
        <f t="shared" si="7"/>
        <v>#REF!</v>
      </c>
      <c r="C211" s="76" t="e">
        <f t="shared" si="8"/>
        <v>#REF!</v>
      </c>
    </row>
    <row r="212" spans="2:3" ht="15.75" customHeight="1" x14ac:dyDescent="0.25">
      <c r="B212" s="67" t="e">
        <f t="shared" si="7"/>
        <v>#REF!</v>
      </c>
      <c r="C212" s="76" t="e">
        <f t="shared" si="8"/>
        <v>#REF!</v>
      </c>
    </row>
    <row r="213" spans="2:3" ht="15.75" customHeight="1" x14ac:dyDescent="0.25">
      <c r="B213" s="67" t="e">
        <f t="shared" si="7"/>
        <v>#REF!</v>
      </c>
      <c r="C213" s="76" t="e">
        <f t="shared" si="8"/>
        <v>#REF!</v>
      </c>
    </row>
    <row r="214" spans="2:3" ht="15.75" customHeight="1" x14ac:dyDescent="0.25">
      <c r="B214" s="67" t="e">
        <f t="shared" si="7"/>
        <v>#REF!</v>
      </c>
      <c r="C214" s="76" t="e">
        <f t="shared" si="8"/>
        <v>#REF!</v>
      </c>
    </row>
    <row r="215" spans="2:3" ht="15.75" customHeight="1" x14ac:dyDescent="0.25">
      <c r="B215" s="67" t="e">
        <f t="shared" si="7"/>
        <v>#REF!</v>
      </c>
      <c r="C215" s="76" t="e">
        <f t="shared" si="8"/>
        <v>#REF!</v>
      </c>
    </row>
    <row r="216" spans="2:3" ht="15.75" customHeight="1" x14ac:dyDescent="0.25">
      <c r="B216" s="67" t="e">
        <f t="shared" si="7"/>
        <v>#REF!</v>
      </c>
      <c r="C216" s="76" t="e">
        <f t="shared" si="8"/>
        <v>#REF!</v>
      </c>
    </row>
    <row r="217" spans="2:3" ht="15.75" customHeight="1" x14ac:dyDescent="0.25">
      <c r="B217" s="67" t="e">
        <f t="shared" si="7"/>
        <v>#REF!</v>
      </c>
      <c r="C217" s="76" t="e">
        <f t="shared" si="8"/>
        <v>#REF!</v>
      </c>
    </row>
    <row r="218" spans="2:3" ht="15.75" customHeight="1" x14ac:dyDescent="0.25">
      <c r="B218" s="67" t="e">
        <f t="shared" si="7"/>
        <v>#REF!</v>
      </c>
      <c r="C218" s="76" t="e">
        <f t="shared" si="8"/>
        <v>#REF!</v>
      </c>
    </row>
    <row r="219" spans="2:3" ht="15.75" customHeight="1" x14ac:dyDescent="0.25">
      <c r="B219" s="67" t="e">
        <f t="shared" si="7"/>
        <v>#REF!</v>
      </c>
      <c r="C219" s="76" t="e">
        <f t="shared" si="8"/>
        <v>#REF!</v>
      </c>
    </row>
    <row r="220" spans="2:3" ht="15.75" customHeight="1" x14ac:dyDescent="0.25">
      <c r="B220" s="67" t="e">
        <f t="shared" si="7"/>
        <v>#REF!</v>
      </c>
      <c r="C220" s="76" t="e">
        <f t="shared" si="8"/>
        <v>#REF!</v>
      </c>
    </row>
    <row r="221" spans="2:3" ht="15.75" customHeight="1" x14ac:dyDescent="0.25">
      <c r="B221" s="67" t="e">
        <f t="shared" ref="B221:B284" si="9">IF(B220="","",IF(B220+$C$9&lt;=$C$5,B220+$C$9,""))</f>
        <v>#REF!</v>
      </c>
      <c r="C221" s="76" t="e">
        <f t="shared" ref="C221:C284" si="10">IF(B221&lt;&gt;"",C220-$C$2/COUNT($B$17:$B$510),"")</f>
        <v>#REF!</v>
      </c>
    </row>
    <row r="222" spans="2:3" ht="15.75" customHeight="1" x14ac:dyDescent="0.25">
      <c r="B222" s="67" t="e">
        <f t="shared" si="9"/>
        <v>#REF!</v>
      </c>
      <c r="C222" s="76" t="e">
        <f t="shared" si="10"/>
        <v>#REF!</v>
      </c>
    </row>
    <row r="223" spans="2:3" ht="15.75" customHeight="1" x14ac:dyDescent="0.25">
      <c r="B223" s="67" t="e">
        <f t="shared" si="9"/>
        <v>#REF!</v>
      </c>
      <c r="C223" s="76" t="e">
        <f t="shared" si="10"/>
        <v>#REF!</v>
      </c>
    </row>
    <row r="224" spans="2:3" ht="15.75" customHeight="1" x14ac:dyDescent="0.25">
      <c r="B224" s="67" t="e">
        <f t="shared" si="9"/>
        <v>#REF!</v>
      </c>
      <c r="C224" s="76" t="e">
        <f t="shared" si="10"/>
        <v>#REF!</v>
      </c>
    </row>
    <row r="225" spans="2:3" ht="15.75" customHeight="1" x14ac:dyDescent="0.25">
      <c r="B225" s="67" t="e">
        <f t="shared" si="9"/>
        <v>#REF!</v>
      </c>
      <c r="C225" s="76" t="e">
        <f t="shared" si="10"/>
        <v>#REF!</v>
      </c>
    </row>
    <row r="226" spans="2:3" ht="15.75" customHeight="1" x14ac:dyDescent="0.25">
      <c r="B226" s="67" t="e">
        <f t="shared" si="9"/>
        <v>#REF!</v>
      </c>
      <c r="C226" s="76" t="e">
        <f t="shared" si="10"/>
        <v>#REF!</v>
      </c>
    </row>
    <row r="227" spans="2:3" ht="15.75" customHeight="1" x14ac:dyDescent="0.25">
      <c r="B227" s="67" t="e">
        <f t="shared" si="9"/>
        <v>#REF!</v>
      </c>
      <c r="C227" s="76" t="e">
        <f t="shared" si="10"/>
        <v>#REF!</v>
      </c>
    </row>
    <row r="228" spans="2:3" ht="15.75" customHeight="1" x14ac:dyDescent="0.25">
      <c r="B228" s="67" t="e">
        <f t="shared" si="9"/>
        <v>#REF!</v>
      </c>
      <c r="C228" s="76" t="e">
        <f t="shared" si="10"/>
        <v>#REF!</v>
      </c>
    </row>
    <row r="229" spans="2:3" ht="15.75" customHeight="1" x14ac:dyDescent="0.25">
      <c r="B229" s="67" t="e">
        <f t="shared" si="9"/>
        <v>#REF!</v>
      </c>
      <c r="C229" s="76" t="e">
        <f t="shared" si="10"/>
        <v>#REF!</v>
      </c>
    </row>
    <row r="230" spans="2:3" ht="15.75" customHeight="1" x14ac:dyDescent="0.25">
      <c r="B230" s="67" t="e">
        <f t="shared" si="9"/>
        <v>#REF!</v>
      </c>
      <c r="C230" s="76" t="e">
        <f t="shared" si="10"/>
        <v>#REF!</v>
      </c>
    </row>
    <row r="231" spans="2:3" ht="15.75" customHeight="1" x14ac:dyDescent="0.25">
      <c r="B231" s="67" t="e">
        <f t="shared" si="9"/>
        <v>#REF!</v>
      </c>
      <c r="C231" s="76" t="e">
        <f t="shared" si="10"/>
        <v>#REF!</v>
      </c>
    </row>
    <row r="232" spans="2:3" ht="15.75" customHeight="1" x14ac:dyDescent="0.25">
      <c r="B232" s="67" t="e">
        <f t="shared" si="9"/>
        <v>#REF!</v>
      </c>
      <c r="C232" s="76" t="e">
        <f t="shared" si="10"/>
        <v>#REF!</v>
      </c>
    </row>
    <row r="233" spans="2:3" ht="15.75" customHeight="1" x14ac:dyDescent="0.25">
      <c r="B233" s="67" t="e">
        <f t="shared" si="9"/>
        <v>#REF!</v>
      </c>
      <c r="C233" s="76" t="e">
        <f t="shared" si="10"/>
        <v>#REF!</v>
      </c>
    </row>
    <row r="234" spans="2:3" ht="15.75" customHeight="1" x14ac:dyDescent="0.25">
      <c r="B234" s="67" t="e">
        <f t="shared" si="9"/>
        <v>#REF!</v>
      </c>
      <c r="C234" s="76" t="e">
        <f t="shared" si="10"/>
        <v>#REF!</v>
      </c>
    </row>
    <row r="235" spans="2:3" ht="15.75" customHeight="1" x14ac:dyDescent="0.25">
      <c r="B235" s="67" t="e">
        <f t="shared" si="9"/>
        <v>#REF!</v>
      </c>
      <c r="C235" s="76" t="e">
        <f t="shared" si="10"/>
        <v>#REF!</v>
      </c>
    </row>
    <row r="236" spans="2:3" ht="15.75" customHeight="1" x14ac:dyDescent="0.25">
      <c r="B236" s="67" t="e">
        <f t="shared" si="9"/>
        <v>#REF!</v>
      </c>
      <c r="C236" s="76" t="e">
        <f t="shared" si="10"/>
        <v>#REF!</v>
      </c>
    </row>
    <row r="237" spans="2:3" ht="15.75" customHeight="1" x14ac:dyDescent="0.25">
      <c r="B237" s="67" t="e">
        <f t="shared" si="9"/>
        <v>#REF!</v>
      </c>
      <c r="C237" s="76" t="e">
        <f t="shared" si="10"/>
        <v>#REF!</v>
      </c>
    </row>
    <row r="238" spans="2:3" ht="15.75" customHeight="1" x14ac:dyDescent="0.25">
      <c r="B238" s="67" t="e">
        <f t="shared" si="9"/>
        <v>#REF!</v>
      </c>
      <c r="C238" s="76" t="e">
        <f t="shared" si="10"/>
        <v>#REF!</v>
      </c>
    </row>
    <row r="239" spans="2:3" ht="15.75" customHeight="1" x14ac:dyDescent="0.25">
      <c r="B239" s="67" t="e">
        <f t="shared" si="9"/>
        <v>#REF!</v>
      </c>
      <c r="C239" s="76" t="e">
        <f t="shared" si="10"/>
        <v>#REF!</v>
      </c>
    </row>
    <row r="240" spans="2:3" ht="15.75" customHeight="1" x14ac:dyDescent="0.25">
      <c r="B240" s="67" t="e">
        <f t="shared" si="9"/>
        <v>#REF!</v>
      </c>
      <c r="C240" s="76" t="e">
        <f t="shared" si="10"/>
        <v>#REF!</v>
      </c>
    </row>
    <row r="241" spans="2:3" ht="15.75" customHeight="1" x14ac:dyDescent="0.25">
      <c r="B241" s="67" t="e">
        <f t="shared" si="9"/>
        <v>#REF!</v>
      </c>
      <c r="C241" s="76" t="e">
        <f t="shared" si="10"/>
        <v>#REF!</v>
      </c>
    </row>
    <row r="242" spans="2:3" ht="15.75" customHeight="1" x14ac:dyDescent="0.25">
      <c r="B242" s="67" t="e">
        <f t="shared" si="9"/>
        <v>#REF!</v>
      </c>
      <c r="C242" s="76" t="e">
        <f t="shared" si="10"/>
        <v>#REF!</v>
      </c>
    </row>
    <row r="243" spans="2:3" ht="15.75" customHeight="1" x14ac:dyDescent="0.25">
      <c r="B243" s="67" t="e">
        <f t="shared" si="9"/>
        <v>#REF!</v>
      </c>
      <c r="C243" s="76" t="e">
        <f t="shared" si="10"/>
        <v>#REF!</v>
      </c>
    </row>
    <row r="244" spans="2:3" ht="15.75" customHeight="1" x14ac:dyDescent="0.25">
      <c r="B244" s="67" t="e">
        <f t="shared" si="9"/>
        <v>#REF!</v>
      </c>
      <c r="C244" s="76" t="e">
        <f t="shared" si="10"/>
        <v>#REF!</v>
      </c>
    </row>
    <row r="245" spans="2:3" ht="15.75" customHeight="1" x14ac:dyDescent="0.25">
      <c r="B245" s="67" t="e">
        <f t="shared" si="9"/>
        <v>#REF!</v>
      </c>
      <c r="C245" s="76" t="e">
        <f t="shared" si="10"/>
        <v>#REF!</v>
      </c>
    </row>
    <row r="246" spans="2:3" ht="15.75" customHeight="1" x14ac:dyDescent="0.25">
      <c r="B246" s="67" t="e">
        <f t="shared" si="9"/>
        <v>#REF!</v>
      </c>
      <c r="C246" s="76" t="e">
        <f t="shared" si="10"/>
        <v>#REF!</v>
      </c>
    </row>
    <row r="247" spans="2:3" ht="15.75" customHeight="1" x14ac:dyDescent="0.25">
      <c r="B247" s="67" t="e">
        <f t="shared" si="9"/>
        <v>#REF!</v>
      </c>
      <c r="C247" s="76" t="e">
        <f t="shared" si="10"/>
        <v>#REF!</v>
      </c>
    </row>
    <row r="248" spans="2:3" ht="15.75" customHeight="1" x14ac:dyDescent="0.25">
      <c r="B248" s="67" t="e">
        <f t="shared" si="9"/>
        <v>#REF!</v>
      </c>
      <c r="C248" s="76" t="e">
        <f t="shared" si="10"/>
        <v>#REF!</v>
      </c>
    </row>
    <row r="249" spans="2:3" ht="15.75" customHeight="1" x14ac:dyDescent="0.25">
      <c r="B249" s="67" t="e">
        <f t="shared" si="9"/>
        <v>#REF!</v>
      </c>
      <c r="C249" s="76" t="e">
        <f t="shared" si="10"/>
        <v>#REF!</v>
      </c>
    </row>
    <row r="250" spans="2:3" ht="15.75" customHeight="1" x14ac:dyDescent="0.25">
      <c r="B250" s="67" t="e">
        <f t="shared" si="9"/>
        <v>#REF!</v>
      </c>
      <c r="C250" s="76" t="e">
        <f t="shared" si="10"/>
        <v>#REF!</v>
      </c>
    </row>
    <row r="251" spans="2:3" ht="15.75" customHeight="1" x14ac:dyDescent="0.25">
      <c r="B251" s="67" t="e">
        <f t="shared" si="9"/>
        <v>#REF!</v>
      </c>
      <c r="C251" s="76" t="e">
        <f t="shared" si="10"/>
        <v>#REF!</v>
      </c>
    </row>
    <row r="252" spans="2:3" ht="15.75" customHeight="1" x14ac:dyDescent="0.25">
      <c r="B252" s="67" t="e">
        <f t="shared" si="9"/>
        <v>#REF!</v>
      </c>
      <c r="C252" s="76" t="e">
        <f t="shared" si="10"/>
        <v>#REF!</v>
      </c>
    </row>
    <row r="253" spans="2:3" ht="15.75" customHeight="1" x14ac:dyDescent="0.25">
      <c r="B253" s="67" t="e">
        <f t="shared" si="9"/>
        <v>#REF!</v>
      </c>
      <c r="C253" s="76" t="e">
        <f t="shared" si="10"/>
        <v>#REF!</v>
      </c>
    </row>
    <row r="254" spans="2:3" ht="15.75" customHeight="1" x14ac:dyDescent="0.25">
      <c r="B254" s="67" t="e">
        <f t="shared" si="9"/>
        <v>#REF!</v>
      </c>
      <c r="C254" s="76" t="e">
        <f t="shared" si="10"/>
        <v>#REF!</v>
      </c>
    </row>
    <row r="255" spans="2:3" ht="15.75" customHeight="1" x14ac:dyDescent="0.25">
      <c r="B255" s="67" t="e">
        <f t="shared" si="9"/>
        <v>#REF!</v>
      </c>
      <c r="C255" s="76" t="e">
        <f t="shared" si="10"/>
        <v>#REF!</v>
      </c>
    </row>
    <row r="256" spans="2:3" ht="15.75" customHeight="1" x14ac:dyDescent="0.25">
      <c r="B256" s="67" t="e">
        <f t="shared" si="9"/>
        <v>#REF!</v>
      </c>
      <c r="C256" s="76" t="e">
        <f t="shared" si="10"/>
        <v>#REF!</v>
      </c>
    </row>
    <row r="257" spans="2:3" ht="15.75" customHeight="1" x14ac:dyDescent="0.25">
      <c r="B257" s="67" t="e">
        <f t="shared" si="9"/>
        <v>#REF!</v>
      </c>
      <c r="C257" s="76" t="e">
        <f t="shared" si="10"/>
        <v>#REF!</v>
      </c>
    </row>
    <row r="258" spans="2:3" ht="15.75" customHeight="1" x14ac:dyDescent="0.25">
      <c r="B258" s="67" t="e">
        <f t="shared" si="9"/>
        <v>#REF!</v>
      </c>
      <c r="C258" s="76" t="e">
        <f t="shared" si="10"/>
        <v>#REF!</v>
      </c>
    </row>
    <row r="259" spans="2:3" ht="15.75" customHeight="1" x14ac:dyDescent="0.25">
      <c r="B259" s="67" t="e">
        <f t="shared" si="9"/>
        <v>#REF!</v>
      </c>
      <c r="C259" s="76" t="e">
        <f t="shared" si="10"/>
        <v>#REF!</v>
      </c>
    </row>
    <row r="260" spans="2:3" ht="15.75" customHeight="1" x14ac:dyDescent="0.25">
      <c r="B260" s="67" t="e">
        <f t="shared" si="9"/>
        <v>#REF!</v>
      </c>
      <c r="C260" s="76" t="e">
        <f t="shared" si="10"/>
        <v>#REF!</v>
      </c>
    </row>
    <row r="261" spans="2:3" ht="15.75" customHeight="1" x14ac:dyDescent="0.25">
      <c r="B261" s="67" t="e">
        <f t="shared" si="9"/>
        <v>#REF!</v>
      </c>
      <c r="C261" s="76" t="e">
        <f t="shared" si="10"/>
        <v>#REF!</v>
      </c>
    </row>
    <row r="262" spans="2:3" ht="15.75" customHeight="1" x14ac:dyDescent="0.25">
      <c r="B262" s="67" t="e">
        <f t="shared" si="9"/>
        <v>#REF!</v>
      </c>
      <c r="C262" s="76" t="e">
        <f t="shared" si="10"/>
        <v>#REF!</v>
      </c>
    </row>
    <row r="263" spans="2:3" ht="15.75" customHeight="1" x14ac:dyDescent="0.25">
      <c r="B263" s="67" t="e">
        <f t="shared" si="9"/>
        <v>#REF!</v>
      </c>
      <c r="C263" s="76" t="e">
        <f t="shared" si="10"/>
        <v>#REF!</v>
      </c>
    </row>
    <row r="264" spans="2:3" ht="15.75" customHeight="1" x14ac:dyDescent="0.25">
      <c r="B264" s="67" t="e">
        <f t="shared" si="9"/>
        <v>#REF!</v>
      </c>
      <c r="C264" s="76" t="e">
        <f t="shared" si="10"/>
        <v>#REF!</v>
      </c>
    </row>
    <row r="265" spans="2:3" ht="15.75" customHeight="1" x14ac:dyDescent="0.25">
      <c r="B265" s="67" t="e">
        <f t="shared" si="9"/>
        <v>#REF!</v>
      </c>
      <c r="C265" s="76" t="e">
        <f t="shared" si="10"/>
        <v>#REF!</v>
      </c>
    </row>
    <row r="266" spans="2:3" ht="15.75" customHeight="1" x14ac:dyDescent="0.25">
      <c r="B266" s="67" t="e">
        <f t="shared" si="9"/>
        <v>#REF!</v>
      </c>
      <c r="C266" s="76" t="e">
        <f t="shared" si="10"/>
        <v>#REF!</v>
      </c>
    </row>
    <row r="267" spans="2:3" ht="15.75" customHeight="1" x14ac:dyDescent="0.25">
      <c r="B267" s="67" t="e">
        <f t="shared" si="9"/>
        <v>#REF!</v>
      </c>
      <c r="C267" s="76" t="e">
        <f t="shared" si="10"/>
        <v>#REF!</v>
      </c>
    </row>
    <row r="268" spans="2:3" ht="15.75" customHeight="1" x14ac:dyDescent="0.25">
      <c r="B268" s="67" t="e">
        <f t="shared" si="9"/>
        <v>#REF!</v>
      </c>
      <c r="C268" s="76" t="e">
        <f t="shared" si="10"/>
        <v>#REF!</v>
      </c>
    </row>
    <row r="269" spans="2:3" ht="15.75" customHeight="1" x14ac:dyDescent="0.25">
      <c r="B269" s="67" t="e">
        <f t="shared" si="9"/>
        <v>#REF!</v>
      </c>
      <c r="C269" s="76" t="e">
        <f t="shared" si="10"/>
        <v>#REF!</v>
      </c>
    </row>
    <row r="270" spans="2:3" ht="15.75" customHeight="1" x14ac:dyDescent="0.25">
      <c r="B270" s="67" t="e">
        <f t="shared" si="9"/>
        <v>#REF!</v>
      </c>
      <c r="C270" s="76" t="e">
        <f t="shared" si="10"/>
        <v>#REF!</v>
      </c>
    </row>
    <row r="271" spans="2:3" ht="15.75" customHeight="1" x14ac:dyDescent="0.25">
      <c r="B271" s="67" t="e">
        <f t="shared" si="9"/>
        <v>#REF!</v>
      </c>
      <c r="C271" s="76" t="e">
        <f t="shared" si="10"/>
        <v>#REF!</v>
      </c>
    </row>
    <row r="272" spans="2:3" ht="15.75" customHeight="1" x14ac:dyDescent="0.25">
      <c r="B272" s="67" t="e">
        <f t="shared" si="9"/>
        <v>#REF!</v>
      </c>
      <c r="C272" s="76" t="e">
        <f t="shared" si="10"/>
        <v>#REF!</v>
      </c>
    </row>
    <row r="273" spans="2:3" ht="15.75" customHeight="1" x14ac:dyDescent="0.25">
      <c r="B273" s="67" t="e">
        <f t="shared" si="9"/>
        <v>#REF!</v>
      </c>
      <c r="C273" s="76" t="e">
        <f t="shared" si="10"/>
        <v>#REF!</v>
      </c>
    </row>
    <row r="274" spans="2:3" ht="15.75" customHeight="1" x14ac:dyDescent="0.25">
      <c r="B274" s="67" t="e">
        <f t="shared" si="9"/>
        <v>#REF!</v>
      </c>
      <c r="C274" s="76" t="e">
        <f t="shared" si="10"/>
        <v>#REF!</v>
      </c>
    </row>
    <row r="275" spans="2:3" ht="15.75" customHeight="1" x14ac:dyDescent="0.25">
      <c r="B275" s="67" t="e">
        <f t="shared" si="9"/>
        <v>#REF!</v>
      </c>
      <c r="C275" s="76" t="e">
        <f t="shared" si="10"/>
        <v>#REF!</v>
      </c>
    </row>
    <row r="276" spans="2:3" ht="15.75" customHeight="1" x14ac:dyDescent="0.25">
      <c r="B276" s="67" t="e">
        <f t="shared" si="9"/>
        <v>#REF!</v>
      </c>
      <c r="C276" s="76" t="e">
        <f t="shared" si="10"/>
        <v>#REF!</v>
      </c>
    </row>
    <row r="277" spans="2:3" ht="15.75" customHeight="1" x14ac:dyDescent="0.25">
      <c r="B277" s="67" t="e">
        <f t="shared" si="9"/>
        <v>#REF!</v>
      </c>
      <c r="C277" s="76" t="e">
        <f t="shared" si="10"/>
        <v>#REF!</v>
      </c>
    </row>
    <row r="278" spans="2:3" ht="15.75" customHeight="1" x14ac:dyDescent="0.25">
      <c r="B278" s="67" t="e">
        <f t="shared" si="9"/>
        <v>#REF!</v>
      </c>
      <c r="C278" s="76" t="e">
        <f t="shared" si="10"/>
        <v>#REF!</v>
      </c>
    </row>
    <row r="279" spans="2:3" ht="15.75" customHeight="1" x14ac:dyDescent="0.25">
      <c r="B279" s="67" t="e">
        <f t="shared" si="9"/>
        <v>#REF!</v>
      </c>
      <c r="C279" s="76" t="e">
        <f t="shared" si="10"/>
        <v>#REF!</v>
      </c>
    </row>
    <row r="280" spans="2:3" ht="15.75" customHeight="1" x14ac:dyDescent="0.25">
      <c r="B280" s="67" t="e">
        <f t="shared" si="9"/>
        <v>#REF!</v>
      </c>
      <c r="C280" s="76" t="e">
        <f t="shared" si="10"/>
        <v>#REF!</v>
      </c>
    </row>
    <row r="281" spans="2:3" ht="15.75" customHeight="1" x14ac:dyDescent="0.25">
      <c r="B281" s="67" t="e">
        <f t="shared" si="9"/>
        <v>#REF!</v>
      </c>
      <c r="C281" s="76" t="e">
        <f t="shared" si="10"/>
        <v>#REF!</v>
      </c>
    </row>
    <row r="282" spans="2:3" ht="15.75" customHeight="1" x14ac:dyDescent="0.25">
      <c r="B282" s="67" t="e">
        <f t="shared" si="9"/>
        <v>#REF!</v>
      </c>
      <c r="C282" s="76" t="e">
        <f t="shared" si="10"/>
        <v>#REF!</v>
      </c>
    </row>
    <row r="283" spans="2:3" ht="15.75" customHeight="1" x14ac:dyDescent="0.25">
      <c r="B283" s="67" t="e">
        <f t="shared" si="9"/>
        <v>#REF!</v>
      </c>
      <c r="C283" s="76" t="e">
        <f t="shared" si="10"/>
        <v>#REF!</v>
      </c>
    </row>
    <row r="284" spans="2:3" ht="15.75" customHeight="1" x14ac:dyDescent="0.25">
      <c r="B284" s="67" t="e">
        <f t="shared" si="9"/>
        <v>#REF!</v>
      </c>
      <c r="C284" s="76" t="e">
        <f t="shared" si="10"/>
        <v>#REF!</v>
      </c>
    </row>
    <row r="285" spans="2:3" ht="15.75" customHeight="1" x14ac:dyDescent="0.25">
      <c r="B285" s="67" t="e">
        <f t="shared" ref="B285:B348" si="11">IF(B284="","",IF(B284+$C$9&lt;=$C$5,B284+$C$9,""))</f>
        <v>#REF!</v>
      </c>
      <c r="C285" s="76" t="e">
        <f t="shared" ref="C285:C348" si="12">IF(B285&lt;&gt;"",C284-$C$2/COUNT($B$17:$B$510),"")</f>
        <v>#REF!</v>
      </c>
    </row>
    <row r="286" spans="2:3" ht="15.75" customHeight="1" x14ac:dyDescent="0.25">
      <c r="B286" s="67" t="e">
        <f t="shared" si="11"/>
        <v>#REF!</v>
      </c>
      <c r="C286" s="76" t="e">
        <f t="shared" si="12"/>
        <v>#REF!</v>
      </c>
    </row>
    <row r="287" spans="2:3" ht="15.75" customHeight="1" x14ac:dyDescent="0.25">
      <c r="B287" s="67" t="e">
        <f t="shared" si="11"/>
        <v>#REF!</v>
      </c>
      <c r="C287" s="76" t="e">
        <f t="shared" si="12"/>
        <v>#REF!</v>
      </c>
    </row>
    <row r="288" spans="2:3" ht="15.75" customHeight="1" x14ac:dyDescent="0.25">
      <c r="B288" s="67" t="e">
        <f t="shared" si="11"/>
        <v>#REF!</v>
      </c>
      <c r="C288" s="76" t="e">
        <f t="shared" si="12"/>
        <v>#REF!</v>
      </c>
    </row>
    <row r="289" spans="2:3" ht="15.75" customHeight="1" x14ac:dyDescent="0.25">
      <c r="B289" s="67" t="e">
        <f t="shared" si="11"/>
        <v>#REF!</v>
      </c>
      <c r="C289" s="76" t="e">
        <f t="shared" si="12"/>
        <v>#REF!</v>
      </c>
    </row>
    <row r="290" spans="2:3" ht="15.75" customHeight="1" x14ac:dyDescent="0.25">
      <c r="B290" s="67" t="e">
        <f t="shared" si="11"/>
        <v>#REF!</v>
      </c>
      <c r="C290" s="76" t="e">
        <f t="shared" si="12"/>
        <v>#REF!</v>
      </c>
    </row>
    <row r="291" spans="2:3" ht="15.75" customHeight="1" x14ac:dyDescent="0.25">
      <c r="B291" s="67" t="e">
        <f t="shared" si="11"/>
        <v>#REF!</v>
      </c>
      <c r="C291" s="76" t="e">
        <f t="shared" si="12"/>
        <v>#REF!</v>
      </c>
    </row>
    <row r="292" spans="2:3" ht="15.75" customHeight="1" x14ac:dyDescent="0.25">
      <c r="B292" s="67" t="e">
        <f t="shared" si="11"/>
        <v>#REF!</v>
      </c>
      <c r="C292" s="76" t="e">
        <f t="shared" si="12"/>
        <v>#REF!</v>
      </c>
    </row>
    <row r="293" spans="2:3" ht="15.75" customHeight="1" x14ac:dyDescent="0.25">
      <c r="B293" s="67" t="e">
        <f t="shared" si="11"/>
        <v>#REF!</v>
      </c>
      <c r="C293" s="76" t="e">
        <f t="shared" si="12"/>
        <v>#REF!</v>
      </c>
    </row>
    <row r="294" spans="2:3" ht="15.75" customHeight="1" x14ac:dyDescent="0.25">
      <c r="B294" s="67" t="e">
        <f t="shared" si="11"/>
        <v>#REF!</v>
      </c>
      <c r="C294" s="76" t="e">
        <f t="shared" si="12"/>
        <v>#REF!</v>
      </c>
    </row>
    <row r="295" spans="2:3" ht="15.75" customHeight="1" x14ac:dyDescent="0.25">
      <c r="B295" s="67" t="e">
        <f t="shared" si="11"/>
        <v>#REF!</v>
      </c>
      <c r="C295" s="76" t="e">
        <f t="shared" si="12"/>
        <v>#REF!</v>
      </c>
    </row>
    <row r="296" spans="2:3" ht="15.75" customHeight="1" x14ac:dyDescent="0.25">
      <c r="B296" s="67" t="e">
        <f t="shared" si="11"/>
        <v>#REF!</v>
      </c>
      <c r="C296" s="76" t="e">
        <f t="shared" si="12"/>
        <v>#REF!</v>
      </c>
    </row>
    <row r="297" spans="2:3" ht="15.75" customHeight="1" x14ac:dyDescent="0.25">
      <c r="B297" s="67" t="e">
        <f t="shared" si="11"/>
        <v>#REF!</v>
      </c>
      <c r="C297" s="76" t="e">
        <f t="shared" si="12"/>
        <v>#REF!</v>
      </c>
    </row>
    <row r="298" spans="2:3" ht="15.75" customHeight="1" x14ac:dyDescent="0.25">
      <c r="B298" s="67" t="e">
        <f t="shared" si="11"/>
        <v>#REF!</v>
      </c>
      <c r="C298" s="76" t="e">
        <f t="shared" si="12"/>
        <v>#REF!</v>
      </c>
    </row>
    <row r="299" spans="2:3" ht="15.75" customHeight="1" x14ac:dyDescent="0.25">
      <c r="B299" s="67" t="e">
        <f t="shared" si="11"/>
        <v>#REF!</v>
      </c>
      <c r="C299" s="76" t="e">
        <f t="shared" si="12"/>
        <v>#REF!</v>
      </c>
    </row>
    <row r="300" spans="2:3" ht="15.75" customHeight="1" x14ac:dyDescent="0.25">
      <c r="B300" s="67" t="e">
        <f t="shared" si="11"/>
        <v>#REF!</v>
      </c>
      <c r="C300" s="76" t="e">
        <f t="shared" si="12"/>
        <v>#REF!</v>
      </c>
    </row>
    <row r="301" spans="2:3" ht="15.75" customHeight="1" x14ac:dyDescent="0.25">
      <c r="B301" s="67" t="e">
        <f t="shared" si="11"/>
        <v>#REF!</v>
      </c>
      <c r="C301" s="76" t="e">
        <f t="shared" si="12"/>
        <v>#REF!</v>
      </c>
    </row>
    <row r="302" spans="2:3" ht="15.75" customHeight="1" x14ac:dyDescent="0.25">
      <c r="B302" s="67" t="e">
        <f t="shared" si="11"/>
        <v>#REF!</v>
      </c>
      <c r="C302" s="76" t="e">
        <f t="shared" si="12"/>
        <v>#REF!</v>
      </c>
    </row>
    <row r="303" spans="2:3" ht="15.75" customHeight="1" x14ac:dyDescent="0.25">
      <c r="B303" s="67" t="e">
        <f t="shared" si="11"/>
        <v>#REF!</v>
      </c>
      <c r="C303" s="76" t="e">
        <f t="shared" si="12"/>
        <v>#REF!</v>
      </c>
    </row>
    <row r="304" spans="2:3" ht="15.75" customHeight="1" x14ac:dyDescent="0.25">
      <c r="B304" s="67" t="e">
        <f t="shared" si="11"/>
        <v>#REF!</v>
      </c>
      <c r="C304" s="76" t="e">
        <f t="shared" si="12"/>
        <v>#REF!</v>
      </c>
    </row>
    <row r="305" spans="2:3" ht="15.75" customHeight="1" x14ac:dyDescent="0.25">
      <c r="B305" s="67" t="e">
        <f t="shared" si="11"/>
        <v>#REF!</v>
      </c>
      <c r="C305" s="76" t="e">
        <f t="shared" si="12"/>
        <v>#REF!</v>
      </c>
    </row>
    <row r="306" spans="2:3" ht="15.75" customHeight="1" x14ac:dyDescent="0.25">
      <c r="B306" s="67" t="e">
        <f t="shared" si="11"/>
        <v>#REF!</v>
      </c>
      <c r="C306" s="76" t="e">
        <f t="shared" si="12"/>
        <v>#REF!</v>
      </c>
    </row>
    <row r="307" spans="2:3" ht="15.75" customHeight="1" x14ac:dyDescent="0.25">
      <c r="B307" s="67" t="e">
        <f t="shared" si="11"/>
        <v>#REF!</v>
      </c>
      <c r="C307" s="76" t="e">
        <f t="shared" si="12"/>
        <v>#REF!</v>
      </c>
    </row>
    <row r="308" spans="2:3" ht="15.75" customHeight="1" x14ac:dyDescent="0.25">
      <c r="B308" s="67" t="e">
        <f t="shared" si="11"/>
        <v>#REF!</v>
      </c>
      <c r="C308" s="76" t="e">
        <f t="shared" si="12"/>
        <v>#REF!</v>
      </c>
    </row>
    <row r="309" spans="2:3" ht="15.75" customHeight="1" x14ac:dyDescent="0.25">
      <c r="B309" s="67" t="e">
        <f t="shared" si="11"/>
        <v>#REF!</v>
      </c>
      <c r="C309" s="76" t="e">
        <f t="shared" si="12"/>
        <v>#REF!</v>
      </c>
    </row>
    <row r="310" spans="2:3" ht="15.75" customHeight="1" x14ac:dyDescent="0.25">
      <c r="B310" s="67" t="e">
        <f t="shared" si="11"/>
        <v>#REF!</v>
      </c>
      <c r="C310" s="76" t="e">
        <f t="shared" si="12"/>
        <v>#REF!</v>
      </c>
    </row>
    <row r="311" spans="2:3" ht="15.75" customHeight="1" x14ac:dyDescent="0.25">
      <c r="B311" s="67" t="e">
        <f t="shared" si="11"/>
        <v>#REF!</v>
      </c>
      <c r="C311" s="76" t="e">
        <f t="shared" si="12"/>
        <v>#REF!</v>
      </c>
    </row>
    <row r="312" spans="2:3" ht="15.75" customHeight="1" x14ac:dyDescent="0.25">
      <c r="B312" s="67" t="e">
        <f t="shared" si="11"/>
        <v>#REF!</v>
      </c>
      <c r="C312" s="76" t="e">
        <f t="shared" si="12"/>
        <v>#REF!</v>
      </c>
    </row>
    <row r="313" spans="2:3" ht="15.75" customHeight="1" x14ac:dyDescent="0.25">
      <c r="B313" s="67" t="e">
        <f t="shared" si="11"/>
        <v>#REF!</v>
      </c>
      <c r="C313" s="76" t="e">
        <f t="shared" si="12"/>
        <v>#REF!</v>
      </c>
    </row>
    <row r="314" spans="2:3" ht="15.75" customHeight="1" x14ac:dyDescent="0.25">
      <c r="B314" s="67" t="e">
        <f t="shared" si="11"/>
        <v>#REF!</v>
      </c>
      <c r="C314" s="76" t="e">
        <f t="shared" si="12"/>
        <v>#REF!</v>
      </c>
    </row>
    <row r="315" spans="2:3" ht="15.75" customHeight="1" x14ac:dyDescent="0.25">
      <c r="B315" s="67" t="e">
        <f t="shared" si="11"/>
        <v>#REF!</v>
      </c>
      <c r="C315" s="76" t="e">
        <f t="shared" si="12"/>
        <v>#REF!</v>
      </c>
    </row>
    <row r="316" spans="2:3" ht="15.75" customHeight="1" x14ac:dyDescent="0.25">
      <c r="B316" s="67" t="e">
        <f t="shared" si="11"/>
        <v>#REF!</v>
      </c>
      <c r="C316" s="76" t="e">
        <f t="shared" si="12"/>
        <v>#REF!</v>
      </c>
    </row>
    <row r="317" spans="2:3" ht="15.75" customHeight="1" x14ac:dyDescent="0.25">
      <c r="B317" s="67" t="e">
        <f t="shared" si="11"/>
        <v>#REF!</v>
      </c>
      <c r="C317" s="76" t="e">
        <f t="shared" si="12"/>
        <v>#REF!</v>
      </c>
    </row>
    <row r="318" spans="2:3" ht="15.75" customHeight="1" x14ac:dyDescent="0.25">
      <c r="B318" s="67" t="e">
        <f t="shared" si="11"/>
        <v>#REF!</v>
      </c>
      <c r="C318" s="76" t="e">
        <f t="shared" si="12"/>
        <v>#REF!</v>
      </c>
    </row>
    <row r="319" spans="2:3" ht="15.75" customHeight="1" x14ac:dyDescent="0.25">
      <c r="B319" s="67" t="e">
        <f t="shared" si="11"/>
        <v>#REF!</v>
      </c>
      <c r="C319" s="76" t="e">
        <f t="shared" si="12"/>
        <v>#REF!</v>
      </c>
    </row>
    <row r="320" spans="2:3" ht="15.75" customHeight="1" x14ac:dyDescent="0.25">
      <c r="B320" s="67" t="e">
        <f t="shared" si="11"/>
        <v>#REF!</v>
      </c>
      <c r="C320" s="76" t="e">
        <f t="shared" si="12"/>
        <v>#REF!</v>
      </c>
    </row>
    <row r="321" spans="2:3" ht="15.75" customHeight="1" x14ac:dyDescent="0.25">
      <c r="B321" s="67" t="e">
        <f t="shared" si="11"/>
        <v>#REF!</v>
      </c>
      <c r="C321" s="76" t="e">
        <f t="shared" si="12"/>
        <v>#REF!</v>
      </c>
    </row>
    <row r="322" spans="2:3" ht="15.75" customHeight="1" x14ac:dyDescent="0.25">
      <c r="B322" s="67" t="e">
        <f t="shared" si="11"/>
        <v>#REF!</v>
      </c>
      <c r="C322" s="76" t="e">
        <f t="shared" si="12"/>
        <v>#REF!</v>
      </c>
    </row>
    <row r="323" spans="2:3" ht="15.75" customHeight="1" x14ac:dyDescent="0.25">
      <c r="B323" s="67" t="e">
        <f t="shared" si="11"/>
        <v>#REF!</v>
      </c>
      <c r="C323" s="76" t="e">
        <f t="shared" si="12"/>
        <v>#REF!</v>
      </c>
    </row>
    <row r="324" spans="2:3" ht="15.75" customHeight="1" x14ac:dyDescent="0.25">
      <c r="B324" s="67" t="e">
        <f t="shared" si="11"/>
        <v>#REF!</v>
      </c>
      <c r="C324" s="76" t="e">
        <f t="shared" si="12"/>
        <v>#REF!</v>
      </c>
    </row>
    <row r="325" spans="2:3" ht="15.75" customHeight="1" x14ac:dyDescent="0.25">
      <c r="B325" s="67" t="e">
        <f t="shared" si="11"/>
        <v>#REF!</v>
      </c>
      <c r="C325" s="76" t="e">
        <f t="shared" si="12"/>
        <v>#REF!</v>
      </c>
    </row>
    <row r="326" spans="2:3" ht="15.75" customHeight="1" x14ac:dyDescent="0.25">
      <c r="B326" s="67" t="e">
        <f t="shared" si="11"/>
        <v>#REF!</v>
      </c>
      <c r="C326" s="76" t="e">
        <f t="shared" si="12"/>
        <v>#REF!</v>
      </c>
    </row>
    <row r="327" spans="2:3" ht="15.75" customHeight="1" x14ac:dyDescent="0.25">
      <c r="B327" s="67" t="e">
        <f t="shared" si="11"/>
        <v>#REF!</v>
      </c>
      <c r="C327" s="76" t="e">
        <f t="shared" si="12"/>
        <v>#REF!</v>
      </c>
    </row>
    <row r="328" spans="2:3" ht="15.75" customHeight="1" x14ac:dyDescent="0.25">
      <c r="B328" s="67" t="e">
        <f t="shared" si="11"/>
        <v>#REF!</v>
      </c>
      <c r="C328" s="76" t="e">
        <f t="shared" si="12"/>
        <v>#REF!</v>
      </c>
    </row>
    <row r="329" spans="2:3" ht="15.75" customHeight="1" x14ac:dyDescent="0.25">
      <c r="B329" s="67" t="e">
        <f t="shared" si="11"/>
        <v>#REF!</v>
      </c>
      <c r="C329" s="76" t="e">
        <f t="shared" si="12"/>
        <v>#REF!</v>
      </c>
    </row>
    <row r="330" spans="2:3" ht="15.75" customHeight="1" x14ac:dyDescent="0.25">
      <c r="B330" s="67" t="e">
        <f t="shared" si="11"/>
        <v>#REF!</v>
      </c>
      <c r="C330" s="76" t="e">
        <f t="shared" si="12"/>
        <v>#REF!</v>
      </c>
    </row>
    <row r="331" spans="2:3" ht="15.75" customHeight="1" x14ac:dyDescent="0.25">
      <c r="B331" s="67" t="e">
        <f t="shared" si="11"/>
        <v>#REF!</v>
      </c>
      <c r="C331" s="76" t="e">
        <f t="shared" si="12"/>
        <v>#REF!</v>
      </c>
    </row>
    <row r="332" spans="2:3" ht="15.75" customHeight="1" x14ac:dyDescent="0.25">
      <c r="B332" s="67" t="e">
        <f t="shared" si="11"/>
        <v>#REF!</v>
      </c>
      <c r="C332" s="76" t="e">
        <f t="shared" si="12"/>
        <v>#REF!</v>
      </c>
    </row>
    <row r="333" spans="2:3" ht="15.75" customHeight="1" x14ac:dyDescent="0.25">
      <c r="B333" s="67" t="e">
        <f t="shared" si="11"/>
        <v>#REF!</v>
      </c>
      <c r="C333" s="76" t="e">
        <f t="shared" si="12"/>
        <v>#REF!</v>
      </c>
    </row>
    <row r="334" spans="2:3" ht="15.75" customHeight="1" x14ac:dyDescent="0.25">
      <c r="B334" s="67" t="e">
        <f t="shared" si="11"/>
        <v>#REF!</v>
      </c>
      <c r="C334" s="76" t="e">
        <f t="shared" si="12"/>
        <v>#REF!</v>
      </c>
    </row>
    <row r="335" spans="2:3" ht="15.75" customHeight="1" x14ac:dyDescent="0.25">
      <c r="B335" s="67" t="e">
        <f t="shared" si="11"/>
        <v>#REF!</v>
      </c>
      <c r="C335" s="76" t="e">
        <f t="shared" si="12"/>
        <v>#REF!</v>
      </c>
    </row>
    <row r="336" spans="2:3" ht="15.75" customHeight="1" x14ac:dyDescent="0.25">
      <c r="B336" s="67" t="e">
        <f t="shared" si="11"/>
        <v>#REF!</v>
      </c>
      <c r="C336" s="76" t="e">
        <f t="shared" si="12"/>
        <v>#REF!</v>
      </c>
    </row>
    <row r="337" spans="2:3" ht="15.75" customHeight="1" x14ac:dyDescent="0.25">
      <c r="B337" s="67" t="e">
        <f t="shared" si="11"/>
        <v>#REF!</v>
      </c>
      <c r="C337" s="76" t="e">
        <f t="shared" si="12"/>
        <v>#REF!</v>
      </c>
    </row>
    <row r="338" spans="2:3" ht="15.75" customHeight="1" x14ac:dyDescent="0.25">
      <c r="B338" s="67" t="e">
        <f t="shared" si="11"/>
        <v>#REF!</v>
      </c>
      <c r="C338" s="76" t="e">
        <f t="shared" si="12"/>
        <v>#REF!</v>
      </c>
    </row>
    <row r="339" spans="2:3" ht="15.75" customHeight="1" x14ac:dyDescent="0.25">
      <c r="B339" s="67" t="e">
        <f t="shared" si="11"/>
        <v>#REF!</v>
      </c>
      <c r="C339" s="76" t="e">
        <f t="shared" si="12"/>
        <v>#REF!</v>
      </c>
    </row>
    <row r="340" spans="2:3" ht="15.75" customHeight="1" x14ac:dyDescent="0.25">
      <c r="B340" s="67" t="e">
        <f t="shared" si="11"/>
        <v>#REF!</v>
      </c>
      <c r="C340" s="76" t="e">
        <f t="shared" si="12"/>
        <v>#REF!</v>
      </c>
    </row>
    <row r="341" spans="2:3" ht="15.75" customHeight="1" x14ac:dyDescent="0.25">
      <c r="B341" s="67" t="e">
        <f t="shared" si="11"/>
        <v>#REF!</v>
      </c>
      <c r="C341" s="76" t="e">
        <f t="shared" si="12"/>
        <v>#REF!</v>
      </c>
    </row>
    <row r="342" spans="2:3" ht="15.75" customHeight="1" x14ac:dyDescent="0.25">
      <c r="B342" s="67" t="e">
        <f t="shared" si="11"/>
        <v>#REF!</v>
      </c>
      <c r="C342" s="76" t="e">
        <f t="shared" si="12"/>
        <v>#REF!</v>
      </c>
    </row>
    <row r="343" spans="2:3" ht="15.75" customHeight="1" x14ac:dyDescent="0.25">
      <c r="B343" s="67" t="e">
        <f t="shared" si="11"/>
        <v>#REF!</v>
      </c>
      <c r="C343" s="76" t="e">
        <f t="shared" si="12"/>
        <v>#REF!</v>
      </c>
    </row>
    <row r="344" spans="2:3" ht="15.75" customHeight="1" x14ac:dyDescent="0.25">
      <c r="B344" s="67" t="e">
        <f t="shared" si="11"/>
        <v>#REF!</v>
      </c>
      <c r="C344" s="76" t="e">
        <f t="shared" si="12"/>
        <v>#REF!</v>
      </c>
    </row>
    <row r="345" spans="2:3" ht="15.75" customHeight="1" x14ac:dyDescent="0.25">
      <c r="B345" s="67" t="e">
        <f t="shared" si="11"/>
        <v>#REF!</v>
      </c>
      <c r="C345" s="76" t="e">
        <f t="shared" si="12"/>
        <v>#REF!</v>
      </c>
    </row>
    <row r="346" spans="2:3" ht="15.75" customHeight="1" x14ac:dyDescent="0.25">
      <c r="B346" s="67" t="e">
        <f t="shared" si="11"/>
        <v>#REF!</v>
      </c>
      <c r="C346" s="76" t="e">
        <f t="shared" si="12"/>
        <v>#REF!</v>
      </c>
    </row>
    <row r="347" spans="2:3" ht="15.75" customHeight="1" x14ac:dyDescent="0.25">
      <c r="B347" s="67" t="e">
        <f t="shared" si="11"/>
        <v>#REF!</v>
      </c>
      <c r="C347" s="76" t="e">
        <f t="shared" si="12"/>
        <v>#REF!</v>
      </c>
    </row>
    <row r="348" spans="2:3" ht="15.75" customHeight="1" x14ac:dyDescent="0.25">
      <c r="B348" s="67" t="e">
        <f t="shared" si="11"/>
        <v>#REF!</v>
      </c>
      <c r="C348" s="76" t="e">
        <f t="shared" si="12"/>
        <v>#REF!</v>
      </c>
    </row>
    <row r="349" spans="2:3" ht="15.75" customHeight="1" x14ac:dyDescent="0.25">
      <c r="B349" s="67" t="e">
        <f t="shared" ref="B349:B412" si="13">IF(B348="","",IF(B348+$C$9&lt;=$C$5,B348+$C$9,""))</f>
        <v>#REF!</v>
      </c>
      <c r="C349" s="76" t="e">
        <f t="shared" ref="C349:C412" si="14">IF(B349&lt;&gt;"",C348-$C$2/COUNT($B$17:$B$510),"")</f>
        <v>#REF!</v>
      </c>
    </row>
    <row r="350" spans="2:3" ht="15.75" customHeight="1" x14ac:dyDescent="0.25">
      <c r="B350" s="67" t="e">
        <f t="shared" si="13"/>
        <v>#REF!</v>
      </c>
      <c r="C350" s="76" t="e">
        <f t="shared" si="14"/>
        <v>#REF!</v>
      </c>
    </row>
    <row r="351" spans="2:3" ht="15.75" customHeight="1" x14ac:dyDescent="0.25">
      <c r="B351" s="67" t="e">
        <f t="shared" si="13"/>
        <v>#REF!</v>
      </c>
      <c r="C351" s="76" t="e">
        <f t="shared" si="14"/>
        <v>#REF!</v>
      </c>
    </row>
    <row r="352" spans="2:3" ht="15.75" customHeight="1" x14ac:dyDescent="0.25">
      <c r="B352" s="67" t="e">
        <f t="shared" si="13"/>
        <v>#REF!</v>
      </c>
      <c r="C352" s="76" t="e">
        <f t="shared" si="14"/>
        <v>#REF!</v>
      </c>
    </row>
    <row r="353" spans="2:3" ht="15.75" customHeight="1" x14ac:dyDescent="0.25">
      <c r="B353" s="67" t="e">
        <f t="shared" si="13"/>
        <v>#REF!</v>
      </c>
      <c r="C353" s="76" t="e">
        <f t="shared" si="14"/>
        <v>#REF!</v>
      </c>
    </row>
    <row r="354" spans="2:3" ht="15.75" customHeight="1" x14ac:dyDescent="0.25">
      <c r="B354" s="67" t="e">
        <f t="shared" si="13"/>
        <v>#REF!</v>
      </c>
      <c r="C354" s="76" t="e">
        <f t="shared" si="14"/>
        <v>#REF!</v>
      </c>
    </row>
    <row r="355" spans="2:3" ht="15.75" customHeight="1" x14ac:dyDescent="0.25">
      <c r="B355" s="67" t="e">
        <f t="shared" si="13"/>
        <v>#REF!</v>
      </c>
      <c r="C355" s="76" t="e">
        <f t="shared" si="14"/>
        <v>#REF!</v>
      </c>
    </row>
    <row r="356" spans="2:3" ht="15.75" customHeight="1" x14ac:dyDescent="0.25">
      <c r="B356" s="67" t="e">
        <f t="shared" si="13"/>
        <v>#REF!</v>
      </c>
      <c r="C356" s="76" t="e">
        <f t="shared" si="14"/>
        <v>#REF!</v>
      </c>
    </row>
    <row r="357" spans="2:3" ht="15.75" customHeight="1" x14ac:dyDescent="0.25">
      <c r="B357" s="67" t="e">
        <f t="shared" si="13"/>
        <v>#REF!</v>
      </c>
      <c r="C357" s="76" t="e">
        <f t="shared" si="14"/>
        <v>#REF!</v>
      </c>
    </row>
    <row r="358" spans="2:3" ht="15.75" customHeight="1" x14ac:dyDescent="0.25">
      <c r="B358" s="67" t="e">
        <f t="shared" si="13"/>
        <v>#REF!</v>
      </c>
      <c r="C358" s="76" t="e">
        <f t="shared" si="14"/>
        <v>#REF!</v>
      </c>
    </row>
    <row r="359" spans="2:3" ht="15.75" customHeight="1" x14ac:dyDescent="0.25">
      <c r="B359" s="67" t="e">
        <f t="shared" si="13"/>
        <v>#REF!</v>
      </c>
      <c r="C359" s="76" t="e">
        <f t="shared" si="14"/>
        <v>#REF!</v>
      </c>
    </row>
    <row r="360" spans="2:3" ht="15.75" customHeight="1" x14ac:dyDescent="0.25">
      <c r="B360" s="67" t="e">
        <f t="shared" si="13"/>
        <v>#REF!</v>
      </c>
      <c r="C360" s="76" t="e">
        <f t="shared" si="14"/>
        <v>#REF!</v>
      </c>
    </row>
    <row r="361" spans="2:3" ht="15.75" customHeight="1" x14ac:dyDescent="0.25">
      <c r="B361" s="67" t="e">
        <f t="shared" si="13"/>
        <v>#REF!</v>
      </c>
      <c r="C361" s="76" t="e">
        <f t="shared" si="14"/>
        <v>#REF!</v>
      </c>
    </row>
    <row r="362" spans="2:3" ht="15.75" customHeight="1" x14ac:dyDescent="0.25">
      <c r="B362" s="67" t="e">
        <f t="shared" si="13"/>
        <v>#REF!</v>
      </c>
      <c r="C362" s="76" t="e">
        <f t="shared" si="14"/>
        <v>#REF!</v>
      </c>
    </row>
    <row r="363" spans="2:3" ht="15.75" customHeight="1" x14ac:dyDescent="0.25">
      <c r="B363" s="67" t="e">
        <f t="shared" si="13"/>
        <v>#REF!</v>
      </c>
      <c r="C363" s="76" t="e">
        <f t="shared" si="14"/>
        <v>#REF!</v>
      </c>
    </row>
    <row r="364" spans="2:3" ht="15.75" customHeight="1" x14ac:dyDescent="0.25">
      <c r="B364" s="67" t="e">
        <f t="shared" si="13"/>
        <v>#REF!</v>
      </c>
      <c r="C364" s="76" t="e">
        <f t="shared" si="14"/>
        <v>#REF!</v>
      </c>
    </row>
    <row r="365" spans="2:3" ht="15.75" customHeight="1" x14ac:dyDescent="0.25">
      <c r="B365" s="67" t="e">
        <f t="shared" si="13"/>
        <v>#REF!</v>
      </c>
      <c r="C365" s="76" t="e">
        <f t="shared" si="14"/>
        <v>#REF!</v>
      </c>
    </row>
    <row r="366" spans="2:3" ht="15.75" customHeight="1" x14ac:dyDescent="0.25">
      <c r="B366" s="67" t="e">
        <f t="shared" si="13"/>
        <v>#REF!</v>
      </c>
      <c r="C366" s="76" t="e">
        <f t="shared" si="14"/>
        <v>#REF!</v>
      </c>
    </row>
    <row r="367" spans="2:3" ht="15.75" customHeight="1" x14ac:dyDescent="0.25">
      <c r="B367" s="67" t="e">
        <f t="shared" si="13"/>
        <v>#REF!</v>
      </c>
      <c r="C367" s="76" t="e">
        <f t="shared" si="14"/>
        <v>#REF!</v>
      </c>
    </row>
    <row r="368" spans="2:3" ht="15.75" customHeight="1" x14ac:dyDescent="0.25">
      <c r="B368" s="67" t="e">
        <f t="shared" si="13"/>
        <v>#REF!</v>
      </c>
      <c r="C368" s="76" t="e">
        <f t="shared" si="14"/>
        <v>#REF!</v>
      </c>
    </row>
    <row r="369" spans="2:3" ht="15.75" customHeight="1" x14ac:dyDescent="0.25">
      <c r="B369" s="67" t="e">
        <f t="shared" si="13"/>
        <v>#REF!</v>
      </c>
      <c r="C369" s="76" t="e">
        <f t="shared" si="14"/>
        <v>#REF!</v>
      </c>
    </row>
    <row r="370" spans="2:3" ht="15.75" customHeight="1" x14ac:dyDescent="0.25">
      <c r="B370" s="67" t="e">
        <f t="shared" si="13"/>
        <v>#REF!</v>
      </c>
      <c r="C370" s="76" t="e">
        <f t="shared" si="14"/>
        <v>#REF!</v>
      </c>
    </row>
    <row r="371" spans="2:3" ht="15.75" customHeight="1" x14ac:dyDescent="0.25">
      <c r="B371" s="67" t="e">
        <f t="shared" si="13"/>
        <v>#REF!</v>
      </c>
      <c r="C371" s="76" t="e">
        <f t="shared" si="14"/>
        <v>#REF!</v>
      </c>
    </row>
    <row r="372" spans="2:3" ht="15.75" customHeight="1" x14ac:dyDescent="0.25">
      <c r="B372" s="67" t="e">
        <f t="shared" si="13"/>
        <v>#REF!</v>
      </c>
      <c r="C372" s="76" t="e">
        <f t="shared" si="14"/>
        <v>#REF!</v>
      </c>
    </row>
    <row r="373" spans="2:3" ht="15.75" customHeight="1" x14ac:dyDescent="0.25">
      <c r="B373" s="67" t="e">
        <f t="shared" si="13"/>
        <v>#REF!</v>
      </c>
      <c r="C373" s="76" t="e">
        <f t="shared" si="14"/>
        <v>#REF!</v>
      </c>
    </row>
    <row r="374" spans="2:3" ht="15.75" customHeight="1" x14ac:dyDescent="0.25">
      <c r="B374" s="67" t="e">
        <f t="shared" si="13"/>
        <v>#REF!</v>
      </c>
      <c r="C374" s="76" t="e">
        <f t="shared" si="14"/>
        <v>#REF!</v>
      </c>
    </row>
    <row r="375" spans="2:3" ht="15.75" customHeight="1" x14ac:dyDescent="0.25">
      <c r="B375" s="67" t="e">
        <f t="shared" si="13"/>
        <v>#REF!</v>
      </c>
      <c r="C375" s="76" t="e">
        <f t="shared" si="14"/>
        <v>#REF!</v>
      </c>
    </row>
    <row r="376" spans="2:3" ht="15.75" customHeight="1" x14ac:dyDescent="0.25">
      <c r="B376" s="67" t="e">
        <f t="shared" si="13"/>
        <v>#REF!</v>
      </c>
      <c r="C376" s="76" t="e">
        <f t="shared" si="14"/>
        <v>#REF!</v>
      </c>
    </row>
    <row r="377" spans="2:3" ht="15.75" customHeight="1" x14ac:dyDescent="0.25">
      <c r="B377" s="67" t="e">
        <f t="shared" si="13"/>
        <v>#REF!</v>
      </c>
      <c r="C377" s="76" t="e">
        <f t="shared" si="14"/>
        <v>#REF!</v>
      </c>
    </row>
    <row r="378" spans="2:3" ht="15.75" customHeight="1" x14ac:dyDescent="0.25">
      <c r="B378" s="67" t="e">
        <f t="shared" si="13"/>
        <v>#REF!</v>
      </c>
      <c r="C378" s="76" t="e">
        <f t="shared" si="14"/>
        <v>#REF!</v>
      </c>
    </row>
    <row r="379" spans="2:3" ht="15.75" customHeight="1" x14ac:dyDescent="0.25">
      <c r="B379" s="67" t="e">
        <f t="shared" si="13"/>
        <v>#REF!</v>
      </c>
      <c r="C379" s="76" t="e">
        <f t="shared" si="14"/>
        <v>#REF!</v>
      </c>
    </row>
    <row r="380" spans="2:3" ht="15.75" customHeight="1" x14ac:dyDescent="0.25">
      <c r="B380" s="67" t="e">
        <f t="shared" si="13"/>
        <v>#REF!</v>
      </c>
      <c r="C380" s="76" t="e">
        <f t="shared" si="14"/>
        <v>#REF!</v>
      </c>
    </row>
    <row r="381" spans="2:3" ht="15.75" customHeight="1" x14ac:dyDescent="0.25">
      <c r="B381" s="67" t="e">
        <f t="shared" si="13"/>
        <v>#REF!</v>
      </c>
      <c r="C381" s="76" t="e">
        <f t="shared" si="14"/>
        <v>#REF!</v>
      </c>
    </row>
    <row r="382" spans="2:3" ht="15.75" customHeight="1" x14ac:dyDescent="0.25">
      <c r="B382" s="67" t="e">
        <f t="shared" si="13"/>
        <v>#REF!</v>
      </c>
      <c r="C382" s="76" t="e">
        <f t="shared" si="14"/>
        <v>#REF!</v>
      </c>
    </row>
    <row r="383" spans="2:3" ht="15.75" customHeight="1" x14ac:dyDescent="0.25">
      <c r="B383" s="67" t="e">
        <f t="shared" si="13"/>
        <v>#REF!</v>
      </c>
      <c r="C383" s="76" t="e">
        <f t="shared" si="14"/>
        <v>#REF!</v>
      </c>
    </row>
    <row r="384" spans="2:3" ht="15.75" customHeight="1" x14ac:dyDescent="0.25">
      <c r="B384" s="67" t="e">
        <f t="shared" si="13"/>
        <v>#REF!</v>
      </c>
      <c r="C384" s="76" t="e">
        <f t="shared" si="14"/>
        <v>#REF!</v>
      </c>
    </row>
    <row r="385" spans="2:3" ht="15.75" customHeight="1" x14ac:dyDescent="0.25">
      <c r="B385" s="67" t="e">
        <f t="shared" si="13"/>
        <v>#REF!</v>
      </c>
      <c r="C385" s="76" t="e">
        <f t="shared" si="14"/>
        <v>#REF!</v>
      </c>
    </row>
    <row r="386" spans="2:3" ht="15.75" customHeight="1" x14ac:dyDescent="0.25">
      <c r="B386" s="67" t="e">
        <f t="shared" si="13"/>
        <v>#REF!</v>
      </c>
      <c r="C386" s="76" t="e">
        <f t="shared" si="14"/>
        <v>#REF!</v>
      </c>
    </row>
    <row r="387" spans="2:3" ht="15.75" customHeight="1" x14ac:dyDescent="0.25">
      <c r="B387" s="67" t="e">
        <f t="shared" si="13"/>
        <v>#REF!</v>
      </c>
      <c r="C387" s="76" t="e">
        <f t="shared" si="14"/>
        <v>#REF!</v>
      </c>
    </row>
    <row r="388" spans="2:3" ht="15.75" customHeight="1" x14ac:dyDescent="0.25">
      <c r="B388" s="67" t="e">
        <f t="shared" si="13"/>
        <v>#REF!</v>
      </c>
      <c r="C388" s="76" t="e">
        <f t="shared" si="14"/>
        <v>#REF!</v>
      </c>
    </row>
    <row r="389" spans="2:3" ht="15.75" customHeight="1" x14ac:dyDescent="0.25">
      <c r="B389" s="67" t="e">
        <f t="shared" si="13"/>
        <v>#REF!</v>
      </c>
      <c r="C389" s="76" t="e">
        <f t="shared" si="14"/>
        <v>#REF!</v>
      </c>
    </row>
    <row r="390" spans="2:3" ht="15.75" customHeight="1" x14ac:dyDescent="0.25">
      <c r="B390" s="67" t="e">
        <f t="shared" si="13"/>
        <v>#REF!</v>
      </c>
      <c r="C390" s="76" t="e">
        <f t="shared" si="14"/>
        <v>#REF!</v>
      </c>
    </row>
    <row r="391" spans="2:3" ht="15.75" customHeight="1" x14ac:dyDescent="0.25">
      <c r="B391" s="67" t="e">
        <f t="shared" si="13"/>
        <v>#REF!</v>
      </c>
      <c r="C391" s="76" t="e">
        <f t="shared" si="14"/>
        <v>#REF!</v>
      </c>
    </row>
    <row r="392" spans="2:3" ht="15.75" customHeight="1" x14ac:dyDescent="0.25">
      <c r="B392" s="67" t="e">
        <f t="shared" si="13"/>
        <v>#REF!</v>
      </c>
      <c r="C392" s="76" t="e">
        <f t="shared" si="14"/>
        <v>#REF!</v>
      </c>
    </row>
    <row r="393" spans="2:3" ht="15.75" customHeight="1" x14ac:dyDescent="0.25">
      <c r="B393" s="67" t="e">
        <f t="shared" si="13"/>
        <v>#REF!</v>
      </c>
      <c r="C393" s="76" t="e">
        <f t="shared" si="14"/>
        <v>#REF!</v>
      </c>
    </row>
    <row r="394" spans="2:3" ht="15.75" customHeight="1" x14ac:dyDescent="0.25">
      <c r="B394" s="67" t="e">
        <f t="shared" si="13"/>
        <v>#REF!</v>
      </c>
      <c r="C394" s="76" t="e">
        <f t="shared" si="14"/>
        <v>#REF!</v>
      </c>
    </row>
    <row r="395" spans="2:3" ht="15.75" customHeight="1" x14ac:dyDescent="0.25">
      <c r="B395" s="67" t="e">
        <f t="shared" si="13"/>
        <v>#REF!</v>
      </c>
      <c r="C395" s="76" t="e">
        <f t="shared" si="14"/>
        <v>#REF!</v>
      </c>
    </row>
    <row r="396" spans="2:3" ht="15.75" customHeight="1" x14ac:dyDescent="0.25">
      <c r="B396" s="67" t="e">
        <f t="shared" si="13"/>
        <v>#REF!</v>
      </c>
      <c r="C396" s="76" t="e">
        <f t="shared" si="14"/>
        <v>#REF!</v>
      </c>
    </row>
    <row r="397" spans="2:3" ht="15.75" customHeight="1" x14ac:dyDescent="0.25">
      <c r="B397" s="67" t="e">
        <f t="shared" si="13"/>
        <v>#REF!</v>
      </c>
      <c r="C397" s="76" t="e">
        <f t="shared" si="14"/>
        <v>#REF!</v>
      </c>
    </row>
    <row r="398" spans="2:3" ht="15.75" customHeight="1" x14ac:dyDescent="0.25">
      <c r="B398" s="67" t="e">
        <f t="shared" si="13"/>
        <v>#REF!</v>
      </c>
      <c r="C398" s="76" t="e">
        <f t="shared" si="14"/>
        <v>#REF!</v>
      </c>
    </row>
    <row r="399" spans="2:3" ht="15.75" customHeight="1" x14ac:dyDescent="0.25">
      <c r="B399" s="67" t="e">
        <f t="shared" si="13"/>
        <v>#REF!</v>
      </c>
      <c r="C399" s="76" t="e">
        <f t="shared" si="14"/>
        <v>#REF!</v>
      </c>
    </row>
    <row r="400" spans="2:3" ht="15.75" customHeight="1" x14ac:dyDescent="0.25">
      <c r="B400" s="67" t="e">
        <f t="shared" si="13"/>
        <v>#REF!</v>
      </c>
      <c r="C400" s="76" t="e">
        <f t="shared" si="14"/>
        <v>#REF!</v>
      </c>
    </row>
    <row r="401" spans="2:3" ht="15.75" customHeight="1" x14ac:dyDescent="0.25">
      <c r="B401" s="67" t="e">
        <f t="shared" si="13"/>
        <v>#REF!</v>
      </c>
      <c r="C401" s="76" t="e">
        <f t="shared" si="14"/>
        <v>#REF!</v>
      </c>
    </row>
    <row r="402" spans="2:3" ht="15.75" customHeight="1" x14ac:dyDescent="0.25">
      <c r="B402" s="67" t="e">
        <f t="shared" si="13"/>
        <v>#REF!</v>
      </c>
      <c r="C402" s="76" t="e">
        <f t="shared" si="14"/>
        <v>#REF!</v>
      </c>
    </row>
    <row r="403" spans="2:3" ht="15.75" customHeight="1" x14ac:dyDescent="0.25">
      <c r="B403" s="67" t="e">
        <f t="shared" si="13"/>
        <v>#REF!</v>
      </c>
      <c r="C403" s="76" t="e">
        <f t="shared" si="14"/>
        <v>#REF!</v>
      </c>
    </row>
    <row r="404" spans="2:3" ht="15.75" customHeight="1" x14ac:dyDescent="0.25">
      <c r="B404" s="67" t="e">
        <f t="shared" si="13"/>
        <v>#REF!</v>
      </c>
      <c r="C404" s="76" t="e">
        <f t="shared" si="14"/>
        <v>#REF!</v>
      </c>
    </row>
    <row r="405" spans="2:3" ht="15.75" customHeight="1" x14ac:dyDescent="0.25">
      <c r="B405" s="67" t="e">
        <f t="shared" si="13"/>
        <v>#REF!</v>
      </c>
      <c r="C405" s="76" t="e">
        <f t="shared" si="14"/>
        <v>#REF!</v>
      </c>
    </row>
    <row r="406" spans="2:3" ht="15.75" customHeight="1" x14ac:dyDescent="0.25">
      <c r="B406" s="67" t="e">
        <f t="shared" si="13"/>
        <v>#REF!</v>
      </c>
      <c r="C406" s="76" t="e">
        <f t="shared" si="14"/>
        <v>#REF!</v>
      </c>
    </row>
    <row r="407" spans="2:3" ht="15.75" customHeight="1" x14ac:dyDescent="0.25">
      <c r="B407" s="67" t="e">
        <f t="shared" si="13"/>
        <v>#REF!</v>
      </c>
      <c r="C407" s="76" t="e">
        <f t="shared" si="14"/>
        <v>#REF!</v>
      </c>
    </row>
    <row r="408" spans="2:3" ht="15.75" customHeight="1" x14ac:dyDescent="0.25">
      <c r="B408" s="67" t="e">
        <f t="shared" si="13"/>
        <v>#REF!</v>
      </c>
      <c r="C408" s="76" t="e">
        <f t="shared" si="14"/>
        <v>#REF!</v>
      </c>
    </row>
    <row r="409" spans="2:3" ht="15.75" customHeight="1" x14ac:dyDescent="0.25">
      <c r="B409" s="67" t="e">
        <f t="shared" si="13"/>
        <v>#REF!</v>
      </c>
      <c r="C409" s="76" t="e">
        <f t="shared" si="14"/>
        <v>#REF!</v>
      </c>
    </row>
    <row r="410" spans="2:3" ht="15.75" customHeight="1" x14ac:dyDescent="0.25">
      <c r="B410" s="67" t="e">
        <f t="shared" si="13"/>
        <v>#REF!</v>
      </c>
      <c r="C410" s="76" t="e">
        <f t="shared" si="14"/>
        <v>#REF!</v>
      </c>
    </row>
    <row r="411" spans="2:3" ht="15.75" customHeight="1" x14ac:dyDescent="0.25">
      <c r="B411" s="67" t="e">
        <f t="shared" si="13"/>
        <v>#REF!</v>
      </c>
      <c r="C411" s="76" t="e">
        <f t="shared" si="14"/>
        <v>#REF!</v>
      </c>
    </row>
    <row r="412" spans="2:3" ht="15.75" customHeight="1" x14ac:dyDescent="0.25">
      <c r="B412" s="67" t="e">
        <f t="shared" si="13"/>
        <v>#REF!</v>
      </c>
      <c r="C412" s="76" t="e">
        <f t="shared" si="14"/>
        <v>#REF!</v>
      </c>
    </row>
    <row r="413" spans="2:3" ht="15.75" customHeight="1" x14ac:dyDescent="0.25">
      <c r="B413" s="67" t="e">
        <f t="shared" ref="B413:B476" si="15">IF(B412="","",IF(B412+$C$9&lt;=$C$5,B412+$C$9,""))</f>
        <v>#REF!</v>
      </c>
      <c r="C413" s="76" t="e">
        <f t="shared" ref="C413:C476" si="16">IF(B413&lt;&gt;"",C412-$C$2/COUNT($B$17:$B$510),"")</f>
        <v>#REF!</v>
      </c>
    </row>
    <row r="414" spans="2:3" ht="15.75" customHeight="1" x14ac:dyDescent="0.25">
      <c r="B414" s="67" t="e">
        <f t="shared" si="15"/>
        <v>#REF!</v>
      </c>
      <c r="C414" s="76" t="e">
        <f t="shared" si="16"/>
        <v>#REF!</v>
      </c>
    </row>
    <row r="415" spans="2:3" ht="15.75" customHeight="1" x14ac:dyDescent="0.25">
      <c r="B415" s="67" t="e">
        <f t="shared" si="15"/>
        <v>#REF!</v>
      </c>
      <c r="C415" s="76" t="e">
        <f t="shared" si="16"/>
        <v>#REF!</v>
      </c>
    </row>
    <row r="416" spans="2:3" ht="15.75" customHeight="1" x14ac:dyDescent="0.25">
      <c r="B416" s="67" t="e">
        <f t="shared" si="15"/>
        <v>#REF!</v>
      </c>
      <c r="C416" s="76" t="e">
        <f t="shared" si="16"/>
        <v>#REF!</v>
      </c>
    </row>
    <row r="417" spans="2:3" ht="15.75" customHeight="1" x14ac:dyDescent="0.25">
      <c r="B417" s="67" t="e">
        <f t="shared" si="15"/>
        <v>#REF!</v>
      </c>
      <c r="C417" s="76" t="e">
        <f t="shared" si="16"/>
        <v>#REF!</v>
      </c>
    </row>
    <row r="418" spans="2:3" ht="15.75" customHeight="1" x14ac:dyDescent="0.25">
      <c r="B418" s="67" t="e">
        <f t="shared" si="15"/>
        <v>#REF!</v>
      </c>
      <c r="C418" s="76" t="e">
        <f t="shared" si="16"/>
        <v>#REF!</v>
      </c>
    </row>
    <row r="419" spans="2:3" ht="15.75" customHeight="1" x14ac:dyDescent="0.25">
      <c r="B419" s="67" t="e">
        <f t="shared" si="15"/>
        <v>#REF!</v>
      </c>
      <c r="C419" s="76" t="e">
        <f t="shared" si="16"/>
        <v>#REF!</v>
      </c>
    </row>
    <row r="420" spans="2:3" ht="15.75" customHeight="1" x14ac:dyDescent="0.25">
      <c r="B420" s="67" t="e">
        <f t="shared" si="15"/>
        <v>#REF!</v>
      </c>
      <c r="C420" s="76" t="e">
        <f t="shared" si="16"/>
        <v>#REF!</v>
      </c>
    </row>
    <row r="421" spans="2:3" ht="15.75" customHeight="1" x14ac:dyDescent="0.25">
      <c r="B421" s="67" t="e">
        <f t="shared" si="15"/>
        <v>#REF!</v>
      </c>
      <c r="C421" s="76" t="e">
        <f t="shared" si="16"/>
        <v>#REF!</v>
      </c>
    </row>
    <row r="422" spans="2:3" ht="15.75" customHeight="1" x14ac:dyDescent="0.25">
      <c r="B422" s="67" t="e">
        <f t="shared" si="15"/>
        <v>#REF!</v>
      </c>
      <c r="C422" s="76" t="e">
        <f t="shared" si="16"/>
        <v>#REF!</v>
      </c>
    </row>
    <row r="423" spans="2:3" ht="15.75" customHeight="1" x14ac:dyDescent="0.25">
      <c r="B423" s="67" t="e">
        <f t="shared" si="15"/>
        <v>#REF!</v>
      </c>
      <c r="C423" s="76" t="e">
        <f t="shared" si="16"/>
        <v>#REF!</v>
      </c>
    </row>
    <row r="424" spans="2:3" ht="15.75" customHeight="1" x14ac:dyDescent="0.25">
      <c r="B424" s="67" t="e">
        <f t="shared" si="15"/>
        <v>#REF!</v>
      </c>
      <c r="C424" s="76" t="e">
        <f t="shared" si="16"/>
        <v>#REF!</v>
      </c>
    </row>
    <row r="425" spans="2:3" ht="15.75" customHeight="1" x14ac:dyDescent="0.25">
      <c r="B425" s="67" t="e">
        <f t="shared" si="15"/>
        <v>#REF!</v>
      </c>
      <c r="C425" s="76" t="e">
        <f t="shared" si="16"/>
        <v>#REF!</v>
      </c>
    </row>
    <row r="426" spans="2:3" ht="15.75" customHeight="1" x14ac:dyDescent="0.25">
      <c r="B426" s="67" t="e">
        <f t="shared" si="15"/>
        <v>#REF!</v>
      </c>
      <c r="C426" s="76" t="e">
        <f t="shared" si="16"/>
        <v>#REF!</v>
      </c>
    </row>
    <row r="427" spans="2:3" ht="15.75" customHeight="1" x14ac:dyDescent="0.25">
      <c r="B427" s="67" t="e">
        <f t="shared" si="15"/>
        <v>#REF!</v>
      </c>
      <c r="C427" s="76" t="e">
        <f t="shared" si="16"/>
        <v>#REF!</v>
      </c>
    </row>
    <row r="428" spans="2:3" ht="15.75" customHeight="1" x14ac:dyDescent="0.25">
      <c r="B428" s="67" t="e">
        <f t="shared" si="15"/>
        <v>#REF!</v>
      </c>
      <c r="C428" s="76" t="e">
        <f t="shared" si="16"/>
        <v>#REF!</v>
      </c>
    </row>
    <row r="429" spans="2:3" ht="15.75" customHeight="1" x14ac:dyDescent="0.25">
      <c r="B429" s="67" t="e">
        <f t="shared" si="15"/>
        <v>#REF!</v>
      </c>
      <c r="C429" s="76" t="e">
        <f t="shared" si="16"/>
        <v>#REF!</v>
      </c>
    </row>
    <row r="430" spans="2:3" ht="15.75" customHeight="1" x14ac:dyDescent="0.25">
      <c r="B430" s="67" t="e">
        <f t="shared" si="15"/>
        <v>#REF!</v>
      </c>
      <c r="C430" s="76" t="e">
        <f t="shared" si="16"/>
        <v>#REF!</v>
      </c>
    </row>
    <row r="431" spans="2:3" ht="15.75" customHeight="1" x14ac:dyDescent="0.25">
      <c r="B431" s="67" t="e">
        <f t="shared" si="15"/>
        <v>#REF!</v>
      </c>
      <c r="C431" s="76" t="e">
        <f t="shared" si="16"/>
        <v>#REF!</v>
      </c>
    </row>
    <row r="432" spans="2:3" ht="15.75" customHeight="1" x14ac:dyDescent="0.25">
      <c r="B432" s="67" t="e">
        <f t="shared" si="15"/>
        <v>#REF!</v>
      </c>
      <c r="C432" s="76" t="e">
        <f t="shared" si="16"/>
        <v>#REF!</v>
      </c>
    </row>
    <row r="433" spans="2:3" ht="15.75" customHeight="1" x14ac:dyDescent="0.25">
      <c r="B433" s="67" t="e">
        <f t="shared" si="15"/>
        <v>#REF!</v>
      </c>
      <c r="C433" s="76" t="e">
        <f t="shared" si="16"/>
        <v>#REF!</v>
      </c>
    </row>
    <row r="434" spans="2:3" ht="15.75" customHeight="1" x14ac:dyDescent="0.25">
      <c r="B434" s="67" t="e">
        <f t="shared" si="15"/>
        <v>#REF!</v>
      </c>
      <c r="C434" s="76" t="e">
        <f t="shared" si="16"/>
        <v>#REF!</v>
      </c>
    </row>
    <row r="435" spans="2:3" ht="15.75" customHeight="1" x14ac:dyDescent="0.25">
      <c r="B435" s="67" t="e">
        <f t="shared" si="15"/>
        <v>#REF!</v>
      </c>
      <c r="C435" s="76" t="e">
        <f t="shared" si="16"/>
        <v>#REF!</v>
      </c>
    </row>
    <row r="436" spans="2:3" ht="15.75" customHeight="1" x14ac:dyDescent="0.25">
      <c r="B436" s="67" t="e">
        <f t="shared" si="15"/>
        <v>#REF!</v>
      </c>
      <c r="C436" s="76" t="e">
        <f t="shared" si="16"/>
        <v>#REF!</v>
      </c>
    </row>
    <row r="437" spans="2:3" ht="15.75" customHeight="1" x14ac:dyDescent="0.25">
      <c r="B437" s="67" t="e">
        <f t="shared" si="15"/>
        <v>#REF!</v>
      </c>
      <c r="C437" s="76" t="e">
        <f t="shared" si="16"/>
        <v>#REF!</v>
      </c>
    </row>
    <row r="438" spans="2:3" ht="15.75" customHeight="1" x14ac:dyDescent="0.25">
      <c r="B438" s="67" t="e">
        <f t="shared" si="15"/>
        <v>#REF!</v>
      </c>
      <c r="C438" s="76" t="e">
        <f t="shared" si="16"/>
        <v>#REF!</v>
      </c>
    </row>
    <row r="439" spans="2:3" ht="15.75" customHeight="1" x14ac:dyDescent="0.25">
      <c r="B439" s="67" t="e">
        <f t="shared" si="15"/>
        <v>#REF!</v>
      </c>
      <c r="C439" s="76" t="e">
        <f t="shared" si="16"/>
        <v>#REF!</v>
      </c>
    </row>
    <row r="440" spans="2:3" ht="15.75" customHeight="1" x14ac:dyDescent="0.25">
      <c r="B440" s="67" t="e">
        <f t="shared" si="15"/>
        <v>#REF!</v>
      </c>
      <c r="C440" s="76" t="e">
        <f t="shared" si="16"/>
        <v>#REF!</v>
      </c>
    </row>
    <row r="441" spans="2:3" ht="15.75" customHeight="1" x14ac:dyDescent="0.25">
      <c r="B441" s="67" t="e">
        <f t="shared" si="15"/>
        <v>#REF!</v>
      </c>
      <c r="C441" s="76" t="e">
        <f t="shared" si="16"/>
        <v>#REF!</v>
      </c>
    </row>
    <row r="442" spans="2:3" ht="15.75" customHeight="1" x14ac:dyDescent="0.25">
      <c r="B442" s="67" t="e">
        <f t="shared" si="15"/>
        <v>#REF!</v>
      </c>
      <c r="C442" s="76" t="e">
        <f t="shared" si="16"/>
        <v>#REF!</v>
      </c>
    </row>
    <row r="443" spans="2:3" ht="15.75" customHeight="1" x14ac:dyDescent="0.25">
      <c r="B443" s="67" t="e">
        <f t="shared" si="15"/>
        <v>#REF!</v>
      </c>
      <c r="C443" s="76" t="e">
        <f t="shared" si="16"/>
        <v>#REF!</v>
      </c>
    </row>
    <row r="444" spans="2:3" ht="15.75" customHeight="1" x14ac:dyDescent="0.25">
      <c r="B444" s="67" t="e">
        <f t="shared" si="15"/>
        <v>#REF!</v>
      </c>
      <c r="C444" s="76" t="e">
        <f t="shared" si="16"/>
        <v>#REF!</v>
      </c>
    </row>
    <row r="445" spans="2:3" ht="15.75" customHeight="1" x14ac:dyDescent="0.25">
      <c r="B445" s="67" t="e">
        <f t="shared" si="15"/>
        <v>#REF!</v>
      </c>
      <c r="C445" s="76" t="e">
        <f t="shared" si="16"/>
        <v>#REF!</v>
      </c>
    </row>
    <row r="446" spans="2:3" ht="15.75" customHeight="1" x14ac:dyDescent="0.25">
      <c r="B446" s="67" t="e">
        <f t="shared" si="15"/>
        <v>#REF!</v>
      </c>
      <c r="C446" s="76" t="e">
        <f t="shared" si="16"/>
        <v>#REF!</v>
      </c>
    </row>
    <row r="447" spans="2:3" ht="15.75" customHeight="1" x14ac:dyDescent="0.25">
      <c r="B447" s="67" t="e">
        <f t="shared" si="15"/>
        <v>#REF!</v>
      </c>
      <c r="C447" s="76" t="e">
        <f t="shared" si="16"/>
        <v>#REF!</v>
      </c>
    </row>
    <row r="448" spans="2:3" ht="15.75" customHeight="1" x14ac:dyDescent="0.25">
      <c r="B448" s="67" t="e">
        <f t="shared" si="15"/>
        <v>#REF!</v>
      </c>
      <c r="C448" s="76" t="e">
        <f t="shared" si="16"/>
        <v>#REF!</v>
      </c>
    </row>
    <row r="449" spans="2:3" ht="15.75" customHeight="1" x14ac:dyDescent="0.25">
      <c r="B449" s="67" t="e">
        <f t="shared" si="15"/>
        <v>#REF!</v>
      </c>
      <c r="C449" s="76" t="e">
        <f t="shared" si="16"/>
        <v>#REF!</v>
      </c>
    </row>
    <row r="450" spans="2:3" ht="15.75" customHeight="1" x14ac:dyDescent="0.25">
      <c r="B450" s="67" t="e">
        <f t="shared" si="15"/>
        <v>#REF!</v>
      </c>
      <c r="C450" s="76" t="e">
        <f t="shared" si="16"/>
        <v>#REF!</v>
      </c>
    </row>
    <row r="451" spans="2:3" ht="15.75" customHeight="1" x14ac:dyDescent="0.25">
      <c r="B451" s="67" t="e">
        <f t="shared" si="15"/>
        <v>#REF!</v>
      </c>
      <c r="C451" s="76" t="e">
        <f t="shared" si="16"/>
        <v>#REF!</v>
      </c>
    </row>
    <row r="452" spans="2:3" ht="15.75" customHeight="1" x14ac:dyDescent="0.25">
      <c r="B452" s="67" t="e">
        <f t="shared" si="15"/>
        <v>#REF!</v>
      </c>
      <c r="C452" s="76" t="e">
        <f t="shared" si="16"/>
        <v>#REF!</v>
      </c>
    </row>
    <row r="453" spans="2:3" ht="15.75" customHeight="1" x14ac:dyDescent="0.25">
      <c r="B453" s="67" t="e">
        <f t="shared" si="15"/>
        <v>#REF!</v>
      </c>
      <c r="C453" s="76" t="e">
        <f t="shared" si="16"/>
        <v>#REF!</v>
      </c>
    </row>
    <row r="454" spans="2:3" ht="15.75" customHeight="1" x14ac:dyDescent="0.25">
      <c r="B454" s="67" t="e">
        <f t="shared" si="15"/>
        <v>#REF!</v>
      </c>
      <c r="C454" s="76" t="e">
        <f t="shared" si="16"/>
        <v>#REF!</v>
      </c>
    </row>
    <row r="455" spans="2:3" ht="15.75" customHeight="1" x14ac:dyDescent="0.25">
      <c r="B455" s="67" t="e">
        <f t="shared" si="15"/>
        <v>#REF!</v>
      </c>
      <c r="C455" s="76" t="e">
        <f t="shared" si="16"/>
        <v>#REF!</v>
      </c>
    </row>
    <row r="456" spans="2:3" ht="15.75" customHeight="1" x14ac:dyDescent="0.25">
      <c r="B456" s="67" t="e">
        <f t="shared" si="15"/>
        <v>#REF!</v>
      </c>
      <c r="C456" s="76" t="e">
        <f t="shared" si="16"/>
        <v>#REF!</v>
      </c>
    </row>
    <row r="457" spans="2:3" ht="15.75" customHeight="1" x14ac:dyDescent="0.25">
      <c r="B457" s="67" t="e">
        <f t="shared" si="15"/>
        <v>#REF!</v>
      </c>
      <c r="C457" s="76" t="e">
        <f t="shared" si="16"/>
        <v>#REF!</v>
      </c>
    </row>
    <row r="458" spans="2:3" ht="15.75" customHeight="1" x14ac:dyDescent="0.25">
      <c r="B458" s="67" t="e">
        <f t="shared" si="15"/>
        <v>#REF!</v>
      </c>
      <c r="C458" s="76" t="e">
        <f t="shared" si="16"/>
        <v>#REF!</v>
      </c>
    </row>
    <row r="459" spans="2:3" ht="15.75" customHeight="1" x14ac:dyDescent="0.25">
      <c r="B459" s="67" t="e">
        <f t="shared" si="15"/>
        <v>#REF!</v>
      </c>
      <c r="C459" s="76" t="e">
        <f t="shared" si="16"/>
        <v>#REF!</v>
      </c>
    </row>
    <row r="460" spans="2:3" ht="15.75" customHeight="1" x14ac:dyDescent="0.25">
      <c r="B460" s="67" t="e">
        <f t="shared" si="15"/>
        <v>#REF!</v>
      </c>
      <c r="C460" s="76" t="e">
        <f t="shared" si="16"/>
        <v>#REF!</v>
      </c>
    </row>
    <row r="461" spans="2:3" ht="15.75" customHeight="1" x14ac:dyDescent="0.25">
      <c r="B461" s="67" t="e">
        <f t="shared" si="15"/>
        <v>#REF!</v>
      </c>
      <c r="C461" s="76" t="e">
        <f t="shared" si="16"/>
        <v>#REF!</v>
      </c>
    </row>
    <row r="462" spans="2:3" ht="15.75" customHeight="1" x14ac:dyDescent="0.25">
      <c r="B462" s="67" t="e">
        <f t="shared" si="15"/>
        <v>#REF!</v>
      </c>
      <c r="C462" s="76" t="e">
        <f t="shared" si="16"/>
        <v>#REF!</v>
      </c>
    </row>
    <row r="463" spans="2:3" ht="15.75" customHeight="1" x14ac:dyDescent="0.25">
      <c r="B463" s="67" t="e">
        <f t="shared" si="15"/>
        <v>#REF!</v>
      </c>
      <c r="C463" s="76" t="e">
        <f t="shared" si="16"/>
        <v>#REF!</v>
      </c>
    </row>
    <row r="464" spans="2:3" ht="15.75" customHeight="1" x14ac:dyDescent="0.25">
      <c r="B464" s="67" t="e">
        <f t="shared" si="15"/>
        <v>#REF!</v>
      </c>
      <c r="C464" s="76" t="e">
        <f t="shared" si="16"/>
        <v>#REF!</v>
      </c>
    </row>
    <row r="465" spans="2:3" ht="15.75" customHeight="1" x14ac:dyDescent="0.25">
      <c r="B465" s="67" t="e">
        <f t="shared" si="15"/>
        <v>#REF!</v>
      </c>
      <c r="C465" s="76" t="e">
        <f t="shared" si="16"/>
        <v>#REF!</v>
      </c>
    </row>
    <row r="466" spans="2:3" ht="15.75" customHeight="1" x14ac:dyDescent="0.25">
      <c r="B466" s="67" t="e">
        <f t="shared" si="15"/>
        <v>#REF!</v>
      </c>
      <c r="C466" s="76" t="e">
        <f t="shared" si="16"/>
        <v>#REF!</v>
      </c>
    </row>
    <row r="467" spans="2:3" ht="15.75" customHeight="1" x14ac:dyDescent="0.25">
      <c r="B467" s="67" t="e">
        <f t="shared" si="15"/>
        <v>#REF!</v>
      </c>
      <c r="C467" s="76" t="e">
        <f t="shared" si="16"/>
        <v>#REF!</v>
      </c>
    </row>
    <row r="468" spans="2:3" ht="15.75" customHeight="1" x14ac:dyDescent="0.25">
      <c r="B468" s="67" t="e">
        <f t="shared" si="15"/>
        <v>#REF!</v>
      </c>
      <c r="C468" s="76" t="e">
        <f t="shared" si="16"/>
        <v>#REF!</v>
      </c>
    </row>
    <row r="469" spans="2:3" ht="15.75" customHeight="1" x14ac:dyDescent="0.25">
      <c r="B469" s="67" t="e">
        <f t="shared" si="15"/>
        <v>#REF!</v>
      </c>
      <c r="C469" s="76" t="e">
        <f t="shared" si="16"/>
        <v>#REF!</v>
      </c>
    </row>
    <row r="470" spans="2:3" ht="15.75" customHeight="1" x14ac:dyDescent="0.25">
      <c r="B470" s="67" t="e">
        <f t="shared" si="15"/>
        <v>#REF!</v>
      </c>
      <c r="C470" s="76" t="e">
        <f t="shared" si="16"/>
        <v>#REF!</v>
      </c>
    </row>
    <row r="471" spans="2:3" ht="15.75" customHeight="1" x14ac:dyDescent="0.25">
      <c r="B471" s="67" t="e">
        <f t="shared" si="15"/>
        <v>#REF!</v>
      </c>
      <c r="C471" s="76" t="e">
        <f t="shared" si="16"/>
        <v>#REF!</v>
      </c>
    </row>
    <row r="472" spans="2:3" ht="15.75" customHeight="1" x14ac:dyDescent="0.25">
      <c r="B472" s="67" t="e">
        <f t="shared" si="15"/>
        <v>#REF!</v>
      </c>
      <c r="C472" s="76" t="e">
        <f t="shared" si="16"/>
        <v>#REF!</v>
      </c>
    </row>
    <row r="473" spans="2:3" ht="15.75" customHeight="1" x14ac:dyDescent="0.25">
      <c r="B473" s="67" t="e">
        <f t="shared" si="15"/>
        <v>#REF!</v>
      </c>
      <c r="C473" s="76" t="e">
        <f t="shared" si="16"/>
        <v>#REF!</v>
      </c>
    </row>
    <row r="474" spans="2:3" ht="15.75" customHeight="1" x14ac:dyDescent="0.25">
      <c r="B474" s="67" t="e">
        <f t="shared" si="15"/>
        <v>#REF!</v>
      </c>
      <c r="C474" s="76" t="e">
        <f t="shared" si="16"/>
        <v>#REF!</v>
      </c>
    </row>
    <row r="475" spans="2:3" ht="15.75" customHeight="1" x14ac:dyDescent="0.25">
      <c r="B475" s="67" t="e">
        <f t="shared" si="15"/>
        <v>#REF!</v>
      </c>
      <c r="C475" s="76" t="e">
        <f t="shared" si="16"/>
        <v>#REF!</v>
      </c>
    </row>
    <row r="476" spans="2:3" ht="15.75" customHeight="1" x14ac:dyDescent="0.25">
      <c r="B476" s="67" t="e">
        <f t="shared" si="15"/>
        <v>#REF!</v>
      </c>
      <c r="C476" s="76" t="e">
        <f t="shared" si="16"/>
        <v>#REF!</v>
      </c>
    </row>
    <row r="477" spans="2:3" ht="15.75" customHeight="1" x14ac:dyDescent="0.25">
      <c r="B477" s="67" t="e">
        <f t="shared" ref="B477:B511" si="17">IF(B476="","",IF(B476+$C$9&lt;=$C$5,B476+$C$9,""))</f>
        <v>#REF!</v>
      </c>
      <c r="C477" s="76" t="e">
        <f t="shared" ref="C477:C511" si="18">IF(B477&lt;&gt;"",C476-$C$2/COUNT($B$17:$B$510),"")</f>
        <v>#REF!</v>
      </c>
    </row>
    <row r="478" spans="2:3" ht="15.75" customHeight="1" x14ac:dyDescent="0.25">
      <c r="B478" s="67" t="e">
        <f t="shared" si="17"/>
        <v>#REF!</v>
      </c>
      <c r="C478" s="76" t="e">
        <f t="shared" si="18"/>
        <v>#REF!</v>
      </c>
    </row>
    <row r="479" spans="2:3" ht="15.75" customHeight="1" x14ac:dyDescent="0.25">
      <c r="B479" s="67" t="e">
        <f t="shared" si="17"/>
        <v>#REF!</v>
      </c>
      <c r="C479" s="76" t="e">
        <f t="shared" si="18"/>
        <v>#REF!</v>
      </c>
    </row>
    <row r="480" spans="2:3" ht="15.75" customHeight="1" x14ac:dyDescent="0.25">
      <c r="B480" s="67" t="e">
        <f t="shared" si="17"/>
        <v>#REF!</v>
      </c>
      <c r="C480" s="76" t="e">
        <f t="shared" si="18"/>
        <v>#REF!</v>
      </c>
    </row>
    <row r="481" spans="2:3" ht="15.75" customHeight="1" x14ac:dyDescent="0.25">
      <c r="B481" s="67" t="e">
        <f t="shared" si="17"/>
        <v>#REF!</v>
      </c>
      <c r="C481" s="76" t="e">
        <f t="shared" si="18"/>
        <v>#REF!</v>
      </c>
    </row>
    <row r="482" spans="2:3" ht="15.75" customHeight="1" x14ac:dyDescent="0.25">
      <c r="B482" s="67" t="e">
        <f t="shared" si="17"/>
        <v>#REF!</v>
      </c>
      <c r="C482" s="76" t="e">
        <f t="shared" si="18"/>
        <v>#REF!</v>
      </c>
    </row>
    <row r="483" spans="2:3" ht="15.75" customHeight="1" x14ac:dyDescent="0.25">
      <c r="B483" s="67" t="e">
        <f t="shared" si="17"/>
        <v>#REF!</v>
      </c>
      <c r="C483" s="76" t="e">
        <f t="shared" si="18"/>
        <v>#REF!</v>
      </c>
    </row>
    <row r="484" spans="2:3" ht="15.75" customHeight="1" x14ac:dyDescent="0.25">
      <c r="B484" s="67" t="e">
        <f t="shared" si="17"/>
        <v>#REF!</v>
      </c>
      <c r="C484" s="76" t="e">
        <f t="shared" si="18"/>
        <v>#REF!</v>
      </c>
    </row>
    <row r="485" spans="2:3" ht="15.75" customHeight="1" x14ac:dyDescent="0.25">
      <c r="B485" s="67" t="e">
        <f t="shared" si="17"/>
        <v>#REF!</v>
      </c>
      <c r="C485" s="76" t="e">
        <f t="shared" si="18"/>
        <v>#REF!</v>
      </c>
    </row>
    <row r="486" spans="2:3" ht="15.75" customHeight="1" x14ac:dyDescent="0.25">
      <c r="B486" s="67" t="e">
        <f t="shared" si="17"/>
        <v>#REF!</v>
      </c>
      <c r="C486" s="76" t="e">
        <f t="shared" si="18"/>
        <v>#REF!</v>
      </c>
    </row>
    <row r="487" spans="2:3" ht="15.75" customHeight="1" x14ac:dyDescent="0.25">
      <c r="B487" s="67" t="e">
        <f t="shared" si="17"/>
        <v>#REF!</v>
      </c>
      <c r="C487" s="76" t="e">
        <f t="shared" si="18"/>
        <v>#REF!</v>
      </c>
    </row>
    <row r="488" spans="2:3" ht="15.75" customHeight="1" x14ac:dyDescent="0.25">
      <c r="B488" s="67" t="e">
        <f t="shared" si="17"/>
        <v>#REF!</v>
      </c>
      <c r="C488" s="76" t="e">
        <f t="shared" si="18"/>
        <v>#REF!</v>
      </c>
    </row>
    <row r="489" spans="2:3" ht="15.75" customHeight="1" x14ac:dyDescent="0.25">
      <c r="B489" s="67" t="e">
        <f t="shared" si="17"/>
        <v>#REF!</v>
      </c>
      <c r="C489" s="76" t="e">
        <f t="shared" si="18"/>
        <v>#REF!</v>
      </c>
    </row>
    <row r="490" spans="2:3" ht="15.75" customHeight="1" x14ac:dyDescent="0.25">
      <c r="B490" s="67" t="e">
        <f t="shared" si="17"/>
        <v>#REF!</v>
      </c>
      <c r="C490" s="76" t="e">
        <f t="shared" si="18"/>
        <v>#REF!</v>
      </c>
    </row>
    <row r="491" spans="2:3" ht="15.75" customHeight="1" x14ac:dyDescent="0.25">
      <c r="B491" s="67" t="e">
        <f t="shared" si="17"/>
        <v>#REF!</v>
      </c>
      <c r="C491" s="76" t="e">
        <f t="shared" si="18"/>
        <v>#REF!</v>
      </c>
    </row>
    <row r="492" spans="2:3" ht="15.75" customHeight="1" x14ac:dyDescent="0.25">
      <c r="B492" s="67" t="e">
        <f t="shared" si="17"/>
        <v>#REF!</v>
      </c>
      <c r="C492" s="76" t="e">
        <f t="shared" si="18"/>
        <v>#REF!</v>
      </c>
    </row>
    <row r="493" spans="2:3" ht="15.75" customHeight="1" x14ac:dyDescent="0.25">
      <c r="B493" s="67" t="e">
        <f t="shared" si="17"/>
        <v>#REF!</v>
      </c>
      <c r="C493" s="76" t="e">
        <f t="shared" si="18"/>
        <v>#REF!</v>
      </c>
    </row>
    <row r="494" spans="2:3" ht="15.75" customHeight="1" x14ac:dyDescent="0.25">
      <c r="B494" s="67" t="e">
        <f t="shared" si="17"/>
        <v>#REF!</v>
      </c>
      <c r="C494" s="76" t="e">
        <f t="shared" si="18"/>
        <v>#REF!</v>
      </c>
    </row>
    <row r="495" spans="2:3" ht="15.75" customHeight="1" x14ac:dyDescent="0.25">
      <c r="B495" s="67" t="e">
        <f t="shared" si="17"/>
        <v>#REF!</v>
      </c>
      <c r="C495" s="76" t="e">
        <f t="shared" si="18"/>
        <v>#REF!</v>
      </c>
    </row>
    <row r="496" spans="2:3" ht="15.75" customHeight="1" x14ac:dyDescent="0.25">
      <c r="B496" s="67" t="e">
        <f t="shared" si="17"/>
        <v>#REF!</v>
      </c>
      <c r="C496" s="76" t="e">
        <f t="shared" si="18"/>
        <v>#REF!</v>
      </c>
    </row>
    <row r="497" spans="2:3" ht="15.75" customHeight="1" x14ac:dyDescent="0.25">
      <c r="B497" s="67" t="e">
        <f t="shared" si="17"/>
        <v>#REF!</v>
      </c>
      <c r="C497" s="76" t="e">
        <f t="shared" si="18"/>
        <v>#REF!</v>
      </c>
    </row>
    <row r="498" spans="2:3" ht="15.75" customHeight="1" x14ac:dyDescent="0.25">
      <c r="B498" s="67" t="e">
        <f t="shared" si="17"/>
        <v>#REF!</v>
      </c>
      <c r="C498" s="76" t="e">
        <f t="shared" si="18"/>
        <v>#REF!</v>
      </c>
    </row>
    <row r="499" spans="2:3" ht="15.75" customHeight="1" x14ac:dyDescent="0.25">
      <c r="B499" s="67" t="e">
        <f t="shared" si="17"/>
        <v>#REF!</v>
      </c>
      <c r="C499" s="76" t="e">
        <f t="shared" si="18"/>
        <v>#REF!</v>
      </c>
    </row>
    <row r="500" spans="2:3" ht="15.75" customHeight="1" x14ac:dyDescent="0.25">
      <c r="B500" s="67" t="e">
        <f t="shared" si="17"/>
        <v>#REF!</v>
      </c>
      <c r="C500" s="76" t="e">
        <f t="shared" si="18"/>
        <v>#REF!</v>
      </c>
    </row>
    <row r="501" spans="2:3" ht="15.75" customHeight="1" x14ac:dyDescent="0.25">
      <c r="B501" s="67" t="e">
        <f t="shared" si="17"/>
        <v>#REF!</v>
      </c>
      <c r="C501" s="76" t="e">
        <f t="shared" si="18"/>
        <v>#REF!</v>
      </c>
    </row>
    <row r="502" spans="2:3" ht="15.75" customHeight="1" x14ac:dyDescent="0.25">
      <c r="B502" s="67" t="e">
        <f t="shared" si="17"/>
        <v>#REF!</v>
      </c>
      <c r="C502" s="76" t="e">
        <f t="shared" si="18"/>
        <v>#REF!</v>
      </c>
    </row>
    <row r="503" spans="2:3" ht="15.75" customHeight="1" x14ac:dyDescent="0.25">
      <c r="B503" s="67" t="e">
        <f t="shared" si="17"/>
        <v>#REF!</v>
      </c>
      <c r="C503" s="76" t="e">
        <f t="shared" si="18"/>
        <v>#REF!</v>
      </c>
    </row>
    <row r="504" spans="2:3" ht="15.75" customHeight="1" x14ac:dyDescent="0.25">
      <c r="B504" s="67" t="e">
        <f t="shared" si="17"/>
        <v>#REF!</v>
      </c>
      <c r="C504" s="76" t="e">
        <f t="shared" si="18"/>
        <v>#REF!</v>
      </c>
    </row>
    <row r="505" spans="2:3" ht="15.75" customHeight="1" x14ac:dyDescent="0.25">
      <c r="B505" s="67" t="e">
        <f t="shared" si="17"/>
        <v>#REF!</v>
      </c>
      <c r="C505" s="76" t="e">
        <f t="shared" si="18"/>
        <v>#REF!</v>
      </c>
    </row>
    <row r="506" spans="2:3" ht="15.75" customHeight="1" x14ac:dyDescent="0.25">
      <c r="B506" s="67" t="e">
        <f t="shared" si="17"/>
        <v>#REF!</v>
      </c>
      <c r="C506" s="76" t="e">
        <f t="shared" si="18"/>
        <v>#REF!</v>
      </c>
    </row>
    <row r="507" spans="2:3" ht="15.75" customHeight="1" x14ac:dyDescent="0.25">
      <c r="B507" s="67" t="e">
        <f t="shared" si="17"/>
        <v>#REF!</v>
      </c>
      <c r="C507" s="76" t="e">
        <f t="shared" si="18"/>
        <v>#REF!</v>
      </c>
    </row>
    <row r="508" spans="2:3" ht="15.75" customHeight="1" x14ac:dyDescent="0.25">
      <c r="B508" s="67" t="e">
        <f t="shared" si="17"/>
        <v>#REF!</v>
      </c>
      <c r="C508" s="76" t="e">
        <f t="shared" si="18"/>
        <v>#REF!</v>
      </c>
    </row>
    <row r="509" spans="2:3" ht="15.75" customHeight="1" x14ac:dyDescent="0.25">
      <c r="B509" s="67" t="e">
        <f t="shared" si="17"/>
        <v>#REF!</v>
      </c>
      <c r="C509" s="76" t="e">
        <f t="shared" si="18"/>
        <v>#REF!</v>
      </c>
    </row>
    <row r="510" spans="2:3" ht="15.75" customHeight="1" x14ac:dyDescent="0.25">
      <c r="B510" s="67" t="e">
        <f t="shared" si="17"/>
        <v>#REF!</v>
      </c>
      <c r="C510" s="76" t="e">
        <f t="shared" si="18"/>
        <v>#REF!</v>
      </c>
    </row>
    <row r="511" spans="2:3" ht="15.75" customHeight="1" x14ac:dyDescent="0.25">
      <c r="B511" s="67" t="e">
        <f t="shared" si="17"/>
        <v>#REF!</v>
      </c>
      <c r="C511" s="76" t="e">
        <f t="shared" si="18"/>
        <v>#REF!</v>
      </c>
    </row>
  </sheetData>
  <mergeCells count="3">
    <mergeCell ref="A1:K1"/>
    <mergeCell ref="B12:F12"/>
    <mergeCell ref="G12:L12"/>
  </mergeCells>
  <conditionalFormatting sqref="A14:L14">
    <cfRule type="expression" dxfId="134" priority="5">
      <formula>AND(TODAY()&gt;=$B$14,TODAY()&lt;$B$15)</formula>
    </cfRule>
  </conditionalFormatting>
  <conditionalFormatting sqref="A15:L16 A17:E17 A18:A30">
    <cfRule type="expression" dxfId="133" priority="4">
      <formula>AND(TODAY()&gt;=$B15,TODAY()&lt;$B16)</formula>
    </cfRule>
  </conditionalFormatting>
  <conditionalFormatting sqref="B14:B54">
    <cfRule type="cellIs" dxfId="132" priority="2" operator="greaterThan">
      <formula>$C$5</formula>
    </cfRule>
  </conditionalFormatting>
  <conditionalFormatting sqref="B18:E24 B25:L30 A31:L54">
    <cfRule type="expression" dxfId="131" priority="3">
      <formula>AND(TODAY()&gt;=$B18,TODAY()&lt;$B19)</formula>
    </cfRule>
  </conditionalFormatting>
  <conditionalFormatting sqref="F17:L24">
    <cfRule type="expression" dxfId="130" priority="1">
      <formula>AND(TODAY()&gt;=$B17,TODAY()&lt;$B18)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E89B-C8BC-4FBF-9134-BDF63579A3B2}">
  <sheetPr>
    <tabColor theme="9" tint="-0.499984740745262"/>
  </sheetPr>
  <dimension ref="A1:L511"/>
  <sheetViews>
    <sheetView topLeftCell="A11" workbookViewId="0">
      <selection activeCell="D34" sqref="D34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7" width="12.625" style="59" customWidth="1"/>
    <col min="8" max="8" width="25.125" style="59" customWidth="1"/>
    <col min="9" max="9" width="12.625" style="59" customWidth="1"/>
    <col min="10" max="10" width="11.875" style="59" customWidth="1"/>
    <col min="11" max="11" width="26.875" style="59" customWidth="1"/>
    <col min="12" max="12" width="22.25" style="59" customWidth="1"/>
    <col min="13" max="13" width="34.375" style="59" customWidth="1"/>
    <col min="14" max="16384" width="12.625" style="59"/>
  </cols>
  <sheetData>
    <row r="1" spans="1:12" ht="19.5" x14ac:dyDescent="0.25">
      <c r="A1" s="154" t="s">
        <v>20</v>
      </c>
      <c r="B1" s="155"/>
      <c r="C1" s="155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25">
      <c r="A2" s="68"/>
      <c r="B2" s="62" t="s">
        <v>21</v>
      </c>
      <c r="C2" s="105"/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19.5" x14ac:dyDescent="0.25">
      <c r="B3" s="89" t="s">
        <v>2494</v>
      </c>
      <c r="C3" s="110">
        <v>20</v>
      </c>
      <c r="D3" s="70" t="s">
        <v>25</v>
      </c>
      <c r="E3" s="71" t="s">
        <v>26</v>
      </c>
      <c r="F3" s="71"/>
      <c r="G3" s="65"/>
      <c r="H3" s="65"/>
      <c r="I3" s="65"/>
      <c r="J3" s="65"/>
      <c r="K3" s="65"/>
      <c r="L3" s="65"/>
    </row>
    <row r="4" spans="1:12" ht="15.75" customHeight="1" x14ac:dyDescent="0.25">
      <c r="B4" s="64" t="s">
        <v>27</v>
      </c>
      <c r="C4" s="107">
        <v>46062</v>
      </c>
      <c r="D4" s="70" t="s">
        <v>28</v>
      </c>
      <c r="E4" s="65"/>
      <c r="F4" s="65"/>
      <c r="G4" s="65"/>
      <c r="H4" s="65"/>
      <c r="I4" s="65"/>
      <c r="J4" s="65"/>
      <c r="K4" s="65"/>
      <c r="L4" s="65"/>
    </row>
    <row r="5" spans="1:12" ht="15.75" customHeight="1" x14ac:dyDescent="0.25">
      <c r="B5" s="64" t="s">
        <v>29</v>
      </c>
      <c r="C5" s="107">
        <v>46118</v>
      </c>
      <c r="D5" s="70" t="s">
        <v>30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63" t="s">
        <v>31</v>
      </c>
      <c r="C6" s="106">
        <v>4</v>
      </c>
      <c r="D6" s="70" t="s">
        <v>32</v>
      </c>
      <c r="E6" s="71" t="s">
        <v>33</v>
      </c>
      <c r="F6" s="71"/>
      <c r="G6" s="65"/>
      <c r="H6" s="65"/>
      <c r="I6" s="65"/>
      <c r="J6" s="65"/>
      <c r="K6" s="65"/>
      <c r="L6" s="65"/>
    </row>
    <row r="7" spans="1:12" ht="15.75" customHeight="1" x14ac:dyDescent="0.25">
      <c r="B7" s="63" t="s">
        <v>34</v>
      </c>
      <c r="C7" s="106">
        <v>1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64" t="s">
        <v>35</v>
      </c>
      <c r="C8" s="108">
        <v>6</v>
      </c>
      <c r="D8" s="70" t="s">
        <v>32</v>
      </c>
      <c r="E8" s="65"/>
      <c r="F8" s="65"/>
      <c r="G8" s="65"/>
      <c r="H8" s="65"/>
      <c r="I8" s="65"/>
      <c r="J8" s="65"/>
      <c r="K8" s="65"/>
      <c r="L8" s="65"/>
    </row>
    <row r="9" spans="1:12" ht="15.75" customHeight="1" x14ac:dyDescent="0.25">
      <c r="B9" s="64" t="s">
        <v>36</v>
      </c>
      <c r="C9" s="109">
        <v>7</v>
      </c>
      <c r="D9" s="70" t="s">
        <v>37</v>
      </c>
      <c r="E9" s="65"/>
      <c r="F9" s="65"/>
      <c r="G9" s="65"/>
      <c r="H9" s="65"/>
      <c r="I9" s="65"/>
      <c r="J9" s="65"/>
      <c r="K9" s="65"/>
      <c r="L9" s="65"/>
    </row>
    <row r="10" spans="1:12" ht="15.75" hidden="1" customHeight="1" x14ac:dyDescent="0.25">
      <c r="B10" s="112"/>
      <c r="C10" s="65"/>
      <c r="D10" s="113"/>
      <c r="E10" s="65"/>
      <c r="F10" s="65"/>
      <c r="G10" s="65"/>
      <c r="H10" s="65"/>
      <c r="I10" s="65"/>
      <c r="J10" s="65"/>
      <c r="K10" s="65"/>
      <c r="L10" s="65"/>
    </row>
    <row r="11" spans="1:12" s="39" customFormat="1" ht="40.5" customHeight="1" x14ac:dyDescent="0.45">
      <c r="A11" s="88"/>
      <c r="B11" s="61" t="s">
        <v>38</v>
      </c>
      <c r="C11" s="60" t="s">
        <v>39</v>
      </c>
      <c r="D11" s="60" t="s">
        <v>40</v>
      </c>
      <c r="E11" s="60" t="s">
        <v>41</v>
      </c>
      <c r="F11" s="60" t="s">
        <v>42</v>
      </c>
      <c r="G11" s="60" t="s">
        <v>43</v>
      </c>
      <c r="H11" s="60" t="s">
        <v>44</v>
      </c>
      <c r="I11" s="60" t="s">
        <v>45</v>
      </c>
      <c r="J11" s="60" t="s">
        <v>46</v>
      </c>
      <c r="K11" s="60" t="s">
        <v>47</v>
      </c>
      <c r="L11" s="60" t="s">
        <v>48</v>
      </c>
    </row>
    <row r="12" spans="1:12" ht="19.5" customHeight="1" x14ac:dyDescent="0.25">
      <c r="A12" s="91"/>
      <c r="B12" s="162" t="s">
        <v>49</v>
      </c>
      <c r="C12" s="163"/>
      <c r="D12" s="163"/>
      <c r="E12" s="163"/>
      <c r="F12" s="164"/>
      <c r="G12" s="165" t="s">
        <v>50</v>
      </c>
      <c r="H12" s="166"/>
      <c r="I12" s="166"/>
      <c r="J12" s="166"/>
      <c r="K12" s="166"/>
      <c r="L12" s="166"/>
    </row>
    <row r="13" spans="1:12" ht="31.5" customHeight="1" x14ac:dyDescent="0.25">
      <c r="A13" s="44" t="s">
        <v>51</v>
      </c>
      <c r="B13" s="45" t="s">
        <v>52</v>
      </c>
      <c r="C13" s="30" t="s">
        <v>2495</v>
      </c>
      <c r="D13" s="30" t="s">
        <v>2496</v>
      </c>
      <c r="E13" s="30" t="s">
        <v>55</v>
      </c>
      <c r="F13" s="58" t="s">
        <v>56</v>
      </c>
      <c r="G13" s="47" t="s">
        <v>57</v>
      </c>
      <c r="H13" s="47" t="s">
        <v>58</v>
      </c>
      <c r="I13" s="31" t="s">
        <v>59</v>
      </c>
      <c r="J13" s="49" t="s">
        <v>60</v>
      </c>
      <c r="K13" s="57" t="s">
        <v>61</v>
      </c>
      <c r="L13" s="77" t="s">
        <v>62</v>
      </c>
    </row>
    <row r="14" spans="1:12" ht="15.75" customHeight="1" x14ac:dyDescent="0.25">
      <c r="A14" s="73"/>
      <c r="B14" s="66">
        <f>C4</f>
        <v>46062</v>
      </c>
      <c r="C14" s="79">
        <f>$C$3</f>
        <v>20</v>
      </c>
      <c r="D14" s="79">
        <f>$C$3</f>
        <v>20</v>
      </c>
      <c r="E14" s="79">
        <f>$C$3</f>
        <v>20</v>
      </c>
      <c r="F14" s="80"/>
      <c r="G14" s="81"/>
      <c r="H14" s="81"/>
      <c r="I14" s="82"/>
      <c r="J14" s="83"/>
      <c r="K14" s="84"/>
      <c r="L14" s="86"/>
    </row>
    <row r="15" spans="1:12" ht="15.75" customHeight="1" x14ac:dyDescent="0.25">
      <c r="A15" s="73" t="s">
        <v>2497</v>
      </c>
      <c r="B15" s="66">
        <f t="shared" ref="B15:B54" si="0">B14+$C$9</f>
        <v>46069</v>
      </c>
      <c r="C15" s="79">
        <f>IF(OR(C14="",C14=0),"",IF(ISBLANK($J14),IF(C14+$K14+$I14-$C$6&lt;=0,IF(AND(C14&gt;0,C14&lt;&gt;""),0,""),C14+$K14+$I14-$C$6),IF((C14-$J14)+$K14+$I14&lt;=0,IF(AND(C14&gt;0,C14&lt;&gt;""),0,""),(C14-$J14)+$K14+$I14)))</f>
        <v>16</v>
      </c>
      <c r="D15" s="79">
        <f t="shared" ref="D15:D54" si="1">IF(OR(D14="",D14=0),"",IF(ISBLANK($J14),IF(D14+$K14+$I14-$C$7&lt;=0,IF(AND(D14&gt;0,D14&lt;&gt;""),0,""),D14+$K14+$I14-$C$7),IF((D14-$J14)+$K14+$I14&lt;=0,IF(AND(D14&gt;0,D14&lt;&gt;""),0,""),(D14-$J14)+$K14+$I14)))</f>
        <v>19</v>
      </c>
      <c r="E15" s="79">
        <f t="shared" ref="E15:E54" si="2">IF(OR(E14="",E14=0),"",IF(ISBLANK($J14),IF(E14+$K14+$I14-$C$8&lt;=0,IF(AND(E14&gt;0,E14&lt;&gt;""),0,""),E14+$K14+$I14-$C$8),IF((E14-$J14)+$K14+$I14&lt;=0,IF(AND(E14&gt;0,E14&lt;&gt;""),0,""),(E14-$J14)+$K14+$I14)))</f>
        <v>14</v>
      </c>
      <c r="F15" s="80" t="str">
        <f>IF(J14="","",IF(G14+F14+H14+I14-J14&lt;0,0,G14+F14+H14+I14-J14))</f>
        <v/>
      </c>
      <c r="G15" s="81"/>
      <c r="H15" s="81"/>
      <c r="I15" s="82"/>
      <c r="J15" s="83"/>
      <c r="K15" s="84"/>
      <c r="L15" s="86"/>
    </row>
    <row r="16" spans="1:12" ht="15.75" customHeight="1" x14ac:dyDescent="0.25">
      <c r="A16" s="73" t="s">
        <v>2498</v>
      </c>
      <c r="B16" s="66">
        <f t="shared" si="0"/>
        <v>46076</v>
      </c>
      <c r="C16" s="85">
        <f t="shared" ref="C16:C54" si="3">IF(OR(C15="",C15=0),"",IF(ISBLANK(J15),IF(C15+K15+I15-$C$6&lt;=0,IF(AND(C15&gt;0,C15&lt;&gt;""),0,""),C15+K15+I15-$C$6),IF((C15-J15)+K15+I15&lt;=0,IF(AND(C15&gt;0,C15&lt;&gt;""),0,""),(C15-J15)+K15+I15)))</f>
        <v>12</v>
      </c>
      <c r="D16" s="85">
        <f t="shared" si="1"/>
        <v>18</v>
      </c>
      <c r="E16" s="85">
        <f t="shared" si="2"/>
        <v>8</v>
      </c>
      <c r="F16" s="80" t="str">
        <f t="shared" ref="F16:F54" si="4">IF(J15="","",IF(G15+F15+H15+I15-J15&lt;0,0,G15+F15+H15+I15-J15))</f>
        <v/>
      </c>
      <c r="G16" s="81"/>
      <c r="H16" s="81"/>
      <c r="I16" s="82"/>
      <c r="J16" s="83"/>
      <c r="K16" s="84"/>
      <c r="L16" s="86"/>
    </row>
    <row r="17" spans="1:12" ht="23.25" customHeight="1" x14ac:dyDescent="0.25">
      <c r="A17" s="73" t="s">
        <v>2499</v>
      </c>
      <c r="B17" s="66">
        <f t="shared" si="0"/>
        <v>46083</v>
      </c>
      <c r="C17" s="85">
        <f t="shared" si="3"/>
        <v>8</v>
      </c>
      <c r="D17" s="85">
        <f t="shared" si="1"/>
        <v>17</v>
      </c>
      <c r="E17" s="85">
        <f t="shared" si="2"/>
        <v>2</v>
      </c>
      <c r="F17" s="80" t="str">
        <f t="shared" si="4"/>
        <v/>
      </c>
      <c r="G17" s="81"/>
      <c r="H17" s="81"/>
      <c r="I17" s="82"/>
      <c r="J17" s="83"/>
      <c r="K17" s="84"/>
      <c r="L17" s="111"/>
    </row>
    <row r="18" spans="1:12" ht="15.75" customHeight="1" x14ac:dyDescent="0.25">
      <c r="A18" s="73" t="s">
        <v>2500</v>
      </c>
      <c r="B18" s="66">
        <f t="shared" si="0"/>
        <v>46090</v>
      </c>
      <c r="C18" s="85">
        <f t="shared" si="3"/>
        <v>4</v>
      </c>
      <c r="D18" s="85">
        <f t="shared" si="1"/>
        <v>16</v>
      </c>
      <c r="E18" s="85">
        <f t="shared" si="2"/>
        <v>0</v>
      </c>
      <c r="F18" s="80" t="str">
        <f t="shared" si="4"/>
        <v/>
      </c>
      <c r="G18" s="81"/>
      <c r="H18" s="81"/>
      <c r="I18" s="82"/>
      <c r="J18" s="83"/>
      <c r="K18" s="84"/>
      <c r="L18" s="86"/>
    </row>
    <row r="19" spans="1:12" ht="15.75" customHeight="1" x14ac:dyDescent="0.25">
      <c r="A19" s="73" t="s">
        <v>2501</v>
      </c>
      <c r="B19" s="66">
        <f t="shared" si="0"/>
        <v>46097</v>
      </c>
      <c r="C19" s="85">
        <f t="shared" si="3"/>
        <v>0</v>
      </c>
      <c r="D19" s="85">
        <f t="shared" si="1"/>
        <v>15</v>
      </c>
      <c r="E19" s="85" t="str">
        <f t="shared" si="2"/>
        <v/>
      </c>
      <c r="F19" s="80" t="str">
        <f t="shared" si="4"/>
        <v/>
      </c>
      <c r="G19" s="81"/>
      <c r="H19" s="81"/>
      <c r="I19" s="82"/>
      <c r="J19" s="83"/>
      <c r="K19" s="84"/>
      <c r="L19" s="86"/>
    </row>
    <row r="20" spans="1:12" ht="15.75" customHeight="1" x14ac:dyDescent="0.25">
      <c r="A20" s="73" t="s">
        <v>2502</v>
      </c>
      <c r="B20" s="66">
        <f t="shared" si="0"/>
        <v>46104</v>
      </c>
      <c r="C20" s="85" t="str">
        <f t="shared" si="3"/>
        <v/>
      </c>
      <c r="D20" s="85">
        <f t="shared" si="1"/>
        <v>14</v>
      </c>
      <c r="E20" s="85" t="str">
        <f t="shared" si="2"/>
        <v/>
      </c>
      <c r="F20" s="80" t="str">
        <f t="shared" si="4"/>
        <v/>
      </c>
      <c r="G20" s="81"/>
      <c r="H20" s="81"/>
      <c r="I20" s="82"/>
      <c r="J20" s="83"/>
      <c r="K20" s="84"/>
      <c r="L20" s="86"/>
    </row>
    <row r="21" spans="1:12" ht="15.75" customHeight="1" x14ac:dyDescent="0.25">
      <c r="A21" s="73" t="s">
        <v>2503</v>
      </c>
      <c r="B21" s="66">
        <f t="shared" si="0"/>
        <v>46111</v>
      </c>
      <c r="C21" s="85" t="str">
        <f t="shared" si="3"/>
        <v/>
      </c>
      <c r="D21" s="85">
        <f t="shared" si="1"/>
        <v>13</v>
      </c>
      <c r="E21" s="85" t="str">
        <f t="shared" si="2"/>
        <v/>
      </c>
      <c r="F21" s="80" t="str">
        <f t="shared" si="4"/>
        <v/>
      </c>
      <c r="G21" s="81"/>
      <c r="H21" s="81"/>
      <c r="I21" s="82"/>
      <c r="J21" s="83"/>
      <c r="K21" s="84"/>
      <c r="L21" s="86"/>
    </row>
    <row r="22" spans="1:12" ht="15.75" customHeight="1" x14ac:dyDescent="0.25">
      <c r="A22" s="73" t="s">
        <v>2504</v>
      </c>
      <c r="B22" s="66">
        <f t="shared" si="0"/>
        <v>46118</v>
      </c>
      <c r="C22" s="85" t="str">
        <f t="shared" si="3"/>
        <v/>
      </c>
      <c r="D22" s="85">
        <f t="shared" si="1"/>
        <v>12</v>
      </c>
      <c r="E22" s="85" t="str">
        <f t="shared" si="2"/>
        <v/>
      </c>
      <c r="F22" s="80" t="str">
        <f t="shared" si="4"/>
        <v/>
      </c>
      <c r="G22" s="81"/>
      <c r="H22" s="81"/>
      <c r="I22" s="82"/>
      <c r="J22" s="83"/>
      <c r="K22" s="84"/>
      <c r="L22" s="86"/>
    </row>
    <row r="23" spans="1:12" ht="15.75" customHeight="1" x14ac:dyDescent="0.25">
      <c r="A23" s="73" t="s">
        <v>2505</v>
      </c>
      <c r="B23" s="66">
        <f t="shared" si="0"/>
        <v>46125</v>
      </c>
      <c r="C23" s="85" t="str">
        <f t="shared" si="3"/>
        <v/>
      </c>
      <c r="D23" s="85">
        <f t="shared" si="1"/>
        <v>11</v>
      </c>
      <c r="E23" s="85" t="str">
        <f t="shared" si="2"/>
        <v/>
      </c>
      <c r="F23" s="80" t="str">
        <f t="shared" si="4"/>
        <v/>
      </c>
      <c r="G23" s="81"/>
      <c r="H23" s="81"/>
      <c r="I23" s="82"/>
      <c r="J23" s="83"/>
      <c r="K23" s="84"/>
      <c r="L23" s="86"/>
    </row>
    <row r="24" spans="1:12" ht="15.75" customHeight="1" x14ac:dyDescent="0.25">
      <c r="A24" s="73" t="s">
        <v>2506</v>
      </c>
      <c r="B24" s="66">
        <f t="shared" si="0"/>
        <v>46132</v>
      </c>
      <c r="C24" s="85" t="str">
        <f t="shared" si="3"/>
        <v/>
      </c>
      <c r="D24" s="85">
        <f t="shared" si="1"/>
        <v>10</v>
      </c>
      <c r="E24" s="85" t="str">
        <f t="shared" si="2"/>
        <v/>
      </c>
      <c r="F24" s="80" t="str">
        <f t="shared" si="4"/>
        <v/>
      </c>
      <c r="G24" s="81"/>
      <c r="H24" s="81"/>
      <c r="I24" s="82"/>
      <c r="J24" s="83"/>
      <c r="K24" s="84"/>
      <c r="L24" s="86"/>
    </row>
    <row r="25" spans="1:12" ht="15.75" customHeight="1" x14ac:dyDescent="0.25">
      <c r="A25" s="73" t="s">
        <v>2507</v>
      </c>
      <c r="B25" s="66">
        <f t="shared" si="0"/>
        <v>46139</v>
      </c>
      <c r="C25" s="85" t="str">
        <f t="shared" si="3"/>
        <v/>
      </c>
      <c r="D25" s="85">
        <f t="shared" si="1"/>
        <v>9</v>
      </c>
      <c r="E25" s="85" t="str">
        <f t="shared" si="2"/>
        <v/>
      </c>
      <c r="F25" s="80" t="str">
        <f t="shared" si="4"/>
        <v/>
      </c>
      <c r="G25" s="81"/>
      <c r="H25" s="81"/>
      <c r="I25" s="82"/>
      <c r="J25" s="83"/>
      <c r="K25" s="84"/>
      <c r="L25" s="86"/>
    </row>
    <row r="26" spans="1:12" ht="15.75" customHeight="1" x14ac:dyDescent="0.25">
      <c r="A26" s="73" t="s">
        <v>2508</v>
      </c>
      <c r="B26" s="66">
        <f t="shared" si="0"/>
        <v>46146</v>
      </c>
      <c r="C26" s="85" t="str">
        <f t="shared" si="3"/>
        <v/>
      </c>
      <c r="D26" s="85">
        <f t="shared" si="1"/>
        <v>8</v>
      </c>
      <c r="E26" s="85" t="str">
        <f t="shared" si="2"/>
        <v/>
      </c>
      <c r="F26" s="80" t="str">
        <f t="shared" si="4"/>
        <v/>
      </c>
      <c r="G26" s="81"/>
      <c r="H26" s="81"/>
      <c r="I26" s="82"/>
      <c r="J26" s="83"/>
      <c r="K26" s="84"/>
      <c r="L26" s="86"/>
    </row>
    <row r="27" spans="1:12" ht="15.75" customHeight="1" x14ac:dyDescent="0.25">
      <c r="A27" s="73" t="s">
        <v>2509</v>
      </c>
      <c r="B27" s="66">
        <f t="shared" si="0"/>
        <v>46153</v>
      </c>
      <c r="C27" s="85" t="str">
        <f t="shared" si="3"/>
        <v/>
      </c>
      <c r="D27" s="85">
        <f t="shared" si="1"/>
        <v>7</v>
      </c>
      <c r="E27" s="85" t="str">
        <f t="shared" si="2"/>
        <v/>
      </c>
      <c r="F27" s="80" t="str">
        <f t="shared" si="4"/>
        <v/>
      </c>
      <c r="G27" s="81"/>
      <c r="H27" s="81"/>
      <c r="I27" s="82"/>
      <c r="J27" s="83"/>
      <c r="K27" s="84"/>
      <c r="L27" s="86"/>
    </row>
    <row r="28" spans="1:12" ht="15.75" customHeight="1" x14ac:dyDescent="0.25">
      <c r="A28" s="73" t="s">
        <v>2510</v>
      </c>
      <c r="B28" s="66">
        <f t="shared" si="0"/>
        <v>46160</v>
      </c>
      <c r="C28" s="85" t="str">
        <f t="shared" si="3"/>
        <v/>
      </c>
      <c r="D28" s="85">
        <f t="shared" si="1"/>
        <v>6</v>
      </c>
      <c r="E28" s="85" t="str">
        <f t="shared" si="2"/>
        <v/>
      </c>
      <c r="F28" s="80" t="str">
        <f t="shared" si="4"/>
        <v/>
      </c>
      <c r="G28" s="81"/>
      <c r="H28" s="81"/>
      <c r="I28" s="82"/>
      <c r="J28" s="83"/>
      <c r="K28" s="84"/>
      <c r="L28" s="86"/>
    </row>
    <row r="29" spans="1:12" ht="15.75" customHeight="1" x14ac:dyDescent="0.25">
      <c r="A29" s="73" t="s">
        <v>2511</v>
      </c>
      <c r="B29" s="66">
        <f t="shared" si="0"/>
        <v>46167</v>
      </c>
      <c r="C29" s="85" t="str">
        <f t="shared" si="3"/>
        <v/>
      </c>
      <c r="D29" s="85">
        <f t="shared" si="1"/>
        <v>5</v>
      </c>
      <c r="E29" s="85" t="str">
        <f t="shared" si="2"/>
        <v/>
      </c>
      <c r="F29" s="80" t="str">
        <f t="shared" si="4"/>
        <v/>
      </c>
      <c r="G29" s="81"/>
      <c r="H29" s="81"/>
      <c r="I29" s="82"/>
      <c r="J29" s="83"/>
      <c r="K29" s="84"/>
      <c r="L29" s="86"/>
    </row>
    <row r="30" spans="1:12" ht="15.75" customHeight="1" x14ac:dyDescent="0.25">
      <c r="A30" s="73" t="s">
        <v>2512</v>
      </c>
      <c r="B30" s="66">
        <f t="shared" si="0"/>
        <v>46174</v>
      </c>
      <c r="C30" s="85" t="str">
        <f t="shared" si="3"/>
        <v/>
      </c>
      <c r="D30" s="85">
        <f t="shared" si="1"/>
        <v>4</v>
      </c>
      <c r="E30" s="85" t="str">
        <f t="shared" si="2"/>
        <v/>
      </c>
      <c r="F30" s="80" t="str">
        <f t="shared" si="4"/>
        <v/>
      </c>
      <c r="G30" s="81"/>
      <c r="H30" s="81"/>
      <c r="I30" s="82"/>
      <c r="J30" s="83"/>
      <c r="K30" s="84"/>
      <c r="L30" s="86"/>
    </row>
    <row r="31" spans="1:12" ht="15.75" customHeight="1" x14ac:dyDescent="0.25">
      <c r="A31" s="73"/>
      <c r="B31" s="66">
        <f t="shared" si="0"/>
        <v>46181</v>
      </c>
      <c r="C31" s="85" t="str">
        <f t="shared" si="3"/>
        <v/>
      </c>
      <c r="D31" s="85">
        <f t="shared" si="1"/>
        <v>3</v>
      </c>
      <c r="E31" s="85" t="str">
        <f t="shared" si="2"/>
        <v/>
      </c>
      <c r="F31" s="80" t="str">
        <f t="shared" si="4"/>
        <v/>
      </c>
      <c r="G31" s="81"/>
      <c r="H31" s="81"/>
      <c r="I31" s="82"/>
      <c r="J31" s="83"/>
      <c r="K31" s="84"/>
      <c r="L31" s="86"/>
    </row>
    <row r="32" spans="1:12" ht="15.75" customHeight="1" x14ac:dyDescent="0.25">
      <c r="A32" s="73"/>
      <c r="B32" s="66">
        <f t="shared" si="0"/>
        <v>46188</v>
      </c>
      <c r="C32" s="85" t="str">
        <f t="shared" si="3"/>
        <v/>
      </c>
      <c r="D32" s="85">
        <f t="shared" si="1"/>
        <v>2</v>
      </c>
      <c r="E32" s="85" t="str">
        <f t="shared" si="2"/>
        <v/>
      </c>
      <c r="F32" s="80" t="str">
        <f t="shared" si="4"/>
        <v/>
      </c>
      <c r="G32" s="81"/>
      <c r="H32" s="81"/>
      <c r="I32" s="82"/>
      <c r="J32" s="83"/>
      <c r="K32" s="84"/>
      <c r="L32" s="86"/>
    </row>
    <row r="33" spans="1:12" ht="15.75" customHeight="1" x14ac:dyDescent="0.25">
      <c r="A33" s="73"/>
      <c r="B33" s="66">
        <f t="shared" si="0"/>
        <v>46195</v>
      </c>
      <c r="C33" s="85" t="str">
        <f t="shared" si="3"/>
        <v/>
      </c>
      <c r="D33" s="85">
        <f t="shared" si="1"/>
        <v>1</v>
      </c>
      <c r="E33" s="85" t="str">
        <f t="shared" si="2"/>
        <v/>
      </c>
      <c r="F33" s="80" t="str">
        <f t="shared" si="4"/>
        <v/>
      </c>
      <c r="G33" s="81"/>
      <c r="H33" s="81"/>
      <c r="I33" s="82"/>
      <c r="J33" s="83"/>
      <c r="K33" s="84"/>
      <c r="L33" s="86"/>
    </row>
    <row r="34" spans="1:12" ht="15.75" customHeight="1" x14ac:dyDescent="0.25">
      <c r="A34" s="73"/>
      <c r="B34" s="66">
        <f t="shared" si="0"/>
        <v>46202</v>
      </c>
      <c r="C34" s="85" t="str">
        <f t="shared" si="3"/>
        <v/>
      </c>
      <c r="D34" s="85">
        <f t="shared" si="1"/>
        <v>0</v>
      </c>
      <c r="E34" s="85" t="str">
        <f t="shared" si="2"/>
        <v/>
      </c>
      <c r="F34" s="80" t="str">
        <f t="shared" si="4"/>
        <v/>
      </c>
      <c r="G34" s="81"/>
      <c r="H34" s="81"/>
      <c r="I34" s="82"/>
      <c r="J34" s="83"/>
      <c r="K34" s="84"/>
      <c r="L34" s="86"/>
    </row>
    <row r="35" spans="1:12" ht="15.75" customHeight="1" x14ac:dyDescent="0.25">
      <c r="A35" s="73"/>
      <c r="B35" s="66">
        <f t="shared" si="0"/>
        <v>46209</v>
      </c>
      <c r="C35" s="85" t="str">
        <f t="shared" si="3"/>
        <v/>
      </c>
      <c r="D35" s="85" t="str">
        <f t="shared" si="1"/>
        <v/>
      </c>
      <c r="E35" s="85" t="str">
        <f t="shared" si="2"/>
        <v/>
      </c>
      <c r="F35" s="80" t="str">
        <f t="shared" si="4"/>
        <v/>
      </c>
      <c r="G35" s="81"/>
      <c r="H35" s="81"/>
      <c r="I35" s="82"/>
      <c r="J35" s="83"/>
      <c r="K35" s="84"/>
      <c r="L35" s="86"/>
    </row>
    <row r="36" spans="1:12" ht="15.75" customHeight="1" x14ac:dyDescent="0.25">
      <c r="A36" s="73"/>
      <c r="B36" s="66">
        <f t="shared" si="0"/>
        <v>46216</v>
      </c>
      <c r="C36" s="85" t="str">
        <f t="shared" si="3"/>
        <v/>
      </c>
      <c r="D36" s="85" t="str">
        <f t="shared" si="1"/>
        <v/>
      </c>
      <c r="E36" s="85" t="str">
        <f t="shared" si="2"/>
        <v/>
      </c>
      <c r="F36" s="80" t="str">
        <f t="shared" si="4"/>
        <v/>
      </c>
      <c r="G36" s="81"/>
      <c r="H36" s="81"/>
      <c r="I36" s="82"/>
      <c r="J36" s="83"/>
      <c r="K36" s="84"/>
      <c r="L36" s="86"/>
    </row>
    <row r="37" spans="1:12" ht="15.75" customHeight="1" x14ac:dyDescent="0.25">
      <c r="A37" s="73"/>
      <c r="B37" s="66">
        <f t="shared" si="0"/>
        <v>46223</v>
      </c>
      <c r="C37" s="85" t="str">
        <f t="shared" si="3"/>
        <v/>
      </c>
      <c r="D37" s="85" t="str">
        <f t="shared" si="1"/>
        <v/>
      </c>
      <c r="E37" s="85" t="str">
        <f t="shared" si="2"/>
        <v/>
      </c>
      <c r="F37" s="80" t="str">
        <f t="shared" si="4"/>
        <v/>
      </c>
      <c r="G37" s="81"/>
      <c r="H37" s="81"/>
      <c r="I37" s="82"/>
      <c r="J37" s="83"/>
      <c r="K37" s="84"/>
      <c r="L37" s="86"/>
    </row>
    <row r="38" spans="1:12" ht="15.75" customHeight="1" x14ac:dyDescent="0.25">
      <c r="A38" s="73"/>
      <c r="B38" s="66">
        <f t="shared" si="0"/>
        <v>46230</v>
      </c>
      <c r="C38" s="85" t="str">
        <f t="shared" si="3"/>
        <v/>
      </c>
      <c r="D38" s="85" t="str">
        <f t="shared" si="1"/>
        <v/>
      </c>
      <c r="E38" s="85" t="str">
        <f t="shared" si="2"/>
        <v/>
      </c>
      <c r="F38" s="80" t="str">
        <f t="shared" si="4"/>
        <v/>
      </c>
      <c r="G38" s="81"/>
      <c r="H38" s="81"/>
      <c r="I38" s="82"/>
      <c r="J38" s="83"/>
      <c r="K38" s="84"/>
      <c r="L38" s="86"/>
    </row>
    <row r="39" spans="1:12" ht="15.75" customHeight="1" x14ac:dyDescent="0.25">
      <c r="A39" s="73"/>
      <c r="B39" s="66">
        <f t="shared" si="0"/>
        <v>46237</v>
      </c>
      <c r="C39" s="85" t="str">
        <f t="shared" si="3"/>
        <v/>
      </c>
      <c r="D39" s="85" t="str">
        <f t="shared" si="1"/>
        <v/>
      </c>
      <c r="E39" s="85" t="str">
        <f t="shared" si="2"/>
        <v/>
      </c>
      <c r="F39" s="80" t="str">
        <f t="shared" si="4"/>
        <v/>
      </c>
      <c r="G39" s="81"/>
      <c r="H39" s="81"/>
      <c r="I39" s="82"/>
      <c r="J39" s="83"/>
      <c r="K39" s="84"/>
      <c r="L39" s="86"/>
    </row>
    <row r="40" spans="1:12" ht="15.75" customHeight="1" x14ac:dyDescent="0.25">
      <c r="A40" s="73"/>
      <c r="B40" s="66">
        <f t="shared" si="0"/>
        <v>46244</v>
      </c>
      <c r="C40" s="85" t="str">
        <f t="shared" si="3"/>
        <v/>
      </c>
      <c r="D40" s="85" t="str">
        <f t="shared" si="1"/>
        <v/>
      </c>
      <c r="E40" s="85" t="str">
        <f t="shared" si="2"/>
        <v/>
      </c>
      <c r="F40" s="80" t="str">
        <f t="shared" si="4"/>
        <v/>
      </c>
      <c r="G40" s="81"/>
      <c r="H40" s="81"/>
      <c r="I40" s="82"/>
      <c r="J40" s="83"/>
      <c r="K40" s="84"/>
      <c r="L40" s="86"/>
    </row>
    <row r="41" spans="1:12" ht="15.75" customHeight="1" x14ac:dyDescent="0.25">
      <c r="A41" s="73"/>
      <c r="B41" s="66">
        <f t="shared" si="0"/>
        <v>46251</v>
      </c>
      <c r="C41" s="85" t="str">
        <f t="shared" si="3"/>
        <v/>
      </c>
      <c r="D41" s="85" t="str">
        <f t="shared" si="1"/>
        <v/>
      </c>
      <c r="E41" s="85" t="str">
        <f t="shared" si="2"/>
        <v/>
      </c>
      <c r="F41" s="80" t="str">
        <f t="shared" si="4"/>
        <v/>
      </c>
      <c r="G41" s="81"/>
      <c r="H41" s="81"/>
      <c r="I41" s="82"/>
      <c r="J41" s="83"/>
      <c r="K41" s="84"/>
      <c r="L41" s="86"/>
    </row>
    <row r="42" spans="1:12" ht="15.75" customHeight="1" x14ac:dyDescent="0.25">
      <c r="A42" s="73"/>
      <c r="B42" s="66">
        <f t="shared" si="0"/>
        <v>46258</v>
      </c>
      <c r="C42" s="85" t="str">
        <f t="shared" si="3"/>
        <v/>
      </c>
      <c r="D42" s="85" t="str">
        <f t="shared" si="1"/>
        <v/>
      </c>
      <c r="E42" s="85" t="str">
        <f t="shared" si="2"/>
        <v/>
      </c>
      <c r="F42" s="80" t="str">
        <f t="shared" si="4"/>
        <v/>
      </c>
      <c r="G42" s="81"/>
      <c r="H42" s="81"/>
      <c r="I42" s="82"/>
      <c r="J42" s="83"/>
      <c r="K42" s="84"/>
      <c r="L42" s="86"/>
    </row>
    <row r="43" spans="1:12" ht="15.75" customHeight="1" x14ac:dyDescent="0.25">
      <c r="A43" s="73"/>
      <c r="B43" s="66">
        <f t="shared" si="0"/>
        <v>46265</v>
      </c>
      <c r="C43" s="85" t="str">
        <f t="shared" si="3"/>
        <v/>
      </c>
      <c r="D43" s="85" t="str">
        <f t="shared" si="1"/>
        <v/>
      </c>
      <c r="E43" s="85" t="str">
        <f t="shared" si="2"/>
        <v/>
      </c>
      <c r="F43" s="80" t="str">
        <f t="shared" si="4"/>
        <v/>
      </c>
      <c r="G43" s="81"/>
      <c r="H43" s="81"/>
      <c r="I43" s="82"/>
      <c r="J43" s="83"/>
      <c r="K43" s="84"/>
      <c r="L43" s="86"/>
    </row>
    <row r="44" spans="1:12" ht="15.75" customHeight="1" x14ac:dyDescent="0.25">
      <c r="A44" s="73"/>
      <c r="B44" s="66">
        <f t="shared" si="0"/>
        <v>46272</v>
      </c>
      <c r="C44" s="85" t="str">
        <f t="shared" si="3"/>
        <v/>
      </c>
      <c r="D44" s="85" t="str">
        <f t="shared" si="1"/>
        <v/>
      </c>
      <c r="E44" s="85" t="str">
        <f t="shared" si="2"/>
        <v/>
      </c>
      <c r="F44" s="80" t="str">
        <f t="shared" si="4"/>
        <v/>
      </c>
      <c r="G44" s="81"/>
      <c r="H44" s="81"/>
      <c r="I44" s="82"/>
      <c r="J44" s="83"/>
      <c r="K44" s="84"/>
      <c r="L44" s="86"/>
    </row>
    <row r="45" spans="1:12" ht="15.75" customHeight="1" x14ac:dyDescent="0.25">
      <c r="A45" s="73"/>
      <c r="B45" s="66">
        <f t="shared" si="0"/>
        <v>46279</v>
      </c>
      <c r="C45" s="85" t="str">
        <f t="shared" si="3"/>
        <v/>
      </c>
      <c r="D45" s="85" t="str">
        <f t="shared" si="1"/>
        <v/>
      </c>
      <c r="E45" s="85" t="str">
        <f t="shared" si="2"/>
        <v/>
      </c>
      <c r="F45" s="80" t="str">
        <f t="shared" si="4"/>
        <v/>
      </c>
      <c r="G45" s="81"/>
      <c r="H45" s="81"/>
      <c r="I45" s="82"/>
      <c r="J45" s="83"/>
      <c r="K45" s="84"/>
      <c r="L45" s="86"/>
    </row>
    <row r="46" spans="1:12" ht="15.75" customHeight="1" x14ac:dyDescent="0.25">
      <c r="A46" s="73"/>
      <c r="B46" s="66">
        <f t="shared" si="0"/>
        <v>46286</v>
      </c>
      <c r="C46" s="85" t="str">
        <f t="shared" si="3"/>
        <v/>
      </c>
      <c r="D46" s="85" t="str">
        <f t="shared" si="1"/>
        <v/>
      </c>
      <c r="E46" s="85" t="str">
        <f t="shared" si="2"/>
        <v/>
      </c>
      <c r="F46" s="80" t="str">
        <f t="shared" si="4"/>
        <v/>
      </c>
      <c r="G46" s="81"/>
      <c r="H46" s="81"/>
      <c r="I46" s="82"/>
      <c r="J46" s="83"/>
      <c r="K46" s="84"/>
      <c r="L46" s="86"/>
    </row>
    <row r="47" spans="1:12" ht="15.75" customHeight="1" x14ac:dyDescent="0.25">
      <c r="A47" s="73"/>
      <c r="B47" s="66">
        <f t="shared" si="0"/>
        <v>46293</v>
      </c>
      <c r="C47" s="85" t="str">
        <f t="shared" si="3"/>
        <v/>
      </c>
      <c r="D47" s="85" t="str">
        <f t="shared" si="1"/>
        <v/>
      </c>
      <c r="E47" s="85" t="str">
        <f t="shared" si="2"/>
        <v/>
      </c>
      <c r="F47" s="80" t="str">
        <f t="shared" si="4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/>
      <c r="B48" s="66">
        <f t="shared" si="0"/>
        <v>46300</v>
      </c>
      <c r="C48" s="85" t="str">
        <f t="shared" si="3"/>
        <v/>
      </c>
      <c r="D48" s="85" t="str">
        <f t="shared" si="1"/>
        <v/>
      </c>
      <c r="E48" s="85" t="str">
        <f t="shared" si="2"/>
        <v/>
      </c>
      <c r="F48" s="80" t="str">
        <f t="shared" si="4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0"/>
        <v>46307</v>
      </c>
      <c r="C49" s="85" t="str">
        <f t="shared" si="3"/>
        <v/>
      </c>
      <c r="D49" s="85" t="str">
        <f t="shared" si="1"/>
        <v/>
      </c>
      <c r="E49" s="85" t="str">
        <f t="shared" si="2"/>
        <v/>
      </c>
      <c r="F49" s="80" t="str">
        <f t="shared" si="4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0"/>
        <v>46314</v>
      </c>
      <c r="C50" s="85" t="str">
        <f t="shared" si="3"/>
        <v/>
      </c>
      <c r="D50" s="85" t="str">
        <f t="shared" si="1"/>
        <v/>
      </c>
      <c r="E50" s="85" t="str">
        <f t="shared" si="2"/>
        <v/>
      </c>
      <c r="F50" s="80" t="str">
        <f t="shared" si="4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0"/>
        <v>46321</v>
      </c>
      <c r="C51" s="85" t="str">
        <f t="shared" si="3"/>
        <v/>
      </c>
      <c r="D51" s="85" t="str">
        <f t="shared" si="1"/>
        <v/>
      </c>
      <c r="E51" s="85" t="str">
        <f t="shared" si="2"/>
        <v/>
      </c>
      <c r="F51" s="80" t="str">
        <f t="shared" si="4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0"/>
        <v>46328</v>
      </c>
      <c r="C52" s="85" t="str">
        <f t="shared" si="3"/>
        <v/>
      </c>
      <c r="D52" s="85" t="str">
        <f t="shared" si="1"/>
        <v/>
      </c>
      <c r="E52" s="85" t="str">
        <f t="shared" si="2"/>
        <v/>
      </c>
      <c r="F52" s="80" t="str">
        <f t="shared" si="4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0"/>
        <v>46335</v>
      </c>
      <c r="C53" s="85" t="str">
        <f t="shared" si="3"/>
        <v/>
      </c>
      <c r="D53" s="85" t="str">
        <f t="shared" si="1"/>
        <v/>
      </c>
      <c r="E53" s="85" t="str">
        <f t="shared" si="2"/>
        <v/>
      </c>
      <c r="F53" s="80" t="str">
        <f t="shared" si="4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0"/>
        <v>46342</v>
      </c>
      <c r="C54" s="85" t="str">
        <f t="shared" si="3"/>
        <v/>
      </c>
      <c r="D54" s="85" t="str">
        <f t="shared" si="1"/>
        <v/>
      </c>
      <c r="E54" s="85" t="str">
        <f t="shared" si="2"/>
        <v/>
      </c>
      <c r="F54" s="80" t="str">
        <f t="shared" si="4"/>
        <v/>
      </c>
      <c r="G54" s="81"/>
      <c r="H54" s="81"/>
      <c r="I54" s="82"/>
      <c r="J54" s="83"/>
      <c r="K54" s="84"/>
      <c r="L54" s="86"/>
    </row>
    <row r="92" spans="2:3" ht="15.75" customHeight="1" x14ac:dyDescent="0.25">
      <c r="B92" s="67" t="e">
        <f>IF(#REF!="","",IF(#REF!+$C$9&lt;=$C$5,#REF!+$C$9,""))</f>
        <v>#REF!</v>
      </c>
      <c r="C92" s="76" t="e">
        <f>IF(B92&lt;&gt;"",#REF!-$C$2/COUNT($B$17:$B$510),"")</f>
        <v>#REF!</v>
      </c>
    </row>
    <row r="93" spans="2:3" ht="15.75" customHeight="1" x14ac:dyDescent="0.25">
      <c r="B93" s="67" t="e">
        <f t="shared" ref="B93:B156" si="5">IF(B92="","",IF(B92+$C$9&lt;=$C$5,B92+$C$9,""))</f>
        <v>#REF!</v>
      </c>
      <c r="C93" s="76" t="e">
        <f t="shared" ref="C93:C156" si="6">IF(B93&lt;&gt;"",C92-$C$2/COUNT($B$17:$B$510),"")</f>
        <v>#REF!</v>
      </c>
    </row>
    <row r="94" spans="2:3" ht="15.75" customHeight="1" x14ac:dyDescent="0.25">
      <c r="B94" s="67" t="e">
        <f t="shared" si="5"/>
        <v>#REF!</v>
      </c>
      <c r="C94" s="76" t="e">
        <f t="shared" si="6"/>
        <v>#REF!</v>
      </c>
    </row>
    <row r="95" spans="2:3" ht="15.75" customHeight="1" x14ac:dyDescent="0.25">
      <c r="B95" s="67" t="e">
        <f t="shared" si="5"/>
        <v>#REF!</v>
      </c>
      <c r="C95" s="76" t="e">
        <f t="shared" si="6"/>
        <v>#REF!</v>
      </c>
    </row>
    <row r="96" spans="2:3" ht="15.75" customHeight="1" x14ac:dyDescent="0.25">
      <c r="B96" s="67" t="e">
        <f t="shared" si="5"/>
        <v>#REF!</v>
      </c>
      <c r="C96" s="76" t="e">
        <f t="shared" si="6"/>
        <v>#REF!</v>
      </c>
    </row>
    <row r="97" spans="2:3" ht="15.75" customHeight="1" x14ac:dyDescent="0.25">
      <c r="B97" s="67" t="e">
        <f t="shared" si="5"/>
        <v>#REF!</v>
      </c>
      <c r="C97" s="76" t="e">
        <f t="shared" si="6"/>
        <v>#REF!</v>
      </c>
    </row>
    <row r="98" spans="2:3" ht="15.75" customHeight="1" x14ac:dyDescent="0.25">
      <c r="B98" s="67" t="e">
        <f t="shared" si="5"/>
        <v>#REF!</v>
      </c>
      <c r="C98" s="76" t="e">
        <f t="shared" si="6"/>
        <v>#REF!</v>
      </c>
    </row>
    <row r="99" spans="2:3" ht="15.75" customHeight="1" x14ac:dyDescent="0.25">
      <c r="B99" s="67" t="e">
        <f t="shared" si="5"/>
        <v>#REF!</v>
      </c>
      <c r="C99" s="76" t="e">
        <f t="shared" si="6"/>
        <v>#REF!</v>
      </c>
    </row>
    <row r="100" spans="2:3" ht="15.75" customHeight="1" x14ac:dyDescent="0.25">
      <c r="B100" s="67" t="e">
        <f t="shared" si="5"/>
        <v>#REF!</v>
      </c>
      <c r="C100" s="76" t="e">
        <f t="shared" si="6"/>
        <v>#REF!</v>
      </c>
    </row>
    <row r="101" spans="2:3" ht="15.75" customHeight="1" x14ac:dyDescent="0.25">
      <c r="B101" s="67" t="e">
        <f t="shared" si="5"/>
        <v>#REF!</v>
      </c>
      <c r="C101" s="76" t="e">
        <f t="shared" si="6"/>
        <v>#REF!</v>
      </c>
    </row>
    <row r="102" spans="2:3" ht="15.75" customHeight="1" x14ac:dyDescent="0.25">
      <c r="B102" s="67" t="e">
        <f t="shared" si="5"/>
        <v>#REF!</v>
      </c>
      <c r="C102" s="76" t="e">
        <f t="shared" si="6"/>
        <v>#REF!</v>
      </c>
    </row>
    <row r="103" spans="2:3" ht="15.75" customHeight="1" x14ac:dyDescent="0.25">
      <c r="B103" s="67" t="e">
        <f t="shared" si="5"/>
        <v>#REF!</v>
      </c>
      <c r="C103" s="76" t="e">
        <f t="shared" si="6"/>
        <v>#REF!</v>
      </c>
    </row>
    <row r="104" spans="2:3" ht="15.75" customHeight="1" x14ac:dyDescent="0.25">
      <c r="B104" s="67" t="e">
        <f t="shared" si="5"/>
        <v>#REF!</v>
      </c>
      <c r="C104" s="76" t="e">
        <f t="shared" si="6"/>
        <v>#REF!</v>
      </c>
    </row>
    <row r="105" spans="2:3" ht="15.75" customHeight="1" x14ac:dyDescent="0.25">
      <c r="B105" s="67" t="e">
        <f t="shared" si="5"/>
        <v>#REF!</v>
      </c>
      <c r="C105" s="76" t="e">
        <f t="shared" si="6"/>
        <v>#REF!</v>
      </c>
    </row>
    <row r="106" spans="2:3" ht="15.75" customHeight="1" x14ac:dyDescent="0.25">
      <c r="B106" s="67" t="e">
        <f t="shared" si="5"/>
        <v>#REF!</v>
      </c>
      <c r="C106" s="76" t="e">
        <f t="shared" si="6"/>
        <v>#REF!</v>
      </c>
    </row>
    <row r="107" spans="2:3" ht="15.75" customHeight="1" x14ac:dyDescent="0.25">
      <c r="B107" s="67" t="e">
        <f t="shared" si="5"/>
        <v>#REF!</v>
      </c>
      <c r="C107" s="76" t="e">
        <f t="shared" si="6"/>
        <v>#REF!</v>
      </c>
    </row>
    <row r="108" spans="2:3" ht="15.75" customHeight="1" x14ac:dyDescent="0.25">
      <c r="B108" s="67" t="e">
        <f t="shared" si="5"/>
        <v>#REF!</v>
      </c>
      <c r="C108" s="76" t="e">
        <f t="shared" si="6"/>
        <v>#REF!</v>
      </c>
    </row>
    <row r="109" spans="2:3" ht="15.75" customHeight="1" x14ac:dyDescent="0.25">
      <c r="B109" s="67" t="e">
        <f t="shared" si="5"/>
        <v>#REF!</v>
      </c>
      <c r="C109" s="76" t="e">
        <f t="shared" si="6"/>
        <v>#REF!</v>
      </c>
    </row>
    <row r="110" spans="2:3" ht="15.75" customHeight="1" x14ac:dyDescent="0.25">
      <c r="B110" s="67" t="e">
        <f t="shared" si="5"/>
        <v>#REF!</v>
      </c>
      <c r="C110" s="76" t="e">
        <f t="shared" si="6"/>
        <v>#REF!</v>
      </c>
    </row>
    <row r="111" spans="2:3" ht="15.75" customHeight="1" x14ac:dyDescent="0.25">
      <c r="B111" s="67" t="e">
        <f t="shared" si="5"/>
        <v>#REF!</v>
      </c>
      <c r="C111" s="76" t="e">
        <f t="shared" si="6"/>
        <v>#REF!</v>
      </c>
    </row>
    <row r="112" spans="2:3" ht="15.75" customHeight="1" x14ac:dyDescent="0.25">
      <c r="B112" s="67" t="e">
        <f t="shared" si="5"/>
        <v>#REF!</v>
      </c>
      <c r="C112" s="76" t="e">
        <f t="shared" si="6"/>
        <v>#REF!</v>
      </c>
    </row>
    <row r="113" spans="2:3" ht="15.75" customHeight="1" x14ac:dyDescent="0.25">
      <c r="B113" s="67" t="e">
        <f t="shared" si="5"/>
        <v>#REF!</v>
      </c>
      <c r="C113" s="76" t="e">
        <f t="shared" si="6"/>
        <v>#REF!</v>
      </c>
    </row>
    <row r="114" spans="2:3" ht="15.75" customHeight="1" x14ac:dyDescent="0.25">
      <c r="B114" s="67" t="e">
        <f t="shared" si="5"/>
        <v>#REF!</v>
      </c>
      <c r="C114" s="76" t="e">
        <f t="shared" si="6"/>
        <v>#REF!</v>
      </c>
    </row>
    <row r="115" spans="2:3" ht="15.75" customHeight="1" x14ac:dyDescent="0.25">
      <c r="B115" s="67" t="e">
        <f t="shared" si="5"/>
        <v>#REF!</v>
      </c>
      <c r="C115" s="76" t="e">
        <f t="shared" si="6"/>
        <v>#REF!</v>
      </c>
    </row>
    <row r="116" spans="2:3" ht="15.75" customHeight="1" x14ac:dyDescent="0.25">
      <c r="B116" s="67" t="e">
        <f t="shared" si="5"/>
        <v>#REF!</v>
      </c>
      <c r="C116" s="76" t="e">
        <f t="shared" si="6"/>
        <v>#REF!</v>
      </c>
    </row>
    <row r="117" spans="2:3" ht="15.75" customHeight="1" x14ac:dyDescent="0.25">
      <c r="B117" s="67" t="e">
        <f t="shared" si="5"/>
        <v>#REF!</v>
      </c>
      <c r="C117" s="76" t="e">
        <f t="shared" si="6"/>
        <v>#REF!</v>
      </c>
    </row>
    <row r="118" spans="2:3" ht="15.75" customHeight="1" x14ac:dyDescent="0.25">
      <c r="B118" s="67" t="e">
        <f t="shared" si="5"/>
        <v>#REF!</v>
      </c>
      <c r="C118" s="76" t="e">
        <f t="shared" si="6"/>
        <v>#REF!</v>
      </c>
    </row>
    <row r="119" spans="2:3" ht="15.75" customHeight="1" x14ac:dyDescent="0.25">
      <c r="B119" s="67" t="e">
        <f t="shared" si="5"/>
        <v>#REF!</v>
      </c>
      <c r="C119" s="76" t="e">
        <f t="shared" si="6"/>
        <v>#REF!</v>
      </c>
    </row>
    <row r="120" spans="2:3" ht="15.75" customHeight="1" x14ac:dyDescent="0.25">
      <c r="B120" s="67" t="e">
        <f t="shared" si="5"/>
        <v>#REF!</v>
      </c>
      <c r="C120" s="76" t="e">
        <f t="shared" si="6"/>
        <v>#REF!</v>
      </c>
    </row>
    <row r="121" spans="2:3" ht="15.75" customHeight="1" x14ac:dyDescent="0.25">
      <c r="B121" s="67" t="e">
        <f t="shared" si="5"/>
        <v>#REF!</v>
      </c>
      <c r="C121" s="76" t="e">
        <f t="shared" si="6"/>
        <v>#REF!</v>
      </c>
    </row>
    <row r="122" spans="2:3" ht="15.75" customHeight="1" x14ac:dyDescent="0.25">
      <c r="B122" s="67" t="e">
        <f t="shared" si="5"/>
        <v>#REF!</v>
      </c>
      <c r="C122" s="76" t="e">
        <f t="shared" si="6"/>
        <v>#REF!</v>
      </c>
    </row>
    <row r="123" spans="2:3" ht="15.75" customHeight="1" x14ac:dyDescent="0.25">
      <c r="B123" s="67" t="e">
        <f t="shared" si="5"/>
        <v>#REF!</v>
      </c>
      <c r="C123" s="76" t="e">
        <f t="shared" si="6"/>
        <v>#REF!</v>
      </c>
    </row>
    <row r="124" spans="2:3" ht="15.75" customHeight="1" x14ac:dyDescent="0.25">
      <c r="B124" s="67" t="e">
        <f t="shared" si="5"/>
        <v>#REF!</v>
      </c>
      <c r="C124" s="76" t="e">
        <f t="shared" si="6"/>
        <v>#REF!</v>
      </c>
    </row>
    <row r="125" spans="2:3" ht="15.75" customHeight="1" x14ac:dyDescent="0.25">
      <c r="B125" s="67" t="e">
        <f t="shared" si="5"/>
        <v>#REF!</v>
      </c>
      <c r="C125" s="76" t="e">
        <f t="shared" si="6"/>
        <v>#REF!</v>
      </c>
    </row>
    <row r="126" spans="2:3" ht="15.75" customHeight="1" x14ac:dyDescent="0.25">
      <c r="B126" s="67" t="e">
        <f t="shared" si="5"/>
        <v>#REF!</v>
      </c>
      <c r="C126" s="76" t="e">
        <f t="shared" si="6"/>
        <v>#REF!</v>
      </c>
    </row>
    <row r="127" spans="2:3" ht="15.75" customHeight="1" x14ac:dyDescent="0.25">
      <c r="B127" s="67" t="e">
        <f t="shared" si="5"/>
        <v>#REF!</v>
      </c>
      <c r="C127" s="76" t="e">
        <f t="shared" si="6"/>
        <v>#REF!</v>
      </c>
    </row>
    <row r="128" spans="2:3" ht="15.75" customHeight="1" x14ac:dyDescent="0.25">
      <c r="B128" s="67" t="e">
        <f t="shared" si="5"/>
        <v>#REF!</v>
      </c>
      <c r="C128" s="76" t="e">
        <f t="shared" si="6"/>
        <v>#REF!</v>
      </c>
    </row>
    <row r="129" spans="2:3" ht="15.75" customHeight="1" x14ac:dyDescent="0.25">
      <c r="B129" s="67" t="e">
        <f t="shared" si="5"/>
        <v>#REF!</v>
      </c>
      <c r="C129" s="76" t="e">
        <f t="shared" si="6"/>
        <v>#REF!</v>
      </c>
    </row>
    <row r="130" spans="2:3" ht="15.75" customHeight="1" x14ac:dyDescent="0.25">
      <c r="B130" s="67" t="e">
        <f t="shared" si="5"/>
        <v>#REF!</v>
      </c>
      <c r="C130" s="76" t="e">
        <f t="shared" si="6"/>
        <v>#REF!</v>
      </c>
    </row>
    <row r="131" spans="2:3" ht="15.75" customHeight="1" x14ac:dyDescent="0.25">
      <c r="B131" s="67" t="e">
        <f t="shared" si="5"/>
        <v>#REF!</v>
      </c>
      <c r="C131" s="76" t="e">
        <f t="shared" si="6"/>
        <v>#REF!</v>
      </c>
    </row>
    <row r="132" spans="2:3" ht="15.75" customHeight="1" x14ac:dyDescent="0.25">
      <c r="B132" s="67" t="e">
        <f t="shared" si="5"/>
        <v>#REF!</v>
      </c>
      <c r="C132" s="76" t="e">
        <f t="shared" si="6"/>
        <v>#REF!</v>
      </c>
    </row>
    <row r="133" spans="2:3" ht="15.75" customHeight="1" x14ac:dyDescent="0.25">
      <c r="B133" s="67" t="e">
        <f t="shared" si="5"/>
        <v>#REF!</v>
      </c>
      <c r="C133" s="76" t="e">
        <f t="shared" si="6"/>
        <v>#REF!</v>
      </c>
    </row>
    <row r="134" spans="2:3" ht="15.75" customHeight="1" x14ac:dyDescent="0.25">
      <c r="B134" s="67" t="e">
        <f t="shared" si="5"/>
        <v>#REF!</v>
      </c>
      <c r="C134" s="76" t="e">
        <f t="shared" si="6"/>
        <v>#REF!</v>
      </c>
    </row>
    <row r="135" spans="2:3" ht="15.75" customHeight="1" x14ac:dyDescent="0.25">
      <c r="B135" s="67" t="e">
        <f t="shared" si="5"/>
        <v>#REF!</v>
      </c>
      <c r="C135" s="76" t="e">
        <f t="shared" si="6"/>
        <v>#REF!</v>
      </c>
    </row>
    <row r="136" spans="2:3" ht="15.75" customHeight="1" x14ac:dyDescent="0.25">
      <c r="B136" s="67" t="e">
        <f t="shared" si="5"/>
        <v>#REF!</v>
      </c>
      <c r="C136" s="76" t="e">
        <f t="shared" si="6"/>
        <v>#REF!</v>
      </c>
    </row>
    <row r="137" spans="2:3" ht="15.75" customHeight="1" x14ac:dyDescent="0.25">
      <c r="B137" s="67" t="e">
        <f t="shared" si="5"/>
        <v>#REF!</v>
      </c>
      <c r="C137" s="76" t="e">
        <f t="shared" si="6"/>
        <v>#REF!</v>
      </c>
    </row>
    <row r="138" spans="2:3" ht="15.75" customHeight="1" x14ac:dyDescent="0.25">
      <c r="B138" s="67" t="e">
        <f t="shared" si="5"/>
        <v>#REF!</v>
      </c>
      <c r="C138" s="76" t="e">
        <f t="shared" si="6"/>
        <v>#REF!</v>
      </c>
    </row>
    <row r="139" spans="2:3" ht="15.75" customHeight="1" x14ac:dyDescent="0.25">
      <c r="B139" s="67" t="e">
        <f t="shared" si="5"/>
        <v>#REF!</v>
      </c>
      <c r="C139" s="76" t="e">
        <f t="shared" si="6"/>
        <v>#REF!</v>
      </c>
    </row>
    <row r="140" spans="2:3" ht="15.75" customHeight="1" x14ac:dyDescent="0.25">
      <c r="B140" s="67" t="e">
        <f t="shared" si="5"/>
        <v>#REF!</v>
      </c>
      <c r="C140" s="76" t="e">
        <f t="shared" si="6"/>
        <v>#REF!</v>
      </c>
    </row>
    <row r="141" spans="2:3" ht="15.75" customHeight="1" x14ac:dyDescent="0.25">
      <c r="B141" s="67" t="e">
        <f t="shared" si="5"/>
        <v>#REF!</v>
      </c>
      <c r="C141" s="76" t="e">
        <f t="shared" si="6"/>
        <v>#REF!</v>
      </c>
    </row>
    <row r="142" spans="2:3" ht="15.75" customHeight="1" x14ac:dyDescent="0.25">
      <c r="B142" s="67" t="e">
        <f t="shared" si="5"/>
        <v>#REF!</v>
      </c>
      <c r="C142" s="76" t="e">
        <f t="shared" si="6"/>
        <v>#REF!</v>
      </c>
    </row>
    <row r="143" spans="2:3" ht="15.75" customHeight="1" x14ac:dyDescent="0.25">
      <c r="B143" s="67" t="e">
        <f t="shared" si="5"/>
        <v>#REF!</v>
      </c>
      <c r="C143" s="76" t="e">
        <f t="shared" si="6"/>
        <v>#REF!</v>
      </c>
    </row>
    <row r="144" spans="2:3" ht="15.75" customHeight="1" x14ac:dyDescent="0.25">
      <c r="B144" s="67" t="e">
        <f t="shared" si="5"/>
        <v>#REF!</v>
      </c>
      <c r="C144" s="76" t="e">
        <f t="shared" si="6"/>
        <v>#REF!</v>
      </c>
    </row>
    <row r="145" spans="2:3" ht="15.75" customHeight="1" x14ac:dyDescent="0.25">
      <c r="B145" s="67" t="e">
        <f t="shared" si="5"/>
        <v>#REF!</v>
      </c>
      <c r="C145" s="76" t="e">
        <f t="shared" si="6"/>
        <v>#REF!</v>
      </c>
    </row>
    <row r="146" spans="2:3" ht="15.75" customHeight="1" x14ac:dyDescent="0.25">
      <c r="B146" s="67" t="e">
        <f t="shared" si="5"/>
        <v>#REF!</v>
      </c>
      <c r="C146" s="76" t="e">
        <f t="shared" si="6"/>
        <v>#REF!</v>
      </c>
    </row>
    <row r="147" spans="2:3" ht="15.75" customHeight="1" x14ac:dyDescent="0.25">
      <c r="B147" s="67" t="e">
        <f t="shared" si="5"/>
        <v>#REF!</v>
      </c>
      <c r="C147" s="76" t="e">
        <f t="shared" si="6"/>
        <v>#REF!</v>
      </c>
    </row>
    <row r="148" spans="2:3" ht="15.75" customHeight="1" x14ac:dyDescent="0.25">
      <c r="B148" s="67" t="e">
        <f t="shared" si="5"/>
        <v>#REF!</v>
      </c>
      <c r="C148" s="76" t="e">
        <f t="shared" si="6"/>
        <v>#REF!</v>
      </c>
    </row>
    <row r="149" spans="2:3" ht="15.75" customHeight="1" x14ac:dyDescent="0.25">
      <c r="B149" s="67" t="e">
        <f t="shared" si="5"/>
        <v>#REF!</v>
      </c>
      <c r="C149" s="76" t="e">
        <f t="shared" si="6"/>
        <v>#REF!</v>
      </c>
    </row>
    <row r="150" spans="2:3" ht="15.75" customHeight="1" x14ac:dyDescent="0.25">
      <c r="B150" s="67" t="e">
        <f t="shared" si="5"/>
        <v>#REF!</v>
      </c>
      <c r="C150" s="76" t="e">
        <f t="shared" si="6"/>
        <v>#REF!</v>
      </c>
    </row>
    <row r="151" spans="2:3" ht="15.75" customHeight="1" x14ac:dyDescent="0.25">
      <c r="B151" s="67" t="e">
        <f t="shared" si="5"/>
        <v>#REF!</v>
      </c>
      <c r="C151" s="76" t="e">
        <f t="shared" si="6"/>
        <v>#REF!</v>
      </c>
    </row>
    <row r="152" spans="2:3" ht="15.75" customHeight="1" x14ac:dyDescent="0.25">
      <c r="B152" s="67" t="e">
        <f t="shared" si="5"/>
        <v>#REF!</v>
      </c>
      <c r="C152" s="76" t="e">
        <f t="shared" si="6"/>
        <v>#REF!</v>
      </c>
    </row>
    <row r="153" spans="2:3" ht="15.75" customHeight="1" x14ac:dyDescent="0.25">
      <c r="B153" s="67" t="e">
        <f t="shared" si="5"/>
        <v>#REF!</v>
      </c>
      <c r="C153" s="76" t="e">
        <f t="shared" si="6"/>
        <v>#REF!</v>
      </c>
    </row>
    <row r="154" spans="2:3" ht="15.75" customHeight="1" x14ac:dyDescent="0.25">
      <c r="B154" s="67" t="e">
        <f t="shared" si="5"/>
        <v>#REF!</v>
      </c>
      <c r="C154" s="76" t="e">
        <f t="shared" si="6"/>
        <v>#REF!</v>
      </c>
    </row>
    <row r="155" spans="2:3" ht="15.75" customHeight="1" x14ac:dyDescent="0.25">
      <c r="B155" s="67" t="e">
        <f t="shared" si="5"/>
        <v>#REF!</v>
      </c>
      <c r="C155" s="76" t="e">
        <f t="shared" si="6"/>
        <v>#REF!</v>
      </c>
    </row>
    <row r="156" spans="2:3" ht="15.75" customHeight="1" x14ac:dyDescent="0.25">
      <c r="B156" s="67" t="e">
        <f t="shared" si="5"/>
        <v>#REF!</v>
      </c>
      <c r="C156" s="76" t="e">
        <f t="shared" si="6"/>
        <v>#REF!</v>
      </c>
    </row>
    <row r="157" spans="2:3" ht="15.75" customHeight="1" x14ac:dyDescent="0.25">
      <c r="B157" s="67" t="e">
        <f t="shared" ref="B157:B220" si="7">IF(B156="","",IF(B156+$C$9&lt;=$C$5,B156+$C$9,""))</f>
        <v>#REF!</v>
      </c>
      <c r="C157" s="76" t="e">
        <f t="shared" ref="C157:C220" si="8">IF(B157&lt;&gt;"",C156-$C$2/COUNT($B$17:$B$510),"")</f>
        <v>#REF!</v>
      </c>
    </row>
    <row r="158" spans="2:3" ht="15.75" customHeight="1" x14ac:dyDescent="0.25">
      <c r="B158" s="67" t="e">
        <f t="shared" si="7"/>
        <v>#REF!</v>
      </c>
      <c r="C158" s="76" t="e">
        <f t="shared" si="8"/>
        <v>#REF!</v>
      </c>
    </row>
    <row r="159" spans="2:3" ht="15.75" customHeight="1" x14ac:dyDescent="0.25">
      <c r="B159" s="67" t="e">
        <f t="shared" si="7"/>
        <v>#REF!</v>
      </c>
      <c r="C159" s="76" t="e">
        <f t="shared" si="8"/>
        <v>#REF!</v>
      </c>
    </row>
    <row r="160" spans="2:3" ht="15.75" customHeight="1" x14ac:dyDescent="0.25">
      <c r="B160" s="67" t="e">
        <f t="shared" si="7"/>
        <v>#REF!</v>
      </c>
      <c r="C160" s="76" t="e">
        <f t="shared" si="8"/>
        <v>#REF!</v>
      </c>
    </row>
    <row r="161" spans="2:3" ht="15.75" customHeight="1" x14ac:dyDescent="0.25">
      <c r="B161" s="67" t="e">
        <f t="shared" si="7"/>
        <v>#REF!</v>
      </c>
      <c r="C161" s="76" t="e">
        <f t="shared" si="8"/>
        <v>#REF!</v>
      </c>
    </row>
    <row r="162" spans="2:3" ht="15.75" customHeight="1" x14ac:dyDescent="0.25">
      <c r="B162" s="67" t="e">
        <f t="shared" si="7"/>
        <v>#REF!</v>
      </c>
      <c r="C162" s="76" t="e">
        <f t="shared" si="8"/>
        <v>#REF!</v>
      </c>
    </row>
    <row r="163" spans="2:3" ht="15.75" customHeight="1" x14ac:dyDescent="0.25">
      <c r="B163" s="67" t="e">
        <f t="shared" si="7"/>
        <v>#REF!</v>
      </c>
      <c r="C163" s="76" t="e">
        <f t="shared" si="8"/>
        <v>#REF!</v>
      </c>
    </row>
    <row r="164" spans="2:3" ht="15.75" customHeight="1" x14ac:dyDescent="0.25">
      <c r="B164" s="67" t="e">
        <f t="shared" si="7"/>
        <v>#REF!</v>
      </c>
      <c r="C164" s="76" t="e">
        <f t="shared" si="8"/>
        <v>#REF!</v>
      </c>
    </row>
    <row r="165" spans="2:3" ht="15.75" customHeight="1" x14ac:dyDescent="0.25">
      <c r="B165" s="67" t="e">
        <f t="shared" si="7"/>
        <v>#REF!</v>
      </c>
      <c r="C165" s="76" t="e">
        <f t="shared" si="8"/>
        <v>#REF!</v>
      </c>
    </row>
    <row r="166" spans="2:3" ht="15.75" customHeight="1" x14ac:dyDescent="0.25">
      <c r="B166" s="67" t="e">
        <f t="shared" si="7"/>
        <v>#REF!</v>
      </c>
      <c r="C166" s="76" t="e">
        <f t="shared" si="8"/>
        <v>#REF!</v>
      </c>
    </row>
    <row r="167" spans="2:3" ht="15.75" customHeight="1" x14ac:dyDescent="0.25">
      <c r="B167" s="67" t="e">
        <f t="shared" si="7"/>
        <v>#REF!</v>
      </c>
      <c r="C167" s="76" t="e">
        <f t="shared" si="8"/>
        <v>#REF!</v>
      </c>
    </row>
    <row r="168" spans="2:3" ht="15.75" customHeight="1" x14ac:dyDescent="0.25">
      <c r="B168" s="67" t="e">
        <f t="shared" si="7"/>
        <v>#REF!</v>
      </c>
      <c r="C168" s="76" t="e">
        <f t="shared" si="8"/>
        <v>#REF!</v>
      </c>
    </row>
    <row r="169" spans="2:3" ht="15.75" customHeight="1" x14ac:dyDescent="0.25">
      <c r="B169" s="67" t="e">
        <f t="shared" si="7"/>
        <v>#REF!</v>
      </c>
      <c r="C169" s="76" t="e">
        <f t="shared" si="8"/>
        <v>#REF!</v>
      </c>
    </row>
    <row r="170" spans="2:3" ht="15.75" customHeight="1" x14ac:dyDescent="0.25">
      <c r="B170" s="67" t="e">
        <f t="shared" si="7"/>
        <v>#REF!</v>
      </c>
      <c r="C170" s="76" t="e">
        <f t="shared" si="8"/>
        <v>#REF!</v>
      </c>
    </row>
    <row r="171" spans="2:3" ht="15.75" customHeight="1" x14ac:dyDescent="0.25">
      <c r="B171" s="67" t="e">
        <f t="shared" si="7"/>
        <v>#REF!</v>
      </c>
      <c r="C171" s="76" t="e">
        <f t="shared" si="8"/>
        <v>#REF!</v>
      </c>
    </row>
    <row r="172" spans="2:3" ht="15.75" customHeight="1" x14ac:dyDescent="0.25">
      <c r="B172" s="67" t="e">
        <f t="shared" si="7"/>
        <v>#REF!</v>
      </c>
      <c r="C172" s="76" t="e">
        <f t="shared" si="8"/>
        <v>#REF!</v>
      </c>
    </row>
    <row r="173" spans="2:3" ht="15.75" customHeight="1" x14ac:dyDescent="0.25">
      <c r="B173" s="67" t="e">
        <f t="shared" si="7"/>
        <v>#REF!</v>
      </c>
      <c r="C173" s="76" t="e">
        <f t="shared" si="8"/>
        <v>#REF!</v>
      </c>
    </row>
    <row r="174" spans="2:3" ht="15.75" customHeight="1" x14ac:dyDescent="0.25">
      <c r="B174" s="67" t="e">
        <f t="shared" si="7"/>
        <v>#REF!</v>
      </c>
      <c r="C174" s="76" t="e">
        <f t="shared" si="8"/>
        <v>#REF!</v>
      </c>
    </row>
    <row r="175" spans="2:3" ht="15.75" customHeight="1" x14ac:dyDescent="0.25">
      <c r="B175" s="67" t="e">
        <f t="shared" si="7"/>
        <v>#REF!</v>
      </c>
      <c r="C175" s="76" t="e">
        <f t="shared" si="8"/>
        <v>#REF!</v>
      </c>
    </row>
    <row r="176" spans="2:3" ht="15.75" customHeight="1" x14ac:dyDescent="0.25">
      <c r="B176" s="67" t="e">
        <f t="shared" si="7"/>
        <v>#REF!</v>
      </c>
      <c r="C176" s="76" t="e">
        <f t="shared" si="8"/>
        <v>#REF!</v>
      </c>
    </row>
    <row r="177" spans="2:3" ht="15.75" customHeight="1" x14ac:dyDescent="0.25">
      <c r="B177" s="67" t="e">
        <f t="shared" si="7"/>
        <v>#REF!</v>
      </c>
      <c r="C177" s="76" t="e">
        <f t="shared" si="8"/>
        <v>#REF!</v>
      </c>
    </row>
    <row r="178" spans="2:3" ht="15.75" customHeight="1" x14ac:dyDescent="0.25">
      <c r="B178" s="67" t="e">
        <f t="shared" si="7"/>
        <v>#REF!</v>
      </c>
      <c r="C178" s="76" t="e">
        <f t="shared" si="8"/>
        <v>#REF!</v>
      </c>
    </row>
    <row r="179" spans="2:3" ht="15.75" customHeight="1" x14ac:dyDescent="0.25">
      <c r="B179" s="67" t="e">
        <f t="shared" si="7"/>
        <v>#REF!</v>
      </c>
      <c r="C179" s="76" t="e">
        <f t="shared" si="8"/>
        <v>#REF!</v>
      </c>
    </row>
    <row r="180" spans="2:3" ht="15.75" customHeight="1" x14ac:dyDescent="0.25">
      <c r="B180" s="67" t="e">
        <f t="shared" si="7"/>
        <v>#REF!</v>
      </c>
      <c r="C180" s="76" t="e">
        <f t="shared" si="8"/>
        <v>#REF!</v>
      </c>
    </row>
    <row r="181" spans="2:3" ht="15.75" customHeight="1" x14ac:dyDescent="0.25">
      <c r="B181" s="67" t="e">
        <f t="shared" si="7"/>
        <v>#REF!</v>
      </c>
      <c r="C181" s="76" t="e">
        <f t="shared" si="8"/>
        <v>#REF!</v>
      </c>
    </row>
    <row r="182" spans="2:3" ht="15.75" customHeight="1" x14ac:dyDescent="0.25">
      <c r="B182" s="67" t="e">
        <f t="shared" si="7"/>
        <v>#REF!</v>
      </c>
      <c r="C182" s="76" t="e">
        <f t="shared" si="8"/>
        <v>#REF!</v>
      </c>
    </row>
    <row r="183" spans="2:3" ht="15.75" customHeight="1" x14ac:dyDescent="0.25">
      <c r="B183" s="67" t="e">
        <f t="shared" si="7"/>
        <v>#REF!</v>
      </c>
      <c r="C183" s="76" t="e">
        <f t="shared" si="8"/>
        <v>#REF!</v>
      </c>
    </row>
    <row r="184" spans="2:3" ht="15.75" customHeight="1" x14ac:dyDescent="0.25">
      <c r="B184" s="67" t="e">
        <f t="shared" si="7"/>
        <v>#REF!</v>
      </c>
      <c r="C184" s="76" t="e">
        <f t="shared" si="8"/>
        <v>#REF!</v>
      </c>
    </row>
    <row r="185" spans="2:3" ht="15.75" customHeight="1" x14ac:dyDescent="0.25">
      <c r="B185" s="67" t="e">
        <f t="shared" si="7"/>
        <v>#REF!</v>
      </c>
      <c r="C185" s="76" t="e">
        <f t="shared" si="8"/>
        <v>#REF!</v>
      </c>
    </row>
    <row r="186" spans="2:3" ht="15.75" customHeight="1" x14ac:dyDescent="0.25">
      <c r="B186" s="67" t="e">
        <f t="shared" si="7"/>
        <v>#REF!</v>
      </c>
      <c r="C186" s="76" t="e">
        <f t="shared" si="8"/>
        <v>#REF!</v>
      </c>
    </row>
    <row r="187" spans="2:3" ht="15.75" customHeight="1" x14ac:dyDescent="0.25">
      <c r="B187" s="67" t="e">
        <f t="shared" si="7"/>
        <v>#REF!</v>
      </c>
      <c r="C187" s="76" t="e">
        <f t="shared" si="8"/>
        <v>#REF!</v>
      </c>
    </row>
    <row r="188" spans="2:3" ht="15.75" customHeight="1" x14ac:dyDescent="0.25">
      <c r="B188" s="67" t="e">
        <f t="shared" si="7"/>
        <v>#REF!</v>
      </c>
      <c r="C188" s="76" t="e">
        <f t="shared" si="8"/>
        <v>#REF!</v>
      </c>
    </row>
    <row r="189" spans="2:3" ht="15.75" customHeight="1" x14ac:dyDescent="0.25">
      <c r="B189" s="67" t="e">
        <f t="shared" si="7"/>
        <v>#REF!</v>
      </c>
      <c r="C189" s="76" t="e">
        <f t="shared" si="8"/>
        <v>#REF!</v>
      </c>
    </row>
    <row r="190" spans="2:3" ht="15.75" customHeight="1" x14ac:dyDescent="0.25">
      <c r="B190" s="67" t="e">
        <f t="shared" si="7"/>
        <v>#REF!</v>
      </c>
      <c r="C190" s="76" t="e">
        <f t="shared" si="8"/>
        <v>#REF!</v>
      </c>
    </row>
    <row r="191" spans="2:3" ht="15.75" customHeight="1" x14ac:dyDescent="0.25">
      <c r="B191" s="67" t="e">
        <f t="shared" si="7"/>
        <v>#REF!</v>
      </c>
      <c r="C191" s="76" t="e">
        <f t="shared" si="8"/>
        <v>#REF!</v>
      </c>
    </row>
    <row r="192" spans="2:3" ht="15.75" customHeight="1" x14ac:dyDescent="0.25">
      <c r="B192" s="67" t="e">
        <f t="shared" si="7"/>
        <v>#REF!</v>
      </c>
      <c r="C192" s="76" t="e">
        <f t="shared" si="8"/>
        <v>#REF!</v>
      </c>
    </row>
    <row r="193" spans="2:3" ht="15.75" customHeight="1" x14ac:dyDescent="0.25">
      <c r="B193" s="67" t="e">
        <f t="shared" si="7"/>
        <v>#REF!</v>
      </c>
      <c r="C193" s="76" t="e">
        <f t="shared" si="8"/>
        <v>#REF!</v>
      </c>
    </row>
    <row r="194" spans="2:3" ht="15.75" customHeight="1" x14ac:dyDescent="0.25">
      <c r="B194" s="67" t="e">
        <f t="shared" si="7"/>
        <v>#REF!</v>
      </c>
      <c r="C194" s="76" t="e">
        <f t="shared" si="8"/>
        <v>#REF!</v>
      </c>
    </row>
    <row r="195" spans="2:3" ht="15.75" customHeight="1" x14ac:dyDescent="0.25">
      <c r="B195" s="67" t="e">
        <f t="shared" si="7"/>
        <v>#REF!</v>
      </c>
      <c r="C195" s="76" t="e">
        <f t="shared" si="8"/>
        <v>#REF!</v>
      </c>
    </row>
    <row r="196" spans="2:3" ht="15.75" customHeight="1" x14ac:dyDescent="0.25">
      <c r="B196" s="67" t="e">
        <f t="shared" si="7"/>
        <v>#REF!</v>
      </c>
      <c r="C196" s="76" t="e">
        <f t="shared" si="8"/>
        <v>#REF!</v>
      </c>
    </row>
    <row r="197" spans="2:3" ht="15.75" customHeight="1" x14ac:dyDescent="0.25">
      <c r="B197" s="67" t="e">
        <f t="shared" si="7"/>
        <v>#REF!</v>
      </c>
      <c r="C197" s="76" t="e">
        <f t="shared" si="8"/>
        <v>#REF!</v>
      </c>
    </row>
    <row r="198" spans="2:3" ht="15.75" customHeight="1" x14ac:dyDescent="0.25">
      <c r="B198" s="67" t="e">
        <f t="shared" si="7"/>
        <v>#REF!</v>
      </c>
      <c r="C198" s="76" t="e">
        <f t="shared" si="8"/>
        <v>#REF!</v>
      </c>
    </row>
    <row r="199" spans="2:3" ht="15.75" customHeight="1" x14ac:dyDescent="0.25">
      <c r="B199" s="67" t="e">
        <f t="shared" si="7"/>
        <v>#REF!</v>
      </c>
      <c r="C199" s="76" t="e">
        <f t="shared" si="8"/>
        <v>#REF!</v>
      </c>
    </row>
    <row r="200" spans="2:3" ht="15.75" customHeight="1" x14ac:dyDescent="0.25">
      <c r="B200" s="67" t="e">
        <f t="shared" si="7"/>
        <v>#REF!</v>
      </c>
      <c r="C200" s="76" t="e">
        <f t="shared" si="8"/>
        <v>#REF!</v>
      </c>
    </row>
    <row r="201" spans="2:3" ht="15.75" customHeight="1" x14ac:dyDescent="0.25">
      <c r="B201" s="67" t="e">
        <f t="shared" si="7"/>
        <v>#REF!</v>
      </c>
      <c r="C201" s="76" t="e">
        <f t="shared" si="8"/>
        <v>#REF!</v>
      </c>
    </row>
    <row r="202" spans="2:3" ht="15.75" customHeight="1" x14ac:dyDescent="0.25">
      <c r="B202" s="67" t="e">
        <f t="shared" si="7"/>
        <v>#REF!</v>
      </c>
      <c r="C202" s="76" t="e">
        <f t="shared" si="8"/>
        <v>#REF!</v>
      </c>
    </row>
    <row r="203" spans="2:3" ht="15.75" customHeight="1" x14ac:dyDescent="0.25">
      <c r="B203" s="67" t="e">
        <f t="shared" si="7"/>
        <v>#REF!</v>
      </c>
      <c r="C203" s="76" t="e">
        <f t="shared" si="8"/>
        <v>#REF!</v>
      </c>
    </row>
    <row r="204" spans="2:3" ht="15.75" customHeight="1" x14ac:dyDescent="0.25">
      <c r="B204" s="67" t="e">
        <f t="shared" si="7"/>
        <v>#REF!</v>
      </c>
      <c r="C204" s="76" t="e">
        <f t="shared" si="8"/>
        <v>#REF!</v>
      </c>
    </row>
    <row r="205" spans="2:3" ht="15.75" customHeight="1" x14ac:dyDescent="0.25">
      <c r="B205" s="67" t="e">
        <f t="shared" si="7"/>
        <v>#REF!</v>
      </c>
      <c r="C205" s="76" t="e">
        <f t="shared" si="8"/>
        <v>#REF!</v>
      </c>
    </row>
    <row r="206" spans="2:3" ht="15.75" customHeight="1" x14ac:dyDescent="0.25">
      <c r="B206" s="67" t="e">
        <f t="shared" si="7"/>
        <v>#REF!</v>
      </c>
      <c r="C206" s="76" t="e">
        <f t="shared" si="8"/>
        <v>#REF!</v>
      </c>
    </row>
    <row r="207" spans="2:3" ht="15.75" customHeight="1" x14ac:dyDescent="0.25">
      <c r="B207" s="67" t="e">
        <f t="shared" si="7"/>
        <v>#REF!</v>
      </c>
      <c r="C207" s="76" t="e">
        <f t="shared" si="8"/>
        <v>#REF!</v>
      </c>
    </row>
    <row r="208" spans="2:3" ht="15.75" customHeight="1" x14ac:dyDescent="0.25">
      <c r="B208" s="67" t="e">
        <f t="shared" si="7"/>
        <v>#REF!</v>
      </c>
      <c r="C208" s="76" t="e">
        <f t="shared" si="8"/>
        <v>#REF!</v>
      </c>
    </row>
    <row r="209" spans="2:3" ht="15.75" customHeight="1" x14ac:dyDescent="0.25">
      <c r="B209" s="67" t="e">
        <f t="shared" si="7"/>
        <v>#REF!</v>
      </c>
      <c r="C209" s="76" t="e">
        <f t="shared" si="8"/>
        <v>#REF!</v>
      </c>
    </row>
    <row r="210" spans="2:3" ht="15.75" customHeight="1" x14ac:dyDescent="0.25">
      <c r="B210" s="67" t="e">
        <f t="shared" si="7"/>
        <v>#REF!</v>
      </c>
      <c r="C210" s="76" t="e">
        <f t="shared" si="8"/>
        <v>#REF!</v>
      </c>
    </row>
    <row r="211" spans="2:3" ht="15.75" customHeight="1" x14ac:dyDescent="0.25">
      <c r="B211" s="67" t="e">
        <f t="shared" si="7"/>
        <v>#REF!</v>
      </c>
      <c r="C211" s="76" t="e">
        <f t="shared" si="8"/>
        <v>#REF!</v>
      </c>
    </row>
    <row r="212" spans="2:3" ht="15.75" customHeight="1" x14ac:dyDescent="0.25">
      <c r="B212" s="67" t="e">
        <f t="shared" si="7"/>
        <v>#REF!</v>
      </c>
      <c r="C212" s="76" t="e">
        <f t="shared" si="8"/>
        <v>#REF!</v>
      </c>
    </row>
    <row r="213" spans="2:3" ht="15.75" customHeight="1" x14ac:dyDescent="0.25">
      <c r="B213" s="67" t="e">
        <f t="shared" si="7"/>
        <v>#REF!</v>
      </c>
      <c r="C213" s="76" t="e">
        <f t="shared" si="8"/>
        <v>#REF!</v>
      </c>
    </row>
    <row r="214" spans="2:3" ht="15.75" customHeight="1" x14ac:dyDescent="0.25">
      <c r="B214" s="67" t="e">
        <f t="shared" si="7"/>
        <v>#REF!</v>
      </c>
      <c r="C214" s="76" t="e">
        <f t="shared" si="8"/>
        <v>#REF!</v>
      </c>
    </row>
    <row r="215" spans="2:3" ht="15.75" customHeight="1" x14ac:dyDescent="0.25">
      <c r="B215" s="67" t="e">
        <f t="shared" si="7"/>
        <v>#REF!</v>
      </c>
      <c r="C215" s="76" t="e">
        <f t="shared" si="8"/>
        <v>#REF!</v>
      </c>
    </row>
    <row r="216" spans="2:3" ht="15.75" customHeight="1" x14ac:dyDescent="0.25">
      <c r="B216" s="67" t="e">
        <f t="shared" si="7"/>
        <v>#REF!</v>
      </c>
      <c r="C216" s="76" t="e">
        <f t="shared" si="8"/>
        <v>#REF!</v>
      </c>
    </row>
    <row r="217" spans="2:3" ht="15.75" customHeight="1" x14ac:dyDescent="0.25">
      <c r="B217" s="67" t="e">
        <f t="shared" si="7"/>
        <v>#REF!</v>
      </c>
      <c r="C217" s="76" t="e">
        <f t="shared" si="8"/>
        <v>#REF!</v>
      </c>
    </row>
    <row r="218" spans="2:3" ht="15.75" customHeight="1" x14ac:dyDescent="0.25">
      <c r="B218" s="67" t="e">
        <f t="shared" si="7"/>
        <v>#REF!</v>
      </c>
      <c r="C218" s="76" t="e">
        <f t="shared" si="8"/>
        <v>#REF!</v>
      </c>
    </row>
    <row r="219" spans="2:3" ht="15.75" customHeight="1" x14ac:dyDescent="0.25">
      <c r="B219" s="67" t="e">
        <f t="shared" si="7"/>
        <v>#REF!</v>
      </c>
      <c r="C219" s="76" t="e">
        <f t="shared" si="8"/>
        <v>#REF!</v>
      </c>
    </row>
    <row r="220" spans="2:3" ht="15.75" customHeight="1" x14ac:dyDescent="0.25">
      <c r="B220" s="67" t="e">
        <f t="shared" si="7"/>
        <v>#REF!</v>
      </c>
      <c r="C220" s="76" t="e">
        <f t="shared" si="8"/>
        <v>#REF!</v>
      </c>
    </row>
    <row r="221" spans="2:3" ht="15.75" customHeight="1" x14ac:dyDescent="0.25">
      <c r="B221" s="67" t="e">
        <f t="shared" ref="B221:B284" si="9">IF(B220="","",IF(B220+$C$9&lt;=$C$5,B220+$C$9,""))</f>
        <v>#REF!</v>
      </c>
      <c r="C221" s="76" t="e">
        <f t="shared" ref="C221:C284" si="10">IF(B221&lt;&gt;"",C220-$C$2/COUNT($B$17:$B$510),"")</f>
        <v>#REF!</v>
      </c>
    </row>
    <row r="222" spans="2:3" ht="15.75" customHeight="1" x14ac:dyDescent="0.25">
      <c r="B222" s="67" t="e">
        <f t="shared" si="9"/>
        <v>#REF!</v>
      </c>
      <c r="C222" s="76" t="e">
        <f t="shared" si="10"/>
        <v>#REF!</v>
      </c>
    </row>
    <row r="223" spans="2:3" ht="15.75" customHeight="1" x14ac:dyDescent="0.25">
      <c r="B223" s="67" t="e">
        <f t="shared" si="9"/>
        <v>#REF!</v>
      </c>
      <c r="C223" s="76" t="e">
        <f t="shared" si="10"/>
        <v>#REF!</v>
      </c>
    </row>
    <row r="224" spans="2:3" ht="15.75" customHeight="1" x14ac:dyDescent="0.25">
      <c r="B224" s="67" t="e">
        <f t="shared" si="9"/>
        <v>#REF!</v>
      </c>
      <c r="C224" s="76" t="e">
        <f t="shared" si="10"/>
        <v>#REF!</v>
      </c>
    </row>
    <row r="225" spans="2:3" ht="15.75" customHeight="1" x14ac:dyDescent="0.25">
      <c r="B225" s="67" t="e">
        <f t="shared" si="9"/>
        <v>#REF!</v>
      </c>
      <c r="C225" s="76" t="e">
        <f t="shared" si="10"/>
        <v>#REF!</v>
      </c>
    </row>
    <row r="226" spans="2:3" ht="15.75" customHeight="1" x14ac:dyDescent="0.25">
      <c r="B226" s="67" t="e">
        <f t="shared" si="9"/>
        <v>#REF!</v>
      </c>
      <c r="C226" s="76" t="e">
        <f t="shared" si="10"/>
        <v>#REF!</v>
      </c>
    </row>
    <row r="227" spans="2:3" ht="15.75" customHeight="1" x14ac:dyDescent="0.25">
      <c r="B227" s="67" t="e">
        <f t="shared" si="9"/>
        <v>#REF!</v>
      </c>
      <c r="C227" s="76" t="e">
        <f t="shared" si="10"/>
        <v>#REF!</v>
      </c>
    </row>
    <row r="228" spans="2:3" ht="15.75" customHeight="1" x14ac:dyDescent="0.25">
      <c r="B228" s="67" t="e">
        <f t="shared" si="9"/>
        <v>#REF!</v>
      </c>
      <c r="C228" s="76" t="e">
        <f t="shared" si="10"/>
        <v>#REF!</v>
      </c>
    </row>
    <row r="229" spans="2:3" ht="15.75" customHeight="1" x14ac:dyDescent="0.25">
      <c r="B229" s="67" t="e">
        <f t="shared" si="9"/>
        <v>#REF!</v>
      </c>
      <c r="C229" s="76" t="e">
        <f t="shared" si="10"/>
        <v>#REF!</v>
      </c>
    </row>
    <row r="230" spans="2:3" ht="15.75" customHeight="1" x14ac:dyDescent="0.25">
      <c r="B230" s="67" t="e">
        <f t="shared" si="9"/>
        <v>#REF!</v>
      </c>
      <c r="C230" s="76" t="e">
        <f t="shared" si="10"/>
        <v>#REF!</v>
      </c>
    </row>
    <row r="231" spans="2:3" ht="15.75" customHeight="1" x14ac:dyDescent="0.25">
      <c r="B231" s="67" t="e">
        <f t="shared" si="9"/>
        <v>#REF!</v>
      </c>
      <c r="C231" s="76" t="e">
        <f t="shared" si="10"/>
        <v>#REF!</v>
      </c>
    </row>
    <row r="232" spans="2:3" ht="15.75" customHeight="1" x14ac:dyDescent="0.25">
      <c r="B232" s="67" t="e">
        <f t="shared" si="9"/>
        <v>#REF!</v>
      </c>
      <c r="C232" s="76" t="e">
        <f t="shared" si="10"/>
        <v>#REF!</v>
      </c>
    </row>
    <row r="233" spans="2:3" ht="15.75" customHeight="1" x14ac:dyDescent="0.25">
      <c r="B233" s="67" t="e">
        <f t="shared" si="9"/>
        <v>#REF!</v>
      </c>
      <c r="C233" s="76" t="e">
        <f t="shared" si="10"/>
        <v>#REF!</v>
      </c>
    </row>
    <row r="234" spans="2:3" ht="15.75" customHeight="1" x14ac:dyDescent="0.25">
      <c r="B234" s="67" t="e">
        <f t="shared" si="9"/>
        <v>#REF!</v>
      </c>
      <c r="C234" s="76" t="e">
        <f t="shared" si="10"/>
        <v>#REF!</v>
      </c>
    </row>
    <row r="235" spans="2:3" ht="15.75" customHeight="1" x14ac:dyDescent="0.25">
      <c r="B235" s="67" t="e">
        <f t="shared" si="9"/>
        <v>#REF!</v>
      </c>
      <c r="C235" s="76" t="e">
        <f t="shared" si="10"/>
        <v>#REF!</v>
      </c>
    </row>
    <row r="236" spans="2:3" ht="15.75" customHeight="1" x14ac:dyDescent="0.25">
      <c r="B236" s="67" t="e">
        <f t="shared" si="9"/>
        <v>#REF!</v>
      </c>
      <c r="C236" s="76" t="e">
        <f t="shared" si="10"/>
        <v>#REF!</v>
      </c>
    </row>
    <row r="237" spans="2:3" ht="15.75" customHeight="1" x14ac:dyDescent="0.25">
      <c r="B237" s="67" t="e">
        <f t="shared" si="9"/>
        <v>#REF!</v>
      </c>
      <c r="C237" s="76" t="e">
        <f t="shared" si="10"/>
        <v>#REF!</v>
      </c>
    </row>
    <row r="238" spans="2:3" ht="15.75" customHeight="1" x14ac:dyDescent="0.25">
      <c r="B238" s="67" t="e">
        <f t="shared" si="9"/>
        <v>#REF!</v>
      </c>
      <c r="C238" s="76" t="e">
        <f t="shared" si="10"/>
        <v>#REF!</v>
      </c>
    </row>
    <row r="239" spans="2:3" ht="15.75" customHeight="1" x14ac:dyDescent="0.25">
      <c r="B239" s="67" t="e">
        <f t="shared" si="9"/>
        <v>#REF!</v>
      </c>
      <c r="C239" s="76" t="e">
        <f t="shared" si="10"/>
        <v>#REF!</v>
      </c>
    </row>
    <row r="240" spans="2:3" ht="15.75" customHeight="1" x14ac:dyDescent="0.25">
      <c r="B240" s="67" t="e">
        <f t="shared" si="9"/>
        <v>#REF!</v>
      </c>
      <c r="C240" s="76" t="e">
        <f t="shared" si="10"/>
        <v>#REF!</v>
      </c>
    </row>
    <row r="241" spans="2:3" ht="15.75" customHeight="1" x14ac:dyDescent="0.25">
      <c r="B241" s="67" t="e">
        <f t="shared" si="9"/>
        <v>#REF!</v>
      </c>
      <c r="C241" s="76" t="e">
        <f t="shared" si="10"/>
        <v>#REF!</v>
      </c>
    </row>
    <row r="242" spans="2:3" ht="15.75" customHeight="1" x14ac:dyDescent="0.25">
      <c r="B242" s="67" t="e">
        <f t="shared" si="9"/>
        <v>#REF!</v>
      </c>
      <c r="C242" s="76" t="e">
        <f t="shared" si="10"/>
        <v>#REF!</v>
      </c>
    </row>
    <row r="243" spans="2:3" ht="15.75" customHeight="1" x14ac:dyDescent="0.25">
      <c r="B243" s="67" t="e">
        <f t="shared" si="9"/>
        <v>#REF!</v>
      </c>
      <c r="C243" s="76" t="e">
        <f t="shared" si="10"/>
        <v>#REF!</v>
      </c>
    </row>
    <row r="244" spans="2:3" ht="15.75" customHeight="1" x14ac:dyDescent="0.25">
      <c r="B244" s="67" t="e">
        <f t="shared" si="9"/>
        <v>#REF!</v>
      </c>
      <c r="C244" s="76" t="e">
        <f t="shared" si="10"/>
        <v>#REF!</v>
      </c>
    </row>
    <row r="245" spans="2:3" ht="15.75" customHeight="1" x14ac:dyDescent="0.25">
      <c r="B245" s="67" t="e">
        <f t="shared" si="9"/>
        <v>#REF!</v>
      </c>
      <c r="C245" s="76" t="e">
        <f t="shared" si="10"/>
        <v>#REF!</v>
      </c>
    </row>
    <row r="246" spans="2:3" ht="15.75" customHeight="1" x14ac:dyDescent="0.25">
      <c r="B246" s="67" t="e">
        <f t="shared" si="9"/>
        <v>#REF!</v>
      </c>
      <c r="C246" s="76" t="e">
        <f t="shared" si="10"/>
        <v>#REF!</v>
      </c>
    </row>
    <row r="247" spans="2:3" ht="15.75" customHeight="1" x14ac:dyDescent="0.25">
      <c r="B247" s="67" t="e">
        <f t="shared" si="9"/>
        <v>#REF!</v>
      </c>
      <c r="C247" s="76" t="e">
        <f t="shared" si="10"/>
        <v>#REF!</v>
      </c>
    </row>
    <row r="248" spans="2:3" ht="15.75" customHeight="1" x14ac:dyDescent="0.25">
      <c r="B248" s="67" t="e">
        <f t="shared" si="9"/>
        <v>#REF!</v>
      </c>
      <c r="C248" s="76" t="e">
        <f t="shared" si="10"/>
        <v>#REF!</v>
      </c>
    </row>
    <row r="249" spans="2:3" ht="15.75" customHeight="1" x14ac:dyDescent="0.25">
      <c r="B249" s="67" t="e">
        <f t="shared" si="9"/>
        <v>#REF!</v>
      </c>
      <c r="C249" s="76" t="e">
        <f t="shared" si="10"/>
        <v>#REF!</v>
      </c>
    </row>
    <row r="250" spans="2:3" ht="15.75" customHeight="1" x14ac:dyDescent="0.25">
      <c r="B250" s="67" t="e">
        <f t="shared" si="9"/>
        <v>#REF!</v>
      </c>
      <c r="C250" s="76" t="e">
        <f t="shared" si="10"/>
        <v>#REF!</v>
      </c>
    </row>
    <row r="251" spans="2:3" ht="15.75" customHeight="1" x14ac:dyDescent="0.25">
      <c r="B251" s="67" t="e">
        <f t="shared" si="9"/>
        <v>#REF!</v>
      </c>
      <c r="C251" s="76" t="e">
        <f t="shared" si="10"/>
        <v>#REF!</v>
      </c>
    </row>
    <row r="252" spans="2:3" ht="15.75" customHeight="1" x14ac:dyDescent="0.25">
      <c r="B252" s="67" t="e">
        <f t="shared" si="9"/>
        <v>#REF!</v>
      </c>
      <c r="C252" s="76" t="e">
        <f t="shared" si="10"/>
        <v>#REF!</v>
      </c>
    </row>
    <row r="253" spans="2:3" ht="15.75" customHeight="1" x14ac:dyDescent="0.25">
      <c r="B253" s="67" t="e">
        <f t="shared" si="9"/>
        <v>#REF!</v>
      </c>
      <c r="C253" s="76" t="e">
        <f t="shared" si="10"/>
        <v>#REF!</v>
      </c>
    </row>
    <row r="254" spans="2:3" ht="15.75" customHeight="1" x14ac:dyDescent="0.25">
      <c r="B254" s="67" t="e">
        <f t="shared" si="9"/>
        <v>#REF!</v>
      </c>
      <c r="C254" s="76" t="e">
        <f t="shared" si="10"/>
        <v>#REF!</v>
      </c>
    </row>
    <row r="255" spans="2:3" ht="15.75" customHeight="1" x14ac:dyDescent="0.25">
      <c r="B255" s="67" t="e">
        <f t="shared" si="9"/>
        <v>#REF!</v>
      </c>
      <c r="C255" s="76" t="e">
        <f t="shared" si="10"/>
        <v>#REF!</v>
      </c>
    </row>
    <row r="256" spans="2:3" ht="15.75" customHeight="1" x14ac:dyDescent="0.25">
      <c r="B256" s="67" t="e">
        <f t="shared" si="9"/>
        <v>#REF!</v>
      </c>
      <c r="C256" s="76" t="e">
        <f t="shared" si="10"/>
        <v>#REF!</v>
      </c>
    </row>
    <row r="257" spans="2:3" ht="15.75" customHeight="1" x14ac:dyDescent="0.25">
      <c r="B257" s="67" t="e">
        <f t="shared" si="9"/>
        <v>#REF!</v>
      </c>
      <c r="C257" s="76" t="e">
        <f t="shared" si="10"/>
        <v>#REF!</v>
      </c>
    </row>
    <row r="258" spans="2:3" ht="15.75" customHeight="1" x14ac:dyDescent="0.25">
      <c r="B258" s="67" t="e">
        <f t="shared" si="9"/>
        <v>#REF!</v>
      </c>
      <c r="C258" s="76" t="e">
        <f t="shared" si="10"/>
        <v>#REF!</v>
      </c>
    </row>
    <row r="259" spans="2:3" ht="15.75" customHeight="1" x14ac:dyDescent="0.25">
      <c r="B259" s="67" t="e">
        <f t="shared" si="9"/>
        <v>#REF!</v>
      </c>
      <c r="C259" s="76" t="e">
        <f t="shared" si="10"/>
        <v>#REF!</v>
      </c>
    </row>
    <row r="260" spans="2:3" ht="15.75" customHeight="1" x14ac:dyDescent="0.25">
      <c r="B260" s="67" t="e">
        <f t="shared" si="9"/>
        <v>#REF!</v>
      </c>
      <c r="C260" s="76" t="e">
        <f t="shared" si="10"/>
        <v>#REF!</v>
      </c>
    </row>
    <row r="261" spans="2:3" ht="15.75" customHeight="1" x14ac:dyDescent="0.25">
      <c r="B261" s="67" t="e">
        <f t="shared" si="9"/>
        <v>#REF!</v>
      </c>
      <c r="C261" s="76" t="e">
        <f t="shared" si="10"/>
        <v>#REF!</v>
      </c>
    </row>
    <row r="262" spans="2:3" ht="15.75" customHeight="1" x14ac:dyDescent="0.25">
      <c r="B262" s="67" t="e">
        <f t="shared" si="9"/>
        <v>#REF!</v>
      </c>
      <c r="C262" s="76" t="e">
        <f t="shared" si="10"/>
        <v>#REF!</v>
      </c>
    </row>
    <row r="263" spans="2:3" ht="15.75" customHeight="1" x14ac:dyDescent="0.25">
      <c r="B263" s="67" t="e">
        <f t="shared" si="9"/>
        <v>#REF!</v>
      </c>
      <c r="C263" s="76" t="e">
        <f t="shared" si="10"/>
        <v>#REF!</v>
      </c>
    </row>
    <row r="264" spans="2:3" ht="15.75" customHeight="1" x14ac:dyDescent="0.25">
      <c r="B264" s="67" t="e">
        <f t="shared" si="9"/>
        <v>#REF!</v>
      </c>
      <c r="C264" s="76" t="e">
        <f t="shared" si="10"/>
        <v>#REF!</v>
      </c>
    </row>
    <row r="265" spans="2:3" ht="15.75" customHeight="1" x14ac:dyDescent="0.25">
      <c r="B265" s="67" t="e">
        <f t="shared" si="9"/>
        <v>#REF!</v>
      </c>
      <c r="C265" s="76" t="e">
        <f t="shared" si="10"/>
        <v>#REF!</v>
      </c>
    </row>
    <row r="266" spans="2:3" ht="15.75" customHeight="1" x14ac:dyDescent="0.25">
      <c r="B266" s="67" t="e">
        <f t="shared" si="9"/>
        <v>#REF!</v>
      </c>
      <c r="C266" s="76" t="e">
        <f t="shared" si="10"/>
        <v>#REF!</v>
      </c>
    </row>
    <row r="267" spans="2:3" ht="15.75" customHeight="1" x14ac:dyDescent="0.25">
      <c r="B267" s="67" t="e">
        <f t="shared" si="9"/>
        <v>#REF!</v>
      </c>
      <c r="C267" s="76" t="e">
        <f t="shared" si="10"/>
        <v>#REF!</v>
      </c>
    </row>
    <row r="268" spans="2:3" ht="15.75" customHeight="1" x14ac:dyDescent="0.25">
      <c r="B268" s="67" t="e">
        <f t="shared" si="9"/>
        <v>#REF!</v>
      </c>
      <c r="C268" s="76" t="e">
        <f t="shared" si="10"/>
        <v>#REF!</v>
      </c>
    </row>
    <row r="269" spans="2:3" ht="15.75" customHeight="1" x14ac:dyDescent="0.25">
      <c r="B269" s="67" t="e">
        <f t="shared" si="9"/>
        <v>#REF!</v>
      </c>
      <c r="C269" s="76" t="e">
        <f t="shared" si="10"/>
        <v>#REF!</v>
      </c>
    </row>
    <row r="270" spans="2:3" ht="15.75" customHeight="1" x14ac:dyDescent="0.25">
      <c r="B270" s="67" t="e">
        <f t="shared" si="9"/>
        <v>#REF!</v>
      </c>
      <c r="C270" s="76" t="e">
        <f t="shared" si="10"/>
        <v>#REF!</v>
      </c>
    </row>
    <row r="271" spans="2:3" ht="15.75" customHeight="1" x14ac:dyDescent="0.25">
      <c r="B271" s="67" t="e">
        <f t="shared" si="9"/>
        <v>#REF!</v>
      </c>
      <c r="C271" s="76" t="e">
        <f t="shared" si="10"/>
        <v>#REF!</v>
      </c>
    </row>
    <row r="272" spans="2:3" ht="15.75" customHeight="1" x14ac:dyDescent="0.25">
      <c r="B272" s="67" t="e">
        <f t="shared" si="9"/>
        <v>#REF!</v>
      </c>
      <c r="C272" s="76" t="e">
        <f t="shared" si="10"/>
        <v>#REF!</v>
      </c>
    </row>
    <row r="273" spans="2:3" ht="15.75" customHeight="1" x14ac:dyDescent="0.25">
      <c r="B273" s="67" t="e">
        <f t="shared" si="9"/>
        <v>#REF!</v>
      </c>
      <c r="C273" s="76" t="e">
        <f t="shared" si="10"/>
        <v>#REF!</v>
      </c>
    </row>
    <row r="274" spans="2:3" ht="15.75" customHeight="1" x14ac:dyDescent="0.25">
      <c r="B274" s="67" t="e">
        <f t="shared" si="9"/>
        <v>#REF!</v>
      </c>
      <c r="C274" s="76" t="e">
        <f t="shared" si="10"/>
        <v>#REF!</v>
      </c>
    </row>
    <row r="275" spans="2:3" ht="15.75" customHeight="1" x14ac:dyDescent="0.25">
      <c r="B275" s="67" t="e">
        <f t="shared" si="9"/>
        <v>#REF!</v>
      </c>
      <c r="C275" s="76" t="e">
        <f t="shared" si="10"/>
        <v>#REF!</v>
      </c>
    </row>
    <row r="276" spans="2:3" ht="15.75" customHeight="1" x14ac:dyDescent="0.25">
      <c r="B276" s="67" t="e">
        <f t="shared" si="9"/>
        <v>#REF!</v>
      </c>
      <c r="C276" s="76" t="e">
        <f t="shared" si="10"/>
        <v>#REF!</v>
      </c>
    </row>
    <row r="277" spans="2:3" ht="15.75" customHeight="1" x14ac:dyDescent="0.25">
      <c r="B277" s="67" t="e">
        <f t="shared" si="9"/>
        <v>#REF!</v>
      </c>
      <c r="C277" s="76" t="e">
        <f t="shared" si="10"/>
        <v>#REF!</v>
      </c>
    </row>
    <row r="278" spans="2:3" ht="15.75" customHeight="1" x14ac:dyDescent="0.25">
      <c r="B278" s="67" t="e">
        <f t="shared" si="9"/>
        <v>#REF!</v>
      </c>
      <c r="C278" s="76" t="e">
        <f t="shared" si="10"/>
        <v>#REF!</v>
      </c>
    </row>
    <row r="279" spans="2:3" ht="15.75" customHeight="1" x14ac:dyDescent="0.25">
      <c r="B279" s="67" t="e">
        <f t="shared" si="9"/>
        <v>#REF!</v>
      </c>
      <c r="C279" s="76" t="e">
        <f t="shared" si="10"/>
        <v>#REF!</v>
      </c>
    </row>
    <row r="280" spans="2:3" ht="15.75" customHeight="1" x14ac:dyDescent="0.25">
      <c r="B280" s="67" t="e">
        <f t="shared" si="9"/>
        <v>#REF!</v>
      </c>
      <c r="C280" s="76" t="e">
        <f t="shared" si="10"/>
        <v>#REF!</v>
      </c>
    </row>
    <row r="281" spans="2:3" ht="15.75" customHeight="1" x14ac:dyDescent="0.25">
      <c r="B281" s="67" t="e">
        <f t="shared" si="9"/>
        <v>#REF!</v>
      </c>
      <c r="C281" s="76" t="e">
        <f t="shared" si="10"/>
        <v>#REF!</v>
      </c>
    </row>
    <row r="282" spans="2:3" ht="15.75" customHeight="1" x14ac:dyDescent="0.25">
      <c r="B282" s="67" t="e">
        <f t="shared" si="9"/>
        <v>#REF!</v>
      </c>
      <c r="C282" s="76" t="e">
        <f t="shared" si="10"/>
        <v>#REF!</v>
      </c>
    </row>
    <row r="283" spans="2:3" ht="15.75" customHeight="1" x14ac:dyDescent="0.25">
      <c r="B283" s="67" t="e">
        <f t="shared" si="9"/>
        <v>#REF!</v>
      </c>
      <c r="C283" s="76" t="e">
        <f t="shared" si="10"/>
        <v>#REF!</v>
      </c>
    </row>
    <row r="284" spans="2:3" ht="15.75" customHeight="1" x14ac:dyDescent="0.25">
      <c r="B284" s="67" t="e">
        <f t="shared" si="9"/>
        <v>#REF!</v>
      </c>
      <c r="C284" s="76" t="e">
        <f t="shared" si="10"/>
        <v>#REF!</v>
      </c>
    </row>
    <row r="285" spans="2:3" ht="15.75" customHeight="1" x14ac:dyDescent="0.25">
      <c r="B285" s="67" t="e">
        <f t="shared" ref="B285:B348" si="11">IF(B284="","",IF(B284+$C$9&lt;=$C$5,B284+$C$9,""))</f>
        <v>#REF!</v>
      </c>
      <c r="C285" s="76" t="e">
        <f t="shared" ref="C285:C348" si="12">IF(B285&lt;&gt;"",C284-$C$2/COUNT($B$17:$B$510),"")</f>
        <v>#REF!</v>
      </c>
    </row>
    <row r="286" spans="2:3" ht="15.75" customHeight="1" x14ac:dyDescent="0.25">
      <c r="B286" s="67" t="e">
        <f t="shared" si="11"/>
        <v>#REF!</v>
      </c>
      <c r="C286" s="76" t="e">
        <f t="shared" si="12"/>
        <v>#REF!</v>
      </c>
    </row>
    <row r="287" spans="2:3" ht="15.75" customHeight="1" x14ac:dyDescent="0.25">
      <c r="B287" s="67" t="e">
        <f t="shared" si="11"/>
        <v>#REF!</v>
      </c>
      <c r="C287" s="76" t="e">
        <f t="shared" si="12"/>
        <v>#REF!</v>
      </c>
    </row>
    <row r="288" spans="2:3" ht="15.75" customHeight="1" x14ac:dyDescent="0.25">
      <c r="B288" s="67" t="e">
        <f t="shared" si="11"/>
        <v>#REF!</v>
      </c>
      <c r="C288" s="76" t="e">
        <f t="shared" si="12"/>
        <v>#REF!</v>
      </c>
    </row>
    <row r="289" spans="2:3" ht="15.75" customHeight="1" x14ac:dyDescent="0.25">
      <c r="B289" s="67" t="e">
        <f t="shared" si="11"/>
        <v>#REF!</v>
      </c>
      <c r="C289" s="76" t="e">
        <f t="shared" si="12"/>
        <v>#REF!</v>
      </c>
    </row>
    <row r="290" spans="2:3" ht="15.75" customHeight="1" x14ac:dyDescent="0.25">
      <c r="B290" s="67" t="e">
        <f t="shared" si="11"/>
        <v>#REF!</v>
      </c>
      <c r="C290" s="76" t="e">
        <f t="shared" si="12"/>
        <v>#REF!</v>
      </c>
    </row>
    <row r="291" spans="2:3" ht="15.75" customHeight="1" x14ac:dyDescent="0.25">
      <c r="B291" s="67" t="e">
        <f t="shared" si="11"/>
        <v>#REF!</v>
      </c>
      <c r="C291" s="76" t="e">
        <f t="shared" si="12"/>
        <v>#REF!</v>
      </c>
    </row>
    <row r="292" spans="2:3" ht="15.75" customHeight="1" x14ac:dyDescent="0.25">
      <c r="B292" s="67" t="e">
        <f t="shared" si="11"/>
        <v>#REF!</v>
      </c>
      <c r="C292" s="76" t="e">
        <f t="shared" si="12"/>
        <v>#REF!</v>
      </c>
    </row>
    <row r="293" spans="2:3" ht="15.75" customHeight="1" x14ac:dyDescent="0.25">
      <c r="B293" s="67" t="e">
        <f t="shared" si="11"/>
        <v>#REF!</v>
      </c>
      <c r="C293" s="76" t="e">
        <f t="shared" si="12"/>
        <v>#REF!</v>
      </c>
    </row>
    <row r="294" spans="2:3" ht="15.75" customHeight="1" x14ac:dyDescent="0.25">
      <c r="B294" s="67" t="e">
        <f t="shared" si="11"/>
        <v>#REF!</v>
      </c>
      <c r="C294" s="76" t="e">
        <f t="shared" si="12"/>
        <v>#REF!</v>
      </c>
    </row>
    <row r="295" spans="2:3" ht="15.75" customHeight="1" x14ac:dyDescent="0.25">
      <c r="B295" s="67" t="e">
        <f t="shared" si="11"/>
        <v>#REF!</v>
      </c>
      <c r="C295" s="76" t="e">
        <f t="shared" si="12"/>
        <v>#REF!</v>
      </c>
    </row>
    <row r="296" spans="2:3" ht="15.75" customHeight="1" x14ac:dyDescent="0.25">
      <c r="B296" s="67" t="e">
        <f t="shared" si="11"/>
        <v>#REF!</v>
      </c>
      <c r="C296" s="76" t="e">
        <f t="shared" si="12"/>
        <v>#REF!</v>
      </c>
    </row>
    <row r="297" spans="2:3" ht="15.75" customHeight="1" x14ac:dyDescent="0.25">
      <c r="B297" s="67" t="e">
        <f t="shared" si="11"/>
        <v>#REF!</v>
      </c>
      <c r="C297" s="76" t="e">
        <f t="shared" si="12"/>
        <v>#REF!</v>
      </c>
    </row>
    <row r="298" spans="2:3" ht="15.75" customHeight="1" x14ac:dyDescent="0.25">
      <c r="B298" s="67" t="e">
        <f t="shared" si="11"/>
        <v>#REF!</v>
      </c>
      <c r="C298" s="76" t="e">
        <f t="shared" si="12"/>
        <v>#REF!</v>
      </c>
    </row>
    <row r="299" spans="2:3" ht="15.75" customHeight="1" x14ac:dyDescent="0.25">
      <c r="B299" s="67" t="e">
        <f t="shared" si="11"/>
        <v>#REF!</v>
      </c>
      <c r="C299" s="76" t="e">
        <f t="shared" si="12"/>
        <v>#REF!</v>
      </c>
    </row>
    <row r="300" spans="2:3" ht="15.75" customHeight="1" x14ac:dyDescent="0.25">
      <c r="B300" s="67" t="e">
        <f t="shared" si="11"/>
        <v>#REF!</v>
      </c>
      <c r="C300" s="76" t="e">
        <f t="shared" si="12"/>
        <v>#REF!</v>
      </c>
    </row>
    <row r="301" spans="2:3" ht="15.75" customHeight="1" x14ac:dyDescent="0.25">
      <c r="B301" s="67" t="e">
        <f t="shared" si="11"/>
        <v>#REF!</v>
      </c>
      <c r="C301" s="76" t="e">
        <f t="shared" si="12"/>
        <v>#REF!</v>
      </c>
    </row>
    <row r="302" spans="2:3" ht="15.75" customHeight="1" x14ac:dyDescent="0.25">
      <c r="B302" s="67" t="e">
        <f t="shared" si="11"/>
        <v>#REF!</v>
      </c>
      <c r="C302" s="76" t="e">
        <f t="shared" si="12"/>
        <v>#REF!</v>
      </c>
    </row>
    <row r="303" spans="2:3" ht="15.75" customHeight="1" x14ac:dyDescent="0.25">
      <c r="B303" s="67" t="e">
        <f t="shared" si="11"/>
        <v>#REF!</v>
      </c>
      <c r="C303" s="76" t="e">
        <f t="shared" si="12"/>
        <v>#REF!</v>
      </c>
    </row>
    <row r="304" spans="2:3" ht="15.75" customHeight="1" x14ac:dyDescent="0.25">
      <c r="B304" s="67" t="e">
        <f t="shared" si="11"/>
        <v>#REF!</v>
      </c>
      <c r="C304" s="76" t="e">
        <f t="shared" si="12"/>
        <v>#REF!</v>
      </c>
    </row>
    <row r="305" spans="2:3" ht="15.75" customHeight="1" x14ac:dyDescent="0.25">
      <c r="B305" s="67" t="e">
        <f t="shared" si="11"/>
        <v>#REF!</v>
      </c>
      <c r="C305" s="76" t="e">
        <f t="shared" si="12"/>
        <v>#REF!</v>
      </c>
    </row>
    <row r="306" spans="2:3" ht="15.75" customHeight="1" x14ac:dyDescent="0.25">
      <c r="B306" s="67" t="e">
        <f t="shared" si="11"/>
        <v>#REF!</v>
      </c>
      <c r="C306" s="76" t="e">
        <f t="shared" si="12"/>
        <v>#REF!</v>
      </c>
    </row>
    <row r="307" spans="2:3" ht="15.75" customHeight="1" x14ac:dyDescent="0.25">
      <c r="B307" s="67" t="e">
        <f t="shared" si="11"/>
        <v>#REF!</v>
      </c>
      <c r="C307" s="76" t="e">
        <f t="shared" si="12"/>
        <v>#REF!</v>
      </c>
    </row>
    <row r="308" spans="2:3" ht="15.75" customHeight="1" x14ac:dyDescent="0.25">
      <c r="B308" s="67" t="e">
        <f t="shared" si="11"/>
        <v>#REF!</v>
      </c>
      <c r="C308" s="76" t="e">
        <f t="shared" si="12"/>
        <v>#REF!</v>
      </c>
    </row>
    <row r="309" spans="2:3" ht="15.75" customHeight="1" x14ac:dyDescent="0.25">
      <c r="B309" s="67" t="e">
        <f t="shared" si="11"/>
        <v>#REF!</v>
      </c>
      <c r="C309" s="76" t="e">
        <f t="shared" si="12"/>
        <v>#REF!</v>
      </c>
    </row>
    <row r="310" spans="2:3" ht="15.75" customHeight="1" x14ac:dyDescent="0.25">
      <c r="B310" s="67" t="e">
        <f t="shared" si="11"/>
        <v>#REF!</v>
      </c>
      <c r="C310" s="76" t="e">
        <f t="shared" si="12"/>
        <v>#REF!</v>
      </c>
    </row>
    <row r="311" spans="2:3" ht="15.75" customHeight="1" x14ac:dyDescent="0.25">
      <c r="B311" s="67" t="e">
        <f t="shared" si="11"/>
        <v>#REF!</v>
      </c>
      <c r="C311" s="76" t="e">
        <f t="shared" si="12"/>
        <v>#REF!</v>
      </c>
    </row>
    <row r="312" spans="2:3" ht="15.75" customHeight="1" x14ac:dyDescent="0.25">
      <c r="B312" s="67" t="e">
        <f t="shared" si="11"/>
        <v>#REF!</v>
      </c>
      <c r="C312" s="76" t="e">
        <f t="shared" si="12"/>
        <v>#REF!</v>
      </c>
    </row>
    <row r="313" spans="2:3" ht="15.75" customHeight="1" x14ac:dyDescent="0.25">
      <c r="B313" s="67" t="e">
        <f t="shared" si="11"/>
        <v>#REF!</v>
      </c>
      <c r="C313" s="76" t="e">
        <f t="shared" si="12"/>
        <v>#REF!</v>
      </c>
    </row>
    <row r="314" spans="2:3" ht="15.75" customHeight="1" x14ac:dyDescent="0.25">
      <c r="B314" s="67" t="e">
        <f t="shared" si="11"/>
        <v>#REF!</v>
      </c>
      <c r="C314" s="76" t="e">
        <f t="shared" si="12"/>
        <v>#REF!</v>
      </c>
    </row>
    <row r="315" spans="2:3" ht="15.75" customHeight="1" x14ac:dyDescent="0.25">
      <c r="B315" s="67" t="e">
        <f t="shared" si="11"/>
        <v>#REF!</v>
      </c>
      <c r="C315" s="76" t="e">
        <f t="shared" si="12"/>
        <v>#REF!</v>
      </c>
    </row>
    <row r="316" spans="2:3" ht="15.75" customHeight="1" x14ac:dyDescent="0.25">
      <c r="B316" s="67" t="e">
        <f t="shared" si="11"/>
        <v>#REF!</v>
      </c>
      <c r="C316" s="76" t="e">
        <f t="shared" si="12"/>
        <v>#REF!</v>
      </c>
    </row>
    <row r="317" spans="2:3" ht="15.75" customHeight="1" x14ac:dyDescent="0.25">
      <c r="B317" s="67" t="e">
        <f t="shared" si="11"/>
        <v>#REF!</v>
      </c>
      <c r="C317" s="76" t="e">
        <f t="shared" si="12"/>
        <v>#REF!</v>
      </c>
    </row>
    <row r="318" spans="2:3" ht="15.75" customHeight="1" x14ac:dyDescent="0.25">
      <c r="B318" s="67" t="e">
        <f t="shared" si="11"/>
        <v>#REF!</v>
      </c>
      <c r="C318" s="76" t="e">
        <f t="shared" si="12"/>
        <v>#REF!</v>
      </c>
    </row>
    <row r="319" spans="2:3" ht="15.75" customHeight="1" x14ac:dyDescent="0.25">
      <c r="B319" s="67" t="e">
        <f t="shared" si="11"/>
        <v>#REF!</v>
      </c>
      <c r="C319" s="76" t="e">
        <f t="shared" si="12"/>
        <v>#REF!</v>
      </c>
    </row>
    <row r="320" spans="2:3" ht="15.75" customHeight="1" x14ac:dyDescent="0.25">
      <c r="B320" s="67" t="e">
        <f t="shared" si="11"/>
        <v>#REF!</v>
      </c>
      <c r="C320" s="76" t="e">
        <f t="shared" si="12"/>
        <v>#REF!</v>
      </c>
    </row>
    <row r="321" spans="2:3" ht="15.75" customHeight="1" x14ac:dyDescent="0.25">
      <c r="B321" s="67" t="e">
        <f t="shared" si="11"/>
        <v>#REF!</v>
      </c>
      <c r="C321" s="76" t="e">
        <f t="shared" si="12"/>
        <v>#REF!</v>
      </c>
    </row>
    <row r="322" spans="2:3" ht="15.75" customHeight="1" x14ac:dyDescent="0.25">
      <c r="B322" s="67" t="e">
        <f t="shared" si="11"/>
        <v>#REF!</v>
      </c>
      <c r="C322" s="76" t="e">
        <f t="shared" si="12"/>
        <v>#REF!</v>
      </c>
    </row>
    <row r="323" spans="2:3" ht="15.75" customHeight="1" x14ac:dyDescent="0.25">
      <c r="B323" s="67" t="e">
        <f t="shared" si="11"/>
        <v>#REF!</v>
      </c>
      <c r="C323" s="76" t="e">
        <f t="shared" si="12"/>
        <v>#REF!</v>
      </c>
    </row>
    <row r="324" spans="2:3" ht="15.75" customHeight="1" x14ac:dyDescent="0.25">
      <c r="B324" s="67" t="e">
        <f t="shared" si="11"/>
        <v>#REF!</v>
      </c>
      <c r="C324" s="76" t="e">
        <f t="shared" si="12"/>
        <v>#REF!</v>
      </c>
    </row>
    <row r="325" spans="2:3" ht="15.75" customHeight="1" x14ac:dyDescent="0.25">
      <c r="B325" s="67" t="e">
        <f t="shared" si="11"/>
        <v>#REF!</v>
      </c>
      <c r="C325" s="76" t="e">
        <f t="shared" si="12"/>
        <v>#REF!</v>
      </c>
    </row>
    <row r="326" spans="2:3" ht="15.75" customHeight="1" x14ac:dyDescent="0.25">
      <c r="B326" s="67" t="e">
        <f t="shared" si="11"/>
        <v>#REF!</v>
      </c>
      <c r="C326" s="76" t="e">
        <f t="shared" si="12"/>
        <v>#REF!</v>
      </c>
    </row>
    <row r="327" spans="2:3" ht="15.75" customHeight="1" x14ac:dyDescent="0.25">
      <c r="B327" s="67" t="e">
        <f t="shared" si="11"/>
        <v>#REF!</v>
      </c>
      <c r="C327" s="76" t="e">
        <f t="shared" si="12"/>
        <v>#REF!</v>
      </c>
    </row>
    <row r="328" spans="2:3" ht="15.75" customHeight="1" x14ac:dyDescent="0.25">
      <c r="B328" s="67" t="e">
        <f t="shared" si="11"/>
        <v>#REF!</v>
      </c>
      <c r="C328" s="76" t="e">
        <f t="shared" si="12"/>
        <v>#REF!</v>
      </c>
    </row>
    <row r="329" spans="2:3" ht="15.75" customHeight="1" x14ac:dyDescent="0.25">
      <c r="B329" s="67" t="e">
        <f t="shared" si="11"/>
        <v>#REF!</v>
      </c>
      <c r="C329" s="76" t="e">
        <f t="shared" si="12"/>
        <v>#REF!</v>
      </c>
    </row>
    <row r="330" spans="2:3" ht="15.75" customHeight="1" x14ac:dyDescent="0.25">
      <c r="B330" s="67" t="e">
        <f t="shared" si="11"/>
        <v>#REF!</v>
      </c>
      <c r="C330" s="76" t="e">
        <f t="shared" si="12"/>
        <v>#REF!</v>
      </c>
    </row>
    <row r="331" spans="2:3" ht="15.75" customHeight="1" x14ac:dyDescent="0.25">
      <c r="B331" s="67" t="e">
        <f t="shared" si="11"/>
        <v>#REF!</v>
      </c>
      <c r="C331" s="76" t="e">
        <f t="shared" si="12"/>
        <v>#REF!</v>
      </c>
    </row>
    <row r="332" spans="2:3" ht="15.75" customHeight="1" x14ac:dyDescent="0.25">
      <c r="B332" s="67" t="e">
        <f t="shared" si="11"/>
        <v>#REF!</v>
      </c>
      <c r="C332" s="76" t="e">
        <f t="shared" si="12"/>
        <v>#REF!</v>
      </c>
    </row>
    <row r="333" spans="2:3" ht="15.75" customHeight="1" x14ac:dyDescent="0.25">
      <c r="B333" s="67" t="e">
        <f t="shared" si="11"/>
        <v>#REF!</v>
      </c>
      <c r="C333" s="76" t="e">
        <f t="shared" si="12"/>
        <v>#REF!</v>
      </c>
    </row>
    <row r="334" spans="2:3" ht="15.75" customHeight="1" x14ac:dyDescent="0.25">
      <c r="B334" s="67" t="e">
        <f t="shared" si="11"/>
        <v>#REF!</v>
      </c>
      <c r="C334" s="76" t="e">
        <f t="shared" si="12"/>
        <v>#REF!</v>
      </c>
    </row>
    <row r="335" spans="2:3" ht="15.75" customHeight="1" x14ac:dyDescent="0.25">
      <c r="B335" s="67" t="e">
        <f t="shared" si="11"/>
        <v>#REF!</v>
      </c>
      <c r="C335" s="76" t="e">
        <f t="shared" si="12"/>
        <v>#REF!</v>
      </c>
    </row>
    <row r="336" spans="2:3" ht="15.75" customHeight="1" x14ac:dyDescent="0.25">
      <c r="B336" s="67" t="e">
        <f t="shared" si="11"/>
        <v>#REF!</v>
      </c>
      <c r="C336" s="76" t="e">
        <f t="shared" si="12"/>
        <v>#REF!</v>
      </c>
    </row>
    <row r="337" spans="2:3" ht="15.75" customHeight="1" x14ac:dyDescent="0.25">
      <c r="B337" s="67" t="e">
        <f t="shared" si="11"/>
        <v>#REF!</v>
      </c>
      <c r="C337" s="76" t="e">
        <f t="shared" si="12"/>
        <v>#REF!</v>
      </c>
    </row>
    <row r="338" spans="2:3" ht="15.75" customHeight="1" x14ac:dyDescent="0.25">
      <c r="B338" s="67" t="e">
        <f t="shared" si="11"/>
        <v>#REF!</v>
      </c>
      <c r="C338" s="76" t="e">
        <f t="shared" si="12"/>
        <v>#REF!</v>
      </c>
    </row>
    <row r="339" spans="2:3" ht="15.75" customHeight="1" x14ac:dyDescent="0.25">
      <c r="B339" s="67" t="e">
        <f t="shared" si="11"/>
        <v>#REF!</v>
      </c>
      <c r="C339" s="76" t="e">
        <f t="shared" si="12"/>
        <v>#REF!</v>
      </c>
    </row>
    <row r="340" spans="2:3" ht="15.75" customHeight="1" x14ac:dyDescent="0.25">
      <c r="B340" s="67" t="e">
        <f t="shared" si="11"/>
        <v>#REF!</v>
      </c>
      <c r="C340" s="76" t="e">
        <f t="shared" si="12"/>
        <v>#REF!</v>
      </c>
    </row>
    <row r="341" spans="2:3" ht="15.75" customHeight="1" x14ac:dyDescent="0.25">
      <c r="B341" s="67" t="e">
        <f t="shared" si="11"/>
        <v>#REF!</v>
      </c>
      <c r="C341" s="76" t="e">
        <f t="shared" si="12"/>
        <v>#REF!</v>
      </c>
    </row>
    <row r="342" spans="2:3" ht="15.75" customHeight="1" x14ac:dyDescent="0.25">
      <c r="B342" s="67" t="e">
        <f t="shared" si="11"/>
        <v>#REF!</v>
      </c>
      <c r="C342" s="76" t="e">
        <f t="shared" si="12"/>
        <v>#REF!</v>
      </c>
    </row>
    <row r="343" spans="2:3" ht="15.75" customHeight="1" x14ac:dyDescent="0.25">
      <c r="B343" s="67" t="e">
        <f t="shared" si="11"/>
        <v>#REF!</v>
      </c>
      <c r="C343" s="76" t="e">
        <f t="shared" si="12"/>
        <v>#REF!</v>
      </c>
    </row>
    <row r="344" spans="2:3" ht="15.75" customHeight="1" x14ac:dyDescent="0.25">
      <c r="B344" s="67" t="e">
        <f t="shared" si="11"/>
        <v>#REF!</v>
      </c>
      <c r="C344" s="76" t="e">
        <f t="shared" si="12"/>
        <v>#REF!</v>
      </c>
    </row>
    <row r="345" spans="2:3" ht="15.75" customHeight="1" x14ac:dyDescent="0.25">
      <c r="B345" s="67" t="e">
        <f t="shared" si="11"/>
        <v>#REF!</v>
      </c>
      <c r="C345" s="76" t="e">
        <f t="shared" si="12"/>
        <v>#REF!</v>
      </c>
    </row>
    <row r="346" spans="2:3" ht="15.75" customHeight="1" x14ac:dyDescent="0.25">
      <c r="B346" s="67" t="e">
        <f t="shared" si="11"/>
        <v>#REF!</v>
      </c>
      <c r="C346" s="76" t="e">
        <f t="shared" si="12"/>
        <v>#REF!</v>
      </c>
    </row>
    <row r="347" spans="2:3" ht="15.75" customHeight="1" x14ac:dyDescent="0.25">
      <c r="B347" s="67" t="e">
        <f t="shared" si="11"/>
        <v>#REF!</v>
      </c>
      <c r="C347" s="76" t="e">
        <f t="shared" si="12"/>
        <v>#REF!</v>
      </c>
    </row>
    <row r="348" spans="2:3" ht="15.75" customHeight="1" x14ac:dyDescent="0.25">
      <c r="B348" s="67" t="e">
        <f t="shared" si="11"/>
        <v>#REF!</v>
      </c>
      <c r="C348" s="76" t="e">
        <f t="shared" si="12"/>
        <v>#REF!</v>
      </c>
    </row>
    <row r="349" spans="2:3" ht="15.75" customHeight="1" x14ac:dyDescent="0.25">
      <c r="B349" s="67" t="e">
        <f t="shared" ref="B349:B412" si="13">IF(B348="","",IF(B348+$C$9&lt;=$C$5,B348+$C$9,""))</f>
        <v>#REF!</v>
      </c>
      <c r="C349" s="76" t="e">
        <f t="shared" ref="C349:C412" si="14">IF(B349&lt;&gt;"",C348-$C$2/COUNT($B$17:$B$510),"")</f>
        <v>#REF!</v>
      </c>
    </row>
    <row r="350" spans="2:3" ht="15.75" customHeight="1" x14ac:dyDescent="0.25">
      <c r="B350" s="67" t="e">
        <f t="shared" si="13"/>
        <v>#REF!</v>
      </c>
      <c r="C350" s="76" t="e">
        <f t="shared" si="14"/>
        <v>#REF!</v>
      </c>
    </row>
    <row r="351" spans="2:3" ht="15.75" customHeight="1" x14ac:dyDescent="0.25">
      <c r="B351" s="67" t="e">
        <f t="shared" si="13"/>
        <v>#REF!</v>
      </c>
      <c r="C351" s="76" t="e">
        <f t="shared" si="14"/>
        <v>#REF!</v>
      </c>
    </row>
    <row r="352" spans="2:3" ht="15.75" customHeight="1" x14ac:dyDescent="0.25">
      <c r="B352" s="67" t="e">
        <f t="shared" si="13"/>
        <v>#REF!</v>
      </c>
      <c r="C352" s="76" t="e">
        <f t="shared" si="14"/>
        <v>#REF!</v>
      </c>
    </row>
    <row r="353" spans="2:3" ht="15.75" customHeight="1" x14ac:dyDescent="0.25">
      <c r="B353" s="67" t="e">
        <f t="shared" si="13"/>
        <v>#REF!</v>
      </c>
      <c r="C353" s="76" t="e">
        <f t="shared" si="14"/>
        <v>#REF!</v>
      </c>
    </row>
    <row r="354" spans="2:3" ht="15.75" customHeight="1" x14ac:dyDescent="0.25">
      <c r="B354" s="67" t="e">
        <f t="shared" si="13"/>
        <v>#REF!</v>
      </c>
      <c r="C354" s="76" t="e">
        <f t="shared" si="14"/>
        <v>#REF!</v>
      </c>
    </row>
    <row r="355" spans="2:3" ht="15.75" customHeight="1" x14ac:dyDescent="0.25">
      <c r="B355" s="67" t="e">
        <f t="shared" si="13"/>
        <v>#REF!</v>
      </c>
      <c r="C355" s="76" t="e">
        <f t="shared" si="14"/>
        <v>#REF!</v>
      </c>
    </row>
    <row r="356" spans="2:3" ht="15.75" customHeight="1" x14ac:dyDescent="0.25">
      <c r="B356" s="67" t="e">
        <f t="shared" si="13"/>
        <v>#REF!</v>
      </c>
      <c r="C356" s="76" t="e">
        <f t="shared" si="14"/>
        <v>#REF!</v>
      </c>
    </row>
    <row r="357" spans="2:3" ht="15.75" customHeight="1" x14ac:dyDescent="0.25">
      <c r="B357" s="67" t="e">
        <f t="shared" si="13"/>
        <v>#REF!</v>
      </c>
      <c r="C357" s="76" t="e">
        <f t="shared" si="14"/>
        <v>#REF!</v>
      </c>
    </row>
    <row r="358" spans="2:3" ht="15.75" customHeight="1" x14ac:dyDescent="0.25">
      <c r="B358" s="67" t="e">
        <f t="shared" si="13"/>
        <v>#REF!</v>
      </c>
      <c r="C358" s="76" t="e">
        <f t="shared" si="14"/>
        <v>#REF!</v>
      </c>
    </row>
    <row r="359" spans="2:3" ht="15.75" customHeight="1" x14ac:dyDescent="0.25">
      <c r="B359" s="67" t="e">
        <f t="shared" si="13"/>
        <v>#REF!</v>
      </c>
      <c r="C359" s="76" t="e">
        <f t="shared" si="14"/>
        <v>#REF!</v>
      </c>
    </row>
    <row r="360" spans="2:3" ht="15.75" customHeight="1" x14ac:dyDescent="0.25">
      <c r="B360" s="67" t="e">
        <f t="shared" si="13"/>
        <v>#REF!</v>
      </c>
      <c r="C360" s="76" t="e">
        <f t="shared" si="14"/>
        <v>#REF!</v>
      </c>
    </row>
    <row r="361" spans="2:3" ht="15.75" customHeight="1" x14ac:dyDescent="0.25">
      <c r="B361" s="67" t="e">
        <f t="shared" si="13"/>
        <v>#REF!</v>
      </c>
      <c r="C361" s="76" t="e">
        <f t="shared" si="14"/>
        <v>#REF!</v>
      </c>
    </row>
    <row r="362" spans="2:3" ht="15.75" customHeight="1" x14ac:dyDescent="0.25">
      <c r="B362" s="67" t="e">
        <f t="shared" si="13"/>
        <v>#REF!</v>
      </c>
      <c r="C362" s="76" t="e">
        <f t="shared" si="14"/>
        <v>#REF!</v>
      </c>
    </row>
    <row r="363" spans="2:3" ht="15.75" customHeight="1" x14ac:dyDescent="0.25">
      <c r="B363" s="67" t="e">
        <f t="shared" si="13"/>
        <v>#REF!</v>
      </c>
      <c r="C363" s="76" t="e">
        <f t="shared" si="14"/>
        <v>#REF!</v>
      </c>
    </row>
    <row r="364" spans="2:3" ht="15.75" customHeight="1" x14ac:dyDescent="0.25">
      <c r="B364" s="67" t="e">
        <f t="shared" si="13"/>
        <v>#REF!</v>
      </c>
      <c r="C364" s="76" t="e">
        <f t="shared" si="14"/>
        <v>#REF!</v>
      </c>
    </row>
    <row r="365" spans="2:3" ht="15.75" customHeight="1" x14ac:dyDescent="0.25">
      <c r="B365" s="67" t="e">
        <f t="shared" si="13"/>
        <v>#REF!</v>
      </c>
      <c r="C365" s="76" t="e">
        <f t="shared" si="14"/>
        <v>#REF!</v>
      </c>
    </row>
    <row r="366" spans="2:3" ht="15.75" customHeight="1" x14ac:dyDescent="0.25">
      <c r="B366" s="67" t="e">
        <f t="shared" si="13"/>
        <v>#REF!</v>
      </c>
      <c r="C366" s="76" t="e">
        <f t="shared" si="14"/>
        <v>#REF!</v>
      </c>
    </row>
    <row r="367" spans="2:3" ht="15.75" customHeight="1" x14ac:dyDescent="0.25">
      <c r="B367" s="67" t="e">
        <f t="shared" si="13"/>
        <v>#REF!</v>
      </c>
      <c r="C367" s="76" t="e">
        <f t="shared" si="14"/>
        <v>#REF!</v>
      </c>
    </row>
    <row r="368" spans="2:3" ht="15.75" customHeight="1" x14ac:dyDescent="0.25">
      <c r="B368" s="67" t="e">
        <f t="shared" si="13"/>
        <v>#REF!</v>
      </c>
      <c r="C368" s="76" t="e">
        <f t="shared" si="14"/>
        <v>#REF!</v>
      </c>
    </row>
    <row r="369" spans="2:3" ht="15.75" customHeight="1" x14ac:dyDescent="0.25">
      <c r="B369" s="67" t="e">
        <f t="shared" si="13"/>
        <v>#REF!</v>
      </c>
      <c r="C369" s="76" t="e">
        <f t="shared" si="14"/>
        <v>#REF!</v>
      </c>
    </row>
    <row r="370" spans="2:3" ht="15.75" customHeight="1" x14ac:dyDescent="0.25">
      <c r="B370" s="67" t="e">
        <f t="shared" si="13"/>
        <v>#REF!</v>
      </c>
      <c r="C370" s="76" t="e">
        <f t="shared" si="14"/>
        <v>#REF!</v>
      </c>
    </row>
    <row r="371" spans="2:3" ht="15.75" customHeight="1" x14ac:dyDescent="0.25">
      <c r="B371" s="67" t="e">
        <f t="shared" si="13"/>
        <v>#REF!</v>
      </c>
      <c r="C371" s="76" t="e">
        <f t="shared" si="14"/>
        <v>#REF!</v>
      </c>
    </row>
    <row r="372" spans="2:3" ht="15.75" customHeight="1" x14ac:dyDescent="0.25">
      <c r="B372" s="67" t="e">
        <f t="shared" si="13"/>
        <v>#REF!</v>
      </c>
      <c r="C372" s="76" t="e">
        <f t="shared" si="14"/>
        <v>#REF!</v>
      </c>
    </row>
    <row r="373" spans="2:3" ht="15.75" customHeight="1" x14ac:dyDescent="0.25">
      <c r="B373" s="67" t="e">
        <f t="shared" si="13"/>
        <v>#REF!</v>
      </c>
      <c r="C373" s="76" t="e">
        <f t="shared" si="14"/>
        <v>#REF!</v>
      </c>
    </row>
    <row r="374" spans="2:3" ht="15.75" customHeight="1" x14ac:dyDescent="0.25">
      <c r="B374" s="67" t="e">
        <f t="shared" si="13"/>
        <v>#REF!</v>
      </c>
      <c r="C374" s="76" t="e">
        <f t="shared" si="14"/>
        <v>#REF!</v>
      </c>
    </row>
    <row r="375" spans="2:3" ht="15.75" customHeight="1" x14ac:dyDescent="0.25">
      <c r="B375" s="67" t="e">
        <f t="shared" si="13"/>
        <v>#REF!</v>
      </c>
      <c r="C375" s="76" t="e">
        <f t="shared" si="14"/>
        <v>#REF!</v>
      </c>
    </row>
    <row r="376" spans="2:3" ht="15.75" customHeight="1" x14ac:dyDescent="0.25">
      <c r="B376" s="67" t="e">
        <f t="shared" si="13"/>
        <v>#REF!</v>
      </c>
      <c r="C376" s="76" t="e">
        <f t="shared" si="14"/>
        <v>#REF!</v>
      </c>
    </row>
    <row r="377" spans="2:3" ht="15.75" customHeight="1" x14ac:dyDescent="0.25">
      <c r="B377" s="67" t="e">
        <f t="shared" si="13"/>
        <v>#REF!</v>
      </c>
      <c r="C377" s="76" t="e">
        <f t="shared" si="14"/>
        <v>#REF!</v>
      </c>
    </row>
    <row r="378" spans="2:3" ht="15.75" customHeight="1" x14ac:dyDescent="0.25">
      <c r="B378" s="67" t="e">
        <f t="shared" si="13"/>
        <v>#REF!</v>
      </c>
      <c r="C378" s="76" t="e">
        <f t="shared" si="14"/>
        <v>#REF!</v>
      </c>
    </row>
    <row r="379" spans="2:3" ht="15.75" customHeight="1" x14ac:dyDescent="0.25">
      <c r="B379" s="67" t="e">
        <f t="shared" si="13"/>
        <v>#REF!</v>
      </c>
      <c r="C379" s="76" t="e">
        <f t="shared" si="14"/>
        <v>#REF!</v>
      </c>
    </row>
    <row r="380" spans="2:3" ht="15.75" customHeight="1" x14ac:dyDescent="0.25">
      <c r="B380" s="67" t="e">
        <f t="shared" si="13"/>
        <v>#REF!</v>
      </c>
      <c r="C380" s="76" t="e">
        <f t="shared" si="14"/>
        <v>#REF!</v>
      </c>
    </row>
    <row r="381" spans="2:3" ht="15.75" customHeight="1" x14ac:dyDescent="0.25">
      <c r="B381" s="67" t="e">
        <f t="shared" si="13"/>
        <v>#REF!</v>
      </c>
      <c r="C381" s="76" t="e">
        <f t="shared" si="14"/>
        <v>#REF!</v>
      </c>
    </row>
    <row r="382" spans="2:3" ht="15.75" customHeight="1" x14ac:dyDescent="0.25">
      <c r="B382" s="67" t="e">
        <f t="shared" si="13"/>
        <v>#REF!</v>
      </c>
      <c r="C382" s="76" t="e">
        <f t="shared" si="14"/>
        <v>#REF!</v>
      </c>
    </row>
    <row r="383" spans="2:3" ht="15.75" customHeight="1" x14ac:dyDescent="0.25">
      <c r="B383" s="67" t="e">
        <f t="shared" si="13"/>
        <v>#REF!</v>
      </c>
      <c r="C383" s="76" t="e">
        <f t="shared" si="14"/>
        <v>#REF!</v>
      </c>
    </row>
    <row r="384" spans="2:3" ht="15.75" customHeight="1" x14ac:dyDescent="0.25">
      <c r="B384" s="67" t="e">
        <f t="shared" si="13"/>
        <v>#REF!</v>
      </c>
      <c r="C384" s="76" t="e">
        <f t="shared" si="14"/>
        <v>#REF!</v>
      </c>
    </row>
    <row r="385" spans="2:3" ht="15.75" customHeight="1" x14ac:dyDescent="0.25">
      <c r="B385" s="67" t="e">
        <f t="shared" si="13"/>
        <v>#REF!</v>
      </c>
      <c r="C385" s="76" t="e">
        <f t="shared" si="14"/>
        <v>#REF!</v>
      </c>
    </row>
    <row r="386" spans="2:3" ht="15.75" customHeight="1" x14ac:dyDescent="0.25">
      <c r="B386" s="67" t="e">
        <f t="shared" si="13"/>
        <v>#REF!</v>
      </c>
      <c r="C386" s="76" t="e">
        <f t="shared" si="14"/>
        <v>#REF!</v>
      </c>
    </row>
    <row r="387" spans="2:3" ht="15.75" customHeight="1" x14ac:dyDescent="0.25">
      <c r="B387" s="67" t="e">
        <f t="shared" si="13"/>
        <v>#REF!</v>
      </c>
      <c r="C387" s="76" t="e">
        <f t="shared" si="14"/>
        <v>#REF!</v>
      </c>
    </row>
    <row r="388" spans="2:3" ht="15.75" customHeight="1" x14ac:dyDescent="0.25">
      <c r="B388" s="67" t="e">
        <f t="shared" si="13"/>
        <v>#REF!</v>
      </c>
      <c r="C388" s="76" t="e">
        <f t="shared" si="14"/>
        <v>#REF!</v>
      </c>
    </row>
    <row r="389" spans="2:3" ht="15.75" customHeight="1" x14ac:dyDescent="0.25">
      <c r="B389" s="67" t="e">
        <f t="shared" si="13"/>
        <v>#REF!</v>
      </c>
      <c r="C389" s="76" t="e">
        <f t="shared" si="14"/>
        <v>#REF!</v>
      </c>
    </row>
    <row r="390" spans="2:3" ht="15.75" customHeight="1" x14ac:dyDescent="0.25">
      <c r="B390" s="67" t="e">
        <f t="shared" si="13"/>
        <v>#REF!</v>
      </c>
      <c r="C390" s="76" t="e">
        <f t="shared" si="14"/>
        <v>#REF!</v>
      </c>
    </row>
    <row r="391" spans="2:3" ht="15.75" customHeight="1" x14ac:dyDescent="0.25">
      <c r="B391" s="67" t="e">
        <f t="shared" si="13"/>
        <v>#REF!</v>
      </c>
      <c r="C391" s="76" t="e">
        <f t="shared" si="14"/>
        <v>#REF!</v>
      </c>
    </row>
    <row r="392" spans="2:3" ht="15.75" customHeight="1" x14ac:dyDescent="0.25">
      <c r="B392" s="67" t="e">
        <f t="shared" si="13"/>
        <v>#REF!</v>
      </c>
      <c r="C392" s="76" t="e">
        <f t="shared" si="14"/>
        <v>#REF!</v>
      </c>
    </row>
    <row r="393" spans="2:3" ht="15.75" customHeight="1" x14ac:dyDescent="0.25">
      <c r="B393" s="67" t="e">
        <f t="shared" si="13"/>
        <v>#REF!</v>
      </c>
      <c r="C393" s="76" t="e">
        <f t="shared" si="14"/>
        <v>#REF!</v>
      </c>
    </row>
    <row r="394" spans="2:3" ht="15.75" customHeight="1" x14ac:dyDescent="0.25">
      <c r="B394" s="67" t="e">
        <f t="shared" si="13"/>
        <v>#REF!</v>
      </c>
      <c r="C394" s="76" t="e">
        <f t="shared" si="14"/>
        <v>#REF!</v>
      </c>
    </row>
    <row r="395" spans="2:3" ht="15.75" customHeight="1" x14ac:dyDescent="0.25">
      <c r="B395" s="67" t="e">
        <f t="shared" si="13"/>
        <v>#REF!</v>
      </c>
      <c r="C395" s="76" t="e">
        <f t="shared" si="14"/>
        <v>#REF!</v>
      </c>
    </row>
    <row r="396" spans="2:3" ht="15.75" customHeight="1" x14ac:dyDescent="0.25">
      <c r="B396" s="67" t="e">
        <f t="shared" si="13"/>
        <v>#REF!</v>
      </c>
      <c r="C396" s="76" t="e">
        <f t="shared" si="14"/>
        <v>#REF!</v>
      </c>
    </row>
    <row r="397" spans="2:3" ht="15.75" customHeight="1" x14ac:dyDescent="0.25">
      <c r="B397" s="67" t="e">
        <f t="shared" si="13"/>
        <v>#REF!</v>
      </c>
      <c r="C397" s="76" t="e">
        <f t="shared" si="14"/>
        <v>#REF!</v>
      </c>
    </row>
    <row r="398" spans="2:3" ht="15.75" customHeight="1" x14ac:dyDescent="0.25">
      <c r="B398" s="67" t="e">
        <f t="shared" si="13"/>
        <v>#REF!</v>
      </c>
      <c r="C398" s="76" t="e">
        <f t="shared" si="14"/>
        <v>#REF!</v>
      </c>
    </row>
    <row r="399" spans="2:3" ht="15.75" customHeight="1" x14ac:dyDescent="0.25">
      <c r="B399" s="67" t="e">
        <f t="shared" si="13"/>
        <v>#REF!</v>
      </c>
      <c r="C399" s="76" t="e">
        <f t="shared" si="14"/>
        <v>#REF!</v>
      </c>
    </row>
    <row r="400" spans="2:3" ht="15.75" customHeight="1" x14ac:dyDescent="0.25">
      <c r="B400" s="67" t="e">
        <f t="shared" si="13"/>
        <v>#REF!</v>
      </c>
      <c r="C400" s="76" t="e">
        <f t="shared" si="14"/>
        <v>#REF!</v>
      </c>
    </row>
    <row r="401" spans="2:3" ht="15.75" customHeight="1" x14ac:dyDescent="0.25">
      <c r="B401" s="67" t="e">
        <f t="shared" si="13"/>
        <v>#REF!</v>
      </c>
      <c r="C401" s="76" t="e">
        <f t="shared" si="14"/>
        <v>#REF!</v>
      </c>
    </row>
    <row r="402" spans="2:3" ht="15.75" customHeight="1" x14ac:dyDescent="0.25">
      <c r="B402" s="67" t="e">
        <f t="shared" si="13"/>
        <v>#REF!</v>
      </c>
      <c r="C402" s="76" t="e">
        <f t="shared" si="14"/>
        <v>#REF!</v>
      </c>
    </row>
    <row r="403" spans="2:3" ht="15.75" customHeight="1" x14ac:dyDescent="0.25">
      <c r="B403" s="67" t="e">
        <f t="shared" si="13"/>
        <v>#REF!</v>
      </c>
      <c r="C403" s="76" t="e">
        <f t="shared" si="14"/>
        <v>#REF!</v>
      </c>
    </row>
    <row r="404" spans="2:3" ht="15.75" customHeight="1" x14ac:dyDescent="0.25">
      <c r="B404" s="67" t="e">
        <f t="shared" si="13"/>
        <v>#REF!</v>
      </c>
      <c r="C404" s="76" t="e">
        <f t="shared" si="14"/>
        <v>#REF!</v>
      </c>
    </row>
    <row r="405" spans="2:3" ht="15.75" customHeight="1" x14ac:dyDescent="0.25">
      <c r="B405" s="67" t="e">
        <f t="shared" si="13"/>
        <v>#REF!</v>
      </c>
      <c r="C405" s="76" t="e">
        <f t="shared" si="14"/>
        <v>#REF!</v>
      </c>
    </row>
    <row r="406" spans="2:3" ht="15.75" customHeight="1" x14ac:dyDescent="0.25">
      <c r="B406" s="67" t="e">
        <f t="shared" si="13"/>
        <v>#REF!</v>
      </c>
      <c r="C406" s="76" t="e">
        <f t="shared" si="14"/>
        <v>#REF!</v>
      </c>
    </row>
    <row r="407" spans="2:3" ht="15.75" customHeight="1" x14ac:dyDescent="0.25">
      <c r="B407" s="67" t="e">
        <f t="shared" si="13"/>
        <v>#REF!</v>
      </c>
      <c r="C407" s="76" t="e">
        <f t="shared" si="14"/>
        <v>#REF!</v>
      </c>
    </row>
    <row r="408" spans="2:3" ht="15.75" customHeight="1" x14ac:dyDescent="0.25">
      <c r="B408" s="67" t="e">
        <f t="shared" si="13"/>
        <v>#REF!</v>
      </c>
      <c r="C408" s="76" t="e">
        <f t="shared" si="14"/>
        <v>#REF!</v>
      </c>
    </row>
    <row r="409" spans="2:3" ht="15.75" customHeight="1" x14ac:dyDescent="0.25">
      <c r="B409" s="67" t="e">
        <f t="shared" si="13"/>
        <v>#REF!</v>
      </c>
      <c r="C409" s="76" t="e">
        <f t="shared" si="14"/>
        <v>#REF!</v>
      </c>
    </row>
    <row r="410" spans="2:3" ht="15.75" customHeight="1" x14ac:dyDescent="0.25">
      <c r="B410" s="67" t="e">
        <f t="shared" si="13"/>
        <v>#REF!</v>
      </c>
      <c r="C410" s="76" t="e">
        <f t="shared" si="14"/>
        <v>#REF!</v>
      </c>
    </row>
    <row r="411" spans="2:3" ht="15.75" customHeight="1" x14ac:dyDescent="0.25">
      <c r="B411" s="67" t="e">
        <f t="shared" si="13"/>
        <v>#REF!</v>
      </c>
      <c r="C411" s="76" t="e">
        <f t="shared" si="14"/>
        <v>#REF!</v>
      </c>
    </row>
    <row r="412" spans="2:3" ht="15.75" customHeight="1" x14ac:dyDescent="0.25">
      <c r="B412" s="67" t="e">
        <f t="shared" si="13"/>
        <v>#REF!</v>
      </c>
      <c r="C412" s="76" t="e">
        <f t="shared" si="14"/>
        <v>#REF!</v>
      </c>
    </row>
    <row r="413" spans="2:3" ht="15.75" customHeight="1" x14ac:dyDescent="0.25">
      <c r="B413" s="67" t="e">
        <f t="shared" ref="B413:B476" si="15">IF(B412="","",IF(B412+$C$9&lt;=$C$5,B412+$C$9,""))</f>
        <v>#REF!</v>
      </c>
      <c r="C413" s="76" t="e">
        <f t="shared" ref="C413:C476" si="16">IF(B413&lt;&gt;"",C412-$C$2/COUNT($B$17:$B$510),"")</f>
        <v>#REF!</v>
      </c>
    </row>
    <row r="414" spans="2:3" ht="15.75" customHeight="1" x14ac:dyDescent="0.25">
      <c r="B414" s="67" t="e">
        <f t="shared" si="15"/>
        <v>#REF!</v>
      </c>
      <c r="C414" s="76" t="e">
        <f t="shared" si="16"/>
        <v>#REF!</v>
      </c>
    </row>
    <row r="415" spans="2:3" ht="15.75" customHeight="1" x14ac:dyDescent="0.25">
      <c r="B415" s="67" t="e">
        <f t="shared" si="15"/>
        <v>#REF!</v>
      </c>
      <c r="C415" s="76" t="e">
        <f t="shared" si="16"/>
        <v>#REF!</v>
      </c>
    </row>
    <row r="416" spans="2:3" ht="15.75" customHeight="1" x14ac:dyDescent="0.25">
      <c r="B416" s="67" t="e">
        <f t="shared" si="15"/>
        <v>#REF!</v>
      </c>
      <c r="C416" s="76" t="e">
        <f t="shared" si="16"/>
        <v>#REF!</v>
      </c>
    </row>
    <row r="417" spans="2:3" ht="15.75" customHeight="1" x14ac:dyDescent="0.25">
      <c r="B417" s="67" t="e">
        <f t="shared" si="15"/>
        <v>#REF!</v>
      </c>
      <c r="C417" s="76" t="e">
        <f t="shared" si="16"/>
        <v>#REF!</v>
      </c>
    </row>
    <row r="418" spans="2:3" ht="15.75" customHeight="1" x14ac:dyDescent="0.25">
      <c r="B418" s="67" t="e">
        <f t="shared" si="15"/>
        <v>#REF!</v>
      </c>
      <c r="C418" s="76" t="e">
        <f t="shared" si="16"/>
        <v>#REF!</v>
      </c>
    </row>
    <row r="419" spans="2:3" ht="15.75" customHeight="1" x14ac:dyDescent="0.25">
      <c r="B419" s="67" t="e">
        <f t="shared" si="15"/>
        <v>#REF!</v>
      </c>
      <c r="C419" s="76" t="e">
        <f t="shared" si="16"/>
        <v>#REF!</v>
      </c>
    </row>
    <row r="420" spans="2:3" ht="15.75" customHeight="1" x14ac:dyDescent="0.25">
      <c r="B420" s="67" t="e">
        <f t="shared" si="15"/>
        <v>#REF!</v>
      </c>
      <c r="C420" s="76" t="e">
        <f t="shared" si="16"/>
        <v>#REF!</v>
      </c>
    </row>
    <row r="421" spans="2:3" ht="15.75" customHeight="1" x14ac:dyDescent="0.25">
      <c r="B421" s="67" t="e">
        <f t="shared" si="15"/>
        <v>#REF!</v>
      </c>
      <c r="C421" s="76" t="e">
        <f t="shared" si="16"/>
        <v>#REF!</v>
      </c>
    </row>
    <row r="422" spans="2:3" ht="15.75" customHeight="1" x14ac:dyDescent="0.25">
      <c r="B422" s="67" t="e">
        <f t="shared" si="15"/>
        <v>#REF!</v>
      </c>
      <c r="C422" s="76" t="e">
        <f t="shared" si="16"/>
        <v>#REF!</v>
      </c>
    </row>
    <row r="423" spans="2:3" ht="15.75" customHeight="1" x14ac:dyDescent="0.25">
      <c r="B423" s="67" t="e">
        <f t="shared" si="15"/>
        <v>#REF!</v>
      </c>
      <c r="C423" s="76" t="e">
        <f t="shared" si="16"/>
        <v>#REF!</v>
      </c>
    </row>
    <row r="424" spans="2:3" ht="15.75" customHeight="1" x14ac:dyDescent="0.25">
      <c r="B424" s="67" t="e">
        <f t="shared" si="15"/>
        <v>#REF!</v>
      </c>
      <c r="C424" s="76" t="e">
        <f t="shared" si="16"/>
        <v>#REF!</v>
      </c>
    </row>
    <row r="425" spans="2:3" ht="15.75" customHeight="1" x14ac:dyDescent="0.25">
      <c r="B425" s="67" t="e">
        <f t="shared" si="15"/>
        <v>#REF!</v>
      </c>
      <c r="C425" s="76" t="e">
        <f t="shared" si="16"/>
        <v>#REF!</v>
      </c>
    </row>
    <row r="426" spans="2:3" ht="15.75" customHeight="1" x14ac:dyDescent="0.25">
      <c r="B426" s="67" t="e">
        <f t="shared" si="15"/>
        <v>#REF!</v>
      </c>
      <c r="C426" s="76" t="e">
        <f t="shared" si="16"/>
        <v>#REF!</v>
      </c>
    </row>
    <row r="427" spans="2:3" ht="15.75" customHeight="1" x14ac:dyDescent="0.25">
      <c r="B427" s="67" t="e">
        <f t="shared" si="15"/>
        <v>#REF!</v>
      </c>
      <c r="C427" s="76" t="e">
        <f t="shared" si="16"/>
        <v>#REF!</v>
      </c>
    </row>
    <row r="428" spans="2:3" ht="15.75" customHeight="1" x14ac:dyDescent="0.25">
      <c r="B428" s="67" t="e">
        <f t="shared" si="15"/>
        <v>#REF!</v>
      </c>
      <c r="C428" s="76" t="e">
        <f t="shared" si="16"/>
        <v>#REF!</v>
      </c>
    </row>
    <row r="429" spans="2:3" ht="15.75" customHeight="1" x14ac:dyDescent="0.25">
      <c r="B429" s="67" t="e">
        <f t="shared" si="15"/>
        <v>#REF!</v>
      </c>
      <c r="C429" s="76" t="e">
        <f t="shared" si="16"/>
        <v>#REF!</v>
      </c>
    </row>
    <row r="430" spans="2:3" ht="15.75" customHeight="1" x14ac:dyDescent="0.25">
      <c r="B430" s="67" t="e">
        <f t="shared" si="15"/>
        <v>#REF!</v>
      </c>
      <c r="C430" s="76" t="e">
        <f t="shared" si="16"/>
        <v>#REF!</v>
      </c>
    </row>
    <row r="431" spans="2:3" ht="15.75" customHeight="1" x14ac:dyDescent="0.25">
      <c r="B431" s="67" t="e">
        <f t="shared" si="15"/>
        <v>#REF!</v>
      </c>
      <c r="C431" s="76" t="e">
        <f t="shared" si="16"/>
        <v>#REF!</v>
      </c>
    </row>
    <row r="432" spans="2:3" ht="15.75" customHeight="1" x14ac:dyDescent="0.25">
      <c r="B432" s="67" t="e">
        <f t="shared" si="15"/>
        <v>#REF!</v>
      </c>
      <c r="C432" s="76" t="e">
        <f t="shared" si="16"/>
        <v>#REF!</v>
      </c>
    </row>
    <row r="433" spans="2:3" ht="15.75" customHeight="1" x14ac:dyDescent="0.25">
      <c r="B433" s="67" t="e">
        <f t="shared" si="15"/>
        <v>#REF!</v>
      </c>
      <c r="C433" s="76" t="e">
        <f t="shared" si="16"/>
        <v>#REF!</v>
      </c>
    </row>
    <row r="434" spans="2:3" ht="15.75" customHeight="1" x14ac:dyDescent="0.25">
      <c r="B434" s="67" t="e">
        <f t="shared" si="15"/>
        <v>#REF!</v>
      </c>
      <c r="C434" s="76" t="e">
        <f t="shared" si="16"/>
        <v>#REF!</v>
      </c>
    </row>
    <row r="435" spans="2:3" ht="15.75" customHeight="1" x14ac:dyDescent="0.25">
      <c r="B435" s="67" t="e">
        <f t="shared" si="15"/>
        <v>#REF!</v>
      </c>
      <c r="C435" s="76" t="e">
        <f t="shared" si="16"/>
        <v>#REF!</v>
      </c>
    </row>
    <row r="436" spans="2:3" ht="15.75" customHeight="1" x14ac:dyDescent="0.25">
      <c r="B436" s="67" t="e">
        <f t="shared" si="15"/>
        <v>#REF!</v>
      </c>
      <c r="C436" s="76" t="e">
        <f t="shared" si="16"/>
        <v>#REF!</v>
      </c>
    </row>
    <row r="437" spans="2:3" ht="15.75" customHeight="1" x14ac:dyDescent="0.25">
      <c r="B437" s="67" t="e">
        <f t="shared" si="15"/>
        <v>#REF!</v>
      </c>
      <c r="C437" s="76" t="e">
        <f t="shared" si="16"/>
        <v>#REF!</v>
      </c>
    </row>
    <row r="438" spans="2:3" ht="15.75" customHeight="1" x14ac:dyDescent="0.25">
      <c r="B438" s="67" t="e">
        <f t="shared" si="15"/>
        <v>#REF!</v>
      </c>
      <c r="C438" s="76" t="e">
        <f t="shared" si="16"/>
        <v>#REF!</v>
      </c>
    </row>
    <row r="439" spans="2:3" ht="15.75" customHeight="1" x14ac:dyDescent="0.25">
      <c r="B439" s="67" t="e">
        <f t="shared" si="15"/>
        <v>#REF!</v>
      </c>
      <c r="C439" s="76" t="e">
        <f t="shared" si="16"/>
        <v>#REF!</v>
      </c>
    </row>
    <row r="440" spans="2:3" ht="15.75" customHeight="1" x14ac:dyDescent="0.25">
      <c r="B440" s="67" t="e">
        <f t="shared" si="15"/>
        <v>#REF!</v>
      </c>
      <c r="C440" s="76" t="e">
        <f t="shared" si="16"/>
        <v>#REF!</v>
      </c>
    </row>
    <row r="441" spans="2:3" ht="15.75" customHeight="1" x14ac:dyDescent="0.25">
      <c r="B441" s="67" t="e">
        <f t="shared" si="15"/>
        <v>#REF!</v>
      </c>
      <c r="C441" s="76" t="e">
        <f t="shared" si="16"/>
        <v>#REF!</v>
      </c>
    </row>
    <row r="442" spans="2:3" ht="15.75" customHeight="1" x14ac:dyDescent="0.25">
      <c r="B442" s="67" t="e">
        <f t="shared" si="15"/>
        <v>#REF!</v>
      </c>
      <c r="C442" s="76" t="e">
        <f t="shared" si="16"/>
        <v>#REF!</v>
      </c>
    </row>
    <row r="443" spans="2:3" ht="15.75" customHeight="1" x14ac:dyDescent="0.25">
      <c r="B443" s="67" t="e">
        <f t="shared" si="15"/>
        <v>#REF!</v>
      </c>
      <c r="C443" s="76" t="e">
        <f t="shared" si="16"/>
        <v>#REF!</v>
      </c>
    </row>
    <row r="444" spans="2:3" ht="15.75" customHeight="1" x14ac:dyDescent="0.25">
      <c r="B444" s="67" t="e">
        <f t="shared" si="15"/>
        <v>#REF!</v>
      </c>
      <c r="C444" s="76" t="e">
        <f t="shared" si="16"/>
        <v>#REF!</v>
      </c>
    </row>
    <row r="445" spans="2:3" ht="15.75" customHeight="1" x14ac:dyDescent="0.25">
      <c r="B445" s="67" t="e">
        <f t="shared" si="15"/>
        <v>#REF!</v>
      </c>
      <c r="C445" s="76" t="e">
        <f t="shared" si="16"/>
        <v>#REF!</v>
      </c>
    </row>
    <row r="446" spans="2:3" ht="15.75" customHeight="1" x14ac:dyDescent="0.25">
      <c r="B446" s="67" t="e">
        <f t="shared" si="15"/>
        <v>#REF!</v>
      </c>
      <c r="C446" s="76" t="e">
        <f t="shared" si="16"/>
        <v>#REF!</v>
      </c>
    </row>
    <row r="447" spans="2:3" ht="15.75" customHeight="1" x14ac:dyDescent="0.25">
      <c r="B447" s="67" t="e">
        <f t="shared" si="15"/>
        <v>#REF!</v>
      </c>
      <c r="C447" s="76" t="e">
        <f t="shared" si="16"/>
        <v>#REF!</v>
      </c>
    </row>
    <row r="448" spans="2:3" ht="15.75" customHeight="1" x14ac:dyDescent="0.25">
      <c r="B448" s="67" t="e">
        <f t="shared" si="15"/>
        <v>#REF!</v>
      </c>
      <c r="C448" s="76" t="e">
        <f t="shared" si="16"/>
        <v>#REF!</v>
      </c>
    </row>
    <row r="449" spans="2:3" ht="15.75" customHeight="1" x14ac:dyDescent="0.25">
      <c r="B449" s="67" t="e">
        <f t="shared" si="15"/>
        <v>#REF!</v>
      </c>
      <c r="C449" s="76" t="e">
        <f t="shared" si="16"/>
        <v>#REF!</v>
      </c>
    </row>
    <row r="450" spans="2:3" ht="15.75" customHeight="1" x14ac:dyDescent="0.25">
      <c r="B450" s="67" t="e">
        <f t="shared" si="15"/>
        <v>#REF!</v>
      </c>
      <c r="C450" s="76" t="e">
        <f t="shared" si="16"/>
        <v>#REF!</v>
      </c>
    </row>
    <row r="451" spans="2:3" ht="15.75" customHeight="1" x14ac:dyDescent="0.25">
      <c r="B451" s="67" t="e">
        <f t="shared" si="15"/>
        <v>#REF!</v>
      </c>
      <c r="C451" s="76" t="e">
        <f t="shared" si="16"/>
        <v>#REF!</v>
      </c>
    </row>
    <row r="452" spans="2:3" ht="15.75" customHeight="1" x14ac:dyDescent="0.25">
      <c r="B452" s="67" t="e">
        <f t="shared" si="15"/>
        <v>#REF!</v>
      </c>
      <c r="C452" s="76" t="e">
        <f t="shared" si="16"/>
        <v>#REF!</v>
      </c>
    </row>
    <row r="453" spans="2:3" ht="15.75" customHeight="1" x14ac:dyDescent="0.25">
      <c r="B453" s="67" t="e">
        <f t="shared" si="15"/>
        <v>#REF!</v>
      </c>
      <c r="C453" s="76" t="e">
        <f t="shared" si="16"/>
        <v>#REF!</v>
      </c>
    </row>
    <row r="454" spans="2:3" ht="15.75" customHeight="1" x14ac:dyDescent="0.25">
      <c r="B454" s="67" t="e">
        <f t="shared" si="15"/>
        <v>#REF!</v>
      </c>
      <c r="C454" s="76" t="e">
        <f t="shared" si="16"/>
        <v>#REF!</v>
      </c>
    </row>
    <row r="455" spans="2:3" ht="15.75" customHeight="1" x14ac:dyDescent="0.25">
      <c r="B455" s="67" t="e">
        <f t="shared" si="15"/>
        <v>#REF!</v>
      </c>
      <c r="C455" s="76" t="e">
        <f t="shared" si="16"/>
        <v>#REF!</v>
      </c>
    </row>
    <row r="456" spans="2:3" ht="15.75" customHeight="1" x14ac:dyDescent="0.25">
      <c r="B456" s="67" t="e">
        <f t="shared" si="15"/>
        <v>#REF!</v>
      </c>
      <c r="C456" s="76" t="e">
        <f t="shared" si="16"/>
        <v>#REF!</v>
      </c>
    </row>
    <row r="457" spans="2:3" ht="15.75" customHeight="1" x14ac:dyDescent="0.25">
      <c r="B457" s="67" t="e">
        <f t="shared" si="15"/>
        <v>#REF!</v>
      </c>
      <c r="C457" s="76" t="e">
        <f t="shared" si="16"/>
        <v>#REF!</v>
      </c>
    </row>
    <row r="458" spans="2:3" ht="15.75" customHeight="1" x14ac:dyDescent="0.25">
      <c r="B458" s="67" t="e">
        <f t="shared" si="15"/>
        <v>#REF!</v>
      </c>
      <c r="C458" s="76" t="e">
        <f t="shared" si="16"/>
        <v>#REF!</v>
      </c>
    </row>
    <row r="459" spans="2:3" ht="15.75" customHeight="1" x14ac:dyDescent="0.25">
      <c r="B459" s="67" t="e">
        <f t="shared" si="15"/>
        <v>#REF!</v>
      </c>
      <c r="C459" s="76" t="e">
        <f t="shared" si="16"/>
        <v>#REF!</v>
      </c>
    </row>
    <row r="460" spans="2:3" ht="15.75" customHeight="1" x14ac:dyDescent="0.25">
      <c r="B460" s="67" t="e">
        <f t="shared" si="15"/>
        <v>#REF!</v>
      </c>
      <c r="C460" s="76" t="e">
        <f t="shared" si="16"/>
        <v>#REF!</v>
      </c>
    </row>
    <row r="461" spans="2:3" ht="15.75" customHeight="1" x14ac:dyDescent="0.25">
      <c r="B461" s="67" t="e">
        <f t="shared" si="15"/>
        <v>#REF!</v>
      </c>
      <c r="C461" s="76" t="e">
        <f t="shared" si="16"/>
        <v>#REF!</v>
      </c>
    </row>
    <row r="462" spans="2:3" ht="15.75" customHeight="1" x14ac:dyDescent="0.25">
      <c r="B462" s="67" t="e">
        <f t="shared" si="15"/>
        <v>#REF!</v>
      </c>
      <c r="C462" s="76" t="e">
        <f t="shared" si="16"/>
        <v>#REF!</v>
      </c>
    </row>
    <row r="463" spans="2:3" ht="15.75" customHeight="1" x14ac:dyDescent="0.25">
      <c r="B463" s="67" t="e">
        <f t="shared" si="15"/>
        <v>#REF!</v>
      </c>
      <c r="C463" s="76" t="e">
        <f t="shared" si="16"/>
        <v>#REF!</v>
      </c>
    </row>
    <row r="464" spans="2:3" ht="15.75" customHeight="1" x14ac:dyDescent="0.25">
      <c r="B464" s="67" t="e">
        <f t="shared" si="15"/>
        <v>#REF!</v>
      </c>
      <c r="C464" s="76" t="e">
        <f t="shared" si="16"/>
        <v>#REF!</v>
      </c>
    </row>
    <row r="465" spans="2:3" ht="15.75" customHeight="1" x14ac:dyDescent="0.25">
      <c r="B465" s="67" t="e">
        <f t="shared" si="15"/>
        <v>#REF!</v>
      </c>
      <c r="C465" s="76" t="e">
        <f t="shared" si="16"/>
        <v>#REF!</v>
      </c>
    </row>
    <row r="466" spans="2:3" ht="15.75" customHeight="1" x14ac:dyDescent="0.25">
      <c r="B466" s="67" t="e">
        <f t="shared" si="15"/>
        <v>#REF!</v>
      </c>
      <c r="C466" s="76" t="e">
        <f t="shared" si="16"/>
        <v>#REF!</v>
      </c>
    </row>
    <row r="467" spans="2:3" ht="15.75" customHeight="1" x14ac:dyDescent="0.25">
      <c r="B467" s="67" t="e">
        <f t="shared" si="15"/>
        <v>#REF!</v>
      </c>
      <c r="C467" s="76" t="e">
        <f t="shared" si="16"/>
        <v>#REF!</v>
      </c>
    </row>
    <row r="468" spans="2:3" ht="15.75" customHeight="1" x14ac:dyDescent="0.25">
      <c r="B468" s="67" t="e">
        <f t="shared" si="15"/>
        <v>#REF!</v>
      </c>
      <c r="C468" s="76" t="e">
        <f t="shared" si="16"/>
        <v>#REF!</v>
      </c>
    </row>
    <row r="469" spans="2:3" ht="15.75" customHeight="1" x14ac:dyDescent="0.25">
      <c r="B469" s="67" t="e">
        <f t="shared" si="15"/>
        <v>#REF!</v>
      </c>
      <c r="C469" s="76" t="e">
        <f t="shared" si="16"/>
        <v>#REF!</v>
      </c>
    </row>
    <row r="470" spans="2:3" ht="15.75" customHeight="1" x14ac:dyDescent="0.25">
      <c r="B470" s="67" t="e">
        <f t="shared" si="15"/>
        <v>#REF!</v>
      </c>
      <c r="C470" s="76" t="e">
        <f t="shared" si="16"/>
        <v>#REF!</v>
      </c>
    </row>
    <row r="471" spans="2:3" ht="15.75" customHeight="1" x14ac:dyDescent="0.25">
      <c r="B471" s="67" t="e">
        <f t="shared" si="15"/>
        <v>#REF!</v>
      </c>
      <c r="C471" s="76" t="e">
        <f t="shared" si="16"/>
        <v>#REF!</v>
      </c>
    </row>
    <row r="472" spans="2:3" ht="15.75" customHeight="1" x14ac:dyDescent="0.25">
      <c r="B472" s="67" t="e">
        <f t="shared" si="15"/>
        <v>#REF!</v>
      </c>
      <c r="C472" s="76" t="e">
        <f t="shared" si="16"/>
        <v>#REF!</v>
      </c>
    </row>
    <row r="473" spans="2:3" ht="15.75" customHeight="1" x14ac:dyDescent="0.25">
      <c r="B473" s="67" t="e">
        <f t="shared" si="15"/>
        <v>#REF!</v>
      </c>
      <c r="C473" s="76" t="e">
        <f t="shared" si="16"/>
        <v>#REF!</v>
      </c>
    </row>
    <row r="474" spans="2:3" ht="15.75" customHeight="1" x14ac:dyDescent="0.25">
      <c r="B474" s="67" t="e">
        <f t="shared" si="15"/>
        <v>#REF!</v>
      </c>
      <c r="C474" s="76" t="e">
        <f t="shared" si="16"/>
        <v>#REF!</v>
      </c>
    </row>
    <row r="475" spans="2:3" ht="15.75" customHeight="1" x14ac:dyDescent="0.25">
      <c r="B475" s="67" t="e">
        <f t="shared" si="15"/>
        <v>#REF!</v>
      </c>
      <c r="C475" s="76" t="e">
        <f t="shared" si="16"/>
        <v>#REF!</v>
      </c>
    </row>
    <row r="476" spans="2:3" ht="15.75" customHeight="1" x14ac:dyDescent="0.25">
      <c r="B476" s="67" t="e">
        <f t="shared" si="15"/>
        <v>#REF!</v>
      </c>
      <c r="C476" s="76" t="e">
        <f t="shared" si="16"/>
        <v>#REF!</v>
      </c>
    </row>
    <row r="477" spans="2:3" ht="15.75" customHeight="1" x14ac:dyDescent="0.25">
      <c r="B477" s="67" t="e">
        <f t="shared" ref="B477:B511" si="17">IF(B476="","",IF(B476+$C$9&lt;=$C$5,B476+$C$9,""))</f>
        <v>#REF!</v>
      </c>
      <c r="C477" s="76" t="e">
        <f t="shared" ref="C477:C511" si="18">IF(B477&lt;&gt;"",C476-$C$2/COUNT($B$17:$B$510),"")</f>
        <v>#REF!</v>
      </c>
    </row>
    <row r="478" spans="2:3" ht="15.75" customHeight="1" x14ac:dyDescent="0.25">
      <c r="B478" s="67" t="e">
        <f t="shared" si="17"/>
        <v>#REF!</v>
      </c>
      <c r="C478" s="76" t="e">
        <f t="shared" si="18"/>
        <v>#REF!</v>
      </c>
    </row>
    <row r="479" spans="2:3" ht="15.75" customHeight="1" x14ac:dyDescent="0.25">
      <c r="B479" s="67" t="e">
        <f t="shared" si="17"/>
        <v>#REF!</v>
      </c>
      <c r="C479" s="76" t="e">
        <f t="shared" si="18"/>
        <v>#REF!</v>
      </c>
    </row>
    <row r="480" spans="2:3" ht="15.75" customHeight="1" x14ac:dyDescent="0.25">
      <c r="B480" s="67" t="e">
        <f t="shared" si="17"/>
        <v>#REF!</v>
      </c>
      <c r="C480" s="76" t="e">
        <f t="shared" si="18"/>
        <v>#REF!</v>
      </c>
    </row>
    <row r="481" spans="2:3" ht="15.75" customHeight="1" x14ac:dyDescent="0.25">
      <c r="B481" s="67" t="e">
        <f t="shared" si="17"/>
        <v>#REF!</v>
      </c>
      <c r="C481" s="76" t="e">
        <f t="shared" si="18"/>
        <v>#REF!</v>
      </c>
    </row>
    <row r="482" spans="2:3" ht="15.75" customHeight="1" x14ac:dyDescent="0.25">
      <c r="B482" s="67" t="e">
        <f t="shared" si="17"/>
        <v>#REF!</v>
      </c>
      <c r="C482" s="76" t="e">
        <f t="shared" si="18"/>
        <v>#REF!</v>
      </c>
    </row>
    <row r="483" spans="2:3" ht="15.75" customHeight="1" x14ac:dyDescent="0.25">
      <c r="B483" s="67" t="e">
        <f t="shared" si="17"/>
        <v>#REF!</v>
      </c>
      <c r="C483" s="76" t="e">
        <f t="shared" si="18"/>
        <v>#REF!</v>
      </c>
    </row>
    <row r="484" spans="2:3" ht="15.75" customHeight="1" x14ac:dyDescent="0.25">
      <c r="B484" s="67" t="e">
        <f t="shared" si="17"/>
        <v>#REF!</v>
      </c>
      <c r="C484" s="76" t="e">
        <f t="shared" si="18"/>
        <v>#REF!</v>
      </c>
    </row>
    <row r="485" spans="2:3" ht="15.75" customHeight="1" x14ac:dyDescent="0.25">
      <c r="B485" s="67" t="e">
        <f t="shared" si="17"/>
        <v>#REF!</v>
      </c>
      <c r="C485" s="76" t="e">
        <f t="shared" si="18"/>
        <v>#REF!</v>
      </c>
    </row>
    <row r="486" spans="2:3" ht="15.75" customHeight="1" x14ac:dyDescent="0.25">
      <c r="B486" s="67" t="e">
        <f t="shared" si="17"/>
        <v>#REF!</v>
      </c>
      <c r="C486" s="76" t="e">
        <f t="shared" si="18"/>
        <v>#REF!</v>
      </c>
    </row>
    <row r="487" spans="2:3" ht="15.75" customHeight="1" x14ac:dyDescent="0.25">
      <c r="B487" s="67" t="e">
        <f t="shared" si="17"/>
        <v>#REF!</v>
      </c>
      <c r="C487" s="76" t="e">
        <f t="shared" si="18"/>
        <v>#REF!</v>
      </c>
    </row>
    <row r="488" spans="2:3" ht="15.75" customHeight="1" x14ac:dyDescent="0.25">
      <c r="B488" s="67" t="e">
        <f t="shared" si="17"/>
        <v>#REF!</v>
      </c>
      <c r="C488" s="76" t="e">
        <f t="shared" si="18"/>
        <v>#REF!</v>
      </c>
    </row>
    <row r="489" spans="2:3" ht="15.75" customHeight="1" x14ac:dyDescent="0.25">
      <c r="B489" s="67" t="e">
        <f t="shared" si="17"/>
        <v>#REF!</v>
      </c>
      <c r="C489" s="76" t="e">
        <f t="shared" si="18"/>
        <v>#REF!</v>
      </c>
    </row>
    <row r="490" spans="2:3" ht="15.75" customHeight="1" x14ac:dyDescent="0.25">
      <c r="B490" s="67" t="e">
        <f t="shared" si="17"/>
        <v>#REF!</v>
      </c>
      <c r="C490" s="76" t="e">
        <f t="shared" si="18"/>
        <v>#REF!</v>
      </c>
    </row>
    <row r="491" spans="2:3" ht="15.75" customHeight="1" x14ac:dyDescent="0.25">
      <c r="B491" s="67" t="e">
        <f t="shared" si="17"/>
        <v>#REF!</v>
      </c>
      <c r="C491" s="76" t="e">
        <f t="shared" si="18"/>
        <v>#REF!</v>
      </c>
    </row>
    <row r="492" spans="2:3" ht="15.75" customHeight="1" x14ac:dyDescent="0.25">
      <c r="B492" s="67" t="e">
        <f t="shared" si="17"/>
        <v>#REF!</v>
      </c>
      <c r="C492" s="76" t="e">
        <f t="shared" si="18"/>
        <v>#REF!</v>
      </c>
    </row>
    <row r="493" spans="2:3" ht="15.75" customHeight="1" x14ac:dyDescent="0.25">
      <c r="B493" s="67" t="e">
        <f t="shared" si="17"/>
        <v>#REF!</v>
      </c>
      <c r="C493" s="76" t="e">
        <f t="shared" si="18"/>
        <v>#REF!</v>
      </c>
    </row>
    <row r="494" spans="2:3" ht="15.75" customHeight="1" x14ac:dyDescent="0.25">
      <c r="B494" s="67" t="e">
        <f t="shared" si="17"/>
        <v>#REF!</v>
      </c>
      <c r="C494" s="76" t="e">
        <f t="shared" si="18"/>
        <v>#REF!</v>
      </c>
    </row>
    <row r="495" spans="2:3" ht="15.75" customHeight="1" x14ac:dyDescent="0.25">
      <c r="B495" s="67" t="e">
        <f t="shared" si="17"/>
        <v>#REF!</v>
      </c>
      <c r="C495" s="76" t="e">
        <f t="shared" si="18"/>
        <v>#REF!</v>
      </c>
    </row>
    <row r="496" spans="2:3" ht="15.75" customHeight="1" x14ac:dyDescent="0.25">
      <c r="B496" s="67" t="e">
        <f t="shared" si="17"/>
        <v>#REF!</v>
      </c>
      <c r="C496" s="76" t="e">
        <f t="shared" si="18"/>
        <v>#REF!</v>
      </c>
    </row>
    <row r="497" spans="2:3" ht="15.75" customHeight="1" x14ac:dyDescent="0.25">
      <c r="B497" s="67" t="e">
        <f t="shared" si="17"/>
        <v>#REF!</v>
      </c>
      <c r="C497" s="76" t="e">
        <f t="shared" si="18"/>
        <v>#REF!</v>
      </c>
    </row>
    <row r="498" spans="2:3" ht="15.75" customHeight="1" x14ac:dyDescent="0.25">
      <c r="B498" s="67" t="e">
        <f t="shared" si="17"/>
        <v>#REF!</v>
      </c>
      <c r="C498" s="76" t="e">
        <f t="shared" si="18"/>
        <v>#REF!</v>
      </c>
    </row>
    <row r="499" spans="2:3" ht="15.75" customHeight="1" x14ac:dyDescent="0.25">
      <c r="B499" s="67" t="e">
        <f t="shared" si="17"/>
        <v>#REF!</v>
      </c>
      <c r="C499" s="76" t="e">
        <f t="shared" si="18"/>
        <v>#REF!</v>
      </c>
    </row>
    <row r="500" spans="2:3" ht="15.75" customHeight="1" x14ac:dyDescent="0.25">
      <c r="B500" s="67" t="e">
        <f t="shared" si="17"/>
        <v>#REF!</v>
      </c>
      <c r="C500" s="76" t="e">
        <f t="shared" si="18"/>
        <v>#REF!</v>
      </c>
    </row>
    <row r="501" spans="2:3" ht="15.75" customHeight="1" x14ac:dyDescent="0.25">
      <c r="B501" s="67" t="e">
        <f t="shared" si="17"/>
        <v>#REF!</v>
      </c>
      <c r="C501" s="76" t="e">
        <f t="shared" si="18"/>
        <v>#REF!</v>
      </c>
    </row>
    <row r="502" spans="2:3" ht="15.75" customHeight="1" x14ac:dyDescent="0.25">
      <c r="B502" s="67" t="e">
        <f t="shared" si="17"/>
        <v>#REF!</v>
      </c>
      <c r="C502" s="76" t="e">
        <f t="shared" si="18"/>
        <v>#REF!</v>
      </c>
    </row>
    <row r="503" spans="2:3" ht="15.75" customHeight="1" x14ac:dyDescent="0.25">
      <c r="B503" s="67" t="e">
        <f t="shared" si="17"/>
        <v>#REF!</v>
      </c>
      <c r="C503" s="76" t="e">
        <f t="shared" si="18"/>
        <v>#REF!</v>
      </c>
    </row>
    <row r="504" spans="2:3" ht="15.75" customHeight="1" x14ac:dyDescent="0.25">
      <c r="B504" s="67" t="e">
        <f t="shared" si="17"/>
        <v>#REF!</v>
      </c>
      <c r="C504" s="76" t="e">
        <f t="shared" si="18"/>
        <v>#REF!</v>
      </c>
    </row>
    <row r="505" spans="2:3" ht="15.75" customHeight="1" x14ac:dyDescent="0.25">
      <c r="B505" s="67" t="e">
        <f t="shared" si="17"/>
        <v>#REF!</v>
      </c>
      <c r="C505" s="76" t="e">
        <f t="shared" si="18"/>
        <v>#REF!</v>
      </c>
    </row>
    <row r="506" spans="2:3" ht="15.75" customHeight="1" x14ac:dyDescent="0.25">
      <c r="B506" s="67" t="e">
        <f t="shared" si="17"/>
        <v>#REF!</v>
      </c>
      <c r="C506" s="76" t="e">
        <f t="shared" si="18"/>
        <v>#REF!</v>
      </c>
    </row>
    <row r="507" spans="2:3" ht="15.75" customHeight="1" x14ac:dyDescent="0.25">
      <c r="B507" s="67" t="e">
        <f t="shared" si="17"/>
        <v>#REF!</v>
      </c>
      <c r="C507" s="76" t="e">
        <f t="shared" si="18"/>
        <v>#REF!</v>
      </c>
    </row>
    <row r="508" spans="2:3" ht="15.75" customHeight="1" x14ac:dyDescent="0.25">
      <c r="B508" s="67" t="e">
        <f t="shared" si="17"/>
        <v>#REF!</v>
      </c>
      <c r="C508" s="76" t="e">
        <f t="shared" si="18"/>
        <v>#REF!</v>
      </c>
    </row>
    <row r="509" spans="2:3" ht="15.75" customHeight="1" x14ac:dyDescent="0.25">
      <c r="B509" s="67" t="e">
        <f t="shared" si="17"/>
        <v>#REF!</v>
      </c>
      <c r="C509" s="76" t="e">
        <f t="shared" si="18"/>
        <v>#REF!</v>
      </c>
    </row>
    <row r="510" spans="2:3" ht="15.75" customHeight="1" x14ac:dyDescent="0.25">
      <c r="B510" s="67" t="e">
        <f t="shared" si="17"/>
        <v>#REF!</v>
      </c>
      <c r="C510" s="76" t="e">
        <f t="shared" si="18"/>
        <v>#REF!</v>
      </c>
    </row>
    <row r="511" spans="2:3" ht="15.75" customHeight="1" x14ac:dyDescent="0.25">
      <c r="B511" s="67" t="e">
        <f t="shared" si="17"/>
        <v>#REF!</v>
      </c>
      <c r="C511" s="76" t="e">
        <f t="shared" si="18"/>
        <v>#REF!</v>
      </c>
    </row>
  </sheetData>
  <mergeCells count="3">
    <mergeCell ref="A1:K1"/>
    <mergeCell ref="B12:F12"/>
    <mergeCell ref="G12:L12"/>
  </mergeCells>
  <conditionalFormatting sqref="A14:L14">
    <cfRule type="expression" dxfId="129" priority="5">
      <formula>AND(TODAY()&gt;=$B$14,TODAY()&lt;$B$15)</formula>
    </cfRule>
  </conditionalFormatting>
  <conditionalFormatting sqref="A15:L16 A17:E17 A18:A30">
    <cfRule type="expression" dxfId="128" priority="4">
      <formula>AND(TODAY()&gt;=$B15,TODAY()&lt;$B16)</formula>
    </cfRule>
  </conditionalFormatting>
  <conditionalFormatting sqref="B14:B54">
    <cfRule type="cellIs" dxfId="127" priority="2" operator="greaterThan">
      <formula>$C$5</formula>
    </cfRule>
  </conditionalFormatting>
  <conditionalFormatting sqref="B18:E24 B25:L30 A31:L54">
    <cfRule type="expression" dxfId="126" priority="3">
      <formula>AND(TODAY()&gt;=$B18,TODAY()&lt;$B19)</formula>
    </cfRule>
  </conditionalFormatting>
  <conditionalFormatting sqref="F17:L24">
    <cfRule type="expression" dxfId="125" priority="1">
      <formula>AND(TODAY()&gt;=$B17,TODAY()&lt;$B18)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362F-90CD-4A90-9E5C-F71A8F2D09F4}">
  <sheetPr>
    <tabColor theme="9" tint="-0.499984740745262"/>
  </sheetPr>
  <dimension ref="A1:L511"/>
  <sheetViews>
    <sheetView workbookViewId="0">
      <selection activeCell="C3" sqref="C3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7" width="12.625" style="59" customWidth="1"/>
    <col min="8" max="8" width="25.125" style="59" customWidth="1"/>
    <col min="9" max="9" width="12.625" style="59" customWidth="1"/>
    <col min="10" max="10" width="11.875" style="59" customWidth="1"/>
    <col min="11" max="11" width="26.875" style="59" customWidth="1"/>
    <col min="12" max="12" width="22.25" style="59" customWidth="1"/>
    <col min="13" max="13" width="34.375" style="59" customWidth="1"/>
    <col min="14" max="16384" width="12.625" style="59"/>
  </cols>
  <sheetData>
    <row r="1" spans="1:12" ht="19.5" x14ac:dyDescent="0.25">
      <c r="A1" s="154" t="s">
        <v>20</v>
      </c>
      <c r="B1" s="155"/>
      <c r="C1" s="155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25">
      <c r="A2" s="68"/>
      <c r="B2" s="62" t="s">
        <v>21</v>
      </c>
      <c r="C2" s="105"/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19.5" x14ac:dyDescent="0.25">
      <c r="B3" s="89" t="s">
        <v>2494</v>
      </c>
      <c r="C3" s="110">
        <v>53</v>
      </c>
      <c r="D3" s="70" t="s">
        <v>25</v>
      </c>
      <c r="E3" s="71" t="s">
        <v>26</v>
      </c>
      <c r="F3" s="71"/>
      <c r="G3" s="65"/>
      <c r="H3" s="65"/>
      <c r="I3" s="65"/>
      <c r="J3" s="65"/>
      <c r="K3" s="65"/>
      <c r="L3" s="65"/>
    </row>
    <row r="4" spans="1:12" ht="15.75" customHeight="1" x14ac:dyDescent="0.25">
      <c r="B4" s="64" t="s">
        <v>27</v>
      </c>
      <c r="C4" s="107">
        <v>46062</v>
      </c>
      <c r="D4" s="70" t="s">
        <v>28</v>
      </c>
      <c r="E4" s="65"/>
      <c r="F4" s="65"/>
      <c r="G4" s="65"/>
      <c r="H4" s="65"/>
      <c r="I4" s="65"/>
      <c r="J4" s="65"/>
      <c r="K4" s="65"/>
      <c r="L4" s="65"/>
    </row>
    <row r="5" spans="1:12" ht="15.75" customHeight="1" x14ac:dyDescent="0.25">
      <c r="B5" s="64" t="s">
        <v>29</v>
      </c>
      <c r="C5" s="107">
        <v>46118</v>
      </c>
      <c r="D5" s="70" t="s">
        <v>30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63" t="s">
        <v>31</v>
      </c>
      <c r="C6" s="106">
        <v>4</v>
      </c>
      <c r="D6" s="70" t="s">
        <v>32</v>
      </c>
      <c r="E6" s="71" t="s">
        <v>33</v>
      </c>
      <c r="F6" s="71"/>
      <c r="G6" s="65"/>
      <c r="H6" s="65"/>
      <c r="I6" s="65"/>
      <c r="J6" s="65"/>
      <c r="K6" s="65"/>
      <c r="L6" s="65"/>
    </row>
    <row r="7" spans="1:12" ht="15.75" customHeight="1" x14ac:dyDescent="0.25">
      <c r="B7" s="63" t="s">
        <v>34</v>
      </c>
      <c r="C7" s="106">
        <v>1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64" t="s">
        <v>35</v>
      </c>
      <c r="C8" s="108">
        <v>6</v>
      </c>
      <c r="D8" s="70" t="s">
        <v>32</v>
      </c>
      <c r="E8" s="65"/>
      <c r="F8" s="65"/>
      <c r="G8" s="65"/>
      <c r="H8" s="65"/>
      <c r="I8" s="65"/>
      <c r="J8" s="65"/>
      <c r="K8" s="65"/>
      <c r="L8" s="65"/>
    </row>
    <row r="9" spans="1:12" ht="15.75" customHeight="1" x14ac:dyDescent="0.25">
      <c r="B9" s="64" t="s">
        <v>36</v>
      </c>
      <c r="C9" s="109">
        <v>7</v>
      </c>
      <c r="D9" s="70" t="s">
        <v>37</v>
      </c>
      <c r="E9" s="65"/>
      <c r="F9" s="65"/>
      <c r="G9" s="65"/>
      <c r="H9" s="65"/>
      <c r="I9" s="65"/>
      <c r="J9" s="65"/>
      <c r="K9" s="65"/>
      <c r="L9" s="65"/>
    </row>
    <row r="10" spans="1:12" ht="15.75" hidden="1" customHeight="1" x14ac:dyDescent="0.25">
      <c r="B10" s="112"/>
      <c r="C10" s="65"/>
      <c r="D10" s="113"/>
      <c r="E10" s="65"/>
      <c r="F10" s="65"/>
      <c r="G10" s="65"/>
      <c r="H10" s="65"/>
      <c r="I10" s="65"/>
      <c r="J10" s="65"/>
      <c r="K10" s="65"/>
      <c r="L10" s="65"/>
    </row>
    <row r="11" spans="1:12" s="39" customFormat="1" ht="40.5" customHeight="1" x14ac:dyDescent="0.45">
      <c r="A11" s="88"/>
      <c r="B11" s="61" t="s">
        <v>38</v>
      </c>
      <c r="C11" s="60" t="s">
        <v>39</v>
      </c>
      <c r="D11" s="60" t="s">
        <v>40</v>
      </c>
      <c r="E11" s="60" t="s">
        <v>41</v>
      </c>
      <c r="F11" s="60" t="s">
        <v>42</v>
      </c>
      <c r="G11" s="60" t="s">
        <v>43</v>
      </c>
      <c r="H11" s="60" t="s">
        <v>44</v>
      </c>
      <c r="I11" s="60" t="s">
        <v>45</v>
      </c>
      <c r="J11" s="60" t="s">
        <v>46</v>
      </c>
      <c r="K11" s="60" t="s">
        <v>47</v>
      </c>
      <c r="L11" s="60" t="s">
        <v>48</v>
      </c>
    </row>
    <row r="12" spans="1:12" ht="19.5" customHeight="1" x14ac:dyDescent="0.25">
      <c r="A12" s="91"/>
      <c r="B12" s="162" t="s">
        <v>49</v>
      </c>
      <c r="C12" s="163"/>
      <c r="D12" s="163"/>
      <c r="E12" s="163"/>
      <c r="F12" s="164"/>
      <c r="G12" s="165" t="s">
        <v>50</v>
      </c>
      <c r="H12" s="166"/>
      <c r="I12" s="166"/>
      <c r="J12" s="166"/>
      <c r="K12" s="166"/>
      <c r="L12" s="166"/>
    </row>
    <row r="13" spans="1:12" ht="31.5" customHeight="1" x14ac:dyDescent="0.25">
      <c r="A13" s="44" t="s">
        <v>51</v>
      </c>
      <c r="B13" s="45" t="s">
        <v>52</v>
      </c>
      <c r="C13" s="30" t="s">
        <v>2495</v>
      </c>
      <c r="D13" s="30" t="s">
        <v>2496</v>
      </c>
      <c r="E13" s="30" t="s">
        <v>55</v>
      </c>
      <c r="F13" s="58" t="s">
        <v>56</v>
      </c>
      <c r="G13" s="47" t="s">
        <v>57</v>
      </c>
      <c r="H13" s="47" t="s">
        <v>58</v>
      </c>
      <c r="I13" s="31" t="s">
        <v>59</v>
      </c>
      <c r="J13" s="49" t="s">
        <v>60</v>
      </c>
      <c r="K13" s="57" t="s">
        <v>61</v>
      </c>
      <c r="L13" s="77" t="s">
        <v>62</v>
      </c>
    </row>
    <row r="14" spans="1:12" ht="15.75" customHeight="1" x14ac:dyDescent="0.25">
      <c r="A14" s="73"/>
      <c r="B14" s="66">
        <f>C4</f>
        <v>46062</v>
      </c>
      <c r="C14" s="79">
        <f>$C$3</f>
        <v>53</v>
      </c>
      <c r="D14" s="79">
        <f>$C$3</f>
        <v>53</v>
      </c>
      <c r="E14" s="79">
        <f>$C$3</f>
        <v>53</v>
      </c>
      <c r="F14" s="80"/>
      <c r="G14" s="81"/>
      <c r="H14" s="81"/>
      <c r="I14" s="82"/>
      <c r="J14" s="83"/>
      <c r="K14" s="84"/>
      <c r="L14" s="86"/>
    </row>
    <row r="15" spans="1:12" ht="15.75" customHeight="1" x14ac:dyDescent="0.25">
      <c r="A15" s="73" t="s">
        <v>2497</v>
      </c>
      <c r="B15" s="66">
        <f t="shared" ref="B15:B54" si="0">B14+$C$9</f>
        <v>46069</v>
      </c>
      <c r="C15" s="79">
        <f>IF(OR(C14="",C14=0),"",IF(ISBLANK($J14),IF(C14+$K14+$I14-$C$6&lt;=0,IF(AND(C14&gt;0,C14&lt;&gt;""),0,""),C14+$K14+$I14-$C$6),IF((C14-$J14)+$K14+$I14&lt;=0,IF(AND(C14&gt;0,C14&lt;&gt;""),0,""),(C14-$J14)+$K14+$I14)))</f>
        <v>49</v>
      </c>
      <c r="D15" s="79">
        <f t="shared" ref="D15:D54" si="1">IF(OR(D14="",D14=0),"",IF(ISBLANK($J14),IF(D14+$K14+$I14-$C$7&lt;=0,IF(AND(D14&gt;0,D14&lt;&gt;""),0,""),D14+$K14+$I14-$C$7),IF((D14-$J14)+$K14+$I14&lt;=0,IF(AND(D14&gt;0,D14&lt;&gt;""),0,""),(D14-$J14)+$K14+$I14)))</f>
        <v>52</v>
      </c>
      <c r="E15" s="79">
        <f t="shared" ref="E15:E54" si="2">IF(OR(E14="",E14=0),"",IF(ISBLANK($J14),IF(E14+$K14+$I14-$C$8&lt;=0,IF(AND(E14&gt;0,E14&lt;&gt;""),0,""),E14+$K14+$I14-$C$8),IF((E14-$J14)+$K14+$I14&lt;=0,IF(AND(E14&gt;0,E14&lt;&gt;""),0,""),(E14-$J14)+$K14+$I14)))</f>
        <v>47</v>
      </c>
      <c r="F15" s="80" t="str">
        <f>IF(J14="","",IF(G14+F14+H14+I14-J14&lt;0,0,G14+F14+H14+I14-J14))</f>
        <v/>
      </c>
      <c r="G15" s="81"/>
      <c r="H15" s="81"/>
      <c r="I15" s="82"/>
      <c r="J15" s="83"/>
      <c r="K15" s="84"/>
      <c r="L15" s="86"/>
    </row>
    <row r="16" spans="1:12" ht="15.75" customHeight="1" x14ac:dyDescent="0.25">
      <c r="A16" s="73" t="s">
        <v>2498</v>
      </c>
      <c r="B16" s="66">
        <f t="shared" si="0"/>
        <v>46076</v>
      </c>
      <c r="C16" s="85">
        <f t="shared" ref="C16:C54" si="3">IF(OR(C15="",C15=0),"",IF(ISBLANK(J15),IF(C15+K15+I15-$C$6&lt;=0,IF(AND(C15&gt;0,C15&lt;&gt;""),0,""),C15+K15+I15-$C$6),IF((C15-J15)+K15+I15&lt;=0,IF(AND(C15&gt;0,C15&lt;&gt;""),0,""),(C15-J15)+K15+I15)))</f>
        <v>45</v>
      </c>
      <c r="D16" s="85">
        <f t="shared" si="1"/>
        <v>51</v>
      </c>
      <c r="E16" s="85">
        <f t="shared" si="2"/>
        <v>41</v>
      </c>
      <c r="F16" s="80" t="str">
        <f t="shared" ref="F16:F54" si="4">IF(J15="","",IF(G15+F15+H15+I15-J15&lt;0,0,G15+F15+H15+I15-J15))</f>
        <v/>
      </c>
      <c r="G16" s="81"/>
      <c r="H16" s="81"/>
      <c r="I16" s="82"/>
      <c r="J16" s="83"/>
      <c r="K16" s="84"/>
      <c r="L16" s="86"/>
    </row>
    <row r="17" spans="1:12" ht="23.25" customHeight="1" x14ac:dyDescent="0.25">
      <c r="A17" s="73" t="s">
        <v>2499</v>
      </c>
      <c r="B17" s="66">
        <f t="shared" si="0"/>
        <v>46083</v>
      </c>
      <c r="C17" s="85">
        <f t="shared" si="3"/>
        <v>41</v>
      </c>
      <c r="D17" s="85">
        <f t="shared" si="1"/>
        <v>50</v>
      </c>
      <c r="E17" s="85">
        <f t="shared" si="2"/>
        <v>35</v>
      </c>
      <c r="F17" s="80" t="str">
        <f t="shared" si="4"/>
        <v/>
      </c>
      <c r="G17" s="81"/>
      <c r="H17" s="81"/>
      <c r="I17" s="82"/>
      <c r="J17" s="83"/>
      <c r="K17" s="84"/>
      <c r="L17" s="111"/>
    </row>
    <row r="18" spans="1:12" ht="15.75" customHeight="1" x14ac:dyDescent="0.25">
      <c r="A18" s="73" t="s">
        <v>2500</v>
      </c>
      <c r="B18" s="66">
        <f t="shared" si="0"/>
        <v>46090</v>
      </c>
      <c r="C18" s="85">
        <f t="shared" si="3"/>
        <v>37</v>
      </c>
      <c r="D18" s="85">
        <f t="shared" si="1"/>
        <v>49</v>
      </c>
      <c r="E18" s="85">
        <f t="shared" si="2"/>
        <v>29</v>
      </c>
      <c r="F18" s="80" t="str">
        <f t="shared" si="4"/>
        <v/>
      </c>
      <c r="G18" s="81"/>
      <c r="H18" s="81"/>
      <c r="I18" s="82"/>
      <c r="J18" s="83"/>
      <c r="K18" s="84"/>
      <c r="L18" s="86"/>
    </row>
    <row r="19" spans="1:12" ht="15.75" customHeight="1" x14ac:dyDescent="0.25">
      <c r="A19" s="73" t="s">
        <v>2501</v>
      </c>
      <c r="B19" s="66">
        <f t="shared" si="0"/>
        <v>46097</v>
      </c>
      <c r="C19" s="85">
        <f t="shared" si="3"/>
        <v>33</v>
      </c>
      <c r="D19" s="85">
        <f t="shared" si="1"/>
        <v>48</v>
      </c>
      <c r="E19" s="85">
        <f t="shared" si="2"/>
        <v>23</v>
      </c>
      <c r="F19" s="80" t="str">
        <f t="shared" si="4"/>
        <v/>
      </c>
      <c r="G19" s="81"/>
      <c r="H19" s="81"/>
      <c r="I19" s="82"/>
      <c r="J19" s="83"/>
      <c r="K19" s="84"/>
      <c r="L19" s="86"/>
    </row>
    <row r="20" spans="1:12" ht="15.75" customHeight="1" x14ac:dyDescent="0.25">
      <c r="A20" s="73" t="s">
        <v>2502</v>
      </c>
      <c r="B20" s="66">
        <f t="shared" si="0"/>
        <v>46104</v>
      </c>
      <c r="C20" s="85">
        <f t="shared" si="3"/>
        <v>29</v>
      </c>
      <c r="D20" s="85">
        <f t="shared" si="1"/>
        <v>47</v>
      </c>
      <c r="E20" s="85">
        <f t="shared" si="2"/>
        <v>17</v>
      </c>
      <c r="F20" s="80" t="str">
        <f t="shared" si="4"/>
        <v/>
      </c>
      <c r="G20" s="81"/>
      <c r="H20" s="81"/>
      <c r="I20" s="82"/>
      <c r="J20" s="83"/>
      <c r="K20" s="84"/>
      <c r="L20" s="86"/>
    </row>
    <row r="21" spans="1:12" ht="15.75" customHeight="1" x14ac:dyDescent="0.25">
      <c r="A21" s="73" t="s">
        <v>2503</v>
      </c>
      <c r="B21" s="66">
        <f t="shared" si="0"/>
        <v>46111</v>
      </c>
      <c r="C21" s="85">
        <f t="shared" si="3"/>
        <v>25</v>
      </c>
      <c r="D21" s="85">
        <f t="shared" si="1"/>
        <v>46</v>
      </c>
      <c r="E21" s="85">
        <f t="shared" si="2"/>
        <v>11</v>
      </c>
      <c r="F21" s="80" t="str">
        <f t="shared" si="4"/>
        <v/>
      </c>
      <c r="G21" s="81"/>
      <c r="H21" s="81"/>
      <c r="I21" s="82"/>
      <c r="J21" s="83"/>
      <c r="K21" s="84"/>
      <c r="L21" s="86"/>
    </row>
    <row r="22" spans="1:12" ht="15.75" customHeight="1" x14ac:dyDescent="0.25">
      <c r="A22" s="73" t="s">
        <v>2504</v>
      </c>
      <c r="B22" s="66">
        <f t="shared" si="0"/>
        <v>46118</v>
      </c>
      <c r="C22" s="85">
        <f t="shared" si="3"/>
        <v>21</v>
      </c>
      <c r="D22" s="85">
        <f t="shared" si="1"/>
        <v>45</v>
      </c>
      <c r="E22" s="85">
        <f t="shared" si="2"/>
        <v>5</v>
      </c>
      <c r="F22" s="80" t="str">
        <f t="shared" si="4"/>
        <v/>
      </c>
      <c r="G22" s="81"/>
      <c r="H22" s="81"/>
      <c r="I22" s="82"/>
      <c r="J22" s="83"/>
      <c r="K22" s="84"/>
      <c r="L22" s="86"/>
    </row>
    <row r="23" spans="1:12" ht="15.75" customHeight="1" x14ac:dyDescent="0.25">
      <c r="A23" s="73" t="s">
        <v>2505</v>
      </c>
      <c r="B23" s="66">
        <f t="shared" si="0"/>
        <v>46125</v>
      </c>
      <c r="C23" s="85">
        <f t="shared" si="3"/>
        <v>17</v>
      </c>
      <c r="D23" s="85">
        <f t="shared" si="1"/>
        <v>44</v>
      </c>
      <c r="E23" s="85">
        <f t="shared" si="2"/>
        <v>0</v>
      </c>
      <c r="F23" s="80" t="str">
        <f t="shared" si="4"/>
        <v/>
      </c>
      <c r="G23" s="81"/>
      <c r="H23" s="81"/>
      <c r="I23" s="82"/>
      <c r="J23" s="83"/>
      <c r="K23" s="84"/>
      <c r="L23" s="86"/>
    </row>
    <row r="24" spans="1:12" ht="15.75" customHeight="1" x14ac:dyDescent="0.25">
      <c r="A24" s="73" t="s">
        <v>2506</v>
      </c>
      <c r="B24" s="66">
        <f t="shared" si="0"/>
        <v>46132</v>
      </c>
      <c r="C24" s="85">
        <f t="shared" si="3"/>
        <v>13</v>
      </c>
      <c r="D24" s="85">
        <f t="shared" si="1"/>
        <v>43</v>
      </c>
      <c r="E24" s="85" t="str">
        <f t="shared" si="2"/>
        <v/>
      </c>
      <c r="F24" s="80" t="str">
        <f t="shared" si="4"/>
        <v/>
      </c>
      <c r="G24" s="81"/>
      <c r="H24" s="81"/>
      <c r="I24" s="82"/>
      <c r="J24" s="83"/>
      <c r="K24" s="84"/>
      <c r="L24" s="86"/>
    </row>
    <row r="25" spans="1:12" ht="15.75" customHeight="1" x14ac:dyDescent="0.25">
      <c r="A25" s="73" t="s">
        <v>2507</v>
      </c>
      <c r="B25" s="66">
        <f t="shared" si="0"/>
        <v>46139</v>
      </c>
      <c r="C25" s="85">
        <f t="shared" si="3"/>
        <v>9</v>
      </c>
      <c r="D25" s="85">
        <f t="shared" si="1"/>
        <v>42</v>
      </c>
      <c r="E25" s="85" t="str">
        <f t="shared" si="2"/>
        <v/>
      </c>
      <c r="F25" s="80" t="str">
        <f t="shared" si="4"/>
        <v/>
      </c>
      <c r="G25" s="81"/>
      <c r="H25" s="81"/>
      <c r="I25" s="82"/>
      <c r="J25" s="83"/>
      <c r="K25" s="84"/>
      <c r="L25" s="86"/>
    </row>
    <row r="26" spans="1:12" ht="15.75" customHeight="1" x14ac:dyDescent="0.25">
      <c r="A26" s="73" t="s">
        <v>2508</v>
      </c>
      <c r="B26" s="66">
        <f t="shared" si="0"/>
        <v>46146</v>
      </c>
      <c r="C26" s="85">
        <f t="shared" si="3"/>
        <v>5</v>
      </c>
      <c r="D26" s="85">
        <f t="shared" si="1"/>
        <v>41</v>
      </c>
      <c r="E26" s="85" t="str">
        <f t="shared" si="2"/>
        <v/>
      </c>
      <c r="F26" s="80" t="str">
        <f t="shared" si="4"/>
        <v/>
      </c>
      <c r="G26" s="81"/>
      <c r="H26" s="81"/>
      <c r="I26" s="82"/>
      <c r="J26" s="83"/>
      <c r="K26" s="84"/>
      <c r="L26" s="86"/>
    </row>
    <row r="27" spans="1:12" ht="15.75" customHeight="1" x14ac:dyDescent="0.25">
      <c r="A27" s="73" t="s">
        <v>2509</v>
      </c>
      <c r="B27" s="66">
        <f t="shared" si="0"/>
        <v>46153</v>
      </c>
      <c r="C27" s="85">
        <f t="shared" si="3"/>
        <v>1</v>
      </c>
      <c r="D27" s="85">
        <f t="shared" si="1"/>
        <v>40</v>
      </c>
      <c r="E27" s="85" t="str">
        <f t="shared" si="2"/>
        <v/>
      </c>
      <c r="F27" s="80" t="str">
        <f t="shared" si="4"/>
        <v/>
      </c>
      <c r="G27" s="81"/>
      <c r="H27" s="81"/>
      <c r="I27" s="82"/>
      <c r="J27" s="83"/>
      <c r="K27" s="84"/>
      <c r="L27" s="86"/>
    </row>
    <row r="28" spans="1:12" ht="15.75" customHeight="1" x14ac:dyDescent="0.25">
      <c r="A28" s="73" t="s">
        <v>2510</v>
      </c>
      <c r="B28" s="66">
        <f t="shared" si="0"/>
        <v>46160</v>
      </c>
      <c r="C28" s="85">
        <f t="shared" si="3"/>
        <v>0</v>
      </c>
      <c r="D28" s="85">
        <f t="shared" si="1"/>
        <v>39</v>
      </c>
      <c r="E28" s="85" t="str">
        <f t="shared" si="2"/>
        <v/>
      </c>
      <c r="F28" s="80" t="str">
        <f t="shared" si="4"/>
        <v/>
      </c>
      <c r="G28" s="81"/>
      <c r="H28" s="81"/>
      <c r="I28" s="82"/>
      <c r="J28" s="83"/>
      <c r="K28" s="84"/>
      <c r="L28" s="86"/>
    </row>
    <row r="29" spans="1:12" ht="15.75" customHeight="1" x14ac:dyDescent="0.25">
      <c r="A29" s="73" t="s">
        <v>2511</v>
      </c>
      <c r="B29" s="66">
        <f t="shared" si="0"/>
        <v>46167</v>
      </c>
      <c r="C29" s="85" t="str">
        <f t="shared" si="3"/>
        <v/>
      </c>
      <c r="D29" s="85">
        <f t="shared" si="1"/>
        <v>38</v>
      </c>
      <c r="E29" s="85" t="str">
        <f t="shared" si="2"/>
        <v/>
      </c>
      <c r="F29" s="80" t="str">
        <f t="shared" si="4"/>
        <v/>
      </c>
      <c r="G29" s="81"/>
      <c r="H29" s="81"/>
      <c r="I29" s="82"/>
      <c r="J29" s="83"/>
      <c r="K29" s="84"/>
      <c r="L29" s="86"/>
    </row>
    <row r="30" spans="1:12" ht="15.75" customHeight="1" x14ac:dyDescent="0.25">
      <c r="A30" s="73" t="s">
        <v>2512</v>
      </c>
      <c r="B30" s="66">
        <f t="shared" si="0"/>
        <v>46174</v>
      </c>
      <c r="C30" s="85" t="str">
        <f t="shared" si="3"/>
        <v/>
      </c>
      <c r="D30" s="85">
        <f t="shared" si="1"/>
        <v>37</v>
      </c>
      <c r="E30" s="85" t="str">
        <f t="shared" si="2"/>
        <v/>
      </c>
      <c r="F30" s="80" t="str">
        <f t="shared" si="4"/>
        <v/>
      </c>
      <c r="G30" s="81"/>
      <c r="H30" s="81"/>
      <c r="I30" s="82"/>
      <c r="J30" s="83"/>
      <c r="K30" s="84"/>
      <c r="L30" s="86"/>
    </row>
    <row r="31" spans="1:12" ht="15.75" customHeight="1" x14ac:dyDescent="0.25">
      <c r="A31" s="73"/>
      <c r="B31" s="66">
        <f t="shared" si="0"/>
        <v>46181</v>
      </c>
      <c r="C31" s="85" t="str">
        <f t="shared" si="3"/>
        <v/>
      </c>
      <c r="D31" s="85">
        <f t="shared" si="1"/>
        <v>36</v>
      </c>
      <c r="E31" s="85" t="str">
        <f t="shared" si="2"/>
        <v/>
      </c>
      <c r="F31" s="80" t="str">
        <f t="shared" si="4"/>
        <v/>
      </c>
      <c r="G31" s="81"/>
      <c r="H31" s="81"/>
      <c r="I31" s="82"/>
      <c r="J31" s="83"/>
      <c r="K31" s="84"/>
      <c r="L31" s="86"/>
    </row>
    <row r="32" spans="1:12" ht="15.75" customHeight="1" x14ac:dyDescent="0.25">
      <c r="A32" s="73"/>
      <c r="B32" s="66">
        <f t="shared" si="0"/>
        <v>46188</v>
      </c>
      <c r="C32" s="85" t="str">
        <f t="shared" si="3"/>
        <v/>
      </c>
      <c r="D32" s="85">
        <f t="shared" si="1"/>
        <v>35</v>
      </c>
      <c r="E32" s="85" t="str">
        <f t="shared" si="2"/>
        <v/>
      </c>
      <c r="F32" s="80" t="str">
        <f t="shared" si="4"/>
        <v/>
      </c>
      <c r="G32" s="81"/>
      <c r="H32" s="81"/>
      <c r="I32" s="82"/>
      <c r="J32" s="83"/>
      <c r="K32" s="84"/>
      <c r="L32" s="86"/>
    </row>
    <row r="33" spans="1:12" ht="15.75" customHeight="1" x14ac:dyDescent="0.25">
      <c r="A33" s="73"/>
      <c r="B33" s="66">
        <f t="shared" si="0"/>
        <v>46195</v>
      </c>
      <c r="C33" s="85" t="str">
        <f t="shared" si="3"/>
        <v/>
      </c>
      <c r="D33" s="85">
        <f t="shared" si="1"/>
        <v>34</v>
      </c>
      <c r="E33" s="85" t="str">
        <f t="shared" si="2"/>
        <v/>
      </c>
      <c r="F33" s="80" t="str">
        <f t="shared" si="4"/>
        <v/>
      </c>
      <c r="G33" s="81"/>
      <c r="H33" s="81"/>
      <c r="I33" s="82"/>
      <c r="J33" s="83"/>
      <c r="K33" s="84"/>
      <c r="L33" s="86"/>
    </row>
    <row r="34" spans="1:12" ht="15.75" customHeight="1" x14ac:dyDescent="0.25">
      <c r="A34" s="73"/>
      <c r="B34" s="66">
        <f t="shared" si="0"/>
        <v>46202</v>
      </c>
      <c r="C34" s="85" t="str">
        <f t="shared" si="3"/>
        <v/>
      </c>
      <c r="D34" s="85">
        <f t="shared" si="1"/>
        <v>33</v>
      </c>
      <c r="E34" s="85" t="str">
        <f t="shared" si="2"/>
        <v/>
      </c>
      <c r="F34" s="80" t="str">
        <f t="shared" si="4"/>
        <v/>
      </c>
      <c r="G34" s="81"/>
      <c r="H34" s="81"/>
      <c r="I34" s="82"/>
      <c r="J34" s="83"/>
      <c r="K34" s="84"/>
      <c r="L34" s="86"/>
    </row>
    <row r="35" spans="1:12" ht="15.75" customHeight="1" x14ac:dyDescent="0.25">
      <c r="A35" s="73"/>
      <c r="B35" s="66">
        <f t="shared" si="0"/>
        <v>46209</v>
      </c>
      <c r="C35" s="85" t="str">
        <f t="shared" si="3"/>
        <v/>
      </c>
      <c r="D35" s="85">
        <f t="shared" si="1"/>
        <v>32</v>
      </c>
      <c r="E35" s="85" t="str">
        <f t="shared" si="2"/>
        <v/>
      </c>
      <c r="F35" s="80" t="str">
        <f t="shared" si="4"/>
        <v/>
      </c>
      <c r="G35" s="81"/>
      <c r="H35" s="81"/>
      <c r="I35" s="82"/>
      <c r="J35" s="83"/>
      <c r="K35" s="84"/>
      <c r="L35" s="86"/>
    </row>
    <row r="36" spans="1:12" ht="15.75" customHeight="1" x14ac:dyDescent="0.25">
      <c r="A36" s="73"/>
      <c r="B36" s="66">
        <f t="shared" si="0"/>
        <v>46216</v>
      </c>
      <c r="C36" s="85" t="str">
        <f t="shared" si="3"/>
        <v/>
      </c>
      <c r="D36" s="85">
        <f t="shared" si="1"/>
        <v>31</v>
      </c>
      <c r="E36" s="85" t="str">
        <f t="shared" si="2"/>
        <v/>
      </c>
      <c r="F36" s="80" t="str">
        <f t="shared" si="4"/>
        <v/>
      </c>
      <c r="G36" s="81"/>
      <c r="H36" s="81"/>
      <c r="I36" s="82"/>
      <c r="J36" s="83"/>
      <c r="K36" s="84"/>
      <c r="L36" s="86"/>
    </row>
    <row r="37" spans="1:12" ht="15.75" customHeight="1" x14ac:dyDescent="0.25">
      <c r="A37" s="73"/>
      <c r="B37" s="66">
        <f t="shared" si="0"/>
        <v>46223</v>
      </c>
      <c r="C37" s="85" t="str">
        <f t="shared" si="3"/>
        <v/>
      </c>
      <c r="D37" s="85">
        <f t="shared" si="1"/>
        <v>30</v>
      </c>
      <c r="E37" s="85" t="str">
        <f t="shared" si="2"/>
        <v/>
      </c>
      <c r="F37" s="80" t="str">
        <f t="shared" si="4"/>
        <v/>
      </c>
      <c r="G37" s="81"/>
      <c r="H37" s="81"/>
      <c r="I37" s="82"/>
      <c r="J37" s="83"/>
      <c r="K37" s="84"/>
      <c r="L37" s="86"/>
    </row>
    <row r="38" spans="1:12" ht="15.75" customHeight="1" x14ac:dyDescent="0.25">
      <c r="A38" s="73"/>
      <c r="B38" s="66">
        <f t="shared" si="0"/>
        <v>46230</v>
      </c>
      <c r="C38" s="85" t="str">
        <f t="shared" si="3"/>
        <v/>
      </c>
      <c r="D38" s="85">
        <f t="shared" si="1"/>
        <v>29</v>
      </c>
      <c r="E38" s="85" t="str">
        <f t="shared" si="2"/>
        <v/>
      </c>
      <c r="F38" s="80" t="str">
        <f t="shared" si="4"/>
        <v/>
      </c>
      <c r="G38" s="81"/>
      <c r="H38" s="81"/>
      <c r="I38" s="82"/>
      <c r="J38" s="83"/>
      <c r="K38" s="84"/>
      <c r="L38" s="86"/>
    </row>
    <row r="39" spans="1:12" ht="15.75" customHeight="1" x14ac:dyDescent="0.25">
      <c r="A39" s="73"/>
      <c r="B39" s="66">
        <f t="shared" si="0"/>
        <v>46237</v>
      </c>
      <c r="C39" s="85" t="str">
        <f t="shared" si="3"/>
        <v/>
      </c>
      <c r="D39" s="85">
        <f t="shared" si="1"/>
        <v>28</v>
      </c>
      <c r="E39" s="85" t="str">
        <f t="shared" si="2"/>
        <v/>
      </c>
      <c r="F39" s="80" t="str">
        <f t="shared" si="4"/>
        <v/>
      </c>
      <c r="G39" s="81"/>
      <c r="H39" s="81"/>
      <c r="I39" s="82"/>
      <c r="J39" s="83"/>
      <c r="K39" s="84"/>
      <c r="L39" s="86"/>
    </row>
    <row r="40" spans="1:12" ht="15.75" customHeight="1" x14ac:dyDescent="0.25">
      <c r="A40" s="73"/>
      <c r="B40" s="66">
        <f t="shared" si="0"/>
        <v>46244</v>
      </c>
      <c r="C40" s="85" t="str">
        <f t="shared" si="3"/>
        <v/>
      </c>
      <c r="D40" s="85">
        <f t="shared" si="1"/>
        <v>27</v>
      </c>
      <c r="E40" s="85" t="str">
        <f t="shared" si="2"/>
        <v/>
      </c>
      <c r="F40" s="80" t="str">
        <f t="shared" si="4"/>
        <v/>
      </c>
      <c r="G40" s="81"/>
      <c r="H40" s="81"/>
      <c r="I40" s="82"/>
      <c r="J40" s="83"/>
      <c r="K40" s="84"/>
      <c r="L40" s="86"/>
    </row>
    <row r="41" spans="1:12" ht="15.75" customHeight="1" x14ac:dyDescent="0.25">
      <c r="A41" s="73"/>
      <c r="B41" s="66">
        <f t="shared" si="0"/>
        <v>46251</v>
      </c>
      <c r="C41" s="85" t="str">
        <f t="shared" si="3"/>
        <v/>
      </c>
      <c r="D41" s="85">
        <f t="shared" si="1"/>
        <v>26</v>
      </c>
      <c r="E41" s="85" t="str">
        <f t="shared" si="2"/>
        <v/>
      </c>
      <c r="F41" s="80" t="str">
        <f t="shared" si="4"/>
        <v/>
      </c>
      <c r="G41" s="81"/>
      <c r="H41" s="81"/>
      <c r="I41" s="82"/>
      <c r="J41" s="83"/>
      <c r="K41" s="84"/>
      <c r="L41" s="86"/>
    </row>
    <row r="42" spans="1:12" ht="15.75" customHeight="1" x14ac:dyDescent="0.25">
      <c r="A42" s="73"/>
      <c r="B42" s="66">
        <f t="shared" si="0"/>
        <v>46258</v>
      </c>
      <c r="C42" s="85" t="str">
        <f t="shared" si="3"/>
        <v/>
      </c>
      <c r="D42" s="85">
        <f t="shared" si="1"/>
        <v>25</v>
      </c>
      <c r="E42" s="85" t="str">
        <f t="shared" si="2"/>
        <v/>
      </c>
      <c r="F42" s="80" t="str">
        <f t="shared" si="4"/>
        <v/>
      </c>
      <c r="G42" s="81"/>
      <c r="H42" s="81"/>
      <c r="I42" s="82"/>
      <c r="J42" s="83"/>
      <c r="K42" s="84"/>
      <c r="L42" s="86"/>
    </row>
    <row r="43" spans="1:12" ht="15.75" customHeight="1" x14ac:dyDescent="0.25">
      <c r="A43" s="73"/>
      <c r="B43" s="66">
        <f t="shared" si="0"/>
        <v>46265</v>
      </c>
      <c r="C43" s="85" t="str">
        <f t="shared" si="3"/>
        <v/>
      </c>
      <c r="D43" s="85">
        <f t="shared" si="1"/>
        <v>24</v>
      </c>
      <c r="E43" s="85" t="str">
        <f t="shared" si="2"/>
        <v/>
      </c>
      <c r="F43" s="80" t="str">
        <f t="shared" si="4"/>
        <v/>
      </c>
      <c r="G43" s="81"/>
      <c r="H43" s="81"/>
      <c r="I43" s="82"/>
      <c r="J43" s="83"/>
      <c r="K43" s="84"/>
      <c r="L43" s="86"/>
    </row>
    <row r="44" spans="1:12" ht="15.75" customHeight="1" x14ac:dyDescent="0.25">
      <c r="A44" s="73"/>
      <c r="B44" s="66">
        <f t="shared" si="0"/>
        <v>46272</v>
      </c>
      <c r="C44" s="85" t="str">
        <f t="shared" si="3"/>
        <v/>
      </c>
      <c r="D44" s="85">
        <f t="shared" si="1"/>
        <v>23</v>
      </c>
      <c r="E44" s="85" t="str">
        <f t="shared" si="2"/>
        <v/>
      </c>
      <c r="F44" s="80" t="str">
        <f t="shared" si="4"/>
        <v/>
      </c>
      <c r="G44" s="81"/>
      <c r="H44" s="81"/>
      <c r="I44" s="82"/>
      <c r="J44" s="83"/>
      <c r="K44" s="84"/>
      <c r="L44" s="86"/>
    </row>
    <row r="45" spans="1:12" ht="15.75" customHeight="1" x14ac:dyDescent="0.25">
      <c r="A45" s="73"/>
      <c r="B45" s="66">
        <f t="shared" si="0"/>
        <v>46279</v>
      </c>
      <c r="C45" s="85" t="str">
        <f t="shared" si="3"/>
        <v/>
      </c>
      <c r="D45" s="85">
        <f t="shared" si="1"/>
        <v>22</v>
      </c>
      <c r="E45" s="85" t="str">
        <f t="shared" si="2"/>
        <v/>
      </c>
      <c r="F45" s="80" t="str">
        <f t="shared" si="4"/>
        <v/>
      </c>
      <c r="G45" s="81"/>
      <c r="H45" s="81"/>
      <c r="I45" s="82"/>
      <c r="J45" s="83"/>
      <c r="K45" s="84"/>
      <c r="L45" s="86"/>
    </row>
    <row r="46" spans="1:12" ht="15.75" customHeight="1" x14ac:dyDescent="0.25">
      <c r="A46" s="73"/>
      <c r="B46" s="66">
        <f t="shared" si="0"/>
        <v>46286</v>
      </c>
      <c r="C46" s="85" t="str">
        <f t="shared" si="3"/>
        <v/>
      </c>
      <c r="D46" s="85">
        <f t="shared" si="1"/>
        <v>21</v>
      </c>
      <c r="E46" s="85" t="str">
        <f t="shared" si="2"/>
        <v/>
      </c>
      <c r="F46" s="80" t="str">
        <f t="shared" si="4"/>
        <v/>
      </c>
      <c r="G46" s="81"/>
      <c r="H46" s="81"/>
      <c r="I46" s="82"/>
      <c r="J46" s="83"/>
      <c r="K46" s="84"/>
      <c r="L46" s="86"/>
    </row>
    <row r="47" spans="1:12" ht="15.75" customHeight="1" x14ac:dyDescent="0.25">
      <c r="A47" s="73"/>
      <c r="B47" s="66">
        <f t="shared" si="0"/>
        <v>46293</v>
      </c>
      <c r="C47" s="85" t="str">
        <f t="shared" si="3"/>
        <v/>
      </c>
      <c r="D47" s="85">
        <f t="shared" si="1"/>
        <v>20</v>
      </c>
      <c r="E47" s="85" t="str">
        <f t="shared" si="2"/>
        <v/>
      </c>
      <c r="F47" s="80" t="str">
        <f t="shared" si="4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/>
      <c r="B48" s="66">
        <f t="shared" si="0"/>
        <v>46300</v>
      </c>
      <c r="C48" s="85" t="str">
        <f t="shared" si="3"/>
        <v/>
      </c>
      <c r="D48" s="85">
        <f t="shared" si="1"/>
        <v>19</v>
      </c>
      <c r="E48" s="85" t="str">
        <f t="shared" si="2"/>
        <v/>
      </c>
      <c r="F48" s="80" t="str">
        <f t="shared" si="4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0"/>
        <v>46307</v>
      </c>
      <c r="C49" s="85" t="str">
        <f t="shared" si="3"/>
        <v/>
      </c>
      <c r="D49" s="85">
        <f t="shared" si="1"/>
        <v>18</v>
      </c>
      <c r="E49" s="85" t="str">
        <f t="shared" si="2"/>
        <v/>
      </c>
      <c r="F49" s="80" t="str">
        <f t="shared" si="4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0"/>
        <v>46314</v>
      </c>
      <c r="C50" s="85" t="str">
        <f t="shared" si="3"/>
        <v/>
      </c>
      <c r="D50" s="85">
        <f t="shared" si="1"/>
        <v>17</v>
      </c>
      <c r="E50" s="85" t="str">
        <f t="shared" si="2"/>
        <v/>
      </c>
      <c r="F50" s="80" t="str">
        <f t="shared" si="4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0"/>
        <v>46321</v>
      </c>
      <c r="C51" s="85" t="str">
        <f t="shared" si="3"/>
        <v/>
      </c>
      <c r="D51" s="85">
        <f t="shared" si="1"/>
        <v>16</v>
      </c>
      <c r="E51" s="85" t="str">
        <f t="shared" si="2"/>
        <v/>
      </c>
      <c r="F51" s="80" t="str">
        <f t="shared" si="4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0"/>
        <v>46328</v>
      </c>
      <c r="C52" s="85" t="str">
        <f t="shared" si="3"/>
        <v/>
      </c>
      <c r="D52" s="85">
        <f t="shared" si="1"/>
        <v>15</v>
      </c>
      <c r="E52" s="85" t="str">
        <f t="shared" si="2"/>
        <v/>
      </c>
      <c r="F52" s="80" t="str">
        <f t="shared" si="4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0"/>
        <v>46335</v>
      </c>
      <c r="C53" s="85" t="str">
        <f t="shared" si="3"/>
        <v/>
      </c>
      <c r="D53" s="85">
        <f t="shared" si="1"/>
        <v>14</v>
      </c>
      <c r="E53" s="85" t="str">
        <f t="shared" si="2"/>
        <v/>
      </c>
      <c r="F53" s="80" t="str">
        <f t="shared" si="4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0"/>
        <v>46342</v>
      </c>
      <c r="C54" s="85" t="str">
        <f t="shared" si="3"/>
        <v/>
      </c>
      <c r="D54" s="85">
        <f t="shared" si="1"/>
        <v>13</v>
      </c>
      <c r="E54" s="85" t="str">
        <f t="shared" si="2"/>
        <v/>
      </c>
      <c r="F54" s="80" t="str">
        <f t="shared" si="4"/>
        <v/>
      </c>
      <c r="G54" s="81"/>
      <c r="H54" s="81"/>
      <c r="I54" s="82"/>
      <c r="J54" s="83"/>
      <c r="K54" s="84"/>
      <c r="L54" s="86"/>
    </row>
    <row r="92" spans="2:3" ht="15.75" customHeight="1" x14ac:dyDescent="0.25">
      <c r="B92" s="67" t="e">
        <f>IF(#REF!="","",IF(#REF!+$C$9&lt;=$C$5,#REF!+$C$9,""))</f>
        <v>#REF!</v>
      </c>
      <c r="C92" s="76" t="e">
        <f>IF(B92&lt;&gt;"",#REF!-$C$2/COUNT($B$17:$B$510),"")</f>
        <v>#REF!</v>
      </c>
    </row>
    <row r="93" spans="2:3" ht="15.75" customHeight="1" x14ac:dyDescent="0.25">
      <c r="B93" s="67" t="e">
        <f t="shared" ref="B93:B156" si="5">IF(B92="","",IF(B92+$C$9&lt;=$C$5,B92+$C$9,""))</f>
        <v>#REF!</v>
      </c>
      <c r="C93" s="76" t="e">
        <f t="shared" ref="C93:C156" si="6">IF(B93&lt;&gt;"",C92-$C$2/COUNT($B$17:$B$510),"")</f>
        <v>#REF!</v>
      </c>
    </row>
    <row r="94" spans="2:3" ht="15.75" customHeight="1" x14ac:dyDescent="0.25">
      <c r="B94" s="67" t="e">
        <f t="shared" si="5"/>
        <v>#REF!</v>
      </c>
      <c r="C94" s="76" t="e">
        <f t="shared" si="6"/>
        <v>#REF!</v>
      </c>
    </row>
    <row r="95" spans="2:3" ht="15.75" customHeight="1" x14ac:dyDescent="0.25">
      <c r="B95" s="67" t="e">
        <f t="shared" si="5"/>
        <v>#REF!</v>
      </c>
      <c r="C95" s="76" t="e">
        <f t="shared" si="6"/>
        <v>#REF!</v>
      </c>
    </row>
    <row r="96" spans="2:3" ht="15.75" customHeight="1" x14ac:dyDescent="0.25">
      <c r="B96" s="67" t="e">
        <f t="shared" si="5"/>
        <v>#REF!</v>
      </c>
      <c r="C96" s="76" t="e">
        <f t="shared" si="6"/>
        <v>#REF!</v>
      </c>
    </row>
    <row r="97" spans="2:3" ht="15.75" customHeight="1" x14ac:dyDescent="0.25">
      <c r="B97" s="67" t="e">
        <f t="shared" si="5"/>
        <v>#REF!</v>
      </c>
      <c r="C97" s="76" t="e">
        <f t="shared" si="6"/>
        <v>#REF!</v>
      </c>
    </row>
    <row r="98" spans="2:3" ht="15.75" customHeight="1" x14ac:dyDescent="0.25">
      <c r="B98" s="67" t="e">
        <f t="shared" si="5"/>
        <v>#REF!</v>
      </c>
      <c r="C98" s="76" t="e">
        <f t="shared" si="6"/>
        <v>#REF!</v>
      </c>
    </row>
    <row r="99" spans="2:3" ht="15.75" customHeight="1" x14ac:dyDescent="0.25">
      <c r="B99" s="67" t="e">
        <f t="shared" si="5"/>
        <v>#REF!</v>
      </c>
      <c r="C99" s="76" t="e">
        <f t="shared" si="6"/>
        <v>#REF!</v>
      </c>
    </row>
    <row r="100" spans="2:3" ht="15.75" customHeight="1" x14ac:dyDescent="0.25">
      <c r="B100" s="67" t="e">
        <f t="shared" si="5"/>
        <v>#REF!</v>
      </c>
      <c r="C100" s="76" t="e">
        <f t="shared" si="6"/>
        <v>#REF!</v>
      </c>
    </row>
    <row r="101" spans="2:3" ht="15.75" customHeight="1" x14ac:dyDescent="0.25">
      <c r="B101" s="67" t="e">
        <f t="shared" si="5"/>
        <v>#REF!</v>
      </c>
      <c r="C101" s="76" t="e">
        <f t="shared" si="6"/>
        <v>#REF!</v>
      </c>
    </row>
    <row r="102" spans="2:3" ht="15.75" customHeight="1" x14ac:dyDescent="0.25">
      <c r="B102" s="67" t="e">
        <f t="shared" si="5"/>
        <v>#REF!</v>
      </c>
      <c r="C102" s="76" t="e">
        <f t="shared" si="6"/>
        <v>#REF!</v>
      </c>
    </row>
    <row r="103" spans="2:3" ht="15.75" customHeight="1" x14ac:dyDescent="0.25">
      <c r="B103" s="67" t="e">
        <f t="shared" si="5"/>
        <v>#REF!</v>
      </c>
      <c r="C103" s="76" t="e">
        <f t="shared" si="6"/>
        <v>#REF!</v>
      </c>
    </row>
    <row r="104" spans="2:3" ht="15.75" customHeight="1" x14ac:dyDescent="0.25">
      <c r="B104" s="67" t="e">
        <f t="shared" si="5"/>
        <v>#REF!</v>
      </c>
      <c r="C104" s="76" t="e">
        <f t="shared" si="6"/>
        <v>#REF!</v>
      </c>
    </row>
    <row r="105" spans="2:3" ht="15.75" customHeight="1" x14ac:dyDescent="0.25">
      <c r="B105" s="67" t="e">
        <f t="shared" si="5"/>
        <v>#REF!</v>
      </c>
      <c r="C105" s="76" t="e">
        <f t="shared" si="6"/>
        <v>#REF!</v>
      </c>
    </row>
    <row r="106" spans="2:3" ht="15.75" customHeight="1" x14ac:dyDescent="0.25">
      <c r="B106" s="67" t="e">
        <f t="shared" si="5"/>
        <v>#REF!</v>
      </c>
      <c r="C106" s="76" t="e">
        <f t="shared" si="6"/>
        <v>#REF!</v>
      </c>
    </row>
    <row r="107" spans="2:3" ht="15.75" customHeight="1" x14ac:dyDescent="0.25">
      <c r="B107" s="67" t="e">
        <f t="shared" si="5"/>
        <v>#REF!</v>
      </c>
      <c r="C107" s="76" t="e">
        <f t="shared" si="6"/>
        <v>#REF!</v>
      </c>
    </row>
    <row r="108" spans="2:3" ht="15.75" customHeight="1" x14ac:dyDescent="0.25">
      <c r="B108" s="67" t="e">
        <f t="shared" si="5"/>
        <v>#REF!</v>
      </c>
      <c r="C108" s="76" t="e">
        <f t="shared" si="6"/>
        <v>#REF!</v>
      </c>
    </row>
    <row r="109" spans="2:3" ht="15.75" customHeight="1" x14ac:dyDescent="0.25">
      <c r="B109" s="67" t="e">
        <f t="shared" si="5"/>
        <v>#REF!</v>
      </c>
      <c r="C109" s="76" t="e">
        <f t="shared" si="6"/>
        <v>#REF!</v>
      </c>
    </row>
    <row r="110" spans="2:3" ht="15.75" customHeight="1" x14ac:dyDescent="0.25">
      <c r="B110" s="67" t="e">
        <f t="shared" si="5"/>
        <v>#REF!</v>
      </c>
      <c r="C110" s="76" t="e">
        <f t="shared" si="6"/>
        <v>#REF!</v>
      </c>
    </row>
    <row r="111" spans="2:3" ht="15.75" customHeight="1" x14ac:dyDescent="0.25">
      <c r="B111" s="67" t="e">
        <f t="shared" si="5"/>
        <v>#REF!</v>
      </c>
      <c r="C111" s="76" t="e">
        <f t="shared" si="6"/>
        <v>#REF!</v>
      </c>
    </row>
    <row r="112" spans="2:3" ht="15.75" customHeight="1" x14ac:dyDescent="0.25">
      <c r="B112" s="67" t="e">
        <f t="shared" si="5"/>
        <v>#REF!</v>
      </c>
      <c r="C112" s="76" t="e">
        <f t="shared" si="6"/>
        <v>#REF!</v>
      </c>
    </row>
    <row r="113" spans="2:3" ht="15.75" customHeight="1" x14ac:dyDescent="0.25">
      <c r="B113" s="67" t="e">
        <f t="shared" si="5"/>
        <v>#REF!</v>
      </c>
      <c r="C113" s="76" t="e">
        <f t="shared" si="6"/>
        <v>#REF!</v>
      </c>
    </row>
    <row r="114" spans="2:3" ht="15.75" customHeight="1" x14ac:dyDescent="0.25">
      <c r="B114" s="67" t="e">
        <f t="shared" si="5"/>
        <v>#REF!</v>
      </c>
      <c r="C114" s="76" t="e">
        <f t="shared" si="6"/>
        <v>#REF!</v>
      </c>
    </row>
    <row r="115" spans="2:3" ht="15.75" customHeight="1" x14ac:dyDescent="0.25">
      <c r="B115" s="67" t="e">
        <f t="shared" si="5"/>
        <v>#REF!</v>
      </c>
      <c r="C115" s="76" t="e">
        <f t="shared" si="6"/>
        <v>#REF!</v>
      </c>
    </row>
    <row r="116" spans="2:3" ht="15.75" customHeight="1" x14ac:dyDescent="0.25">
      <c r="B116" s="67" t="e">
        <f t="shared" si="5"/>
        <v>#REF!</v>
      </c>
      <c r="C116" s="76" t="e">
        <f t="shared" si="6"/>
        <v>#REF!</v>
      </c>
    </row>
    <row r="117" spans="2:3" ht="15.75" customHeight="1" x14ac:dyDescent="0.25">
      <c r="B117" s="67" t="e">
        <f t="shared" si="5"/>
        <v>#REF!</v>
      </c>
      <c r="C117" s="76" t="e">
        <f t="shared" si="6"/>
        <v>#REF!</v>
      </c>
    </row>
    <row r="118" spans="2:3" ht="15.75" customHeight="1" x14ac:dyDescent="0.25">
      <c r="B118" s="67" t="e">
        <f t="shared" si="5"/>
        <v>#REF!</v>
      </c>
      <c r="C118" s="76" t="e">
        <f t="shared" si="6"/>
        <v>#REF!</v>
      </c>
    </row>
    <row r="119" spans="2:3" ht="15.75" customHeight="1" x14ac:dyDescent="0.25">
      <c r="B119" s="67" t="e">
        <f t="shared" si="5"/>
        <v>#REF!</v>
      </c>
      <c r="C119" s="76" t="e">
        <f t="shared" si="6"/>
        <v>#REF!</v>
      </c>
    </row>
    <row r="120" spans="2:3" ht="15.75" customHeight="1" x14ac:dyDescent="0.25">
      <c r="B120" s="67" t="e">
        <f t="shared" si="5"/>
        <v>#REF!</v>
      </c>
      <c r="C120" s="76" t="e">
        <f t="shared" si="6"/>
        <v>#REF!</v>
      </c>
    </row>
    <row r="121" spans="2:3" ht="15.75" customHeight="1" x14ac:dyDescent="0.25">
      <c r="B121" s="67" t="e">
        <f t="shared" si="5"/>
        <v>#REF!</v>
      </c>
      <c r="C121" s="76" t="e">
        <f t="shared" si="6"/>
        <v>#REF!</v>
      </c>
    </row>
    <row r="122" spans="2:3" ht="15.75" customHeight="1" x14ac:dyDescent="0.25">
      <c r="B122" s="67" t="e">
        <f t="shared" si="5"/>
        <v>#REF!</v>
      </c>
      <c r="C122" s="76" t="e">
        <f t="shared" si="6"/>
        <v>#REF!</v>
      </c>
    </row>
    <row r="123" spans="2:3" ht="15.75" customHeight="1" x14ac:dyDescent="0.25">
      <c r="B123" s="67" t="e">
        <f t="shared" si="5"/>
        <v>#REF!</v>
      </c>
      <c r="C123" s="76" t="e">
        <f t="shared" si="6"/>
        <v>#REF!</v>
      </c>
    </row>
    <row r="124" spans="2:3" ht="15.75" customHeight="1" x14ac:dyDescent="0.25">
      <c r="B124" s="67" t="e">
        <f t="shared" si="5"/>
        <v>#REF!</v>
      </c>
      <c r="C124" s="76" t="e">
        <f t="shared" si="6"/>
        <v>#REF!</v>
      </c>
    </row>
    <row r="125" spans="2:3" ht="15.75" customHeight="1" x14ac:dyDescent="0.25">
      <c r="B125" s="67" t="e">
        <f t="shared" si="5"/>
        <v>#REF!</v>
      </c>
      <c r="C125" s="76" t="e">
        <f t="shared" si="6"/>
        <v>#REF!</v>
      </c>
    </row>
    <row r="126" spans="2:3" ht="15.75" customHeight="1" x14ac:dyDescent="0.25">
      <c r="B126" s="67" t="e">
        <f t="shared" si="5"/>
        <v>#REF!</v>
      </c>
      <c r="C126" s="76" t="e">
        <f t="shared" si="6"/>
        <v>#REF!</v>
      </c>
    </row>
    <row r="127" spans="2:3" ht="15.75" customHeight="1" x14ac:dyDescent="0.25">
      <c r="B127" s="67" t="e">
        <f t="shared" si="5"/>
        <v>#REF!</v>
      </c>
      <c r="C127" s="76" t="e">
        <f t="shared" si="6"/>
        <v>#REF!</v>
      </c>
    </row>
    <row r="128" spans="2:3" ht="15.75" customHeight="1" x14ac:dyDescent="0.25">
      <c r="B128" s="67" t="e">
        <f t="shared" si="5"/>
        <v>#REF!</v>
      </c>
      <c r="C128" s="76" t="e">
        <f t="shared" si="6"/>
        <v>#REF!</v>
      </c>
    </row>
    <row r="129" spans="2:3" ht="15.75" customHeight="1" x14ac:dyDescent="0.25">
      <c r="B129" s="67" t="e">
        <f t="shared" si="5"/>
        <v>#REF!</v>
      </c>
      <c r="C129" s="76" t="e">
        <f t="shared" si="6"/>
        <v>#REF!</v>
      </c>
    </row>
    <row r="130" spans="2:3" ht="15.75" customHeight="1" x14ac:dyDescent="0.25">
      <c r="B130" s="67" t="e">
        <f t="shared" si="5"/>
        <v>#REF!</v>
      </c>
      <c r="C130" s="76" t="e">
        <f t="shared" si="6"/>
        <v>#REF!</v>
      </c>
    </row>
    <row r="131" spans="2:3" ht="15.75" customHeight="1" x14ac:dyDescent="0.25">
      <c r="B131" s="67" t="e">
        <f t="shared" si="5"/>
        <v>#REF!</v>
      </c>
      <c r="C131" s="76" t="e">
        <f t="shared" si="6"/>
        <v>#REF!</v>
      </c>
    </row>
    <row r="132" spans="2:3" ht="15.75" customHeight="1" x14ac:dyDescent="0.25">
      <c r="B132" s="67" t="e">
        <f t="shared" si="5"/>
        <v>#REF!</v>
      </c>
      <c r="C132" s="76" t="e">
        <f t="shared" si="6"/>
        <v>#REF!</v>
      </c>
    </row>
    <row r="133" spans="2:3" ht="15.75" customHeight="1" x14ac:dyDescent="0.25">
      <c r="B133" s="67" t="e">
        <f t="shared" si="5"/>
        <v>#REF!</v>
      </c>
      <c r="C133" s="76" t="e">
        <f t="shared" si="6"/>
        <v>#REF!</v>
      </c>
    </row>
    <row r="134" spans="2:3" ht="15.75" customHeight="1" x14ac:dyDescent="0.25">
      <c r="B134" s="67" t="e">
        <f t="shared" si="5"/>
        <v>#REF!</v>
      </c>
      <c r="C134" s="76" t="e">
        <f t="shared" si="6"/>
        <v>#REF!</v>
      </c>
    </row>
    <row r="135" spans="2:3" ht="15.75" customHeight="1" x14ac:dyDescent="0.25">
      <c r="B135" s="67" t="e">
        <f t="shared" si="5"/>
        <v>#REF!</v>
      </c>
      <c r="C135" s="76" t="e">
        <f t="shared" si="6"/>
        <v>#REF!</v>
      </c>
    </row>
    <row r="136" spans="2:3" ht="15.75" customHeight="1" x14ac:dyDescent="0.25">
      <c r="B136" s="67" t="e">
        <f t="shared" si="5"/>
        <v>#REF!</v>
      </c>
      <c r="C136" s="76" t="e">
        <f t="shared" si="6"/>
        <v>#REF!</v>
      </c>
    </row>
    <row r="137" spans="2:3" ht="15.75" customHeight="1" x14ac:dyDescent="0.25">
      <c r="B137" s="67" t="e">
        <f t="shared" si="5"/>
        <v>#REF!</v>
      </c>
      <c r="C137" s="76" t="e">
        <f t="shared" si="6"/>
        <v>#REF!</v>
      </c>
    </row>
    <row r="138" spans="2:3" ht="15.75" customHeight="1" x14ac:dyDescent="0.25">
      <c r="B138" s="67" t="e">
        <f t="shared" si="5"/>
        <v>#REF!</v>
      </c>
      <c r="C138" s="76" t="e">
        <f t="shared" si="6"/>
        <v>#REF!</v>
      </c>
    </row>
    <row r="139" spans="2:3" ht="15.75" customHeight="1" x14ac:dyDescent="0.25">
      <c r="B139" s="67" t="e">
        <f t="shared" si="5"/>
        <v>#REF!</v>
      </c>
      <c r="C139" s="76" t="e">
        <f t="shared" si="6"/>
        <v>#REF!</v>
      </c>
    </row>
    <row r="140" spans="2:3" ht="15.75" customHeight="1" x14ac:dyDescent="0.25">
      <c r="B140" s="67" t="e">
        <f t="shared" si="5"/>
        <v>#REF!</v>
      </c>
      <c r="C140" s="76" t="e">
        <f t="shared" si="6"/>
        <v>#REF!</v>
      </c>
    </row>
    <row r="141" spans="2:3" ht="15.75" customHeight="1" x14ac:dyDescent="0.25">
      <c r="B141" s="67" t="e">
        <f t="shared" si="5"/>
        <v>#REF!</v>
      </c>
      <c r="C141" s="76" t="e">
        <f t="shared" si="6"/>
        <v>#REF!</v>
      </c>
    </row>
    <row r="142" spans="2:3" ht="15.75" customHeight="1" x14ac:dyDescent="0.25">
      <c r="B142" s="67" t="e">
        <f t="shared" si="5"/>
        <v>#REF!</v>
      </c>
      <c r="C142" s="76" t="e">
        <f t="shared" si="6"/>
        <v>#REF!</v>
      </c>
    </row>
    <row r="143" spans="2:3" ht="15.75" customHeight="1" x14ac:dyDescent="0.25">
      <c r="B143" s="67" t="e">
        <f t="shared" si="5"/>
        <v>#REF!</v>
      </c>
      <c r="C143" s="76" t="e">
        <f t="shared" si="6"/>
        <v>#REF!</v>
      </c>
    </row>
    <row r="144" spans="2:3" ht="15.75" customHeight="1" x14ac:dyDescent="0.25">
      <c r="B144" s="67" t="e">
        <f t="shared" si="5"/>
        <v>#REF!</v>
      </c>
      <c r="C144" s="76" t="e">
        <f t="shared" si="6"/>
        <v>#REF!</v>
      </c>
    </row>
    <row r="145" spans="2:3" ht="15.75" customHeight="1" x14ac:dyDescent="0.25">
      <c r="B145" s="67" t="e">
        <f t="shared" si="5"/>
        <v>#REF!</v>
      </c>
      <c r="C145" s="76" t="e">
        <f t="shared" si="6"/>
        <v>#REF!</v>
      </c>
    </row>
    <row r="146" spans="2:3" ht="15.75" customHeight="1" x14ac:dyDescent="0.25">
      <c r="B146" s="67" t="e">
        <f t="shared" si="5"/>
        <v>#REF!</v>
      </c>
      <c r="C146" s="76" t="e">
        <f t="shared" si="6"/>
        <v>#REF!</v>
      </c>
    </row>
    <row r="147" spans="2:3" ht="15.75" customHeight="1" x14ac:dyDescent="0.25">
      <c r="B147" s="67" t="e">
        <f t="shared" si="5"/>
        <v>#REF!</v>
      </c>
      <c r="C147" s="76" t="e">
        <f t="shared" si="6"/>
        <v>#REF!</v>
      </c>
    </row>
    <row r="148" spans="2:3" ht="15.75" customHeight="1" x14ac:dyDescent="0.25">
      <c r="B148" s="67" t="e">
        <f t="shared" si="5"/>
        <v>#REF!</v>
      </c>
      <c r="C148" s="76" t="e">
        <f t="shared" si="6"/>
        <v>#REF!</v>
      </c>
    </row>
    <row r="149" spans="2:3" ht="15.75" customHeight="1" x14ac:dyDescent="0.25">
      <c r="B149" s="67" t="e">
        <f t="shared" si="5"/>
        <v>#REF!</v>
      </c>
      <c r="C149" s="76" t="e">
        <f t="shared" si="6"/>
        <v>#REF!</v>
      </c>
    </row>
    <row r="150" spans="2:3" ht="15.75" customHeight="1" x14ac:dyDescent="0.25">
      <c r="B150" s="67" t="e">
        <f t="shared" si="5"/>
        <v>#REF!</v>
      </c>
      <c r="C150" s="76" t="e">
        <f t="shared" si="6"/>
        <v>#REF!</v>
      </c>
    </row>
    <row r="151" spans="2:3" ht="15.75" customHeight="1" x14ac:dyDescent="0.25">
      <c r="B151" s="67" t="e">
        <f t="shared" si="5"/>
        <v>#REF!</v>
      </c>
      <c r="C151" s="76" t="e">
        <f t="shared" si="6"/>
        <v>#REF!</v>
      </c>
    </row>
    <row r="152" spans="2:3" ht="15.75" customHeight="1" x14ac:dyDescent="0.25">
      <c r="B152" s="67" t="e">
        <f t="shared" si="5"/>
        <v>#REF!</v>
      </c>
      <c r="C152" s="76" t="e">
        <f t="shared" si="6"/>
        <v>#REF!</v>
      </c>
    </row>
    <row r="153" spans="2:3" ht="15.75" customHeight="1" x14ac:dyDescent="0.25">
      <c r="B153" s="67" t="e">
        <f t="shared" si="5"/>
        <v>#REF!</v>
      </c>
      <c r="C153" s="76" t="e">
        <f t="shared" si="6"/>
        <v>#REF!</v>
      </c>
    </row>
    <row r="154" spans="2:3" ht="15.75" customHeight="1" x14ac:dyDescent="0.25">
      <c r="B154" s="67" t="e">
        <f t="shared" si="5"/>
        <v>#REF!</v>
      </c>
      <c r="C154" s="76" t="e">
        <f t="shared" si="6"/>
        <v>#REF!</v>
      </c>
    </row>
    <row r="155" spans="2:3" ht="15.75" customHeight="1" x14ac:dyDescent="0.25">
      <c r="B155" s="67" t="e">
        <f t="shared" si="5"/>
        <v>#REF!</v>
      </c>
      <c r="C155" s="76" t="e">
        <f t="shared" si="6"/>
        <v>#REF!</v>
      </c>
    </row>
    <row r="156" spans="2:3" ht="15.75" customHeight="1" x14ac:dyDescent="0.25">
      <c r="B156" s="67" t="e">
        <f t="shared" si="5"/>
        <v>#REF!</v>
      </c>
      <c r="C156" s="76" t="e">
        <f t="shared" si="6"/>
        <v>#REF!</v>
      </c>
    </row>
    <row r="157" spans="2:3" ht="15.75" customHeight="1" x14ac:dyDescent="0.25">
      <c r="B157" s="67" t="e">
        <f t="shared" ref="B157:B220" si="7">IF(B156="","",IF(B156+$C$9&lt;=$C$5,B156+$C$9,""))</f>
        <v>#REF!</v>
      </c>
      <c r="C157" s="76" t="e">
        <f t="shared" ref="C157:C220" si="8">IF(B157&lt;&gt;"",C156-$C$2/COUNT($B$17:$B$510),"")</f>
        <v>#REF!</v>
      </c>
    </row>
    <row r="158" spans="2:3" ht="15.75" customHeight="1" x14ac:dyDescent="0.25">
      <c r="B158" s="67" t="e">
        <f t="shared" si="7"/>
        <v>#REF!</v>
      </c>
      <c r="C158" s="76" t="e">
        <f t="shared" si="8"/>
        <v>#REF!</v>
      </c>
    </row>
    <row r="159" spans="2:3" ht="15.75" customHeight="1" x14ac:dyDescent="0.25">
      <c r="B159" s="67" t="e">
        <f t="shared" si="7"/>
        <v>#REF!</v>
      </c>
      <c r="C159" s="76" t="e">
        <f t="shared" si="8"/>
        <v>#REF!</v>
      </c>
    </row>
    <row r="160" spans="2:3" ht="15.75" customHeight="1" x14ac:dyDescent="0.25">
      <c r="B160" s="67" t="e">
        <f t="shared" si="7"/>
        <v>#REF!</v>
      </c>
      <c r="C160" s="76" t="e">
        <f t="shared" si="8"/>
        <v>#REF!</v>
      </c>
    </row>
    <row r="161" spans="2:3" ht="15.75" customHeight="1" x14ac:dyDescent="0.25">
      <c r="B161" s="67" t="e">
        <f t="shared" si="7"/>
        <v>#REF!</v>
      </c>
      <c r="C161" s="76" t="e">
        <f t="shared" si="8"/>
        <v>#REF!</v>
      </c>
    </row>
    <row r="162" spans="2:3" ht="15.75" customHeight="1" x14ac:dyDescent="0.25">
      <c r="B162" s="67" t="e">
        <f t="shared" si="7"/>
        <v>#REF!</v>
      </c>
      <c r="C162" s="76" t="e">
        <f t="shared" si="8"/>
        <v>#REF!</v>
      </c>
    </row>
    <row r="163" spans="2:3" ht="15.75" customHeight="1" x14ac:dyDescent="0.25">
      <c r="B163" s="67" t="e">
        <f t="shared" si="7"/>
        <v>#REF!</v>
      </c>
      <c r="C163" s="76" t="e">
        <f t="shared" si="8"/>
        <v>#REF!</v>
      </c>
    </row>
    <row r="164" spans="2:3" ht="15.75" customHeight="1" x14ac:dyDescent="0.25">
      <c r="B164" s="67" t="e">
        <f t="shared" si="7"/>
        <v>#REF!</v>
      </c>
      <c r="C164" s="76" t="e">
        <f t="shared" si="8"/>
        <v>#REF!</v>
      </c>
    </row>
    <row r="165" spans="2:3" ht="15.75" customHeight="1" x14ac:dyDescent="0.25">
      <c r="B165" s="67" t="e">
        <f t="shared" si="7"/>
        <v>#REF!</v>
      </c>
      <c r="C165" s="76" t="e">
        <f t="shared" si="8"/>
        <v>#REF!</v>
      </c>
    </row>
    <row r="166" spans="2:3" ht="15.75" customHeight="1" x14ac:dyDescent="0.25">
      <c r="B166" s="67" t="e">
        <f t="shared" si="7"/>
        <v>#REF!</v>
      </c>
      <c r="C166" s="76" t="e">
        <f t="shared" si="8"/>
        <v>#REF!</v>
      </c>
    </row>
    <row r="167" spans="2:3" ht="15.75" customHeight="1" x14ac:dyDescent="0.25">
      <c r="B167" s="67" t="e">
        <f t="shared" si="7"/>
        <v>#REF!</v>
      </c>
      <c r="C167" s="76" t="e">
        <f t="shared" si="8"/>
        <v>#REF!</v>
      </c>
    </row>
    <row r="168" spans="2:3" ht="15.75" customHeight="1" x14ac:dyDescent="0.25">
      <c r="B168" s="67" t="e">
        <f t="shared" si="7"/>
        <v>#REF!</v>
      </c>
      <c r="C168" s="76" t="e">
        <f t="shared" si="8"/>
        <v>#REF!</v>
      </c>
    </row>
    <row r="169" spans="2:3" ht="15.75" customHeight="1" x14ac:dyDescent="0.25">
      <c r="B169" s="67" t="e">
        <f t="shared" si="7"/>
        <v>#REF!</v>
      </c>
      <c r="C169" s="76" t="e">
        <f t="shared" si="8"/>
        <v>#REF!</v>
      </c>
    </row>
    <row r="170" spans="2:3" ht="15.75" customHeight="1" x14ac:dyDescent="0.25">
      <c r="B170" s="67" t="e">
        <f t="shared" si="7"/>
        <v>#REF!</v>
      </c>
      <c r="C170" s="76" t="e">
        <f t="shared" si="8"/>
        <v>#REF!</v>
      </c>
    </row>
    <row r="171" spans="2:3" ht="15.75" customHeight="1" x14ac:dyDescent="0.25">
      <c r="B171" s="67" t="e">
        <f t="shared" si="7"/>
        <v>#REF!</v>
      </c>
      <c r="C171" s="76" t="e">
        <f t="shared" si="8"/>
        <v>#REF!</v>
      </c>
    </row>
    <row r="172" spans="2:3" ht="15.75" customHeight="1" x14ac:dyDescent="0.25">
      <c r="B172" s="67" t="e">
        <f t="shared" si="7"/>
        <v>#REF!</v>
      </c>
      <c r="C172" s="76" t="e">
        <f t="shared" si="8"/>
        <v>#REF!</v>
      </c>
    </row>
    <row r="173" spans="2:3" ht="15.75" customHeight="1" x14ac:dyDescent="0.25">
      <c r="B173" s="67" t="e">
        <f t="shared" si="7"/>
        <v>#REF!</v>
      </c>
      <c r="C173" s="76" t="e">
        <f t="shared" si="8"/>
        <v>#REF!</v>
      </c>
    </row>
    <row r="174" spans="2:3" ht="15.75" customHeight="1" x14ac:dyDescent="0.25">
      <c r="B174" s="67" t="e">
        <f t="shared" si="7"/>
        <v>#REF!</v>
      </c>
      <c r="C174" s="76" t="e">
        <f t="shared" si="8"/>
        <v>#REF!</v>
      </c>
    </row>
    <row r="175" spans="2:3" ht="15.75" customHeight="1" x14ac:dyDescent="0.25">
      <c r="B175" s="67" t="e">
        <f t="shared" si="7"/>
        <v>#REF!</v>
      </c>
      <c r="C175" s="76" t="e">
        <f t="shared" si="8"/>
        <v>#REF!</v>
      </c>
    </row>
    <row r="176" spans="2:3" ht="15.75" customHeight="1" x14ac:dyDescent="0.25">
      <c r="B176" s="67" t="e">
        <f t="shared" si="7"/>
        <v>#REF!</v>
      </c>
      <c r="C176" s="76" t="e">
        <f t="shared" si="8"/>
        <v>#REF!</v>
      </c>
    </row>
    <row r="177" spans="2:3" ht="15.75" customHeight="1" x14ac:dyDescent="0.25">
      <c r="B177" s="67" t="e">
        <f t="shared" si="7"/>
        <v>#REF!</v>
      </c>
      <c r="C177" s="76" t="e">
        <f t="shared" si="8"/>
        <v>#REF!</v>
      </c>
    </row>
    <row r="178" spans="2:3" ht="15.75" customHeight="1" x14ac:dyDescent="0.25">
      <c r="B178" s="67" t="e">
        <f t="shared" si="7"/>
        <v>#REF!</v>
      </c>
      <c r="C178" s="76" t="e">
        <f t="shared" si="8"/>
        <v>#REF!</v>
      </c>
    </row>
    <row r="179" spans="2:3" ht="15.75" customHeight="1" x14ac:dyDescent="0.25">
      <c r="B179" s="67" t="e">
        <f t="shared" si="7"/>
        <v>#REF!</v>
      </c>
      <c r="C179" s="76" t="e">
        <f t="shared" si="8"/>
        <v>#REF!</v>
      </c>
    </row>
    <row r="180" spans="2:3" ht="15.75" customHeight="1" x14ac:dyDescent="0.25">
      <c r="B180" s="67" t="e">
        <f t="shared" si="7"/>
        <v>#REF!</v>
      </c>
      <c r="C180" s="76" t="e">
        <f t="shared" si="8"/>
        <v>#REF!</v>
      </c>
    </row>
    <row r="181" spans="2:3" ht="15.75" customHeight="1" x14ac:dyDescent="0.25">
      <c r="B181" s="67" t="e">
        <f t="shared" si="7"/>
        <v>#REF!</v>
      </c>
      <c r="C181" s="76" t="e">
        <f t="shared" si="8"/>
        <v>#REF!</v>
      </c>
    </row>
    <row r="182" spans="2:3" ht="15.75" customHeight="1" x14ac:dyDescent="0.25">
      <c r="B182" s="67" t="e">
        <f t="shared" si="7"/>
        <v>#REF!</v>
      </c>
      <c r="C182" s="76" t="e">
        <f t="shared" si="8"/>
        <v>#REF!</v>
      </c>
    </row>
    <row r="183" spans="2:3" ht="15.75" customHeight="1" x14ac:dyDescent="0.25">
      <c r="B183" s="67" t="e">
        <f t="shared" si="7"/>
        <v>#REF!</v>
      </c>
      <c r="C183" s="76" t="e">
        <f t="shared" si="8"/>
        <v>#REF!</v>
      </c>
    </row>
    <row r="184" spans="2:3" ht="15.75" customHeight="1" x14ac:dyDescent="0.25">
      <c r="B184" s="67" t="e">
        <f t="shared" si="7"/>
        <v>#REF!</v>
      </c>
      <c r="C184" s="76" t="e">
        <f t="shared" si="8"/>
        <v>#REF!</v>
      </c>
    </row>
    <row r="185" spans="2:3" ht="15.75" customHeight="1" x14ac:dyDescent="0.25">
      <c r="B185" s="67" t="e">
        <f t="shared" si="7"/>
        <v>#REF!</v>
      </c>
      <c r="C185" s="76" t="e">
        <f t="shared" si="8"/>
        <v>#REF!</v>
      </c>
    </row>
    <row r="186" spans="2:3" ht="15.75" customHeight="1" x14ac:dyDescent="0.25">
      <c r="B186" s="67" t="e">
        <f t="shared" si="7"/>
        <v>#REF!</v>
      </c>
      <c r="C186" s="76" t="e">
        <f t="shared" si="8"/>
        <v>#REF!</v>
      </c>
    </row>
    <row r="187" spans="2:3" ht="15.75" customHeight="1" x14ac:dyDescent="0.25">
      <c r="B187" s="67" t="e">
        <f t="shared" si="7"/>
        <v>#REF!</v>
      </c>
      <c r="C187" s="76" t="e">
        <f t="shared" si="8"/>
        <v>#REF!</v>
      </c>
    </row>
    <row r="188" spans="2:3" ht="15.75" customHeight="1" x14ac:dyDescent="0.25">
      <c r="B188" s="67" t="e">
        <f t="shared" si="7"/>
        <v>#REF!</v>
      </c>
      <c r="C188" s="76" t="e">
        <f t="shared" si="8"/>
        <v>#REF!</v>
      </c>
    </row>
    <row r="189" spans="2:3" ht="15.75" customHeight="1" x14ac:dyDescent="0.25">
      <c r="B189" s="67" t="e">
        <f t="shared" si="7"/>
        <v>#REF!</v>
      </c>
      <c r="C189" s="76" t="e">
        <f t="shared" si="8"/>
        <v>#REF!</v>
      </c>
    </row>
    <row r="190" spans="2:3" ht="15.75" customHeight="1" x14ac:dyDescent="0.25">
      <c r="B190" s="67" t="e">
        <f t="shared" si="7"/>
        <v>#REF!</v>
      </c>
      <c r="C190" s="76" t="e">
        <f t="shared" si="8"/>
        <v>#REF!</v>
      </c>
    </row>
    <row r="191" spans="2:3" ht="15.75" customHeight="1" x14ac:dyDescent="0.25">
      <c r="B191" s="67" t="e">
        <f t="shared" si="7"/>
        <v>#REF!</v>
      </c>
      <c r="C191" s="76" t="e">
        <f t="shared" si="8"/>
        <v>#REF!</v>
      </c>
    </row>
    <row r="192" spans="2:3" ht="15.75" customHeight="1" x14ac:dyDescent="0.25">
      <c r="B192" s="67" t="e">
        <f t="shared" si="7"/>
        <v>#REF!</v>
      </c>
      <c r="C192" s="76" t="e">
        <f t="shared" si="8"/>
        <v>#REF!</v>
      </c>
    </row>
    <row r="193" spans="2:3" ht="15.75" customHeight="1" x14ac:dyDescent="0.25">
      <c r="B193" s="67" t="e">
        <f t="shared" si="7"/>
        <v>#REF!</v>
      </c>
      <c r="C193" s="76" t="e">
        <f t="shared" si="8"/>
        <v>#REF!</v>
      </c>
    </row>
    <row r="194" spans="2:3" ht="15.75" customHeight="1" x14ac:dyDescent="0.25">
      <c r="B194" s="67" t="e">
        <f t="shared" si="7"/>
        <v>#REF!</v>
      </c>
      <c r="C194" s="76" t="e">
        <f t="shared" si="8"/>
        <v>#REF!</v>
      </c>
    </row>
    <row r="195" spans="2:3" ht="15.75" customHeight="1" x14ac:dyDescent="0.25">
      <c r="B195" s="67" t="e">
        <f t="shared" si="7"/>
        <v>#REF!</v>
      </c>
      <c r="C195" s="76" t="e">
        <f t="shared" si="8"/>
        <v>#REF!</v>
      </c>
    </row>
    <row r="196" spans="2:3" ht="15.75" customHeight="1" x14ac:dyDescent="0.25">
      <c r="B196" s="67" t="e">
        <f t="shared" si="7"/>
        <v>#REF!</v>
      </c>
      <c r="C196" s="76" t="e">
        <f t="shared" si="8"/>
        <v>#REF!</v>
      </c>
    </row>
    <row r="197" spans="2:3" ht="15.75" customHeight="1" x14ac:dyDescent="0.25">
      <c r="B197" s="67" t="e">
        <f t="shared" si="7"/>
        <v>#REF!</v>
      </c>
      <c r="C197" s="76" t="e">
        <f t="shared" si="8"/>
        <v>#REF!</v>
      </c>
    </row>
    <row r="198" spans="2:3" ht="15.75" customHeight="1" x14ac:dyDescent="0.25">
      <c r="B198" s="67" t="e">
        <f t="shared" si="7"/>
        <v>#REF!</v>
      </c>
      <c r="C198" s="76" t="e">
        <f t="shared" si="8"/>
        <v>#REF!</v>
      </c>
    </row>
    <row r="199" spans="2:3" ht="15.75" customHeight="1" x14ac:dyDescent="0.25">
      <c r="B199" s="67" t="e">
        <f t="shared" si="7"/>
        <v>#REF!</v>
      </c>
      <c r="C199" s="76" t="e">
        <f t="shared" si="8"/>
        <v>#REF!</v>
      </c>
    </row>
    <row r="200" spans="2:3" ht="15.75" customHeight="1" x14ac:dyDescent="0.25">
      <c r="B200" s="67" t="e">
        <f t="shared" si="7"/>
        <v>#REF!</v>
      </c>
      <c r="C200" s="76" t="e">
        <f t="shared" si="8"/>
        <v>#REF!</v>
      </c>
    </row>
    <row r="201" spans="2:3" ht="15.75" customHeight="1" x14ac:dyDescent="0.25">
      <c r="B201" s="67" t="e">
        <f t="shared" si="7"/>
        <v>#REF!</v>
      </c>
      <c r="C201" s="76" t="e">
        <f t="shared" si="8"/>
        <v>#REF!</v>
      </c>
    </row>
    <row r="202" spans="2:3" ht="15.75" customHeight="1" x14ac:dyDescent="0.25">
      <c r="B202" s="67" t="e">
        <f t="shared" si="7"/>
        <v>#REF!</v>
      </c>
      <c r="C202" s="76" t="e">
        <f t="shared" si="8"/>
        <v>#REF!</v>
      </c>
    </row>
    <row r="203" spans="2:3" ht="15.75" customHeight="1" x14ac:dyDescent="0.25">
      <c r="B203" s="67" t="e">
        <f t="shared" si="7"/>
        <v>#REF!</v>
      </c>
      <c r="C203" s="76" t="e">
        <f t="shared" si="8"/>
        <v>#REF!</v>
      </c>
    </row>
    <row r="204" spans="2:3" ht="15.75" customHeight="1" x14ac:dyDescent="0.25">
      <c r="B204" s="67" t="e">
        <f t="shared" si="7"/>
        <v>#REF!</v>
      </c>
      <c r="C204" s="76" t="e">
        <f t="shared" si="8"/>
        <v>#REF!</v>
      </c>
    </row>
    <row r="205" spans="2:3" ht="15.75" customHeight="1" x14ac:dyDescent="0.25">
      <c r="B205" s="67" t="e">
        <f t="shared" si="7"/>
        <v>#REF!</v>
      </c>
      <c r="C205" s="76" t="e">
        <f t="shared" si="8"/>
        <v>#REF!</v>
      </c>
    </row>
    <row r="206" spans="2:3" ht="15.75" customHeight="1" x14ac:dyDescent="0.25">
      <c r="B206" s="67" t="e">
        <f t="shared" si="7"/>
        <v>#REF!</v>
      </c>
      <c r="C206" s="76" t="e">
        <f t="shared" si="8"/>
        <v>#REF!</v>
      </c>
    </row>
    <row r="207" spans="2:3" ht="15.75" customHeight="1" x14ac:dyDescent="0.25">
      <c r="B207" s="67" t="e">
        <f t="shared" si="7"/>
        <v>#REF!</v>
      </c>
      <c r="C207" s="76" t="e">
        <f t="shared" si="8"/>
        <v>#REF!</v>
      </c>
    </row>
    <row r="208" spans="2:3" ht="15.75" customHeight="1" x14ac:dyDescent="0.25">
      <c r="B208" s="67" t="e">
        <f t="shared" si="7"/>
        <v>#REF!</v>
      </c>
      <c r="C208" s="76" t="e">
        <f t="shared" si="8"/>
        <v>#REF!</v>
      </c>
    </row>
    <row r="209" spans="2:3" ht="15.75" customHeight="1" x14ac:dyDescent="0.25">
      <c r="B209" s="67" t="e">
        <f t="shared" si="7"/>
        <v>#REF!</v>
      </c>
      <c r="C209" s="76" t="e">
        <f t="shared" si="8"/>
        <v>#REF!</v>
      </c>
    </row>
    <row r="210" spans="2:3" ht="15.75" customHeight="1" x14ac:dyDescent="0.25">
      <c r="B210" s="67" t="e">
        <f t="shared" si="7"/>
        <v>#REF!</v>
      </c>
      <c r="C210" s="76" t="e">
        <f t="shared" si="8"/>
        <v>#REF!</v>
      </c>
    </row>
    <row r="211" spans="2:3" ht="15.75" customHeight="1" x14ac:dyDescent="0.25">
      <c r="B211" s="67" t="e">
        <f t="shared" si="7"/>
        <v>#REF!</v>
      </c>
      <c r="C211" s="76" t="e">
        <f t="shared" si="8"/>
        <v>#REF!</v>
      </c>
    </row>
    <row r="212" spans="2:3" ht="15.75" customHeight="1" x14ac:dyDescent="0.25">
      <c r="B212" s="67" t="e">
        <f t="shared" si="7"/>
        <v>#REF!</v>
      </c>
      <c r="C212" s="76" t="e">
        <f t="shared" si="8"/>
        <v>#REF!</v>
      </c>
    </row>
    <row r="213" spans="2:3" ht="15.75" customHeight="1" x14ac:dyDescent="0.25">
      <c r="B213" s="67" t="e">
        <f t="shared" si="7"/>
        <v>#REF!</v>
      </c>
      <c r="C213" s="76" t="e">
        <f t="shared" si="8"/>
        <v>#REF!</v>
      </c>
    </row>
    <row r="214" spans="2:3" ht="15.75" customHeight="1" x14ac:dyDescent="0.25">
      <c r="B214" s="67" t="e">
        <f t="shared" si="7"/>
        <v>#REF!</v>
      </c>
      <c r="C214" s="76" t="e">
        <f t="shared" si="8"/>
        <v>#REF!</v>
      </c>
    </row>
    <row r="215" spans="2:3" ht="15.75" customHeight="1" x14ac:dyDescent="0.25">
      <c r="B215" s="67" t="e">
        <f t="shared" si="7"/>
        <v>#REF!</v>
      </c>
      <c r="C215" s="76" t="e">
        <f t="shared" si="8"/>
        <v>#REF!</v>
      </c>
    </row>
    <row r="216" spans="2:3" ht="15.75" customHeight="1" x14ac:dyDescent="0.25">
      <c r="B216" s="67" t="e">
        <f t="shared" si="7"/>
        <v>#REF!</v>
      </c>
      <c r="C216" s="76" t="e">
        <f t="shared" si="8"/>
        <v>#REF!</v>
      </c>
    </row>
    <row r="217" spans="2:3" ht="15.75" customHeight="1" x14ac:dyDescent="0.25">
      <c r="B217" s="67" t="e">
        <f t="shared" si="7"/>
        <v>#REF!</v>
      </c>
      <c r="C217" s="76" t="e">
        <f t="shared" si="8"/>
        <v>#REF!</v>
      </c>
    </row>
    <row r="218" spans="2:3" ht="15.75" customHeight="1" x14ac:dyDescent="0.25">
      <c r="B218" s="67" t="e">
        <f t="shared" si="7"/>
        <v>#REF!</v>
      </c>
      <c r="C218" s="76" t="e">
        <f t="shared" si="8"/>
        <v>#REF!</v>
      </c>
    </row>
    <row r="219" spans="2:3" ht="15.75" customHeight="1" x14ac:dyDescent="0.25">
      <c r="B219" s="67" t="e">
        <f t="shared" si="7"/>
        <v>#REF!</v>
      </c>
      <c r="C219" s="76" t="e">
        <f t="shared" si="8"/>
        <v>#REF!</v>
      </c>
    </row>
    <row r="220" spans="2:3" ht="15.75" customHeight="1" x14ac:dyDescent="0.25">
      <c r="B220" s="67" t="e">
        <f t="shared" si="7"/>
        <v>#REF!</v>
      </c>
      <c r="C220" s="76" t="e">
        <f t="shared" si="8"/>
        <v>#REF!</v>
      </c>
    </row>
    <row r="221" spans="2:3" ht="15.75" customHeight="1" x14ac:dyDescent="0.25">
      <c r="B221" s="67" t="e">
        <f t="shared" ref="B221:B284" si="9">IF(B220="","",IF(B220+$C$9&lt;=$C$5,B220+$C$9,""))</f>
        <v>#REF!</v>
      </c>
      <c r="C221" s="76" t="e">
        <f t="shared" ref="C221:C284" si="10">IF(B221&lt;&gt;"",C220-$C$2/COUNT($B$17:$B$510),"")</f>
        <v>#REF!</v>
      </c>
    </row>
    <row r="222" spans="2:3" ht="15.75" customHeight="1" x14ac:dyDescent="0.25">
      <c r="B222" s="67" t="e">
        <f t="shared" si="9"/>
        <v>#REF!</v>
      </c>
      <c r="C222" s="76" t="e">
        <f t="shared" si="10"/>
        <v>#REF!</v>
      </c>
    </row>
    <row r="223" spans="2:3" ht="15.75" customHeight="1" x14ac:dyDescent="0.25">
      <c r="B223" s="67" t="e">
        <f t="shared" si="9"/>
        <v>#REF!</v>
      </c>
      <c r="C223" s="76" t="e">
        <f t="shared" si="10"/>
        <v>#REF!</v>
      </c>
    </row>
    <row r="224" spans="2:3" ht="15.75" customHeight="1" x14ac:dyDescent="0.25">
      <c r="B224" s="67" t="e">
        <f t="shared" si="9"/>
        <v>#REF!</v>
      </c>
      <c r="C224" s="76" t="e">
        <f t="shared" si="10"/>
        <v>#REF!</v>
      </c>
    </row>
    <row r="225" spans="2:3" ht="15.75" customHeight="1" x14ac:dyDescent="0.25">
      <c r="B225" s="67" t="e">
        <f t="shared" si="9"/>
        <v>#REF!</v>
      </c>
      <c r="C225" s="76" t="e">
        <f t="shared" si="10"/>
        <v>#REF!</v>
      </c>
    </row>
    <row r="226" spans="2:3" ht="15.75" customHeight="1" x14ac:dyDescent="0.25">
      <c r="B226" s="67" t="e">
        <f t="shared" si="9"/>
        <v>#REF!</v>
      </c>
      <c r="C226" s="76" t="e">
        <f t="shared" si="10"/>
        <v>#REF!</v>
      </c>
    </row>
    <row r="227" spans="2:3" ht="15.75" customHeight="1" x14ac:dyDescent="0.25">
      <c r="B227" s="67" t="e">
        <f t="shared" si="9"/>
        <v>#REF!</v>
      </c>
      <c r="C227" s="76" t="e">
        <f t="shared" si="10"/>
        <v>#REF!</v>
      </c>
    </row>
    <row r="228" spans="2:3" ht="15.75" customHeight="1" x14ac:dyDescent="0.25">
      <c r="B228" s="67" t="e">
        <f t="shared" si="9"/>
        <v>#REF!</v>
      </c>
      <c r="C228" s="76" t="e">
        <f t="shared" si="10"/>
        <v>#REF!</v>
      </c>
    </row>
    <row r="229" spans="2:3" ht="15.75" customHeight="1" x14ac:dyDescent="0.25">
      <c r="B229" s="67" t="e">
        <f t="shared" si="9"/>
        <v>#REF!</v>
      </c>
      <c r="C229" s="76" t="e">
        <f t="shared" si="10"/>
        <v>#REF!</v>
      </c>
    </row>
    <row r="230" spans="2:3" ht="15.75" customHeight="1" x14ac:dyDescent="0.25">
      <c r="B230" s="67" t="e">
        <f t="shared" si="9"/>
        <v>#REF!</v>
      </c>
      <c r="C230" s="76" t="e">
        <f t="shared" si="10"/>
        <v>#REF!</v>
      </c>
    </row>
    <row r="231" spans="2:3" ht="15.75" customHeight="1" x14ac:dyDescent="0.25">
      <c r="B231" s="67" t="e">
        <f t="shared" si="9"/>
        <v>#REF!</v>
      </c>
      <c r="C231" s="76" t="e">
        <f t="shared" si="10"/>
        <v>#REF!</v>
      </c>
    </row>
    <row r="232" spans="2:3" ht="15.75" customHeight="1" x14ac:dyDescent="0.25">
      <c r="B232" s="67" t="e">
        <f t="shared" si="9"/>
        <v>#REF!</v>
      </c>
      <c r="C232" s="76" t="e">
        <f t="shared" si="10"/>
        <v>#REF!</v>
      </c>
    </row>
    <row r="233" spans="2:3" ht="15.75" customHeight="1" x14ac:dyDescent="0.25">
      <c r="B233" s="67" t="e">
        <f t="shared" si="9"/>
        <v>#REF!</v>
      </c>
      <c r="C233" s="76" t="e">
        <f t="shared" si="10"/>
        <v>#REF!</v>
      </c>
    </row>
    <row r="234" spans="2:3" ht="15.75" customHeight="1" x14ac:dyDescent="0.25">
      <c r="B234" s="67" t="e">
        <f t="shared" si="9"/>
        <v>#REF!</v>
      </c>
      <c r="C234" s="76" t="e">
        <f t="shared" si="10"/>
        <v>#REF!</v>
      </c>
    </row>
    <row r="235" spans="2:3" ht="15.75" customHeight="1" x14ac:dyDescent="0.25">
      <c r="B235" s="67" t="e">
        <f t="shared" si="9"/>
        <v>#REF!</v>
      </c>
      <c r="C235" s="76" t="e">
        <f t="shared" si="10"/>
        <v>#REF!</v>
      </c>
    </row>
    <row r="236" spans="2:3" ht="15.75" customHeight="1" x14ac:dyDescent="0.25">
      <c r="B236" s="67" t="e">
        <f t="shared" si="9"/>
        <v>#REF!</v>
      </c>
      <c r="C236" s="76" t="e">
        <f t="shared" si="10"/>
        <v>#REF!</v>
      </c>
    </row>
    <row r="237" spans="2:3" ht="15.75" customHeight="1" x14ac:dyDescent="0.25">
      <c r="B237" s="67" t="e">
        <f t="shared" si="9"/>
        <v>#REF!</v>
      </c>
      <c r="C237" s="76" t="e">
        <f t="shared" si="10"/>
        <v>#REF!</v>
      </c>
    </row>
    <row r="238" spans="2:3" ht="15.75" customHeight="1" x14ac:dyDescent="0.25">
      <c r="B238" s="67" t="e">
        <f t="shared" si="9"/>
        <v>#REF!</v>
      </c>
      <c r="C238" s="76" t="e">
        <f t="shared" si="10"/>
        <v>#REF!</v>
      </c>
    </row>
    <row r="239" spans="2:3" ht="15.75" customHeight="1" x14ac:dyDescent="0.25">
      <c r="B239" s="67" t="e">
        <f t="shared" si="9"/>
        <v>#REF!</v>
      </c>
      <c r="C239" s="76" t="e">
        <f t="shared" si="10"/>
        <v>#REF!</v>
      </c>
    </row>
    <row r="240" spans="2:3" ht="15.75" customHeight="1" x14ac:dyDescent="0.25">
      <c r="B240" s="67" t="e">
        <f t="shared" si="9"/>
        <v>#REF!</v>
      </c>
      <c r="C240" s="76" t="e">
        <f t="shared" si="10"/>
        <v>#REF!</v>
      </c>
    </row>
    <row r="241" spans="2:3" ht="15.75" customHeight="1" x14ac:dyDescent="0.25">
      <c r="B241" s="67" t="e">
        <f t="shared" si="9"/>
        <v>#REF!</v>
      </c>
      <c r="C241" s="76" t="e">
        <f t="shared" si="10"/>
        <v>#REF!</v>
      </c>
    </row>
    <row r="242" spans="2:3" ht="15.75" customHeight="1" x14ac:dyDescent="0.25">
      <c r="B242" s="67" t="e">
        <f t="shared" si="9"/>
        <v>#REF!</v>
      </c>
      <c r="C242" s="76" t="e">
        <f t="shared" si="10"/>
        <v>#REF!</v>
      </c>
    </row>
    <row r="243" spans="2:3" ht="15.75" customHeight="1" x14ac:dyDescent="0.25">
      <c r="B243" s="67" t="e">
        <f t="shared" si="9"/>
        <v>#REF!</v>
      </c>
      <c r="C243" s="76" t="e">
        <f t="shared" si="10"/>
        <v>#REF!</v>
      </c>
    </row>
    <row r="244" spans="2:3" ht="15.75" customHeight="1" x14ac:dyDescent="0.25">
      <c r="B244" s="67" t="e">
        <f t="shared" si="9"/>
        <v>#REF!</v>
      </c>
      <c r="C244" s="76" t="e">
        <f t="shared" si="10"/>
        <v>#REF!</v>
      </c>
    </row>
    <row r="245" spans="2:3" ht="15.75" customHeight="1" x14ac:dyDescent="0.25">
      <c r="B245" s="67" t="e">
        <f t="shared" si="9"/>
        <v>#REF!</v>
      </c>
      <c r="C245" s="76" t="e">
        <f t="shared" si="10"/>
        <v>#REF!</v>
      </c>
    </row>
    <row r="246" spans="2:3" ht="15.75" customHeight="1" x14ac:dyDescent="0.25">
      <c r="B246" s="67" t="e">
        <f t="shared" si="9"/>
        <v>#REF!</v>
      </c>
      <c r="C246" s="76" t="e">
        <f t="shared" si="10"/>
        <v>#REF!</v>
      </c>
    </row>
    <row r="247" spans="2:3" ht="15.75" customHeight="1" x14ac:dyDescent="0.25">
      <c r="B247" s="67" t="e">
        <f t="shared" si="9"/>
        <v>#REF!</v>
      </c>
      <c r="C247" s="76" t="e">
        <f t="shared" si="10"/>
        <v>#REF!</v>
      </c>
    </row>
    <row r="248" spans="2:3" ht="15.75" customHeight="1" x14ac:dyDescent="0.25">
      <c r="B248" s="67" t="e">
        <f t="shared" si="9"/>
        <v>#REF!</v>
      </c>
      <c r="C248" s="76" t="e">
        <f t="shared" si="10"/>
        <v>#REF!</v>
      </c>
    </row>
    <row r="249" spans="2:3" ht="15.75" customHeight="1" x14ac:dyDescent="0.25">
      <c r="B249" s="67" t="e">
        <f t="shared" si="9"/>
        <v>#REF!</v>
      </c>
      <c r="C249" s="76" t="e">
        <f t="shared" si="10"/>
        <v>#REF!</v>
      </c>
    </row>
    <row r="250" spans="2:3" ht="15.75" customHeight="1" x14ac:dyDescent="0.25">
      <c r="B250" s="67" t="e">
        <f t="shared" si="9"/>
        <v>#REF!</v>
      </c>
      <c r="C250" s="76" t="e">
        <f t="shared" si="10"/>
        <v>#REF!</v>
      </c>
    </row>
    <row r="251" spans="2:3" ht="15.75" customHeight="1" x14ac:dyDescent="0.25">
      <c r="B251" s="67" t="e">
        <f t="shared" si="9"/>
        <v>#REF!</v>
      </c>
      <c r="C251" s="76" t="e">
        <f t="shared" si="10"/>
        <v>#REF!</v>
      </c>
    </row>
    <row r="252" spans="2:3" ht="15.75" customHeight="1" x14ac:dyDescent="0.25">
      <c r="B252" s="67" t="e">
        <f t="shared" si="9"/>
        <v>#REF!</v>
      </c>
      <c r="C252" s="76" t="e">
        <f t="shared" si="10"/>
        <v>#REF!</v>
      </c>
    </row>
    <row r="253" spans="2:3" ht="15.75" customHeight="1" x14ac:dyDescent="0.25">
      <c r="B253" s="67" t="e">
        <f t="shared" si="9"/>
        <v>#REF!</v>
      </c>
      <c r="C253" s="76" t="e">
        <f t="shared" si="10"/>
        <v>#REF!</v>
      </c>
    </row>
    <row r="254" spans="2:3" ht="15.75" customHeight="1" x14ac:dyDescent="0.25">
      <c r="B254" s="67" t="e">
        <f t="shared" si="9"/>
        <v>#REF!</v>
      </c>
      <c r="C254" s="76" t="e">
        <f t="shared" si="10"/>
        <v>#REF!</v>
      </c>
    </row>
    <row r="255" spans="2:3" ht="15.75" customHeight="1" x14ac:dyDescent="0.25">
      <c r="B255" s="67" t="e">
        <f t="shared" si="9"/>
        <v>#REF!</v>
      </c>
      <c r="C255" s="76" t="e">
        <f t="shared" si="10"/>
        <v>#REF!</v>
      </c>
    </row>
    <row r="256" spans="2:3" ht="15.75" customHeight="1" x14ac:dyDescent="0.25">
      <c r="B256" s="67" t="e">
        <f t="shared" si="9"/>
        <v>#REF!</v>
      </c>
      <c r="C256" s="76" t="e">
        <f t="shared" si="10"/>
        <v>#REF!</v>
      </c>
    </row>
    <row r="257" spans="2:3" ht="15.75" customHeight="1" x14ac:dyDescent="0.25">
      <c r="B257" s="67" t="e">
        <f t="shared" si="9"/>
        <v>#REF!</v>
      </c>
      <c r="C257" s="76" t="e">
        <f t="shared" si="10"/>
        <v>#REF!</v>
      </c>
    </row>
    <row r="258" spans="2:3" ht="15.75" customHeight="1" x14ac:dyDescent="0.25">
      <c r="B258" s="67" t="e">
        <f t="shared" si="9"/>
        <v>#REF!</v>
      </c>
      <c r="C258" s="76" t="e">
        <f t="shared" si="10"/>
        <v>#REF!</v>
      </c>
    </row>
    <row r="259" spans="2:3" ht="15.75" customHeight="1" x14ac:dyDescent="0.25">
      <c r="B259" s="67" t="e">
        <f t="shared" si="9"/>
        <v>#REF!</v>
      </c>
      <c r="C259" s="76" t="e">
        <f t="shared" si="10"/>
        <v>#REF!</v>
      </c>
    </row>
    <row r="260" spans="2:3" ht="15.75" customHeight="1" x14ac:dyDescent="0.25">
      <c r="B260" s="67" t="e">
        <f t="shared" si="9"/>
        <v>#REF!</v>
      </c>
      <c r="C260" s="76" t="e">
        <f t="shared" si="10"/>
        <v>#REF!</v>
      </c>
    </row>
    <row r="261" spans="2:3" ht="15.75" customHeight="1" x14ac:dyDescent="0.25">
      <c r="B261" s="67" t="e">
        <f t="shared" si="9"/>
        <v>#REF!</v>
      </c>
      <c r="C261" s="76" t="e">
        <f t="shared" si="10"/>
        <v>#REF!</v>
      </c>
    </row>
    <row r="262" spans="2:3" ht="15.75" customHeight="1" x14ac:dyDescent="0.25">
      <c r="B262" s="67" t="e">
        <f t="shared" si="9"/>
        <v>#REF!</v>
      </c>
      <c r="C262" s="76" t="e">
        <f t="shared" si="10"/>
        <v>#REF!</v>
      </c>
    </row>
    <row r="263" spans="2:3" ht="15.75" customHeight="1" x14ac:dyDescent="0.25">
      <c r="B263" s="67" t="e">
        <f t="shared" si="9"/>
        <v>#REF!</v>
      </c>
      <c r="C263" s="76" t="e">
        <f t="shared" si="10"/>
        <v>#REF!</v>
      </c>
    </row>
    <row r="264" spans="2:3" ht="15.75" customHeight="1" x14ac:dyDescent="0.25">
      <c r="B264" s="67" t="e">
        <f t="shared" si="9"/>
        <v>#REF!</v>
      </c>
      <c r="C264" s="76" t="e">
        <f t="shared" si="10"/>
        <v>#REF!</v>
      </c>
    </row>
    <row r="265" spans="2:3" ht="15.75" customHeight="1" x14ac:dyDescent="0.25">
      <c r="B265" s="67" t="e">
        <f t="shared" si="9"/>
        <v>#REF!</v>
      </c>
      <c r="C265" s="76" t="e">
        <f t="shared" si="10"/>
        <v>#REF!</v>
      </c>
    </row>
    <row r="266" spans="2:3" ht="15.75" customHeight="1" x14ac:dyDescent="0.25">
      <c r="B266" s="67" t="e">
        <f t="shared" si="9"/>
        <v>#REF!</v>
      </c>
      <c r="C266" s="76" t="e">
        <f t="shared" si="10"/>
        <v>#REF!</v>
      </c>
    </row>
    <row r="267" spans="2:3" ht="15.75" customHeight="1" x14ac:dyDescent="0.25">
      <c r="B267" s="67" t="e">
        <f t="shared" si="9"/>
        <v>#REF!</v>
      </c>
      <c r="C267" s="76" t="e">
        <f t="shared" si="10"/>
        <v>#REF!</v>
      </c>
    </row>
    <row r="268" spans="2:3" ht="15.75" customHeight="1" x14ac:dyDescent="0.25">
      <c r="B268" s="67" t="e">
        <f t="shared" si="9"/>
        <v>#REF!</v>
      </c>
      <c r="C268" s="76" t="e">
        <f t="shared" si="10"/>
        <v>#REF!</v>
      </c>
    </row>
    <row r="269" spans="2:3" ht="15.75" customHeight="1" x14ac:dyDescent="0.25">
      <c r="B269" s="67" t="e">
        <f t="shared" si="9"/>
        <v>#REF!</v>
      </c>
      <c r="C269" s="76" t="e">
        <f t="shared" si="10"/>
        <v>#REF!</v>
      </c>
    </row>
    <row r="270" spans="2:3" ht="15.75" customHeight="1" x14ac:dyDescent="0.25">
      <c r="B270" s="67" t="e">
        <f t="shared" si="9"/>
        <v>#REF!</v>
      </c>
      <c r="C270" s="76" t="e">
        <f t="shared" si="10"/>
        <v>#REF!</v>
      </c>
    </row>
    <row r="271" spans="2:3" ht="15.75" customHeight="1" x14ac:dyDescent="0.25">
      <c r="B271" s="67" t="e">
        <f t="shared" si="9"/>
        <v>#REF!</v>
      </c>
      <c r="C271" s="76" t="e">
        <f t="shared" si="10"/>
        <v>#REF!</v>
      </c>
    </row>
    <row r="272" spans="2:3" ht="15.75" customHeight="1" x14ac:dyDescent="0.25">
      <c r="B272" s="67" t="e">
        <f t="shared" si="9"/>
        <v>#REF!</v>
      </c>
      <c r="C272" s="76" t="e">
        <f t="shared" si="10"/>
        <v>#REF!</v>
      </c>
    </row>
    <row r="273" spans="2:3" ht="15.75" customHeight="1" x14ac:dyDescent="0.25">
      <c r="B273" s="67" t="e">
        <f t="shared" si="9"/>
        <v>#REF!</v>
      </c>
      <c r="C273" s="76" t="e">
        <f t="shared" si="10"/>
        <v>#REF!</v>
      </c>
    </row>
    <row r="274" spans="2:3" ht="15.75" customHeight="1" x14ac:dyDescent="0.25">
      <c r="B274" s="67" t="e">
        <f t="shared" si="9"/>
        <v>#REF!</v>
      </c>
      <c r="C274" s="76" t="e">
        <f t="shared" si="10"/>
        <v>#REF!</v>
      </c>
    </row>
    <row r="275" spans="2:3" ht="15.75" customHeight="1" x14ac:dyDescent="0.25">
      <c r="B275" s="67" t="e">
        <f t="shared" si="9"/>
        <v>#REF!</v>
      </c>
      <c r="C275" s="76" t="e">
        <f t="shared" si="10"/>
        <v>#REF!</v>
      </c>
    </row>
    <row r="276" spans="2:3" ht="15.75" customHeight="1" x14ac:dyDescent="0.25">
      <c r="B276" s="67" t="e">
        <f t="shared" si="9"/>
        <v>#REF!</v>
      </c>
      <c r="C276" s="76" t="e">
        <f t="shared" si="10"/>
        <v>#REF!</v>
      </c>
    </row>
    <row r="277" spans="2:3" ht="15.75" customHeight="1" x14ac:dyDescent="0.25">
      <c r="B277" s="67" t="e">
        <f t="shared" si="9"/>
        <v>#REF!</v>
      </c>
      <c r="C277" s="76" t="e">
        <f t="shared" si="10"/>
        <v>#REF!</v>
      </c>
    </row>
    <row r="278" spans="2:3" ht="15.75" customHeight="1" x14ac:dyDescent="0.25">
      <c r="B278" s="67" t="e">
        <f t="shared" si="9"/>
        <v>#REF!</v>
      </c>
      <c r="C278" s="76" t="e">
        <f t="shared" si="10"/>
        <v>#REF!</v>
      </c>
    </row>
    <row r="279" spans="2:3" ht="15.75" customHeight="1" x14ac:dyDescent="0.25">
      <c r="B279" s="67" t="e">
        <f t="shared" si="9"/>
        <v>#REF!</v>
      </c>
      <c r="C279" s="76" t="e">
        <f t="shared" si="10"/>
        <v>#REF!</v>
      </c>
    </row>
    <row r="280" spans="2:3" ht="15.75" customHeight="1" x14ac:dyDescent="0.25">
      <c r="B280" s="67" t="e">
        <f t="shared" si="9"/>
        <v>#REF!</v>
      </c>
      <c r="C280" s="76" t="e">
        <f t="shared" si="10"/>
        <v>#REF!</v>
      </c>
    </row>
    <row r="281" spans="2:3" ht="15.75" customHeight="1" x14ac:dyDescent="0.25">
      <c r="B281" s="67" t="e">
        <f t="shared" si="9"/>
        <v>#REF!</v>
      </c>
      <c r="C281" s="76" t="e">
        <f t="shared" si="10"/>
        <v>#REF!</v>
      </c>
    </row>
    <row r="282" spans="2:3" ht="15.75" customHeight="1" x14ac:dyDescent="0.25">
      <c r="B282" s="67" t="e">
        <f t="shared" si="9"/>
        <v>#REF!</v>
      </c>
      <c r="C282" s="76" t="e">
        <f t="shared" si="10"/>
        <v>#REF!</v>
      </c>
    </row>
    <row r="283" spans="2:3" ht="15.75" customHeight="1" x14ac:dyDescent="0.25">
      <c r="B283" s="67" t="e">
        <f t="shared" si="9"/>
        <v>#REF!</v>
      </c>
      <c r="C283" s="76" t="e">
        <f t="shared" si="10"/>
        <v>#REF!</v>
      </c>
    </row>
    <row r="284" spans="2:3" ht="15.75" customHeight="1" x14ac:dyDescent="0.25">
      <c r="B284" s="67" t="e">
        <f t="shared" si="9"/>
        <v>#REF!</v>
      </c>
      <c r="C284" s="76" t="e">
        <f t="shared" si="10"/>
        <v>#REF!</v>
      </c>
    </row>
    <row r="285" spans="2:3" ht="15.75" customHeight="1" x14ac:dyDescent="0.25">
      <c r="B285" s="67" t="e">
        <f t="shared" ref="B285:B348" si="11">IF(B284="","",IF(B284+$C$9&lt;=$C$5,B284+$C$9,""))</f>
        <v>#REF!</v>
      </c>
      <c r="C285" s="76" t="e">
        <f t="shared" ref="C285:C348" si="12">IF(B285&lt;&gt;"",C284-$C$2/COUNT($B$17:$B$510),"")</f>
        <v>#REF!</v>
      </c>
    </row>
    <row r="286" spans="2:3" ht="15.75" customHeight="1" x14ac:dyDescent="0.25">
      <c r="B286" s="67" t="e">
        <f t="shared" si="11"/>
        <v>#REF!</v>
      </c>
      <c r="C286" s="76" t="e">
        <f t="shared" si="12"/>
        <v>#REF!</v>
      </c>
    </row>
    <row r="287" spans="2:3" ht="15.75" customHeight="1" x14ac:dyDescent="0.25">
      <c r="B287" s="67" t="e">
        <f t="shared" si="11"/>
        <v>#REF!</v>
      </c>
      <c r="C287" s="76" t="e">
        <f t="shared" si="12"/>
        <v>#REF!</v>
      </c>
    </row>
    <row r="288" spans="2:3" ht="15.75" customHeight="1" x14ac:dyDescent="0.25">
      <c r="B288" s="67" t="e">
        <f t="shared" si="11"/>
        <v>#REF!</v>
      </c>
      <c r="C288" s="76" t="e">
        <f t="shared" si="12"/>
        <v>#REF!</v>
      </c>
    </row>
    <row r="289" spans="2:3" ht="15.75" customHeight="1" x14ac:dyDescent="0.25">
      <c r="B289" s="67" t="e">
        <f t="shared" si="11"/>
        <v>#REF!</v>
      </c>
      <c r="C289" s="76" t="e">
        <f t="shared" si="12"/>
        <v>#REF!</v>
      </c>
    </row>
    <row r="290" spans="2:3" ht="15.75" customHeight="1" x14ac:dyDescent="0.25">
      <c r="B290" s="67" t="e">
        <f t="shared" si="11"/>
        <v>#REF!</v>
      </c>
      <c r="C290" s="76" t="e">
        <f t="shared" si="12"/>
        <v>#REF!</v>
      </c>
    </row>
    <row r="291" spans="2:3" ht="15.75" customHeight="1" x14ac:dyDescent="0.25">
      <c r="B291" s="67" t="e">
        <f t="shared" si="11"/>
        <v>#REF!</v>
      </c>
      <c r="C291" s="76" t="e">
        <f t="shared" si="12"/>
        <v>#REF!</v>
      </c>
    </row>
    <row r="292" spans="2:3" ht="15.75" customHeight="1" x14ac:dyDescent="0.25">
      <c r="B292" s="67" t="e">
        <f t="shared" si="11"/>
        <v>#REF!</v>
      </c>
      <c r="C292" s="76" t="e">
        <f t="shared" si="12"/>
        <v>#REF!</v>
      </c>
    </row>
    <row r="293" spans="2:3" ht="15.75" customHeight="1" x14ac:dyDescent="0.25">
      <c r="B293" s="67" t="e">
        <f t="shared" si="11"/>
        <v>#REF!</v>
      </c>
      <c r="C293" s="76" t="e">
        <f t="shared" si="12"/>
        <v>#REF!</v>
      </c>
    </row>
    <row r="294" spans="2:3" ht="15.75" customHeight="1" x14ac:dyDescent="0.25">
      <c r="B294" s="67" t="e">
        <f t="shared" si="11"/>
        <v>#REF!</v>
      </c>
      <c r="C294" s="76" t="e">
        <f t="shared" si="12"/>
        <v>#REF!</v>
      </c>
    </row>
    <row r="295" spans="2:3" ht="15.75" customHeight="1" x14ac:dyDescent="0.25">
      <c r="B295" s="67" t="e">
        <f t="shared" si="11"/>
        <v>#REF!</v>
      </c>
      <c r="C295" s="76" t="e">
        <f t="shared" si="12"/>
        <v>#REF!</v>
      </c>
    </row>
    <row r="296" spans="2:3" ht="15.75" customHeight="1" x14ac:dyDescent="0.25">
      <c r="B296" s="67" t="e">
        <f t="shared" si="11"/>
        <v>#REF!</v>
      </c>
      <c r="C296" s="76" t="e">
        <f t="shared" si="12"/>
        <v>#REF!</v>
      </c>
    </row>
    <row r="297" spans="2:3" ht="15.75" customHeight="1" x14ac:dyDescent="0.25">
      <c r="B297" s="67" t="e">
        <f t="shared" si="11"/>
        <v>#REF!</v>
      </c>
      <c r="C297" s="76" t="e">
        <f t="shared" si="12"/>
        <v>#REF!</v>
      </c>
    </row>
    <row r="298" spans="2:3" ht="15.75" customHeight="1" x14ac:dyDescent="0.25">
      <c r="B298" s="67" t="e">
        <f t="shared" si="11"/>
        <v>#REF!</v>
      </c>
      <c r="C298" s="76" t="e">
        <f t="shared" si="12"/>
        <v>#REF!</v>
      </c>
    </row>
    <row r="299" spans="2:3" ht="15.75" customHeight="1" x14ac:dyDescent="0.25">
      <c r="B299" s="67" t="e">
        <f t="shared" si="11"/>
        <v>#REF!</v>
      </c>
      <c r="C299" s="76" t="e">
        <f t="shared" si="12"/>
        <v>#REF!</v>
      </c>
    </row>
    <row r="300" spans="2:3" ht="15.75" customHeight="1" x14ac:dyDescent="0.25">
      <c r="B300" s="67" t="e">
        <f t="shared" si="11"/>
        <v>#REF!</v>
      </c>
      <c r="C300" s="76" t="e">
        <f t="shared" si="12"/>
        <v>#REF!</v>
      </c>
    </row>
    <row r="301" spans="2:3" ht="15.75" customHeight="1" x14ac:dyDescent="0.25">
      <c r="B301" s="67" t="e">
        <f t="shared" si="11"/>
        <v>#REF!</v>
      </c>
      <c r="C301" s="76" t="e">
        <f t="shared" si="12"/>
        <v>#REF!</v>
      </c>
    </row>
    <row r="302" spans="2:3" ht="15.75" customHeight="1" x14ac:dyDescent="0.25">
      <c r="B302" s="67" t="e">
        <f t="shared" si="11"/>
        <v>#REF!</v>
      </c>
      <c r="C302" s="76" t="e">
        <f t="shared" si="12"/>
        <v>#REF!</v>
      </c>
    </row>
    <row r="303" spans="2:3" ht="15.75" customHeight="1" x14ac:dyDescent="0.25">
      <c r="B303" s="67" t="e">
        <f t="shared" si="11"/>
        <v>#REF!</v>
      </c>
      <c r="C303" s="76" t="e">
        <f t="shared" si="12"/>
        <v>#REF!</v>
      </c>
    </row>
    <row r="304" spans="2:3" ht="15.75" customHeight="1" x14ac:dyDescent="0.25">
      <c r="B304" s="67" t="e">
        <f t="shared" si="11"/>
        <v>#REF!</v>
      </c>
      <c r="C304" s="76" t="e">
        <f t="shared" si="12"/>
        <v>#REF!</v>
      </c>
    </row>
    <row r="305" spans="2:3" ht="15.75" customHeight="1" x14ac:dyDescent="0.25">
      <c r="B305" s="67" t="e">
        <f t="shared" si="11"/>
        <v>#REF!</v>
      </c>
      <c r="C305" s="76" t="e">
        <f t="shared" si="12"/>
        <v>#REF!</v>
      </c>
    </row>
    <row r="306" spans="2:3" ht="15.75" customHeight="1" x14ac:dyDescent="0.25">
      <c r="B306" s="67" t="e">
        <f t="shared" si="11"/>
        <v>#REF!</v>
      </c>
      <c r="C306" s="76" t="e">
        <f t="shared" si="12"/>
        <v>#REF!</v>
      </c>
    </row>
    <row r="307" spans="2:3" ht="15.75" customHeight="1" x14ac:dyDescent="0.25">
      <c r="B307" s="67" t="e">
        <f t="shared" si="11"/>
        <v>#REF!</v>
      </c>
      <c r="C307" s="76" t="e">
        <f t="shared" si="12"/>
        <v>#REF!</v>
      </c>
    </row>
    <row r="308" spans="2:3" ht="15.75" customHeight="1" x14ac:dyDescent="0.25">
      <c r="B308" s="67" t="e">
        <f t="shared" si="11"/>
        <v>#REF!</v>
      </c>
      <c r="C308" s="76" t="e">
        <f t="shared" si="12"/>
        <v>#REF!</v>
      </c>
    </row>
    <row r="309" spans="2:3" ht="15.75" customHeight="1" x14ac:dyDescent="0.25">
      <c r="B309" s="67" t="e">
        <f t="shared" si="11"/>
        <v>#REF!</v>
      </c>
      <c r="C309" s="76" t="e">
        <f t="shared" si="12"/>
        <v>#REF!</v>
      </c>
    </row>
    <row r="310" spans="2:3" ht="15.75" customHeight="1" x14ac:dyDescent="0.25">
      <c r="B310" s="67" t="e">
        <f t="shared" si="11"/>
        <v>#REF!</v>
      </c>
      <c r="C310" s="76" t="e">
        <f t="shared" si="12"/>
        <v>#REF!</v>
      </c>
    </row>
    <row r="311" spans="2:3" ht="15.75" customHeight="1" x14ac:dyDescent="0.25">
      <c r="B311" s="67" t="e">
        <f t="shared" si="11"/>
        <v>#REF!</v>
      </c>
      <c r="C311" s="76" t="e">
        <f t="shared" si="12"/>
        <v>#REF!</v>
      </c>
    </row>
    <row r="312" spans="2:3" ht="15.75" customHeight="1" x14ac:dyDescent="0.25">
      <c r="B312" s="67" t="e">
        <f t="shared" si="11"/>
        <v>#REF!</v>
      </c>
      <c r="C312" s="76" t="e">
        <f t="shared" si="12"/>
        <v>#REF!</v>
      </c>
    </row>
    <row r="313" spans="2:3" ht="15.75" customHeight="1" x14ac:dyDescent="0.25">
      <c r="B313" s="67" t="e">
        <f t="shared" si="11"/>
        <v>#REF!</v>
      </c>
      <c r="C313" s="76" t="e">
        <f t="shared" si="12"/>
        <v>#REF!</v>
      </c>
    </row>
    <row r="314" spans="2:3" ht="15.75" customHeight="1" x14ac:dyDescent="0.25">
      <c r="B314" s="67" t="e">
        <f t="shared" si="11"/>
        <v>#REF!</v>
      </c>
      <c r="C314" s="76" t="e">
        <f t="shared" si="12"/>
        <v>#REF!</v>
      </c>
    </row>
    <row r="315" spans="2:3" ht="15.75" customHeight="1" x14ac:dyDescent="0.25">
      <c r="B315" s="67" t="e">
        <f t="shared" si="11"/>
        <v>#REF!</v>
      </c>
      <c r="C315" s="76" t="e">
        <f t="shared" si="12"/>
        <v>#REF!</v>
      </c>
    </row>
    <row r="316" spans="2:3" ht="15.75" customHeight="1" x14ac:dyDescent="0.25">
      <c r="B316" s="67" t="e">
        <f t="shared" si="11"/>
        <v>#REF!</v>
      </c>
      <c r="C316" s="76" t="e">
        <f t="shared" si="12"/>
        <v>#REF!</v>
      </c>
    </row>
    <row r="317" spans="2:3" ht="15.75" customHeight="1" x14ac:dyDescent="0.25">
      <c r="B317" s="67" t="e">
        <f t="shared" si="11"/>
        <v>#REF!</v>
      </c>
      <c r="C317" s="76" t="e">
        <f t="shared" si="12"/>
        <v>#REF!</v>
      </c>
    </row>
    <row r="318" spans="2:3" ht="15.75" customHeight="1" x14ac:dyDescent="0.25">
      <c r="B318" s="67" t="e">
        <f t="shared" si="11"/>
        <v>#REF!</v>
      </c>
      <c r="C318" s="76" t="e">
        <f t="shared" si="12"/>
        <v>#REF!</v>
      </c>
    </row>
    <row r="319" spans="2:3" ht="15.75" customHeight="1" x14ac:dyDescent="0.25">
      <c r="B319" s="67" t="e">
        <f t="shared" si="11"/>
        <v>#REF!</v>
      </c>
      <c r="C319" s="76" t="e">
        <f t="shared" si="12"/>
        <v>#REF!</v>
      </c>
    </row>
    <row r="320" spans="2:3" ht="15.75" customHeight="1" x14ac:dyDescent="0.25">
      <c r="B320" s="67" t="e">
        <f t="shared" si="11"/>
        <v>#REF!</v>
      </c>
      <c r="C320" s="76" t="e">
        <f t="shared" si="12"/>
        <v>#REF!</v>
      </c>
    </row>
    <row r="321" spans="2:3" ht="15.75" customHeight="1" x14ac:dyDescent="0.25">
      <c r="B321" s="67" t="e">
        <f t="shared" si="11"/>
        <v>#REF!</v>
      </c>
      <c r="C321" s="76" t="e">
        <f t="shared" si="12"/>
        <v>#REF!</v>
      </c>
    </row>
    <row r="322" spans="2:3" ht="15.75" customHeight="1" x14ac:dyDescent="0.25">
      <c r="B322" s="67" t="e">
        <f t="shared" si="11"/>
        <v>#REF!</v>
      </c>
      <c r="C322" s="76" t="e">
        <f t="shared" si="12"/>
        <v>#REF!</v>
      </c>
    </row>
    <row r="323" spans="2:3" ht="15.75" customHeight="1" x14ac:dyDescent="0.25">
      <c r="B323" s="67" t="e">
        <f t="shared" si="11"/>
        <v>#REF!</v>
      </c>
      <c r="C323" s="76" t="e">
        <f t="shared" si="12"/>
        <v>#REF!</v>
      </c>
    </row>
    <row r="324" spans="2:3" ht="15.75" customHeight="1" x14ac:dyDescent="0.25">
      <c r="B324" s="67" t="e">
        <f t="shared" si="11"/>
        <v>#REF!</v>
      </c>
      <c r="C324" s="76" t="e">
        <f t="shared" si="12"/>
        <v>#REF!</v>
      </c>
    </row>
    <row r="325" spans="2:3" ht="15.75" customHeight="1" x14ac:dyDescent="0.25">
      <c r="B325" s="67" t="e">
        <f t="shared" si="11"/>
        <v>#REF!</v>
      </c>
      <c r="C325" s="76" t="e">
        <f t="shared" si="12"/>
        <v>#REF!</v>
      </c>
    </row>
    <row r="326" spans="2:3" ht="15.75" customHeight="1" x14ac:dyDescent="0.25">
      <c r="B326" s="67" t="e">
        <f t="shared" si="11"/>
        <v>#REF!</v>
      </c>
      <c r="C326" s="76" t="e">
        <f t="shared" si="12"/>
        <v>#REF!</v>
      </c>
    </row>
    <row r="327" spans="2:3" ht="15.75" customHeight="1" x14ac:dyDescent="0.25">
      <c r="B327" s="67" t="e">
        <f t="shared" si="11"/>
        <v>#REF!</v>
      </c>
      <c r="C327" s="76" t="e">
        <f t="shared" si="12"/>
        <v>#REF!</v>
      </c>
    </row>
    <row r="328" spans="2:3" ht="15.75" customHeight="1" x14ac:dyDescent="0.25">
      <c r="B328" s="67" t="e">
        <f t="shared" si="11"/>
        <v>#REF!</v>
      </c>
      <c r="C328" s="76" t="e">
        <f t="shared" si="12"/>
        <v>#REF!</v>
      </c>
    </row>
    <row r="329" spans="2:3" ht="15.75" customHeight="1" x14ac:dyDescent="0.25">
      <c r="B329" s="67" t="e">
        <f t="shared" si="11"/>
        <v>#REF!</v>
      </c>
      <c r="C329" s="76" t="e">
        <f t="shared" si="12"/>
        <v>#REF!</v>
      </c>
    </row>
    <row r="330" spans="2:3" ht="15.75" customHeight="1" x14ac:dyDescent="0.25">
      <c r="B330" s="67" t="e">
        <f t="shared" si="11"/>
        <v>#REF!</v>
      </c>
      <c r="C330" s="76" t="e">
        <f t="shared" si="12"/>
        <v>#REF!</v>
      </c>
    </row>
    <row r="331" spans="2:3" ht="15.75" customHeight="1" x14ac:dyDescent="0.25">
      <c r="B331" s="67" t="e">
        <f t="shared" si="11"/>
        <v>#REF!</v>
      </c>
      <c r="C331" s="76" t="e">
        <f t="shared" si="12"/>
        <v>#REF!</v>
      </c>
    </row>
    <row r="332" spans="2:3" ht="15.75" customHeight="1" x14ac:dyDescent="0.25">
      <c r="B332" s="67" t="e">
        <f t="shared" si="11"/>
        <v>#REF!</v>
      </c>
      <c r="C332" s="76" t="e">
        <f t="shared" si="12"/>
        <v>#REF!</v>
      </c>
    </row>
    <row r="333" spans="2:3" ht="15.75" customHeight="1" x14ac:dyDescent="0.25">
      <c r="B333" s="67" t="e">
        <f t="shared" si="11"/>
        <v>#REF!</v>
      </c>
      <c r="C333" s="76" t="e">
        <f t="shared" si="12"/>
        <v>#REF!</v>
      </c>
    </row>
    <row r="334" spans="2:3" ht="15.75" customHeight="1" x14ac:dyDescent="0.25">
      <c r="B334" s="67" t="e">
        <f t="shared" si="11"/>
        <v>#REF!</v>
      </c>
      <c r="C334" s="76" t="e">
        <f t="shared" si="12"/>
        <v>#REF!</v>
      </c>
    </row>
    <row r="335" spans="2:3" ht="15.75" customHeight="1" x14ac:dyDescent="0.25">
      <c r="B335" s="67" t="e">
        <f t="shared" si="11"/>
        <v>#REF!</v>
      </c>
      <c r="C335" s="76" t="e">
        <f t="shared" si="12"/>
        <v>#REF!</v>
      </c>
    </row>
    <row r="336" spans="2:3" ht="15.75" customHeight="1" x14ac:dyDescent="0.25">
      <c r="B336" s="67" t="e">
        <f t="shared" si="11"/>
        <v>#REF!</v>
      </c>
      <c r="C336" s="76" t="e">
        <f t="shared" si="12"/>
        <v>#REF!</v>
      </c>
    </row>
    <row r="337" spans="2:3" ht="15.75" customHeight="1" x14ac:dyDescent="0.25">
      <c r="B337" s="67" t="e">
        <f t="shared" si="11"/>
        <v>#REF!</v>
      </c>
      <c r="C337" s="76" t="e">
        <f t="shared" si="12"/>
        <v>#REF!</v>
      </c>
    </row>
    <row r="338" spans="2:3" ht="15.75" customHeight="1" x14ac:dyDescent="0.25">
      <c r="B338" s="67" t="e">
        <f t="shared" si="11"/>
        <v>#REF!</v>
      </c>
      <c r="C338" s="76" t="e">
        <f t="shared" si="12"/>
        <v>#REF!</v>
      </c>
    </row>
    <row r="339" spans="2:3" ht="15.75" customHeight="1" x14ac:dyDescent="0.25">
      <c r="B339" s="67" t="e">
        <f t="shared" si="11"/>
        <v>#REF!</v>
      </c>
      <c r="C339" s="76" t="e">
        <f t="shared" si="12"/>
        <v>#REF!</v>
      </c>
    </row>
    <row r="340" spans="2:3" ht="15.75" customHeight="1" x14ac:dyDescent="0.25">
      <c r="B340" s="67" t="e">
        <f t="shared" si="11"/>
        <v>#REF!</v>
      </c>
      <c r="C340" s="76" t="e">
        <f t="shared" si="12"/>
        <v>#REF!</v>
      </c>
    </row>
    <row r="341" spans="2:3" ht="15.75" customHeight="1" x14ac:dyDescent="0.25">
      <c r="B341" s="67" t="e">
        <f t="shared" si="11"/>
        <v>#REF!</v>
      </c>
      <c r="C341" s="76" t="e">
        <f t="shared" si="12"/>
        <v>#REF!</v>
      </c>
    </row>
    <row r="342" spans="2:3" ht="15.75" customHeight="1" x14ac:dyDescent="0.25">
      <c r="B342" s="67" t="e">
        <f t="shared" si="11"/>
        <v>#REF!</v>
      </c>
      <c r="C342" s="76" t="e">
        <f t="shared" si="12"/>
        <v>#REF!</v>
      </c>
    </row>
    <row r="343" spans="2:3" ht="15.75" customHeight="1" x14ac:dyDescent="0.25">
      <c r="B343" s="67" t="e">
        <f t="shared" si="11"/>
        <v>#REF!</v>
      </c>
      <c r="C343" s="76" t="e">
        <f t="shared" si="12"/>
        <v>#REF!</v>
      </c>
    </row>
    <row r="344" spans="2:3" ht="15.75" customHeight="1" x14ac:dyDescent="0.25">
      <c r="B344" s="67" t="e">
        <f t="shared" si="11"/>
        <v>#REF!</v>
      </c>
      <c r="C344" s="76" t="e">
        <f t="shared" si="12"/>
        <v>#REF!</v>
      </c>
    </row>
    <row r="345" spans="2:3" ht="15.75" customHeight="1" x14ac:dyDescent="0.25">
      <c r="B345" s="67" t="e">
        <f t="shared" si="11"/>
        <v>#REF!</v>
      </c>
      <c r="C345" s="76" t="e">
        <f t="shared" si="12"/>
        <v>#REF!</v>
      </c>
    </row>
    <row r="346" spans="2:3" ht="15.75" customHeight="1" x14ac:dyDescent="0.25">
      <c r="B346" s="67" t="e">
        <f t="shared" si="11"/>
        <v>#REF!</v>
      </c>
      <c r="C346" s="76" t="e">
        <f t="shared" si="12"/>
        <v>#REF!</v>
      </c>
    </row>
    <row r="347" spans="2:3" ht="15.75" customHeight="1" x14ac:dyDescent="0.25">
      <c r="B347" s="67" t="e">
        <f t="shared" si="11"/>
        <v>#REF!</v>
      </c>
      <c r="C347" s="76" t="e">
        <f t="shared" si="12"/>
        <v>#REF!</v>
      </c>
    </row>
    <row r="348" spans="2:3" ht="15.75" customHeight="1" x14ac:dyDescent="0.25">
      <c r="B348" s="67" t="e">
        <f t="shared" si="11"/>
        <v>#REF!</v>
      </c>
      <c r="C348" s="76" t="e">
        <f t="shared" si="12"/>
        <v>#REF!</v>
      </c>
    </row>
    <row r="349" spans="2:3" ht="15.75" customHeight="1" x14ac:dyDescent="0.25">
      <c r="B349" s="67" t="e">
        <f t="shared" ref="B349:B412" si="13">IF(B348="","",IF(B348+$C$9&lt;=$C$5,B348+$C$9,""))</f>
        <v>#REF!</v>
      </c>
      <c r="C349" s="76" t="e">
        <f t="shared" ref="C349:C412" si="14">IF(B349&lt;&gt;"",C348-$C$2/COUNT($B$17:$B$510),"")</f>
        <v>#REF!</v>
      </c>
    </row>
    <row r="350" spans="2:3" ht="15.75" customHeight="1" x14ac:dyDescent="0.25">
      <c r="B350" s="67" t="e">
        <f t="shared" si="13"/>
        <v>#REF!</v>
      </c>
      <c r="C350" s="76" t="e">
        <f t="shared" si="14"/>
        <v>#REF!</v>
      </c>
    </row>
    <row r="351" spans="2:3" ht="15.75" customHeight="1" x14ac:dyDescent="0.25">
      <c r="B351" s="67" t="e">
        <f t="shared" si="13"/>
        <v>#REF!</v>
      </c>
      <c r="C351" s="76" t="e">
        <f t="shared" si="14"/>
        <v>#REF!</v>
      </c>
    </row>
    <row r="352" spans="2:3" ht="15.75" customHeight="1" x14ac:dyDescent="0.25">
      <c r="B352" s="67" t="e">
        <f t="shared" si="13"/>
        <v>#REF!</v>
      </c>
      <c r="C352" s="76" t="e">
        <f t="shared" si="14"/>
        <v>#REF!</v>
      </c>
    </row>
    <row r="353" spans="2:3" ht="15.75" customHeight="1" x14ac:dyDescent="0.25">
      <c r="B353" s="67" t="e">
        <f t="shared" si="13"/>
        <v>#REF!</v>
      </c>
      <c r="C353" s="76" t="e">
        <f t="shared" si="14"/>
        <v>#REF!</v>
      </c>
    </row>
    <row r="354" spans="2:3" ht="15.75" customHeight="1" x14ac:dyDescent="0.25">
      <c r="B354" s="67" t="e">
        <f t="shared" si="13"/>
        <v>#REF!</v>
      </c>
      <c r="C354" s="76" t="e">
        <f t="shared" si="14"/>
        <v>#REF!</v>
      </c>
    </row>
    <row r="355" spans="2:3" ht="15.75" customHeight="1" x14ac:dyDescent="0.25">
      <c r="B355" s="67" t="e">
        <f t="shared" si="13"/>
        <v>#REF!</v>
      </c>
      <c r="C355" s="76" t="e">
        <f t="shared" si="14"/>
        <v>#REF!</v>
      </c>
    </row>
    <row r="356" spans="2:3" ht="15.75" customHeight="1" x14ac:dyDescent="0.25">
      <c r="B356" s="67" t="e">
        <f t="shared" si="13"/>
        <v>#REF!</v>
      </c>
      <c r="C356" s="76" t="e">
        <f t="shared" si="14"/>
        <v>#REF!</v>
      </c>
    </row>
    <row r="357" spans="2:3" ht="15.75" customHeight="1" x14ac:dyDescent="0.25">
      <c r="B357" s="67" t="e">
        <f t="shared" si="13"/>
        <v>#REF!</v>
      </c>
      <c r="C357" s="76" t="e">
        <f t="shared" si="14"/>
        <v>#REF!</v>
      </c>
    </row>
    <row r="358" spans="2:3" ht="15.75" customHeight="1" x14ac:dyDescent="0.25">
      <c r="B358" s="67" t="e">
        <f t="shared" si="13"/>
        <v>#REF!</v>
      </c>
      <c r="C358" s="76" t="e">
        <f t="shared" si="14"/>
        <v>#REF!</v>
      </c>
    </row>
    <row r="359" spans="2:3" ht="15.75" customHeight="1" x14ac:dyDescent="0.25">
      <c r="B359" s="67" t="e">
        <f t="shared" si="13"/>
        <v>#REF!</v>
      </c>
      <c r="C359" s="76" t="e">
        <f t="shared" si="14"/>
        <v>#REF!</v>
      </c>
    </row>
    <row r="360" spans="2:3" ht="15.75" customHeight="1" x14ac:dyDescent="0.25">
      <c r="B360" s="67" t="e">
        <f t="shared" si="13"/>
        <v>#REF!</v>
      </c>
      <c r="C360" s="76" t="e">
        <f t="shared" si="14"/>
        <v>#REF!</v>
      </c>
    </row>
    <row r="361" spans="2:3" ht="15.75" customHeight="1" x14ac:dyDescent="0.25">
      <c r="B361" s="67" t="e">
        <f t="shared" si="13"/>
        <v>#REF!</v>
      </c>
      <c r="C361" s="76" t="e">
        <f t="shared" si="14"/>
        <v>#REF!</v>
      </c>
    </row>
    <row r="362" spans="2:3" ht="15.75" customHeight="1" x14ac:dyDescent="0.25">
      <c r="B362" s="67" t="e">
        <f t="shared" si="13"/>
        <v>#REF!</v>
      </c>
      <c r="C362" s="76" t="e">
        <f t="shared" si="14"/>
        <v>#REF!</v>
      </c>
    </row>
    <row r="363" spans="2:3" ht="15.75" customHeight="1" x14ac:dyDescent="0.25">
      <c r="B363" s="67" t="e">
        <f t="shared" si="13"/>
        <v>#REF!</v>
      </c>
      <c r="C363" s="76" t="e">
        <f t="shared" si="14"/>
        <v>#REF!</v>
      </c>
    </row>
    <row r="364" spans="2:3" ht="15.75" customHeight="1" x14ac:dyDescent="0.25">
      <c r="B364" s="67" t="e">
        <f t="shared" si="13"/>
        <v>#REF!</v>
      </c>
      <c r="C364" s="76" t="e">
        <f t="shared" si="14"/>
        <v>#REF!</v>
      </c>
    </row>
    <row r="365" spans="2:3" ht="15.75" customHeight="1" x14ac:dyDescent="0.25">
      <c r="B365" s="67" t="e">
        <f t="shared" si="13"/>
        <v>#REF!</v>
      </c>
      <c r="C365" s="76" t="e">
        <f t="shared" si="14"/>
        <v>#REF!</v>
      </c>
    </row>
    <row r="366" spans="2:3" ht="15.75" customHeight="1" x14ac:dyDescent="0.25">
      <c r="B366" s="67" t="e">
        <f t="shared" si="13"/>
        <v>#REF!</v>
      </c>
      <c r="C366" s="76" t="e">
        <f t="shared" si="14"/>
        <v>#REF!</v>
      </c>
    </row>
    <row r="367" spans="2:3" ht="15.75" customHeight="1" x14ac:dyDescent="0.25">
      <c r="B367" s="67" t="e">
        <f t="shared" si="13"/>
        <v>#REF!</v>
      </c>
      <c r="C367" s="76" t="e">
        <f t="shared" si="14"/>
        <v>#REF!</v>
      </c>
    </row>
    <row r="368" spans="2:3" ht="15.75" customHeight="1" x14ac:dyDescent="0.25">
      <c r="B368" s="67" t="e">
        <f t="shared" si="13"/>
        <v>#REF!</v>
      </c>
      <c r="C368" s="76" t="e">
        <f t="shared" si="14"/>
        <v>#REF!</v>
      </c>
    </row>
    <row r="369" spans="2:3" ht="15.75" customHeight="1" x14ac:dyDescent="0.25">
      <c r="B369" s="67" t="e">
        <f t="shared" si="13"/>
        <v>#REF!</v>
      </c>
      <c r="C369" s="76" t="e">
        <f t="shared" si="14"/>
        <v>#REF!</v>
      </c>
    </row>
    <row r="370" spans="2:3" ht="15.75" customHeight="1" x14ac:dyDescent="0.25">
      <c r="B370" s="67" t="e">
        <f t="shared" si="13"/>
        <v>#REF!</v>
      </c>
      <c r="C370" s="76" t="e">
        <f t="shared" si="14"/>
        <v>#REF!</v>
      </c>
    </row>
    <row r="371" spans="2:3" ht="15.75" customHeight="1" x14ac:dyDescent="0.25">
      <c r="B371" s="67" t="e">
        <f t="shared" si="13"/>
        <v>#REF!</v>
      </c>
      <c r="C371" s="76" t="e">
        <f t="shared" si="14"/>
        <v>#REF!</v>
      </c>
    </row>
    <row r="372" spans="2:3" ht="15.75" customHeight="1" x14ac:dyDescent="0.25">
      <c r="B372" s="67" t="e">
        <f t="shared" si="13"/>
        <v>#REF!</v>
      </c>
      <c r="C372" s="76" t="e">
        <f t="shared" si="14"/>
        <v>#REF!</v>
      </c>
    </row>
    <row r="373" spans="2:3" ht="15.75" customHeight="1" x14ac:dyDescent="0.25">
      <c r="B373" s="67" t="e">
        <f t="shared" si="13"/>
        <v>#REF!</v>
      </c>
      <c r="C373" s="76" t="e">
        <f t="shared" si="14"/>
        <v>#REF!</v>
      </c>
    </row>
    <row r="374" spans="2:3" ht="15.75" customHeight="1" x14ac:dyDescent="0.25">
      <c r="B374" s="67" t="e">
        <f t="shared" si="13"/>
        <v>#REF!</v>
      </c>
      <c r="C374" s="76" t="e">
        <f t="shared" si="14"/>
        <v>#REF!</v>
      </c>
    </row>
    <row r="375" spans="2:3" ht="15.75" customHeight="1" x14ac:dyDescent="0.25">
      <c r="B375" s="67" t="e">
        <f t="shared" si="13"/>
        <v>#REF!</v>
      </c>
      <c r="C375" s="76" t="e">
        <f t="shared" si="14"/>
        <v>#REF!</v>
      </c>
    </row>
    <row r="376" spans="2:3" ht="15.75" customHeight="1" x14ac:dyDescent="0.25">
      <c r="B376" s="67" t="e">
        <f t="shared" si="13"/>
        <v>#REF!</v>
      </c>
      <c r="C376" s="76" t="e">
        <f t="shared" si="14"/>
        <v>#REF!</v>
      </c>
    </row>
    <row r="377" spans="2:3" ht="15.75" customHeight="1" x14ac:dyDescent="0.25">
      <c r="B377" s="67" t="e">
        <f t="shared" si="13"/>
        <v>#REF!</v>
      </c>
      <c r="C377" s="76" t="e">
        <f t="shared" si="14"/>
        <v>#REF!</v>
      </c>
    </row>
    <row r="378" spans="2:3" ht="15.75" customHeight="1" x14ac:dyDescent="0.25">
      <c r="B378" s="67" t="e">
        <f t="shared" si="13"/>
        <v>#REF!</v>
      </c>
      <c r="C378" s="76" t="e">
        <f t="shared" si="14"/>
        <v>#REF!</v>
      </c>
    </row>
    <row r="379" spans="2:3" ht="15.75" customHeight="1" x14ac:dyDescent="0.25">
      <c r="B379" s="67" t="e">
        <f t="shared" si="13"/>
        <v>#REF!</v>
      </c>
      <c r="C379" s="76" t="e">
        <f t="shared" si="14"/>
        <v>#REF!</v>
      </c>
    </row>
    <row r="380" spans="2:3" ht="15.75" customHeight="1" x14ac:dyDescent="0.25">
      <c r="B380" s="67" t="e">
        <f t="shared" si="13"/>
        <v>#REF!</v>
      </c>
      <c r="C380" s="76" t="e">
        <f t="shared" si="14"/>
        <v>#REF!</v>
      </c>
    </row>
    <row r="381" spans="2:3" ht="15.75" customHeight="1" x14ac:dyDescent="0.25">
      <c r="B381" s="67" t="e">
        <f t="shared" si="13"/>
        <v>#REF!</v>
      </c>
      <c r="C381" s="76" t="e">
        <f t="shared" si="14"/>
        <v>#REF!</v>
      </c>
    </row>
    <row r="382" spans="2:3" ht="15.75" customHeight="1" x14ac:dyDescent="0.25">
      <c r="B382" s="67" t="e">
        <f t="shared" si="13"/>
        <v>#REF!</v>
      </c>
      <c r="C382" s="76" t="e">
        <f t="shared" si="14"/>
        <v>#REF!</v>
      </c>
    </row>
    <row r="383" spans="2:3" ht="15.75" customHeight="1" x14ac:dyDescent="0.25">
      <c r="B383" s="67" t="e">
        <f t="shared" si="13"/>
        <v>#REF!</v>
      </c>
      <c r="C383" s="76" t="e">
        <f t="shared" si="14"/>
        <v>#REF!</v>
      </c>
    </row>
    <row r="384" spans="2:3" ht="15.75" customHeight="1" x14ac:dyDescent="0.25">
      <c r="B384" s="67" t="e">
        <f t="shared" si="13"/>
        <v>#REF!</v>
      </c>
      <c r="C384" s="76" t="e">
        <f t="shared" si="14"/>
        <v>#REF!</v>
      </c>
    </row>
    <row r="385" spans="2:3" ht="15.75" customHeight="1" x14ac:dyDescent="0.25">
      <c r="B385" s="67" t="e">
        <f t="shared" si="13"/>
        <v>#REF!</v>
      </c>
      <c r="C385" s="76" t="e">
        <f t="shared" si="14"/>
        <v>#REF!</v>
      </c>
    </row>
    <row r="386" spans="2:3" ht="15.75" customHeight="1" x14ac:dyDescent="0.25">
      <c r="B386" s="67" t="e">
        <f t="shared" si="13"/>
        <v>#REF!</v>
      </c>
      <c r="C386" s="76" t="e">
        <f t="shared" si="14"/>
        <v>#REF!</v>
      </c>
    </row>
    <row r="387" spans="2:3" ht="15.75" customHeight="1" x14ac:dyDescent="0.25">
      <c r="B387" s="67" t="e">
        <f t="shared" si="13"/>
        <v>#REF!</v>
      </c>
      <c r="C387" s="76" t="e">
        <f t="shared" si="14"/>
        <v>#REF!</v>
      </c>
    </row>
    <row r="388" spans="2:3" ht="15.75" customHeight="1" x14ac:dyDescent="0.25">
      <c r="B388" s="67" t="e">
        <f t="shared" si="13"/>
        <v>#REF!</v>
      </c>
      <c r="C388" s="76" t="e">
        <f t="shared" si="14"/>
        <v>#REF!</v>
      </c>
    </row>
    <row r="389" spans="2:3" ht="15.75" customHeight="1" x14ac:dyDescent="0.25">
      <c r="B389" s="67" t="e">
        <f t="shared" si="13"/>
        <v>#REF!</v>
      </c>
      <c r="C389" s="76" t="e">
        <f t="shared" si="14"/>
        <v>#REF!</v>
      </c>
    </row>
    <row r="390" spans="2:3" ht="15.75" customHeight="1" x14ac:dyDescent="0.25">
      <c r="B390" s="67" t="e">
        <f t="shared" si="13"/>
        <v>#REF!</v>
      </c>
      <c r="C390" s="76" t="e">
        <f t="shared" si="14"/>
        <v>#REF!</v>
      </c>
    </row>
    <row r="391" spans="2:3" ht="15.75" customHeight="1" x14ac:dyDescent="0.25">
      <c r="B391" s="67" t="e">
        <f t="shared" si="13"/>
        <v>#REF!</v>
      </c>
      <c r="C391" s="76" t="e">
        <f t="shared" si="14"/>
        <v>#REF!</v>
      </c>
    </row>
    <row r="392" spans="2:3" ht="15.75" customHeight="1" x14ac:dyDescent="0.25">
      <c r="B392" s="67" t="e">
        <f t="shared" si="13"/>
        <v>#REF!</v>
      </c>
      <c r="C392" s="76" t="e">
        <f t="shared" si="14"/>
        <v>#REF!</v>
      </c>
    </row>
    <row r="393" spans="2:3" ht="15.75" customHeight="1" x14ac:dyDescent="0.25">
      <c r="B393" s="67" t="e">
        <f t="shared" si="13"/>
        <v>#REF!</v>
      </c>
      <c r="C393" s="76" t="e">
        <f t="shared" si="14"/>
        <v>#REF!</v>
      </c>
    </row>
    <row r="394" spans="2:3" ht="15.75" customHeight="1" x14ac:dyDescent="0.25">
      <c r="B394" s="67" t="e">
        <f t="shared" si="13"/>
        <v>#REF!</v>
      </c>
      <c r="C394" s="76" t="e">
        <f t="shared" si="14"/>
        <v>#REF!</v>
      </c>
    </row>
    <row r="395" spans="2:3" ht="15.75" customHeight="1" x14ac:dyDescent="0.25">
      <c r="B395" s="67" t="e">
        <f t="shared" si="13"/>
        <v>#REF!</v>
      </c>
      <c r="C395" s="76" t="e">
        <f t="shared" si="14"/>
        <v>#REF!</v>
      </c>
    </row>
    <row r="396" spans="2:3" ht="15.75" customHeight="1" x14ac:dyDescent="0.25">
      <c r="B396" s="67" t="e">
        <f t="shared" si="13"/>
        <v>#REF!</v>
      </c>
      <c r="C396" s="76" t="e">
        <f t="shared" si="14"/>
        <v>#REF!</v>
      </c>
    </row>
    <row r="397" spans="2:3" ht="15.75" customHeight="1" x14ac:dyDescent="0.25">
      <c r="B397" s="67" t="e">
        <f t="shared" si="13"/>
        <v>#REF!</v>
      </c>
      <c r="C397" s="76" t="e">
        <f t="shared" si="14"/>
        <v>#REF!</v>
      </c>
    </row>
    <row r="398" spans="2:3" ht="15.75" customHeight="1" x14ac:dyDescent="0.25">
      <c r="B398" s="67" t="e">
        <f t="shared" si="13"/>
        <v>#REF!</v>
      </c>
      <c r="C398" s="76" t="e">
        <f t="shared" si="14"/>
        <v>#REF!</v>
      </c>
    </row>
    <row r="399" spans="2:3" ht="15.75" customHeight="1" x14ac:dyDescent="0.25">
      <c r="B399" s="67" t="e">
        <f t="shared" si="13"/>
        <v>#REF!</v>
      </c>
      <c r="C399" s="76" t="e">
        <f t="shared" si="14"/>
        <v>#REF!</v>
      </c>
    </row>
    <row r="400" spans="2:3" ht="15.75" customHeight="1" x14ac:dyDescent="0.25">
      <c r="B400" s="67" t="e">
        <f t="shared" si="13"/>
        <v>#REF!</v>
      </c>
      <c r="C400" s="76" t="e">
        <f t="shared" si="14"/>
        <v>#REF!</v>
      </c>
    </row>
    <row r="401" spans="2:3" ht="15.75" customHeight="1" x14ac:dyDescent="0.25">
      <c r="B401" s="67" t="e">
        <f t="shared" si="13"/>
        <v>#REF!</v>
      </c>
      <c r="C401" s="76" t="e">
        <f t="shared" si="14"/>
        <v>#REF!</v>
      </c>
    </row>
    <row r="402" spans="2:3" ht="15.75" customHeight="1" x14ac:dyDescent="0.25">
      <c r="B402" s="67" t="e">
        <f t="shared" si="13"/>
        <v>#REF!</v>
      </c>
      <c r="C402" s="76" t="e">
        <f t="shared" si="14"/>
        <v>#REF!</v>
      </c>
    </row>
    <row r="403" spans="2:3" ht="15.75" customHeight="1" x14ac:dyDescent="0.25">
      <c r="B403" s="67" t="e">
        <f t="shared" si="13"/>
        <v>#REF!</v>
      </c>
      <c r="C403" s="76" t="e">
        <f t="shared" si="14"/>
        <v>#REF!</v>
      </c>
    </row>
    <row r="404" spans="2:3" ht="15.75" customHeight="1" x14ac:dyDescent="0.25">
      <c r="B404" s="67" t="e">
        <f t="shared" si="13"/>
        <v>#REF!</v>
      </c>
      <c r="C404" s="76" t="e">
        <f t="shared" si="14"/>
        <v>#REF!</v>
      </c>
    </row>
    <row r="405" spans="2:3" ht="15.75" customHeight="1" x14ac:dyDescent="0.25">
      <c r="B405" s="67" t="e">
        <f t="shared" si="13"/>
        <v>#REF!</v>
      </c>
      <c r="C405" s="76" t="e">
        <f t="shared" si="14"/>
        <v>#REF!</v>
      </c>
    </row>
    <row r="406" spans="2:3" ht="15.75" customHeight="1" x14ac:dyDescent="0.25">
      <c r="B406" s="67" t="e">
        <f t="shared" si="13"/>
        <v>#REF!</v>
      </c>
      <c r="C406" s="76" t="e">
        <f t="shared" si="14"/>
        <v>#REF!</v>
      </c>
    </row>
    <row r="407" spans="2:3" ht="15.75" customHeight="1" x14ac:dyDescent="0.25">
      <c r="B407" s="67" t="e">
        <f t="shared" si="13"/>
        <v>#REF!</v>
      </c>
      <c r="C407" s="76" t="e">
        <f t="shared" si="14"/>
        <v>#REF!</v>
      </c>
    </row>
    <row r="408" spans="2:3" ht="15.75" customHeight="1" x14ac:dyDescent="0.25">
      <c r="B408" s="67" t="e">
        <f t="shared" si="13"/>
        <v>#REF!</v>
      </c>
      <c r="C408" s="76" t="e">
        <f t="shared" si="14"/>
        <v>#REF!</v>
      </c>
    </row>
    <row r="409" spans="2:3" ht="15.75" customHeight="1" x14ac:dyDescent="0.25">
      <c r="B409" s="67" t="e">
        <f t="shared" si="13"/>
        <v>#REF!</v>
      </c>
      <c r="C409" s="76" t="e">
        <f t="shared" si="14"/>
        <v>#REF!</v>
      </c>
    </row>
    <row r="410" spans="2:3" ht="15.75" customHeight="1" x14ac:dyDescent="0.25">
      <c r="B410" s="67" t="e">
        <f t="shared" si="13"/>
        <v>#REF!</v>
      </c>
      <c r="C410" s="76" t="e">
        <f t="shared" si="14"/>
        <v>#REF!</v>
      </c>
    </row>
    <row r="411" spans="2:3" ht="15.75" customHeight="1" x14ac:dyDescent="0.25">
      <c r="B411" s="67" t="e">
        <f t="shared" si="13"/>
        <v>#REF!</v>
      </c>
      <c r="C411" s="76" t="e">
        <f t="shared" si="14"/>
        <v>#REF!</v>
      </c>
    </row>
    <row r="412" spans="2:3" ht="15.75" customHeight="1" x14ac:dyDescent="0.25">
      <c r="B412" s="67" t="e">
        <f t="shared" si="13"/>
        <v>#REF!</v>
      </c>
      <c r="C412" s="76" t="e">
        <f t="shared" si="14"/>
        <v>#REF!</v>
      </c>
    </row>
    <row r="413" spans="2:3" ht="15.75" customHeight="1" x14ac:dyDescent="0.25">
      <c r="B413" s="67" t="e">
        <f t="shared" ref="B413:B476" si="15">IF(B412="","",IF(B412+$C$9&lt;=$C$5,B412+$C$9,""))</f>
        <v>#REF!</v>
      </c>
      <c r="C413" s="76" t="e">
        <f t="shared" ref="C413:C476" si="16">IF(B413&lt;&gt;"",C412-$C$2/COUNT($B$17:$B$510),"")</f>
        <v>#REF!</v>
      </c>
    </row>
    <row r="414" spans="2:3" ht="15.75" customHeight="1" x14ac:dyDescent="0.25">
      <c r="B414" s="67" t="e">
        <f t="shared" si="15"/>
        <v>#REF!</v>
      </c>
      <c r="C414" s="76" t="e">
        <f t="shared" si="16"/>
        <v>#REF!</v>
      </c>
    </row>
    <row r="415" spans="2:3" ht="15.75" customHeight="1" x14ac:dyDescent="0.25">
      <c r="B415" s="67" t="e">
        <f t="shared" si="15"/>
        <v>#REF!</v>
      </c>
      <c r="C415" s="76" t="e">
        <f t="shared" si="16"/>
        <v>#REF!</v>
      </c>
    </row>
    <row r="416" spans="2:3" ht="15.75" customHeight="1" x14ac:dyDescent="0.25">
      <c r="B416" s="67" t="e">
        <f t="shared" si="15"/>
        <v>#REF!</v>
      </c>
      <c r="C416" s="76" t="e">
        <f t="shared" si="16"/>
        <v>#REF!</v>
      </c>
    </row>
    <row r="417" spans="2:3" ht="15.75" customHeight="1" x14ac:dyDescent="0.25">
      <c r="B417" s="67" t="e">
        <f t="shared" si="15"/>
        <v>#REF!</v>
      </c>
      <c r="C417" s="76" t="e">
        <f t="shared" si="16"/>
        <v>#REF!</v>
      </c>
    </row>
    <row r="418" spans="2:3" ht="15.75" customHeight="1" x14ac:dyDescent="0.25">
      <c r="B418" s="67" t="e">
        <f t="shared" si="15"/>
        <v>#REF!</v>
      </c>
      <c r="C418" s="76" t="e">
        <f t="shared" si="16"/>
        <v>#REF!</v>
      </c>
    </row>
    <row r="419" spans="2:3" ht="15.75" customHeight="1" x14ac:dyDescent="0.25">
      <c r="B419" s="67" t="e">
        <f t="shared" si="15"/>
        <v>#REF!</v>
      </c>
      <c r="C419" s="76" t="e">
        <f t="shared" si="16"/>
        <v>#REF!</v>
      </c>
    </row>
    <row r="420" spans="2:3" ht="15.75" customHeight="1" x14ac:dyDescent="0.25">
      <c r="B420" s="67" t="e">
        <f t="shared" si="15"/>
        <v>#REF!</v>
      </c>
      <c r="C420" s="76" t="e">
        <f t="shared" si="16"/>
        <v>#REF!</v>
      </c>
    </row>
    <row r="421" spans="2:3" ht="15.75" customHeight="1" x14ac:dyDescent="0.25">
      <c r="B421" s="67" t="e">
        <f t="shared" si="15"/>
        <v>#REF!</v>
      </c>
      <c r="C421" s="76" t="e">
        <f t="shared" si="16"/>
        <v>#REF!</v>
      </c>
    </row>
    <row r="422" spans="2:3" ht="15.75" customHeight="1" x14ac:dyDescent="0.25">
      <c r="B422" s="67" t="e">
        <f t="shared" si="15"/>
        <v>#REF!</v>
      </c>
      <c r="C422" s="76" t="e">
        <f t="shared" si="16"/>
        <v>#REF!</v>
      </c>
    </row>
    <row r="423" spans="2:3" ht="15.75" customHeight="1" x14ac:dyDescent="0.25">
      <c r="B423" s="67" t="e">
        <f t="shared" si="15"/>
        <v>#REF!</v>
      </c>
      <c r="C423" s="76" t="e">
        <f t="shared" si="16"/>
        <v>#REF!</v>
      </c>
    </row>
    <row r="424" spans="2:3" ht="15.75" customHeight="1" x14ac:dyDescent="0.25">
      <c r="B424" s="67" t="e">
        <f t="shared" si="15"/>
        <v>#REF!</v>
      </c>
      <c r="C424" s="76" t="e">
        <f t="shared" si="16"/>
        <v>#REF!</v>
      </c>
    </row>
    <row r="425" spans="2:3" ht="15.75" customHeight="1" x14ac:dyDescent="0.25">
      <c r="B425" s="67" t="e">
        <f t="shared" si="15"/>
        <v>#REF!</v>
      </c>
      <c r="C425" s="76" t="e">
        <f t="shared" si="16"/>
        <v>#REF!</v>
      </c>
    </row>
    <row r="426" spans="2:3" ht="15.75" customHeight="1" x14ac:dyDescent="0.25">
      <c r="B426" s="67" t="e">
        <f t="shared" si="15"/>
        <v>#REF!</v>
      </c>
      <c r="C426" s="76" t="e">
        <f t="shared" si="16"/>
        <v>#REF!</v>
      </c>
    </row>
    <row r="427" spans="2:3" ht="15.75" customHeight="1" x14ac:dyDescent="0.25">
      <c r="B427" s="67" t="e">
        <f t="shared" si="15"/>
        <v>#REF!</v>
      </c>
      <c r="C427" s="76" t="e">
        <f t="shared" si="16"/>
        <v>#REF!</v>
      </c>
    </row>
    <row r="428" spans="2:3" ht="15.75" customHeight="1" x14ac:dyDescent="0.25">
      <c r="B428" s="67" t="e">
        <f t="shared" si="15"/>
        <v>#REF!</v>
      </c>
      <c r="C428" s="76" t="e">
        <f t="shared" si="16"/>
        <v>#REF!</v>
      </c>
    </row>
    <row r="429" spans="2:3" ht="15.75" customHeight="1" x14ac:dyDescent="0.25">
      <c r="B429" s="67" t="e">
        <f t="shared" si="15"/>
        <v>#REF!</v>
      </c>
      <c r="C429" s="76" t="e">
        <f t="shared" si="16"/>
        <v>#REF!</v>
      </c>
    </row>
    <row r="430" spans="2:3" ht="15.75" customHeight="1" x14ac:dyDescent="0.25">
      <c r="B430" s="67" t="e">
        <f t="shared" si="15"/>
        <v>#REF!</v>
      </c>
      <c r="C430" s="76" t="e">
        <f t="shared" si="16"/>
        <v>#REF!</v>
      </c>
    </row>
    <row r="431" spans="2:3" ht="15.75" customHeight="1" x14ac:dyDescent="0.25">
      <c r="B431" s="67" t="e">
        <f t="shared" si="15"/>
        <v>#REF!</v>
      </c>
      <c r="C431" s="76" t="e">
        <f t="shared" si="16"/>
        <v>#REF!</v>
      </c>
    </row>
    <row r="432" spans="2:3" ht="15.75" customHeight="1" x14ac:dyDescent="0.25">
      <c r="B432" s="67" t="e">
        <f t="shared" si="15"/>
        <v>#REF!</v>
      </c>
      <c r="C432" s="76" t="e">
        <f t="shared" si="16"/>
        <v>#REF!</v>
      </c>
    </row>
    <row r="433" spans="2:3" ht="15.75" customHeight="1" x14ac:dyDescent="0.25">
      <c r="B433" s="67" t="e">
        <f t="shared" si="15"/>
        <v>#REF!</v>
      </c>
      <c r="C433" s="76" t="e">
        <f t="shared" si="16"/>
        <v>#REF!</v>
      </c>
    </row>
    <row r="434" spans="2:3" ht="15.75" customHeight="1" x14ac:dyDescent="0.25">
      <c r="B434" s="67" t="e">
        <f t="shared" si="15"/>
        <v>#REF!</v>
      </c>
      <c r="C434" s="76" t="e">
        <f t="shared" si="16"/>
        <v>#REF!</v>
      </c>
    </row>
    <row r="435" spans="2:3" ht="15.75" customHeight="1" x14ac:dyDescent="0.25">
      <c r="B435" s="67" t="e">
        <f t="shared" si="15"/>
        <v>#REF!</v>
      </c>
      <c r="C435" s="76" t="e">
        <f t="shared" si="16"/>
        <v>#REF!</v>
      </c>
    </row>
    <row r="436" spans="2:3" ht="15.75" customHeight="1" x14ac:dyDescent="0.25">
      <c r="B436" s="67" t="e">
        <f t="shared" si="15"/>
        <v>#REF!</v>
      </c>
      <c r="C436" s="76" t="e">
        <f t="shared" si="16"/>
        <v>#REF!</v>
      </c>
    </row>
    <row r="437" spans="2:3" ht="15.75" customHeight="1" x14ac:dyDescent="0.25">
      <c r="B437" s="67" t="e">
        <f t="shared" si="15"/>
        <v>#REF!</v>
      </c>
      <c r="C437" s="76" t="e">
        <f t="shared" si="16"/>
        <v>#REF!</v>
      </c>
    </row>
    <row r="438" spans="2:3" ht="15.75" customHeight="1" x14ac:dyDescent="0.25">
      <c r="B438" s="67" t="e">
        <f t="shared" si="15"/>
        <v>#REF!</v>
      </c>
      <c r="C438" s="76" t="e">
        <f t="shared" si="16"/>
        <v>#REF!</v>
      </c>
    </row>
    <row r="439" spans="2:3" ht="15.75" customHeight="1" x14ac:dyDescent="0.25">
      <c r="B439" s="67" t="e">
        <f t="shared" si="15"/>
        <v>#REF!</v>
      </c>
      <c r="C439" s="76" t="e">
        <f t="shared" si="16"/>
        <v>#REF!</v>
      </c>
    </row>
    <row r="440" spans="2:3" ht="15.75" customHeight="1" x14ac:dyDescent="0.25">
      <c r="B440" s="67" t="e">
        <f t="shared" si="15"/>
        <v>#REF!</v>
      </c>
      <c r="C440" s="76" t="e">
        <f t="shared" si="16"/>
        <v>#REF!</v>
      </c>
    </row>
    <row r="441" spans="2:3" ht="15.75" customHeight="1" x14ac:dyDescent="0.25">
      <c r="B441" s="67" t="e">
        <f t="shared" si="15"/>
        <v>#REF!</v>
      </c>
      <c r="C441" s="76" t="e">
        <f t="shared" si="16"/>
        <v>#REF!</v>
      </c>
    </row>
    <row r="442" spans="2:3" ht="15.75" customHeight="1" x14ac:dyDescent="0.25">
      <c r="B442" s="67" t="e">
        <f t="shared" si="15"/>
        <v>#REF!</v>
      </c>
      <c r="C442" s="76" t="e">
        <f t="shared" si="16"/>
        <v>#REF!</v>
      </c>
    </row>
    <row r="443" spans="2:3" ht="15.75" customHeight="1" x14ac:dyDescent="0.25">
      <c r="B443" s="67" t="e">
        <f t="shared" si="15"/>
        <v>#REF!</v>
      </c>
      <c r="C443" s="76" t="e">
        <f t="shared" si="16"/>
        <v>#REF!</v>
      </c>
    </row>
    <row r="444" spans="2:3" ht="15.75" customHeight="1" x14ac:dyDescent="0.25">
      <c r="B444" s="67" t="e">
        <f t="shared" si="15"/>
        <v>#REF!</v>
      </c>
      <c r="C444" s="76" t="e">
        <f t="shared" si="16"/>
        <v>#REF!</v>
      </c>
    </row>
    <row r="445" spans="2:3" ht="15.75" customHeight="1" x14ac:dyDescent="0.25">
      <c r="B445" s="67" t="e">
        <f t="shared" si="15"/>
        <v>#REF!</v>
      </c>
      <c r="C445" s="76" t="e">
        <f t="shared" si="16"/>
        <v>#REF!</v>
      </c>
    </row>
    <row r="446" spans="2:3" ht="15.75" customHeight="1" x14ac:dyDescent="0.25">
      <c r="B446" s="67" t="e">
        <f t="shared" si="15"/>
        <v>#REF!</v>
      </c>
      <c r="C446" s="76" t="e">
        <f t="shared" si="16"/>
        <v>#REF!</v>
      </c>
    </row>
    <row r="447" spans="2:3" ht="15.75" customHeight="1" x14ac:dyDescent="0.25">
      <c r="B447" s="67" t="e">
        <f t="shared" si="15"/>
        <v>#REF!</v>
      </c>
      <c r="C447" s="76" t="e">
        <f t="shared" si="16"/>
        <v>#REF!</v>
      </c>
    </row>
    <row r="448" spans="2:3" ht="15.75" customHeight="1" x14ac:dyDescent="0.25">
      <c r="B448" s="67" t="e">
        <f t="shared" si="15"/>
        <v>#REF!</v>
      </c>
      <c r="C448" s="76" t="e">
        <f t="shared" si="16"/>
        <v>#REF!</v>
      </c>
    </row>
    <row r="449" spans="2:3" ht="15.75" customHeight="1" x14ac:dyDescent="0.25">
      <c r="B449" s="67" t="e">
        <f t="shared" si="15"/>
        <v>#REF!</v>
      </c>
      <c r="C449" s="76" t="e">
        <f t="shared" si="16"/>
        <v>#REF!</v>
      </c>
    </row>
    <row r="450" spans="2:3" ht="15.75" customHeight="1" x14ac:dyDescent="0.25">
      <c r="B450" s="67" t="e">
        <f t="shared" si="15"/>
        <v>#REF!</v>
      </c>
      <c r="C450" s="76" t="e">
        <f t="shared" si="16"/>
        <v>#REF!</v>
      </c>
    </row>
    <row r="451" spans="2:3" ht="15.75" customHeight="1" x14ac:dyDescent="0.25">
      <c r="B451" s="67" t="e">
        <f t="shared" si="15"/>
        <v>#REF!</v>
      </c>
      <c r="C451" s="76" t="e">
        <f t="shared" si="16"/>
        <v>#REF!</v>
      </c>
    </row>
    <row r="452" spans="2:3" ht="15.75" customHeight="1" x14ac:dyDescent="0.25">
      <c r="B452" s="67" t="e">
        <f t="shared" si="15"/>
        <v>#REF!</v>
      </c>
      <c r="C452" s="76" t="e">
        <f t="shared" si="16"/>
        <v>#REF!</v>
      </c>
    </row>
    <row r="453" spans="2:3" ht="15.75" customHeight="1" x14ac:dyDescent="0.25">
      <c r="B453" s="67" t="e">
        <f t="shared" si="15"/>
        <v>#REF!</v>
      </c>
      <c r="C453" s="76" t="e">
        <f t="shared" si="16"/>
        <v>#REF!</v>
      </c>
    </row>
    <row r="454" spans="2:3" ht="15.75" customHeight="1" x14ac:dyDescent="0.25">
      <c r="B454" s="67" t="e">
        <f t="shared" si="15"/>
        <v>#REF!</v>
      </c>
      <c r="C454" s="76" t="e">
        <f t="shared" si="16"/>
        <v>#REF!</v>
      </c>
    </row>
    <row r="455" spans="2:3" ht="15.75" customHeight="1" x14ac:dyDescent="0.25">
      <c r="B455" s="67" t="e">
        <f t="shared" si="15"/>
        <v>#REF!</v>
      </c>
      <c r="C455" s="76" t="e">
        <f t="shared" si="16"/>
        <v>#REF!</v>
      </c>
    </row>
    <row r="456" spans="2:3" ht="15.75" customHeight="1" x14ac:dyDescent="0.25">
      <c r="B456" s="67" t="e">
        <f t="shared" si="15"/>
        <v>#REF!</v>
      </c>
      <c r="C456" s="76" t="e">
        <f t="shared" si="16"/>
        <v>#REF!</v>
      </c>
    </row>
    <row r="457" spans="2:3" ht="15.75" customHeight="1" x14ac:dyDescent="0.25">
      <c r="B457" s="67" t="e">
        <f t="shared" si="15"/>
        <v>#REF!</v>
      </c>
      <c r="C457" s="76" t="e">
        <f t="shared" si="16"/>
        <v>#REF!</v>
      </c>
    </row>
    <row r="458" spans="2:3" ht="15.75" customHeight="1" x14ac:dyDescent="0.25">
      <c r="B458" s="67" t="e">
        <f t="shared" si="15"/>
        <v>#REF!</v>
      </c>
      <c r="C458" s="76" t="e">
        <f t="shared" si="16"/>
        <v>#REF!</v>
      </c>
    </row>
    <row r="459" spans="2:3" ht="15.75" customHeight="1" x14ac:dyDescent="0.25">
      <c r="B459" s="67" t="e">
        <f t="shared" si="15"/>
        <v>#REF!</v>
      </c>
      <c r="C459" s="76" t="e">
        <f t="shared" si="16"/>
        <v>#REF!</v>
      </c>
    </row>
    <row r="460" spans="2:3" ht="15.75" customHeight="1" x14ac:dyDescent="0.25">
      <c r="B460" s="67" t="e">
        <f t="shared" si="15"/>
        <v>#REF!</v>
      </c>
      <c r="C460" s="76" t="e">
        <f t="shared" si="16"/>
        <v>#REF!</v>
      </c>
    </row>
    <row r="461" spans="2:3" ht="15.75" customHeight="1" x14ac:dyDescent="0.25">
      <c r="B461" s="67" t="e">
        <f t="shared" si="15"/>
        <v>#REF!</v>
      </c>
      <c r="C461" s="76" t="e">
        <f t="shared" si="16"/>
        <v>#REF!</v>
      </c>
    </row>
    <row r="462" spans="2:3" ht="15.75" customHeight="1" x14ac:dyDescent="0.25">
      <c r="B462" s="67" t="e">
        <f t="shared" si="15"/>
        <v>#REF!</v>
      </c>
      <c r="C462" s="76" t="e">
        <f t="shared" si="16"/>
        <v>#REF!</v>
      </c>
    </row>
    <row r="463" spans="2:3" ht="15.75" customHeight="1" x14ac:dyDescent="0.25">
      <c r="B463" s="67" t="e">
        <f t="shared" si="15"/>
        <v>#REF!</v>
      </c>
      <c r="C463" s="76" t="e">
        <f t="shared" si="16"/>
        <v>#REF!</v>
      </c>
    </row>
    <row r="464" spans="2:3" ht="15.75" customHeight="1" x14ac:dyDescent="0.25">
      <c r="B464" s="67" t="e">
        <f t="shared" si="15"/>
        <v>#REF!</v>
      </c>
      <c r="C464" s="76" t="e">
        <f t="shared" si="16"/>
        <v>#REF!</v>
      </c>
    </row>
    <row r="465" spans="2:3" ht="15.75" customHeight="1" x14ac:dyDescent="0.25">
      <c r="B465" s="67" t="e">
        <f t="shared" si="15"/>
        <v>#REF!</v>
      </c>
      <c r="C465" s="76" t="e">
        <f t="shared" si="16"/>
        <v>#REF!</v>
      </c>
    </row>
    <row r="466" spans="2:3" ht="15.75" customHeight="1" x14ac:dyDescent="0.25">
      <c r="B466" s="67" t="e">
        <f t="shared" si="15"/>
        <v>#REF!</v>
      </c>
      <c r="C466" s="76" t="e">
        <f t="shared" si="16"/>
        <v>#REF!</v>
      </c>
    </row>
    <row r="467" spans="2:3" ht="15.75" customHeight="1" x14ac:dyDescent="0.25">
      <c r="B467" s="67" t="e">
        <f t="shared" si="15"/>
        <v>#REF!</v>
      </c>
      <c r="C467" s="76" t="e">
        <f t="shared" si="16"/>
        <v>#REF!</v>
      </c>
    </row>
    <row r="468" spans="2:3" ht="15.75" customHeight="1" x14ac:dyDescent="0.25">
      <c r="B468" s="67" t="e">
        <f t="shared" si="15"/>
        <v>#REF!</v>
      </c>
      <c r="C468" s="76" t="e">
        <f t="shared" si="16"/>
        <v>#REF!</v>
      </c>
    </row>
    <row r="469" spans="2:3" ht="15.75" customHeight="1" x14ac:dyDescent="0.25">
      <c r="B469" s="67" t="e">
        <f t="shared" si="15"/>
        <v>#REF!</v>
      </c>
      <c r="C469" s="76" t="e">
        <f t="shared" si="16"/>
        <v>#REF!</v>
      </c>
    </row>
    <row r="470" spans="2:3" ht="15.75" customHeight="1" x14ac:dyDescent="0.25">
      <c r="B470" s="67" t="e">
        <f t="shared" si="15"/>
        <v>#REF!</v>
      </c>
      <c r="C470" s="76" t="e">
        <f t="shared" si="16"/>
        <v>#REF!</v>
      </c>
    </row>
    <row r="471" spans="2:3" ht="15.75" customHeight="1" x14ac:dyDescent="0.25">
      <c r="B471" s="67" t="e">
        <f t="shared" si="15"/>
        <v>#REF!</v>
      </c>
      <c r="C471" s="76" t="e">
        <f t="shared" si="16"/>
        <v>#REF!</v>
      </c>
    </row>
    <row r="472" spans="2:3" ht="15.75" customHeight="1" x14ac:dyDescent="0.25">
      <c r="B472" s="67" t="e">
        <f t="shared" si="15"/>
        <v>#REF!</v>
      </c>
      <c r="C472" s="76" t="e">
        <f t="shared" si="16"/>
        <v>#REF!</v>
      </c>
    </row>
    <row r="473" spans="2:3" ht="15.75" customHeight="1" x14ac:dyDescent="0.25">
      <c r="B473" s="67" t="e">
        <f t="shared" si="15"/>
        <v>#REF!</v>
      </c>
      <c r="C473" s="76" t="e">
        <f t="shared" si="16"/>
        <v>#REF!</v>
      </c>
    </row>
    <row r="474" spans="2:3" ht="15.75" customHeight="1" x14ac:dyDescent="0.25">
      <c r="B474" s="67" t="e">
        <f t="shared" si="15"/>
        <v>#REF!</v>
      </c>
      <c r="C474" s="76" t="e">
        <f t="shared" si="16"/>
        <v>#REF!</v>
      </c>
    </row>
    <row r="475" spans="2:3" ht="15.75" customHeight="1" x14ac:dyDescent="0.25">
      <c r="B475" s="67" t="e">
        <f t="shared" si="15"/>
        <v>#REF!</v>
      </c>
      <c r="C475" s="76" t="e">
        <f t="shared" si="16"/>
        <v>#REF!</v>
      </c>
    </row>
    <row r="476" spans="2:3" ht="15.75" customHeight="1" x14ac:dyDescent="0.25">
      <c r="B476" s="67" t="e">
        <f t="shared" si="15"/>
        <v>#REF!</v>
      </c>
      <c r="C476" s="76" t="e">
        <f t="shared" si="16"/>
        <v>#REF!</v>
      </c>
    </row>
    <row r="477" spans="2:3" ht="15.75" customHeight="1" x14ac:dyDescent="0.25">
      <c r="B477" s="67" t="e">
        <f t="shared" ref="B477:B511" si="17">IF(B476="","",IF(B476+$C$9&lt;=$C$5,B476+$C$9,""))</f>
        <v>#REF!</v>
      </c>
      <c r="C477" s="76" t="e">
        <f t="shared" ref="C477:C511" si="18">IF(B477&lt;&gt;"",C476-$C$2/COUNT($B$17:$B$510),"")</f>
        <v>#REF!</v>
      </c>
    </row>
    <row r="478" spans="2:3" ht="15.75" customHeight="1" x14ac:dyDescent="0.25">
      <c r="B478" s="67" t="e">
        <f t="shared" si="17"/>
        <v>#REF!</v>
      </c>
      <c r="C478" s="76" t="e">
        <f t="shared" si="18"/>
        <v>#REF!</v>
      </c>
    </row>
    <row r="479" spans="2:3" ht="15.75" customHeight="1" x14ac:dyDescent="0.25">
      <c r="B479" s="67" t="e">
        <f t="shared" si="17"/>
        <v>#REF!</v>
      </c>
      <c r="C479" s="76" t="e">
        <f t="shared" si="18"/>
        <v>#REF!</v>
      </c>
    </row>
    <row r="480" spans="2:3" ht="15.75" customHeight="1" x14ac:dyDescent="0.25">
      <c r="B480" s="67" t="e">
        <f t="shared" si="17"/>
        <v>#REF!</v>
      </c>
      <c r="C480" s="76" t="e">
        <f t="shared" si="18"/>
        <v>#REF!</v>
      </c>
    </row>
    <row r="481" spans="2:3" ht="15.75" customHeight="1" x14ac:dyDescent="0.25">
      <c r="B481" s="67" t="e">
        <f t="shared" si="17"/>
        <v>#REF!</v>
      </c>
      <c r="C481" s="76" t="e">
        <f t="shared" si="18"/>
        <v>#REF!</v>
      </c>
    </row>
    <row r="482" spans="2:3" ht="15.75" customHeight="1" x14ac:dyDescent="0.25">
      <c r="B482" s="67" t="e">
        <f t="shared" si="17"/>
        <v>#REF!</v>
      </c>
      <c r="C482" s="76" t="e">
        <f t="shared" si="18"/>
        <v>#REF!</v>
      </c>
    </row>
    <row r="483" spans="2:3" ht="15.75" customHeight="1" x14ac:dyDescent="0.25">
      <c r="B483" s="67" t="e">
        <f t="shared" si="17"/>
        <v>#REF!</v>
      </c>
      <c r="C483" s="76" t="e">
        <f t="shared" si="18"/>
        <v>#REF!</v>
      </c>
    </row>
    <row r="484" spans="2:3" ht="15.75" customHeight="1" x14ac:dyDescent="0.25">
      <c r="B484" s="67" t="e">
        <f t="shared" si="17"/>
        <v>#REF!</v>
      </c>
      <c r="C484" s="76" t="e">
        <f t="shared" si="18"/>
        <v>#REF!</v>
      </c>
    </row>
    <row r="485" spans="2:3" ht="15.75" customHeight="1" x14ac:dyDescent="0.25">
      <c r="B485" s="67" t="e">
        <f t="shared" si="17"/>
        <v>#REF!</v>
      </c>
      <c r="C485" s="76" t="e">
        <f t="shared" si="18"/>
        <v>#REF!</v>
      </c>
    </row>
    <row r="486" spans="2:3" ht="15.75" customHeight="1" x14ac:dyDescent="0.25">
      <c r="B486" s="67" t="e">
        <f t="shared" si="17"/>
        <v>#REF!</v>
      </c>
      <c r="C486" s="76" t="e">
        <f t="shared" si="18"/>
        <v>#REF!</v>
      </c>
    </row>
    <row r="487" spans="2:3" ht="15.75" customHeight="1" x14ac:dyDescent="0.25">
      <c r="B487" s="67" t="e">
        <f t="shared" si="17"/>
        <v>#REF!</v>
      </c>
      <c r="C487" s="76" t="e">
        <f t="shared" si="18"/>
        <v>#REF!</v>
      </c>
    </row>
    <row r="488" spans="2:3" ht="15.75" customHeight="1" x14ac:dyDescent="0.25">
      <c r="B488" s="67" t="e">
        <f t="shared" si="17"/>
        <v>#REF!</v>
      </c>
      <c r="C488" s="76" t="e">
        <f t="shared" si="18"/>
        <v>#REF!</v>
      </c>
    </row>
    <row r="489" spans="2:3" ht="15.75" customHeight="1" x14ac:dyDescent="0.25">
      <c r="B489" s="67" t="e">
        <f t="shared" si="17"/>
        <v>#REF!</v>
      </c>
      <c r="C489" s="76" t="e">
        <f t="shared" si="18"/>
        <v>#REF!</v>
      </c>
    </row>
    <row r="490" spans="2:3" ht="15.75" customHeight="1" x14ac:dyDescent="0.25">
      <c r="B490" s="67" t="e">
        <f t="shared" si="17"/>
        <v>#REF!</v>
      </c>
      <c r="C490" s="76" t="e">
        <f t="shared" si="18"/>
        <v>#REF!</v>
      </c>
    </row>
    <row r="491" spans="2:3" ht="15.75" customHeight="1" x14ac:dyDescent="0.25">
      <c r="B491" s="67" t="e">
        <f t="shared" si="17"/>
        <v>#REF!</v>
      </c>
      <c r="C491" s="76" t="e">
        <f t="shared" si="18"/>
        <v>#REF!</v>
      </c>
    </row>
    <row r="492" spans="2:3" ht="15.75" customHeight="1" x14ac:dyDescent="0.25">
      <c r="B492" s="67" t="e">
        <f t="shared" si="17"/>
        <v>#REF!</v>
      </c>
      <c r="C492" s="76" t="e">
        <f t="shared" si="18"/>
        <v>#REF!</v>
      </c>
    </row>
    <row r="493" spans="2:3" ht="15.75" customHeight="1" x14ac:dyDescent="0.25">
      <c r="B493" s="67" t="e">
        <f t="shared" si="17"/>
        <v>#REF!</v>
      </c>
      <c r="C493" s="76" t="e">
        <f t="shared" si="18"/>
        <v>#REF!</v>
      </c>
    </row>
    <row r="494" spans="2:3" ht="15.75" customHeight="1" x14ac:dyDescent="0.25">
      <c r="B494" s="67" t="e">
        <f t="shared" si="17"/>
        <v>#REF!</v>
      </c>
      <c r="C494" s="76" t="e">
        <f t="shared" si="18"/>
        <v>#REF!</v>
      </c>
    </row>
    <row r="495" spans="2:3" ht="15.75" customHeight="1" x14ac:dyDescent="0.25">
      <c r="B495" s="67" t="e">
        <f t="shared" si="17"/>
        <v>#REF!</v>
      </c>
      <c r="C495" s="76" t="e">
        <f t="shared" si="18"/>
        <v>#REF!</v>
      </c>
    </row>
    <row r="496" spans="2:3" ht="15.75" customHeight="1" x14ac:dyDescent="0.25">
      <c r="B496" s="67" t="e">
        <f t="shared" si="17"/>
        <v>#REF!</v>
      </c>
      <c r="C496" s="76" t="e">
        <f t="shared" si="18"/>
        <v>#REF!</v>
      </c>
    </row>
    <row r="497" spans="2:3" ht="15.75" customHeight="1" x14ac:dyDescent="0.25">
      <c r="B497" s="67" t="e">
        <f t="shared" si="17"/>
        <v>#REF!</v>
      </c>
      <c r="C497" s="76" t="e">
        <f t="shared" si="18"/>
        <v>#REF!</v>
      </c>
    </row>
    <row r="498" spans="2:3" ht="15.75" customHeight="1" x14ac:dyDescent="0.25">
      <c r="B498" s="67" t="e">
        <f t="shared" si="17"/>
        <v>#REF!</v>
      </c>
      <c r="C498" s="76" t="e">
        <f t="shared" si="18"/>
        <v>#REF!</v>
      </c>
    </row>
    <row r="499" spans="2:3" ht="15.75" customHeight="1" x14ac:dyDescent="0.25">
      <c r="B499" s="67" t="e">
        <f t="shared" si="17"/>
        <v>#REF!</v>
      </c>
      <c r="C499" s="76" t="e">
        <f t="shared" si="18"/>
        <v>#REF!</v>
      </c>
    </row>
    <row r="500" spans="2:3" ht="15.75" customHeight="1" x14ac:dyDescent="0.25">
      <c r="B500" s="67" t="e">
        <f t="shared" si="17"/>
        <v>#REF!</v>
      </c>
      <c r="C500" s="76" t="e">
        <f t="shared" si="18"/>
        <v>#REF!</v>
      </c>
    </row>
    <row r="501" spans="2:3" ht="15.75" customHeight="1" x14ac:dyDescent="0.25">
      <c r="B501" s="67" t="e">
        <f t="shared" si="17"/>
        <v>#REF!</v>
      </c>
      <c r="C501" s="76" t="e">
        <f t="shared" si="18"/>
        <v>#REF!</v>
      </c>
    </row>
    <row r="502" spans="2:3" ht="15.75" customHeight="1" x14ac:dyDescent="0.25">
      <c r="B502" s="67" t="e">
        <f t="shared" si="17"/>
        <v>#REF!</v>
      </c>
      <c r="C502" s="76" t="e">
        <f t="shared" si="18"/>
        <v>#REF!</v>
      </c>
    </row>
    <row r="503" spans="2:3" ht="15.75" customHeight="1" x14ac:dyDescent="0.25">
      <c r="B503" s="67" t="e">
        <f t="shared" si="17"/>
        <v>#REF!</v>
      </c>
      <c r="C503" s="76" t="e">
        <f t="shared" si="18"/>
        <v>#REF!</v>
      </c>
    </row>
    <row r="504" spans="2:3" ht="15.75" customHeight="1" x14ac:dyDescent="0.25">
      <c r="B504" s="67" t="e">
        <f t="shared" si="17"/>
        <v>#REF!</v>
      </c>
      <c r="C504" s="76" t="e">
        <f t="shared" si="18"/>
        <v>#REF!</v>
      </c>
    </row>
    <row r="505" spans="2:3" ht="15.75" customHeight="1" x14ac:dyDescent="0.25">
      <c r="B505" s="67" t="e">
        <f t="shared" si="17"/>
        <v>#REF!</v>
      </c>
      <c r="C505" s="76" t="e">
        <f t="shared" si="18"/>
        <v>#REF!</v>
      </c>
    </row>
    <row r="506" spans="2:3" ht="15.75" customHeight="1" x14ac:dyDescent="0.25">
      <c r="B506" s="67" t="e">
        <f t="shared" si="17"/>
        <v>#REF!</v>
      </c>
      <c r="C506" s="76" t="e">
        <f t="shared" si="18"/>
        <v>#REF!</v>
      </c>
    </row>
    <row r="507" spans="2:3" ht="15.75" customHeight="1" x14ac:dyDescent="0.25">
      <c r="B507" s="67" t="e">
        <f t="shared" si="17"/>
        <v>#REF!</v>
      </c>
      <c r="C507" s="76" t="e">
        <f t="shared" si="18"/>
        <v>#REF!</v>
      </c>
    </row>
    <row r="508" spans="2:3" ht="15.75" customHeight="1" x14ac:dyDescent="0.25">
      <c r="B508" s="67" t="e">
        <f t="shared" si="17"/>
        <v>#REF!</v>
      </c>
      <c r="C508" s="76" t="e">
        <f t="shared" si="18"/>
        <v>#REF!</v>
      </c>
    </row>
    <row r="509" spans="2:3" ht="15.75" customHeight="1" x14ac:dyDescent="0.25">
      <c r="B509" s="67" t="e">
        <f t="shared" si="17"/>
        <v>#REF!</v>
      </c>
      <c r="C509" s="76" t="e">
        <f t="shared" si="18"/>
        <v>#REF!</v>
      </c>
    </row>
    <row r="510" spans="2:3" ht="15.75" customHeight="1" x14ac:dyDescent="0.25">
      <c r="B510" s="67" t="e">
        <f t="shared" si="17"/>
        <v>#REF!</v>
      </c>
      <c r="C510" s="76" t="e">
        <f t="shared" si="18"/>
        <v>#REF!</v>
      </c>
    </row>
    <row r="511" spans="2:3" ht="15.75" customHeight="1" x14ac:dyDescent="0.25">
      <c r="B511" s="67" t="e">
        <f t="shared" si="17"/>
        <v>#REF!</v>
      </c>
      <c r="C511" s="76" t="e">
        <f t="shared" si="18"/>
        <v>#REF!</v>
      </c>
    </row>
  </sheetData>
  <mergeCells count="3">
    <mergeCell ref="A1:K1"/>
    <mergeCell ref="B12:F12"/>
    <mergeCell ref="G12:L12"/>
  </mergeCells>
  <conditionalFormatting sqref="A14:L14">
    <cfRule type="expression" dxfId="124" priority="5">
      <formula>AND(TODAY()&gt;=$B$14,TODAY()&lt;$B$15)</formula>
    </cfRule>
  </conditionalFormatting>
  <conditionalFormatting sqref="A15:L16 A17:E17 A18:A30">
    <cfRule type="expression" dxfId="123" priority="4">
      <formula>AND(TODAY()&gt;=$B15,TODAY()&lt;$B16)</formula>
    </cfRule>
  </conditionalFormatting>
  <conditionalFormatting sqref="B14:B54">
    <cfRule type="cellIs" dxfId="122" priority="2" operator="greaterThan">
      <formula>$C$5</formula>
    </cfRule>
  </conditionalFormatting>
  <conditionalFormatting sqref="B18:E24 B25:L30 A31:L54">
    <cfRule type="expression" dxfId="121" priority="3">
      <formula>AND(TODAY()&gt;=$B18,TODAY()&lt;$B19)</formula>
    </cfRule>
  </conditionalFormatting>
  <conditionalFormatting sqref="F17:L24">
    <cfRule type="expression" dxfId="120" priority="1">
      <formula>AND(TODAY()&gt;=$B17,TODAY()&lt;$B18)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212C-2779-48B3-B91A-C1BB52D126A9}">
  <sheetPr>
    <tabColor theme="9" tint="-0.499984740745262"/>
  </sheetPr>
  <dimension ref="A1:L511"/>
  <sheetViews>
    <sheetView workbookViewId="0">
      <selection sqref="A1:K1"/>
    </sheetView>
  </sheetViews>
  <sheetFormatPr defaultColWidth="12.625" defaultRowHeight="15" customHeight="1" x14ac:dyDescent="0.25"/>
  <cols>
    <col min="1" max="1" width="16" style="59" bestFit="1" customWidth="1"/>
    <col min="2" max="2" width="15" style="59" customWidth="1"/>
    <col min="3" max="3" width="11.25" style="59" customWidth="1"/>
    <col min="4" max="4" width="23.875" style="59" customWidth="1"/>
    <col min="5" max="5" width="17.125" style="59" customWidth="1"/>
    <col min="6" max="7" width="12.625" style="59" customWidth="1"/>
    <col min="8" max="8" width="25.125" style="59" customWidth="1"/>
    <col min="9" max="9" width="12.625" style="59" customWidth="1"/>
    <col min="10" max="10" width="9" style="59"/>
    <col min="11" max="11" width="26.875" style="59" customWidth="1"/>
    <col min="12" max="12" width="37.75" style="59" customWidth="1"/>
    <col min="13" max="13" width="34.375" style="59" customWidth="1"/>
    <col min="14" max="16384" width="12.625" style="59"/>
  </cols>
  <sheetData>
    <row r="1" spans="1:12" ht="19.5" x14ac:dyDescent="0.25">
      <c r="A1" s="154" t="s">
        <v>20</v>
      </c>
      <c r="B1" s="155"/>
      <c r="C1" s="155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25">
      <c r="A2" s="68"/>
      <c r="B2" s="62" t="s">
        <v>21</v>
      </c>
      <c r="C2" s="105">
        <v>48</v>
      </c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45" x14ac:dyDescent="0.25">
      <c r="B3" s="89" t="s">
        <v>24</v>
      </c>
      <c r="C3" s="110">
        <v>63</v>
      </c>
      <c r="D3" s="70" t="s">
        <v>25</v>
      </c>
      <c r="E3" s="71" t="s">
        <v>26</v>
      </c>
      <c r="F3" s="71"/>
      <c r="G3" s="65"/>
      <c r="H3" s="65"/>
      <c r="I3" s="65"/>
      <c r="J3" s="65"/>
      <c r="K3" s="65"/>
      <c r="L3" s="65"/>
    </row>
    <row r="4" spans="1:12" ht="15.75" customHeight="1" x14ac:dyDescent="0.25">
      <c r="B4" s="64" t="s">
        <v>27</v>
      </c>
      <c r="C4" s="107">
        <v>45943</v>
      </c>
      <c r="D4" s="70" t="s">
        <v>28</v>
      </c>
      <c r="E4" s="65"/>
      <c r="F4" s="65"/>
      <c r="G4" s="65"/>
      <c r="H4" s="65"/>
      <c r="I4" s="65"/>
      <c r="J4" s="65"/>
      <c r="K4" s="65"/>
      <c r="L4" s="65"/>
    </row>
    <row r="5" spans="1:12" ht="15.75" customHeight="1" x14ac:dyDescent="0.25">
      <c r="B5" s="64" t="s">
        <v>29</v>
      </c>
      <c r="C5" s="107">
        <v>46014</v>
      </c>
      <c r="D5" s="70" t="s">
        <v>30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63" t="s">
        <v>31</v>
      </c>
      <c r="C6" s="106">
        <v>2</v>
      </c>
      <c r="D6" s="70" t="s">
        <v>32</v>
      </c>
      <c r="E6" s="71" t="s">
        <v>33</v>
      </c>
      <c r="F6" s="71"/>
      <c r="G6" s="65"/>
      <c r="H6" s="65"/>
      <c r="I6" s="65"/>
      <c r="J6" s="65"/>
      <c r="K6" s="65"/>
      <c r="L6" s="65"/>
    </row>
    <row r="7" spans="1:12" ht="15.75" customHeight="1" x14ac:dyDescent="0.25">
      <c r="B7" s="63" t="s">
        <v>34</v>
      </c>
      <c r="C7" s="106">
        <v>1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64" t="s">
        <v>35</v>
      </c>
      <c r="C8" s="108">
        <v>6</v>
      </c>
      <c r="D8" s="70" t="s">
        <v>32</v>
      </c>
      <c r="E8" s="65"/>
      <c r="F8" s="65"/>
      <c r="G8" s="65"/>
      <c r="H8" s="65"/>
      <c r="I8" s="65"/>
      <c r="J8" s="65"/>
      <c r="K8" s="65"/>
      <c r="L8" s="65"/>
    </row>
    <row r="9" spans="1:12" ht="15.75" customHeight="1" x14ac:dyDescent="0.25">
      <c r="B9" s="64" t="s">
        <v>36</v>
      </c>
      <c r="C9" s="109">
        <v>7</v>
      </c>
      <c r="D9" s="70" t="s">
        <v>37</v>
      </c>
      <c r="E9" s="65"/>
      <c r="F9" s="65"/>
      <c r="G9" s="65"/>
      <c r="H9" s="65"/>
      <c r="I9" s="65"/>
      <c r="J9" s="65"/>
      <c r="K9" s="65"/>
      <c r="L9" s="65"/>
    </row>
    <row r="10" spans="1:12" ht="15.75" customHeight="1" x14ac:dyDescent="0.25">
      <c r="B10" s="112"/>
      <c r="C10" s="65"/>
      <c r="D10" s="113"/>
      <c r="E10" s="65"/>
      <c r="F10" s="65"/>
      <c r="G10" s="65"/>
      <c r="H10" s="65"/>
      <c r="I10" s="65"/>
      <c r="J10" s="65"/>
      <c r="K10" s="65"/>
      <c r="L10" s="65"/>
    </row>
    <row r="11" spans="1:12" s="39" customFormat="1" ht="63" customHeight="1" x14ac:dyDescent="0.45">
      <c r="A11" s="88"/>
      <c r="B11" s="61" t="s">
        <v>38</v>
      </c>
      <c r="C11" s="60" t="s">
        <v>39</v>
      </c>
      <c r="D11" s="60" t="s">
        <v>40</v>
      </c>
      <c r="E11" s="60" t="s">
        <v>41</v>
      </c>
      <c r="F11" s="60" t="s">
        <v>42</v>
      </c>
      <c r="G11" s="60" t="s">
        <v>43</v>
      </c>
      <c r="H11" s="60" t="s">
        <v>44</v>
      </c>
      <c r="I11" s="60" t="s">
        <v>45</v>
      </c>
      <c r="J11" s="60" t="s">
        <v>46</v>
      </c>
      <c r="K11" s="60" t="s">
        <v>47</v>
      </c>
      <c r="L11" s="60" t="s">
        <v>48</v>
      </c>
    </row>
    <row r="12" spans="1:12" ht="19.5" customHeight="1" x14ac:dyDescent="0.25">
      <c r="A12" s="91"/>
      <c r="B12" s="162" t="s">
        <v>49</v>
      </c>
      <c r="C12" s="163"/>
      <c r="D12" s="163"/>
      <c r="E12" s="163"/>
      <c r="F12" s="164"/>
      <c r="G12" s="165" t="s">
        <v>50</v>
      </c>
      <c r="H12" s="166"/>
      <c r="I12" s="166"/>
      <c r="J12" s="166"/>
      <c r="K12" s="166"/>
      <c r="L12" s="166"/>
    </row>
    <row r="13" spans="1:12" ht="31.5" customHeight="1" x14ac:dyDescent="0.25">
      <c r="A13" s="44" t="s">
        <v>51</v>
      </c>
      <c r="B13" s="45" t="s">
        <v>52</v>
      </c>
      <c r="C13" s="30" t="s">
        <v>2495</v>
      </c>
      <c r="D13" s="30" t="s">
        <v>2496</v>
      </c>
      <c r="E13" s="30" t="s">
        <v>55</v>
      </c>
      <c r="F13" s="58" t="s">
        <v>56</v>
      </c>
      <c r="G13" s="47" t="s">
        <v>57</v>
      </c>
      <c r="H13" s="47" t="s">
        <v>58</v>
      </c>
      <c r="I13" s="31" t="s">
        <v>59</v>
      </c>
      <c r="J13" s="49" t="s">
        <v>60</v>
      </c>
      <c r="K13" s="57" t="s">
        <v>61</v>
      </c>
      <c r="L13" s="77" t="s">
        <v>62</v>
      </c>
    </row>
    <row r="14" spans="1:12" ht="15.75" customHeight="1" x14ac:dyDescent="0.25">
      <c r="A14" s="73"/>
      <c r="B14" s="66">
        <f>C4</f>
        <v>45943</v>
      </c>
      <c r="C14" s="79">
        <f>$C$3</f>
        <v>63</v>
      </c>
      <c r="D14" s="79">
        <f>$C$3</f>
        <v>63</v>
      </c>
      <c r="E14" s="79">
        <f>$C$3</f>
        <v>63</v>
      </c>
      <c r="F14" s="80"/>
      <c r="G14" s="81"/>
      <c r="H14" s="81"/>
      <c r="I14" s="82"/>
      <c r="J14" s="83">
        <v>0</v>
      </c>
      <c r="K14" s="84"/>
      <c r="L14" s="86" t="s">
        <v>2513</v>
      </c>
    </row>
    <row r="15" spans="1:12" ht="15.75" customHeight="1" x14ac:dyDescent="0.25">
      <c r="A15" s="73" t="s">
        <v>2514</v>
      </c>
      <c r="B15" s="66">
        <f t="shared" ref="B15:B54" si="0">B14+$C$9</f>
        <v>45950</v>
      </c>
      <c r="C15" s="79">
        <f>IF(OR(C14="",C14=0),"",IF(ISBLANK($J14),IF(C14+$K14+$I14-$C$6&lt;=0,IF(AND(C14&gt;0,C14&lt;&gt;""),0,""),C14+$K14+$I14-$C$6),IF((C14-$J14)+$K14+$I14&lt;=0,IF(AND(C14&gt;0,C14&lt;&gt;""),0,""),(C14-$J14)+$K14+$I14)))</f>
        <v>63</v>
      </c>
      <c r="D15" s="79">
        <f t="shared" ref="D15:D54" si="1">IF(OR(D14="",D14=0),"",IF(ISBLANK($J14),IF(D14+$K14+$I14-$C$7&lt;=0,IF(AND(D14&gt;0,D14&lt;&gt;""),0,""),D14+$K14+$I14-$C$7),IF((D14-$J14)+$K14+$I14&lt;=0,IF(AND(D14&gt;0,D14&lt;&gt;""),0,""),(D14-$J14)+$K14+$I14)))</f>
        <v>63</v>
      </c>
      <c r="E15" s="79">
        <f t="shared" ref="E15:E54" si="2">IF(OR(E14="",E14=0),"",IF(ISBLANK($J14),IF(E14+$K14+$I14-$C$8&lt;=0,IF(AND(E14&gt;0,E14&lt;&gt;""),0,""),E14+$K14+$I14-$C$8),IF((E14-$J14)+$K14+$I14&lt;=0,IF(AND(E14&gt;0,E14&lt;&gt;""),0,""),(E14-$J14)+$K14+$I14)))</f>
        <v>63</v>
      </c>
      <c r="F15" s="80">
        <f>IF(J14="","",IF(G14+F14+H14+I14-J14&lt;0,0,G14+F14+H14+I14-J14))</f>
        <v>0</v>
      </c>
      <c r="G15" s="81">
        <v>5</v>
      </c>
      <c r="H15" s="81">
        <v>2</v>
      </c>
      <c r="I15" s="82">
        <v>1</v>
      </c>
      <c r="J15" s="83">
        <v>2</v>
      </c>
      <c r="K15" s="84"/>
      <c r="L15" s="86"/>
    </row>
    <row r="16" spans="1:12" ht="15.75" customHeight="1" x14ac:dyDescent="0.25">
      <c r="A16" s="73" t="s">
        <v>2515</v>
      </c>
      <c r="B16" s="66">
        <f t="shared" si="0"/>
        <v>45957</v>
      </c>
      <c r="C16" s="85">
        <f t="shared" ref="C16:C54" si="3">IF(OR(C15="",C15=0),"",IF(ISBLANK(J15),IF(C15+K15+I15-$C$6&lt;=0,IF(AND(C15&gt;0,C15&lt;&gt;""),0,""),C15+K15+I15-$C$6),IF((C15-J15)+K15+I15&lt;=0,IF(AND(C15&gt;0,C15&lt;&gt;""),0,""),(C15-J15)+K15+I15)))</f>
        <v>62</v>
      </c>
      <c r="D16" s="85">
        <f t="shared" si="1"/>
        <v>62</v>
      </c>
      <c r="E16" s="85">
        <f t="shared" si="2"/>
        <v>62</v>
      </c>
      <c r="F16" s="80">
        <f t="shared" ref="F16:F54" si="4">IF(J15="","",IF(G15+F15+H15+I15-J15&lt;0,0,G15+F15+H15+I15-J15))</f>
        <v>6</v>
      </c>
      <c r="G16" s="81">
        <v>2</v>
      </c>
      <c r="H16" s="81">
        <v>2</v>
      </c>
      <c r="I16" s="82"/>
      <c r="J16" s="83">
        <v>0</v>
      </c>
      <c r="K16" s="84"/>
      <c r="L16" s="86" t="s">
        <v>2516</v>
      </c>
    </row>
    <row r="17" spans="1:12" ht="23.25" customHeight="1" x14ac:dyDescent="0.25">
      <c r="A17" s="73" t="s">
        <v>2517</v>
      </c>
      <c r="B17" s="66">
        <f t="shared" si="0"/>
        <v>45964</v>
      </c>
      <c r="C17" s="85">
        <f t="shared" si="3"/>
        <v>62</v>
      </c>
      <c r="D17" s="85">
        <f t="shared" si="1"/>
        <v>62</v>
      </c>
      <c r="E17" s="85">
        <f t="shared" si="2"/>
        <v>62</v>
      </c>
      <c r="F17" s="80">
        <f t="shared" si="4"/>
        <v>10</v>
      </c>
      <c r="G17" s="81">
        <v>2</v>
      </c>
      <c r="H17" s="81">
        <v>2</v>
      </c>
      <c r="I17" s="82"/>
      <c r="J17" s="83">
        <v>0</v>
      </c>
      <c r="K17" s="84"/>
      <c r="L17" s="111" t="s">
        <v>2518</v>
      </c>
    </row>
    <row r="18" spans="1:12" ht="15.75" customHeight="1" x14ac:dyDescent="0.25">
      <c r="A18" s="73" t="s">
        <v>2519</v>
      </c>
      <c r="B18" s="66">
        <f t="shared" si="0"/>
        <v>45971</v>
      </c>
      <c r="C18" s="85">
        <f t="shared" si="3"/>
        <v>62</v>
      </c>
      <c r="D18" s="85">
        <f t="shared" si="1"/>
        <v>62</v>
      </c>
      <c r="E18" s="85">
        <f t="shared" si="2"/>
        <v>62</v>
      </c>
      <c r="F18" s="80">
        <v>12</v>
      </c>
      <c r="G18" s="81"/>
      <c r="H18" s="81"/>
      <c r="I18" s="82">
        <v>2</v>
      </c>
      <c r="J18" s="83">
        <v>8</v>
      </c>
      <c r="K18" s="84"/>
      <c r="L18" s="86" t="s">
        <v>2520</v>
      </c>
    </row>
    <row r="19" spans="1:12" ht="15.75" customHeight="1" x14ac:dyDescent="0.25">
      <c r="A19" s="73" t="s">
        <v>2521</v>
      </c>
      <c r="B19" s="66">
        <f t="shared" si="0"/>
        <v>45978</v>
      </c>
      <c r="C19" s="85">
        <f t="shared" si="3"/>
        <v>56</v>
      </c>
      <c r="D19" s="85">
        <f t="shared" si="1"/>
        <v>56</v>
      </c>
      <c r="E19" s="85">
        <f t="shared" si="2"/>
        <v>56</v>
      </c>
      <c r="F19" s="80">
        <f t="shared" si="4"/>
        <v>6</v>
      </c>
      <c r="G19" s="81">
        <v>2</v>
      </c>
      <c r="H19" s="81"/>
      <c r="I19" s="82"/>
      <c r="J19" s="83">
        <v>2</v>
      </c>
      <c r="K19" s="84">
        <v>29</v>
      </c>
      <c r="L19" s="86" t="s">
        <v>2522</v>
      </c>
    </row>
    <row r="20" spans="1:12" ht="15.75" customHeight="1" x14ac:dyDescent="0.25">
      <c r="A20" s="73" t="s">
        <v>2523</v>
      </c>
      <c r="B20" s="66">
        <f t="shared" si="0"/>
        <v>45985</v>
      </c>
      <c r="C20" s="85">
        <f t="shared" si="3"/>
        <v>83</v>
      </c>
      <c r="D20" s="85">
        <f t="shared" si="1"/>
        <v>83</v>
      </c>
      <c r="E20" s="85">
        <f t="shared" si="2"/>
        <v>83</v>
      </c>
      <c r="F20" s="80">
        <f t="shared" si="4"/>
        <v>6</v>
      </c>
      <c r="G20" s="81">
        <v>0</v>
      </c>
      <c r="H20" s="81">
        <v>-1</v>
      </c>
      <c r="I20" s="82"/>
      <c r="J20" s="83">
        <v>3</v>
      </c>
      <c r="K20" s="84">
        <v>-1</v>
      </c>
      <c r="L20" s="86" t="s">
        <v>2524</v>
      </c>
    </row>
    <row r="21" spans="1:12" ht="15.75" customHeight="1" x14ac:dyDescent="0.25">
      <c r="A21" s="73" t="s">
        <v>2525</v>
      </c>
      <c r="B21" s="66">
        <f t="shared" si="0"/>
        <v>45992</v>
      </c>
      <c r="C21" s="85">
        <f t="shared" si="3"/>
        <v>79</v>
      </c>
      <c r="D21" s="85">
        <f t="shared" si="1"/>
        <v>79</v>
      </c>
      <c r="E21" s="85">
        <f t="shared" si="2"/>
        <v>79</v>
      </c>
      <c r="F21" s="80">
        <f>IF(J20="","",IF(G20+F20+H20+I20-J20&lt;0,0,G20+F20+H20+I20-J20))</f>
        <v>2</v>
      </c>
      <c r="G21" s="81">
        <v>2</v>
      </c>
      <c r="H21" s="81">
        <v>3</v>
      </c>
      <c r="I21" s="82"/>
      <c r="J21" s="83">
        <v>2</v>
      </c>
      <c r="K21" s="84"/>
      <c r="L21" s="86"/>
    </row>
    <row r="22" spans="1:12" ht="15.75" customHeight="1" x14ac:dyDescent="0.25">
      <c r="A22" s="73" t="s">
        <v>2526</v>
      </c>
      <c r="B22" s="66">
        <f t="shared" si="0"/>
        <v>45999</v>
      </c>
      <c r="C22" s="85">
        <f t="shared" si="3"/>
        <v>77</v>
      </c>
      <c r="D22" s="85">
        <f t="shared" si="1"/>
        <v>77</v>
      </c>
      <c r="E22" s="85">
        <f t="shared" si="2"/>
        <v>77</v>
      </c>
      <c r="F22" s="80">
        <f t="shared" si="4"/>
        <v>5</v>
      </c>
      <c r="G22" s="81"/>
      <c r="H22" s="81"/>
      <c r="I22" s="82"/>
      <c r="J22" s="83">
        <v>3</v>
      </c>
      <c r="K22" s="84"/>
      <c r="L22" s="86" t="s">
        <v>2527</v>
      </c>
    </row>
    <row r="23" spans="1:12" ht="15.75" customHeight="1" x14ac:dyDescent="0.25">
      <c r="A23" s="73" t="s">
        <v>2528</v>
      </c>
      <c r="B23" s="66">
        <f t="shared" si="0"/>
        <v>46006</v>
      </c>
      <c r="C23" s="85">
        <f t="shared" si="3"/>
        <v>74</v>
      </c>
      <c r="D23" s="85">
        <f t="shared" si="1"/>
        <v>74</v>
      </c>
      <c r="E23" s="85">
        <f t="shared" si="2"/>
        <v>74</v>
      </c>
      <c r="F23" s="80">
        <f t="shared" si="4"/>
        <v>2</v>
      </c>
      <c r="G23" s="81">
        <v>2</v>
      </c>
      <c r="H23" s="81">
        <v>1</v>
      </c>
      <c r="I23" s="82"/>
      <c r="J23" s="83">
        <v>2</v>
      </c>
      <c r="K23" s="84"/>
      <c r="L23" s="86" t="s">
        <v>2529</v>
      </c>
    </row>
    <row r="24" spans="1:12" ht="15.75" customHeight="1" x14ac:dyDescent="0.25">
      <c r="A24" s="73" t="s">
        <v>2530</v>
      </c>
      <c r="B24" s="66">
        <f t="shared" si="0"/>
        <v>46013</v>
      </c>
      <c r="C24" s="85">
        <f t="shared" si="3"/>
        <v>72</v>
      </c>
      <c r="D24" s="85">
        <f t="shared" si="1"/>
        <v>72</v>
      </c>
      <c r="E24" s="85">
        <f t="shared" si="2"/>
        <v>72</v>
      </c>
      <c r="F24" s="80">
        <f t="shared" si="4"/>
        <v>3</v>
      </c>
      <c r="G24" s="81">
        <v>1</v>
      </c>
      <c r="H24" s="81"/>
      <c r="I24" s="82"/>
      <c r="J24" s="83">
        <v>1</v>
      </c>
      <c r="K24" s="84"/>
      <c r="L24" s="86"/>
    </row>
    <row r="25" spans="1:12" ht="15.75" customHeight="1" x14ac:dyDescent="0.25">
      <c r="A25" s="73" t="s">
        <v>2497</v>
      </c>
      <c r="B25" s="66">
        <f t="shared" si="0"/>
        <v>46020</v>
      </c>
      <c r="C25" s="85">
        <f t="shared" si="3"/>
        <v>71</v>
      </c>
      <c r="D25" s="85">
        <f t="shared" si="1"/>
        <v>71</v>
      </c>
      <c r="E25" s="85">
        <f t="shared" si="2"/>
        <v>71</v>
      </c>
      <c r="F25" s="80">
        <f t="shared" si="4"/>
        <v>3</v>
      </c>
      <c r="G25" s="81">
        <v>1</v>
      </c>
      <c r="H25" s="81"/>
      <c r="I25" s="82"/>
      <c r="J25" s="83">
        <v>1</v>
      </c>
      <c r="K25" s="84">
        <v>1</v>
      </c>
      <c r="L25" s="86"/>
    </row>
    <row r="26" spans="1:12" ht="15.75" customHeight="1" x14ac:dyDescent="0.25">
      <c r="A26" s="73" t="s">
        <v>2498</v>
      </c>
      <c r="B26" s="66">
        <f t="shared" si="0"/>
        <v>46027</v>
      </c>
      <c r="C26" s="85">
        <f t="shared" si="3"/>
        <v>71</v>
      </c>
      <c r="D26" s="85">
        <f t="shared" si="1"/>
        <v>71</v>
      </c>
      <c r="E26" s="85">
        <f t="shared" si="2"/>
        <v>71</v>
      </c>
      <c r="F26" s="80">
        <f t="shared" si="4"/>
        <v>3</v>
      </c>
      <c r="G26" s="81"/>
      <c r="H26" s="81">
        <v>1</v>
      </c>
      <c r="I26" s="82"/>
      <c r="J26" s="83">
        <v>2</v>
      </c>
      <c r="K26" s="84"/>
      <c r="L26" s="86"/>
    </row>
    <row r="27" spans="1:12" ht="15.75" customHeight="1" x14ac:dyDescent="0.25">
      <c r="A27" s="73" t="s">
        <v>2499</v>
      </c>
      <c r="B27" s="66">
        <f t="shared" si="0"/>
        <v>46034</v>
      </c>
      <c r="C27" s="85">
        <f t="shared" si="3"/>
        <v>69</v>
      </c>
      <c r="D27" s="85">
        <f t="shared" si="1"/>
        <v>69</v>
      </c>
      <c r="E27" s="85">
        <f t="shared" si="2"/>
        <v>69</v>
      </c>
      <c r="F27" s="80">
        <f t="shared" si="4"/>
        <v>2</v>
      </c>
      <c r="G27" s="81"/>
      <c r="H27" s="81">
        <v>1</v>
      </c>
      <c r="I27" s="82"/>
      <c r="J27" s="83"/>
      <c r="K27" s="84"/>
      <c r="L27" s="86"/>
    </row>
    <row r="28" spans="1:12" ht="15.75" customHeight="1" x14ac:dyDescent="0.25">
      <c r="A28" s="73" t="s">
        <v>2500</v>
      </c>
      <c r="B28" s="66">
        <f t="shared" si="0"/>
        <v>46041</v>
      </c>
      <c r="C28" s="85">
        <f t="shared" si="3"/>
        <v>67</v>
      </c>
      <c r="D28" s="85">
        <f t="shared" si="1"/>
        <v>68</v>
      </c>
      <c r="E28" s="85">
        <f t="shared" si="2"/>
        <v>63</v>
      </c>
      <c r="F28" s="80" t="str">
        <f t="shared" si="4"/>
        <v/>
      </c>
      <c r="G28" s="81"/>
      <c r="H28" s="81"/>
      <c r="I28" s="82"/>
      <c r="J28" s="83"/>
      <c r="K28" s="84"/>
      <c r="L28" s="86"/>
    </row>
    <row r="29" spans="1:12" ht="15.75" customHeight="1" x14ac:dyDescent="0.25">
      <c r="A29" s="73" t="s">
        <v>2501</v>
      </c>
      <c r="B29" s="66">
        <f t="shared" si="0"/>
        <v>46048</v>
      </c>
      <c r="C29" s="85">
        <f t="shared" si="3"/>
        <v>65</v>
      </c>
      <c r="D29" s="85">
        <f t="shared" si="1"/>
        <v>67</v>
      </c>
      <c r="E29" s="85">
        <f t="shared" si="2"/>
        <v>57</v>
      </c>
      <c r="F29" s="80" t="str">
        <f t="shared" si="4"/>
        <v/>
      </c>
      <c r="G29" s="81"/>
      <c r="H29" s="81"/>
      <c r="I29" s="82"/>
      <c r="J29" s="83"/>
      <c r="K29" s="84"/>
      <c r="L29" s="86"/>
    </row>
    <row r="30" spans="1:12" ht="15.75" customHeight="1" x14ac:dyDescent="0.25">
      <c r="A30" s="73"/>
      <c r="B30" s="66">
        <f t="shared" si="0"/>
        <v>46055</v>
      </c>
      <c r="C30" s="85">
        <f t="shared" si="3"/>
        <v>63</v>
      </c>
      <c r="D30" s="85">
        <f t="shared" si="1"/>
        <v>66</v>
      </c>
      <c r="E30" s="85">
        <f t="shared" si="2"/>
        <v>51</v>
      </c>
      <c r="F30" s="80" t="str">
        <f t="shared" si="4"/>
        <v/>
      </c>
      <c r="G30" s="81"/>
      <c r="H30" s="81"/>
      <c r="I30" s="82"/>
      <c r="J30" s="83"/>
      <c r="K30" s="84"/>
      <c r="L30" s="86"/>
    </row>
    <row r="31" spans="1:12" ht="15.75" customHeight="1" x14ac:dyDescent="0.25">
      <c r="A31" s="73"/>
      <c r="B31" s="66">
        <f t="shared" si="0"/>
        <v>46062</v>
      </c>
      <c r="C31" s="85">
        <f t="shared" si="3"/>
        <v>61</v>
      </c>
      <c r="D31" s="85">
        <f t="shared" si="1"/>
        <v>65</v>
      </c>
      <c r="E31" s="85">
        <f t="shared" si="2"/>
        <v>45</v>
      </c>
      <c r="F31" s="80" t="str">
        <f t="shared" si="4"/>
        <v/>
      </c>
      <c r="G31" s="81"/>
      <c r="H31" s="81"/>
      <c r="I31" s="82"/>
      <c r="J31" s="83"/>
      <c r="K31" s="84"/>
      <c r="L31" s="86"/>
    </row>
    <row r="32" spans="1:12" ht="15.75" customHeight="1" x14ac:dyDescent="0.25">
      <c r="A32" s="73"/>
      <c r="B32" s="66">
        <f t="shared" si="0"/>
        <v>46069</v>
      </c>
      <c r="C32" s="85">
        <f t="shared" si="3"/>
        <v>59</v>
      </c>
      <c r="D32" s="85">
        <f t="shared" si="1"/>
        <v>64</v>
      </c>
      <c r="E32" s="85">
        <f t="shared" si="2"/>
        <v>39</v>
      </c>
      <c r="F32" s="80" t="str">
        <f t="shared" si="4"/>
        <v/>
      </c>
      <c r="G32" s="81"/>
      <c r="H32" s="81"/>
      <c r="I32" s="82"/>
      <c r="J32" s="83"/>
      <c r="K32" s="84"/>
      <c r="L32" s="86"/>
    </row>
    <row r="33" spans="1:12" ht="15.75" customHeight="1" x14ac:dyDescent="0.25">
      <c r="A33" s="73"/>
      <c r="B33" s="66">
        <f t="shared" si="0"/>
        <v>46076</v>
      </c>
      <c r="C33" s="85">
        <f t="shared" si="3"/>
        <v>57</v>
      </c>
      <c r="D33" s="85">
        <f t="shared" si="1"/>
        <v>63</v>
      </c>
      <c r="E33" s="85">
        <f t="shared" si="2"/>
        <v>33</v>
      </c>
      <c r="F33" s="80" t="str">
        <f t="shared" si="4"/>
        <v/>
      </c>
      <c r="G33" s="81"/>
      <c r="H33" s="81"/>
      <c r="I33" s="82"/>
      <c r="J33" s="83"/>
      <c r="K33" s="84"/>
      <c r="L33" s="86"/>
    </row>
    <row r="34" spans="1:12" ht="15.75" customHeight="1" x14ac:dyDescent="0.25">
      <c r="A34" s="73"/>
      <c r="B34" s="66">
        <f t="shared" si="0"/>
        <v>46083</v>
      </c>
      <c r="C34" s="85">
        <f t="shared" si="3"/>
        <v>55</v>
      </c>
      <c r="D34" s="85">
        <f t="shared" si="1"/>
        <v>62</v>
      </c>
      <c r="E34" s="85">
        <f t="shared" si="2"/>
        <v>27</v>
      </c>
      <c r="F34" s="80" t="str">
        <f t="shared" si="4"/>
        <v/>
      </c>
      <c r="G34" s="81"/>
      <c r="H34" s="81"/>
      <c r="I34" s="82"/>
      <c r="J34" s="83"/>
      <c r="K34" s="84"/>
      <c r="L34" s="86"/>
    </row>
    <row r="35" spans="1:12" ht="15.75" customHeight="1" x14ac:dyDescent="0.25">
      <c r="A35" s="73"/>
      <c r="B35" s="66">
        <f t="shared" si="0"/>
        <v>46090</v>
      </c>
      <c r="C35" s="85">
        <f t="shared" si="3"/>
        <v>53</v>
      </c>
      <c r="D35" s="85">
        <f t="shared" si="1"/>
        <v>61</v>
      </c>
      <c r="E35" s="85">
        <f t="shared" si="2"/>
        <v>21</v>
      </c>
      <c r="F35" s="80" t="str">
        <f t="shared" si="4"/>
        <v/>
      </c>
      <c r="G35" s="81"/>
      <c r="H35" s="81"/>
      <c r="I35" s="82"/>
      <c r="J35" s="83"/>
      <c r="K35" s="84"/>
      <c r="L35" s="86"/>
    </row>
    <row r="36" spans="1:12" ht="15.75" customHeight="1" x14ac:dyDescent="0.25">
      <c r="A36" s="73"/>
      <c r="B36" s="66">
        <f t="shared" si="0"/>
        <v>46097</v>
      </c>
      <c r="C36" s="85">
        <f t="shared" si="3"/>
        <v>51</v>
      </c>
      <c r="D36" s="85">
        <f t="shared" si="1"/>
        <v>60</v>
      </c>
      <c r="E36" s="85">
        <f t="shared" si="2"/>
        <v>15</v>
      </c>
      <c r="F36" s="80" t="str">
        <f t="shared" si="4"/>
        <v/>
      </c>
      <c r="G36" s="81"/>
      <c r="H36" s="81"/>
      <c r="I36" s="82"/>
      <c r="J36" s="83"/>
      <c r="K36" s="84"/>
      <c r="L36" s="86"/>
    </row>
    <row r="37" spans="1:12" ht="15.75" customHeight="1" x14ac:dyDescent="0.25">
      <c r="A37" s="73"/>
      <c r="B37" s="66">
        <f t="shared" si="0"/>
        <v>46104</v>
      </c>
      <c r="C37" s="85">
        <f t="shared" si="3"/>
        <v>49</v>
      </c>
      <c r="D37" s="85">
        <f t="shared" si="1"/>
        <v>59</v>
      </c>
      <c r="E37" s="85">
        <f t="shared" si="2"/>
        <v>9</v>
      </c>
      <c r="F37" s="80" t="str">
        <f t="shared" si="4"/>
        <v/>
      </c>
      <c r="G37" s="81"/>
      <c r="H37" s="81"/>
      <c r="I37" s="82"/>
      <c r="J37" s="83"/>
      <c r="K37" s="84"/>
      <c r="L37" s="86"/>
    </row>
    <row r="38" spans="1:12" ht="15.75" customHeight="1" x14ac:dyDescent="0.25">
      <c r="A38" s="73"/>
      <c r="B38" s="66">
        <f t="shared" si="0"/>
        <v>46111</v>
      </c>
      <c r="C38" s="85">
        <f t="shared" si="3"/>
        <v>47</v>
      </c>
      <c r="D38" s="85">
        <f t="shared" si="1"/>
        <v>58</v>
      </c>
      <c r="E38" s="85">
        <f t="shared" si="2"/>
        <v>3</v>
      </c>
      <c r="F38" s="80" t="str">
        <f t="shared" si="4"/>
        <v/>
      </c>
      <c r="G38" s="81"/>
      <c r="H38" s="81"/>
      <c r="I38" s="82"/>
      <c r="J38" s="83"/>
      <c r="K38" s="84"/>
      <c r="L38" s="86"/>
    </row>
    <row r="39" spans="1:12" ht="15.75" customHeight="1" x14ac:dyDescent="0.25">
      <c r="A39" s="73"/>
      <c r="B39" s="66">
        <f t="shared" si="0"/>
        <v>46118</v>
      </c>
      <c r="C39" s="85">
        <f t="shared" si="3"/>
        <v>45</v>
      </c>
      <c r="D39" s="85">
        <f t="shared" si="1"/>
        <v>57</v>
      </c>
      <c r="E39" s="85">
        <f t="shared" si="2"/>
        <v>0</v>
      </c>
      <c r="F39" s="80" t="str">
        <f t="shared" si="4"/>
        <v/>
      </c>
      <c r="G39" s="81"/>
      <c r="H39" s="81"/>
      <c r="I39" s="82"/>
      <c r="J39" s="83"/>
      <c r="K39" s="84"/>
      <c r="L39" s="86"/>
    </row>
    <row r="40" spans="1:12" ht="15.75" customHeight="1" x14ac:dyDescent="0.25">
      <c r="A40" s="73"/>
      <c r="B40" s="66">
        <f t="shared" si="0"/>
        <v>46125</v>
      </c>
      <c r="C40" s="85">
        <f t="shared" si="3"/>
        <v>43</v>
      </c>
      <c r="D40" s="85">
        <f t="shared" si="1"/>
        <v>56</v>
      </c>
      <c r="E40" s="85" t="str">
        <f t="shared" si="2"/>
        <v/>
      </c>
      <c r="F40" s="80" t="str">
        <f t="shared" si="4"/>
        <v/>
      </c>
      <c r="G40" s="81"/>
      <c r="H40" s="81"/>
      <c r="I40" s="82"/>
      <c r="J40" s="83"/>
      <c r="K40" s="84"/>
      <c r="L40" s="86"/>
    </row>
    <row r="41" spans="1:12" ht="15.75" customHeight="1" x14ac:dyDescent="0.25">
      <c r="A41" s="73"/>
      <c r="B41" s="66">
        <f t="shared" si="0"/>
        <v>46132</v>
      </c>
      <c r="C41" s="85">
        <f t="shared" si="3"/>
        <v>41</v>
      </c>
      <c r="D41" s="85">
        <f t="shared" si="1"/>
        <v>55</v>
      </c>
      <c r="E41" s="85" t="str">
        <f t="shared" si="2"/>
        <v/>
      </c>
      <c r="F41" s="80" t="str">
        <f t="shared" si="4"/>
        <v/>
      </c>
      <c r="G41" s="81"/>
      <c r="H41" s="81"/>
      <c r="I41" s="82"/>
      <c r="J41" s="83"/>
      <c r="K41" s="84"/>
      <c r="L41" s="86"/>
    </row>
    <row r="42" spans="1:12" ht="15.75" customHeight="1" x14ac:dyDescent="0.25">
      <c r="A42" s="73"/>
      <c r="B42" s="66">
        <f t="shared" si="0"/>
        <v>46139</v>
      </c>
      <c r="C42" s="85">
        <f t="shared" si="3"/>
        <v>39</v>
      </c>
      <c r="D42" s="85">
        <f t="shared" si="1"/>
        <v>54</v>
      </c>
      <c r="E42" s="85" t="str">
        <f t="shared" si="2"/>
        <v/>
      </c>
      <c r="F42" s="80" t="str">
        <f t="shared" si="4"/>
        <v/>
      </c>
      <c r="G42" s="81"/>
      <c r="H42" s="81"/>
      <c r="I42" s="82"/>
      <c r="J42" s="83"/>
      <c r="K42" s="84"/>
      <c r="L42" s="86"/>
    </row>
    <row r="43" spans="1:12" ht="15.75" customHeight="1" x14ac:dyDescent="0.25">
      <c r="A43" s="73"/>
      <c r="B43" s="66">
        <f t="shared" si="0"/>
        <v>46146</v>
      </c>
      <c r="C43" s="85">
        <f t="shared" si="3"/>
        <v>37</v>
      </c>
      <c r="D43" s="85">
        <f t="shared" si="1"/>
        <v>53</v>
      </c>
      <c r="E43" s="85" t="str">
        <f t="shared" si="2"/>
        <v/>
      </c>
      <c r="F43" s="80" t="str">
        <f t="shared" si="4"/>
        <v/>
      </c>
      <c r="G43" s="81"/>
      <c r="H43" s="81"/>
      <c r="I43" s="82"/>
      <c r="J43" s="83"/>
      <c r="K43" s="84"/>
      <c r="L43" s="86"/>
    </row>
    <row r="44" spans="1:12" ht="15.75" customHeight="1" x14ac:dyDescent="0.25">
      <c r="A44" s="73"/>
      <c r="B44" s="66">
        <f t="shared" si="0"/>
        <v>46153</v>
      </c>
      <c r="C44" s="85">
        <f t="shared" si="3"/>
        <v>35</v>
      </c>
      <c r="D44" s="85">
        <f t="shared" si="1"/>
        <v>52</v>
      </c>
      <c r="E44" s="85" t="str">
        <f t="shared" si="2"/>
        <v/>
      </c>
      <c r="F44" s="80" t="str">
        <f t="shared" si="4"/>
        <v/>
      </c>
      <c r="G44" s="81"/>
      <c r="H44" s="81"/>
      <c r="I44" s="82"/>
      <c r="J44" s="83"/>
      <c r="K44" s="84"/>
      <c r="L44" s="86"/>
    </row>
    <row r="45" spans="1:12" ht="15.75" customHeight="1" x14ac:dyDescent="0.25">
      <c r="A45" s="73"/>
      <c r="B45" s="66">
        <f t="shared" si="0"/>
        <v>46160</v>
      </c>
      <c r="C45" s="85">
        <f t="shared" si="3"/>
        <v>33</v>
      </c>
      <c r="D45" s="85">
        <f t="shared" si="1"/>
        <v>51</v>
      </c>
      <c r="E45" s="85" t="str">
        <f t="shared" si="2"/>
        <v/>
      </c>
      <c r="F45" s="80" t="str">
        <f t="shared" si="4"/>
        <v/>
      </c>
      <c r="G45" s="81"/>
      <c r="H45" s="81"/>
      <c r="I45" s="82"/>
      <c r="J45" s="83"/>
      <c r="K45" s="84"/>
      <c r="L45" s="86"/>
    </row>
    <row r="46" spans="1:12" ht="15.75" customHeight="1" x14ac:dyDescent="0.25">
      <c r="A46" s="73"/>
      <c r="B46" s="66">
        <f t="shared" si="0"/>
        <v>46167</v>
      </c>
      <c r="C46" s="85">
        <f t="shared" si="3"/>
        <v>31</v>
      </c>
      <c r="D46" s="85">
        <f t="shared" si="1"/>
        <v>50</v>
      </c>
      <c r="E46" s="85" t="str">
        <f t="shared" si="2"/>
        <v/>
      </c>
      <c r="F46" s="80" t="str">
        <f t="shared" si="4"/>
        <v/>
      </c>
      <c r="G46" s="81"/>
      <c r="H46" s="81"/>
      <c r="I46" s="82"/>
      <c r="J46" s="83"/>
      <c r="K46" s="84"/>
      <c r="L46" s="86"/>
    </row>
    <row r="47" spans="1:12" ht="15.75" customHeight="1" x14ac:dyDescent="0.25">
      <c r="A47" s="73"/>
      <c r="B47" s="66">
        <f t="shared" si="0"/>
        <v>46174</v>
      </c>
      <c r="C47" s="85">
        <f t="shared" si="3"/>
        <v>29</v>
      </c>
      <c r="D47" s="85">
        <f t="shared" si="1"/>
        <v>49</v>
      </c>
      <c r="E47" s="85" t="str">
        <f t="shared" si="2"/>
        <v/>
      </c>
      <c r="F47" s="80" t="str">
        <f t="shared" si="4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/>
      <c r="B48" s="66">
        <f t="shared" si="0"/>
        <v>46181</v>
      </c>
      <c r="C48" s="85">
        <f t="shared" si="3"/>
        <v>27</v>
      </c>
      <c r="D48" s="85">
        <f t="shared" si="1"/>
        <v>48</v>
      </c>
      <c r="E48" s="85" t="str">
        <f t="shared" si="2"/>
        <v/>
      </c>
      <c r="F48" s="80" t="str">
        <f t="shared" si="4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0"/>
        <v>46188</v>
      </c>
      <c r="C49" s="85">
        <f t="shared" si="3"/>
        <v>25</v>
      </c>
      <c r="D49" s="85">
        <f t="shared" si="1"/>
        <v>47</v>
      </c>
      <c r="E49" s="85" t="str">
        <f t="shared" si="2"/>
        <v/>
      </c>
      <c r="F49" s="80" t="str">
        <f t="shared" si="4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0"/>
        <v>46195</v>
      </c>
      <c r="C50" s="85">
        <f t="shared" si="3"/>
        <v>23</v>
      </c>
      <c r="D50" s="85">
        <f t="shared" si="1"/>
        <v>46</v>
      </c>
      <c r="E50" s="85" t="str">
        <f t="shared" si="2"/>
        <v/>
      </c>
      <c r="F50" s="80" t="str">
        <f t="shared" si="4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0"/>
        <v>46202</v>
      </c>
      <c r="C51" s="85">
        <f t="shared" si="3"/>
        <v>21</v>
      </c>
      <c r="D51" s="85">
        <f t="shared" si="1"/>
        <v>45</v>
      </c>
      <c r="E51" s="85" t="str">
        <f t="shared" si="2"/>
        <v/>
      </c>
      <c r="F51" s="80" t="str">
        <f t="shared" si="4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0"/>
        <v>46209</v>
      </c>
      <c r="C52" s="85">
        <f t="shared" si="3"/>
        <v>19</v>
      </c>
      <c r="D52" s="85">
        <f t="shared" si="1"/>
        <v>44</v>
      </c>
      <c r="E52" s="85" t="str">
        <f t="shared" si="2"/>
        <v/>
      </c>
      <c r="F52" s="80" t="str">
        <f t="shared" si="4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0"/>
        <v>46216</v>
      </c>
      <c r="C53" s="85">
        <f t="shared" si="3"/>
        <v>17</v>
      </c>
      <c r="D53" s="85">
        <f t="shared" si="1"/>
        <v>43</v>
      </c>
      <c r="E53" s="85" t="str">
        <f t="shared" si="2"/>
        <v/>
      </c>
      <c r="F53" s="80" t="str">
        <f t="shared" si="4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0"/>
        <v>46223</v>
      </c>
      <c r="C54" s="85">
        <f t="shared" si="3"/>
        <v>15</v>
      </c>
      <c r="D54" s="85">
        <f t="shared" si="1"/>
        <v>42</v>
      </c>
      <c r="E54" s="85" t="str">
        <f t="shared" si="2"/>
        <v/>
      </c>
      <c r="F54" s="80" t="str">
        <f t="shared" si="4"/>
        <v/>
      </c>
      <c r="G54" s="81"/>
      <c r="H54" s="81"/>
      <c r="I54" s="82"/>
      <c r="J54" s="83"/>
      <c r="K54" s="84"/>
      <c r="L54" s="86"/>
    </row>
    <row r="92" spans="2:3" ht="15.75" customHeight="1" x14ac:dyDescent="0.25">
      <c r="B92" s="67" t="e">
        <f>IF(#REF!="","",IF(#REF!+$C$9&lt;=$C$5,#REF!+$C$9,""))</f>
        <v>#REF!</v>
      </c>
      <c r="C92" s="76" t="e">
        <f>IF(B92&lt;&gt;"",#REF!-$C$2/COUNT($B$17:$B$510),"")</f>
        <v>#REF!</v>
      </c>
    </row>
    <row r="93" spans="2:3" ht="15.75" customHeight="1" x14ac:dyDescent="0.25">
      <c r="B93" s="67" t="e">
        <f t="shared" ref="B93:B156" si="5">IF(B92="","",IF(B92+$C$9&lt;=$C$5,B92+$C$9,""))</f>
        <v>#REF!</v>
      </c>
      <c r="C93" s="76" t="e">
        <f t="shared" ref="C93:C156" si="6">IF(B93&lt;&gt;"",C92-$C$2/COUNT($B$17:$B$510),"")</f>
        <v>#REF!</v>
      </c>
    </row>
    <row r="94" spans="2:3" ht="15.75" customHeight="1" x14ac:dyDescent="0.25">
      <c r="B94" s="67" t="e">
        <f t="shared" si="5"/>
        <v>#REF!</v>
      </c>
      <c r="C94" s="76" t="e">
        <f t="shared" si="6"/>
        <v>#REF!</v>
      </c>
    </row>
    <row r="95" spans="2:3" ht="15.75" customHeight="1" x14ac:dyDescent="0.25">
      <c r="B95" s="67" t="e">
        <f t="shared" si="5"/>
        <v>#REF!</v>
      </c>
      <c r="C95" s="76" t="e">
        <f t="shared" si="6"/>
        <v>#REF!</v>
      </c>
    </row>
    <row r="96" spans="2:3" ht="15.75" customHeight="1" x14ac:dyDescent="0.25">
      <c r="B96" s="67" t="e">
        <f t="shared" si="5"/>
        <v>#REF!</v>
      </c>
      <c r="C96" s="76" t="e">
        <f t="shared" si="6"/>
        <v>#REF!</v>
      </c>
    </row>
    <row r="97" spans="2:3" ht="15.75" customHeight="1" x14ac:dyDescent="0.25">
      <c r="B97" s="67" t="e">
        <f t="shared" si="5"/>
        <v>#REF!</v>
      </c>
      <c r="C97" s="76" t="e">
        <f t="shared" si="6"/>
        <v>#REF!</v>
      </c>
    </row>
    <row r="98" spans="2:3" ht="15.75" customHeight="1" x14ac:dyDescent="0.25">
      <c r="B98" s="67" t="e">
        <f t="shared" si="5"/>
        <v>#REF!</v>
      </c>
      <c r="C98" s="76" t="e">
        <f t="shared" si="6"/>
        <v>#REF!</v>
      </c>
    </row>
    <row r="99" spans="2:3" ht="15.75" customHeight="1" x14ac:dyDescent="0.25">
      <c r="B99" s="67" t="e">
        <f t="shared" si="5"/>
        <v>#REF!</v>
      </c>
      <c r="C99" s="76" t="e">
        <f t="shared" si="6"/>
        <v>#REF!</v>
      </c>
    </row>
    <row r="100" spans="2:3" ht="15.75" customHeight="1" x14ac:dyDescent="0.25">
      <c r="B100" s="67" t="e">
        <f t="shared" si="5"/>
        <v>#REF!</v>
      </c>
      <c r="C100" s="76" t="e">
        <f t="shared" si="6"/>
        <v>#REF!</v>
      </c>
    </row>
    <row r="101" spans="2:3" ht="15.75" customHeight="1" x14ac:dyDescent="0.25">
      <c r="B101" s="67" t="e">
        <f t="shared" si="5"/>
        <v>#REF!</v>
      </c>
      <c r="C101" s="76" t="e">
        <f t="shared" si="6"/>
        <v>#REF!</v>
      </c>
    </row>
    <row r="102" spans="2:3" ht="15.75" customHeight="1" x14ac:dyDescent="0.25">
      <c r="B102" s="67" t="e">
        <f t="shared" si="5"/>
        <v>#REF!</v>
      </c>
      <c r="C102" s="76" t="e">
        <f t="shared" si="6"/>
        <v>#REF!</v>
      </c>
    </row>
    <row r="103" spans="2:3" ht="15.75" customHeight="1" x14ac:dyDescent="0.25">
      <c r="B103" s="67" t="e">
        <f t="shared" si="5"/>
        <v>#REF!</v>
      </c>
      <c r="C103" s="76" t="e">
        <f t="shared" si="6"/>
        <v>#REF!</v>
      </c>
    </row>
    <row r="104" spans="2:3" ht="15.75" customHeight="1" x14ac:dyDescent="0.25">
      <c r="B104" s="67" t="e">
        <f t="shared" si="5"/>
        <v>#REF!</v>
      </c>
      <c r="C104" s="76" t="e">
        <f t="shared" si="6"/>
        <v>#REF!</v>
      </c>
    </row>
    <row r="105" spans="2:3" ht="15.75" customHeight="1" x14ac:dyDescent="0.25">
      <c r="B105" s="67" t="e">
        <f t="shared" si="5"/>
        <v>#REF!</v>
      </c>
      <c r="C105" s="76" t="e">
        <f t="shared" si="6"/>
        <v>#REF!</v>
      </c>
    </row>
    <row r="106" spans="2:3" ht="15.75" customHeight="1" x14ac:dyDescent="0.25">
      <c r="B106" s="67" t="e">
        <f t="shared" si="5"/>
        <v>#REF!</v>
      </c>
      <c r="C106" s="76" t="e">
        <f t="shared" si="6"/>
        <v>#REF!</v>
      </c>
    </row>
    <row r="107" spans="2:3" ht="15.75" customHeight="1" x14ac:dyDescent="0.25">
      <c r="B107" s="67" t="e">
        <f t="shared" si="5"/>
        <v>#REF!</v>
      </c>
      <c r="C107" s="76" t="e">
        <f t="shared" si="6"/>
        <v>#REF!</v>
      </c>
    </row>
    <row r="108" spans="2:3" ht="15.75" customHeight="1" x14ac:dyDescent="0.25">
      <c r="B108" s="67" t="e">
        <f t="shared" si="5"/>
        <v>#REF!</v>
      </c>
      <c r="C108" s="76" t="e">
        <f t="shared" si="6"/>
        <v>#REF!</v>
      </c>
    </row>
    <row r="109" spans="2:3" ht="15.75" customHeight="1" x14ac:dyDescent="0.25">
      <c r="B109" s="67" t="e">
        <f t="shared" si="5"/>
        <v>#REF!</v>
      </c>
      <c r="C109" s="76" t="e">
        <f t="shared" si="6"/>
        <v>#REF!</v>
      </c>
    </row>
    <row r="110" spans="2:3" ht="15.75" customHeight="1" x14ac:dyDescent="0.25">
      <c r="B110" s="67" t="e">
        <f t="shared" si="5"/>
        <v>#REF!</v>
      </c>
      <c r="C110" s="76" t="e">
        <f t="shared" si="6"/>
        <v>#REF!</v>
      </c>
    </row>
    <row r="111" spans="2:3" ht="15.75" customHeight="1" x14ac:dyDescent="0.25">
      <c r="B111" s="67" t="e">
        <f t="shared" si="5"/>
        <v>#REF!</v>
      </c>
      <c r="C111" s="76" t="e">
        <f t="shared" si="6"/>
        <v>#REF!</v>
      </c>
    </row>
    <row r="112" spans="2:3" ht="15.75" customHeight="1" x14ac:dyDescent="0.25">
      <c r="B112" s="67" t="e">
        <f t="shared" si="5"/>
        <v>#REF!</v>
      </c>
      <c r="C112" s="76" t="e">
        <f t="shared" si="6"/>
        <v>#REF!</v>
      </c>
    </row>
    <row r="113" spans="2:3" ht="15.75" customHeight="1" x14ac:dyDescent="0.25">
      <c r="B113" s="67" t="e">
        <f t="shared" si="5"/>
        <v>#REF!</v>
      </c>
      <c r="C113" s="76" t="e">
        <f t="shared" si="6"/>
        <v>#REF!</v>
      </c>
    </row>
    <row r="114" spans="2:3" ht="15.75" customHeight="1" x14ac:dyDescent="0.25">
      <c r="B114" s="67" t="e">
        <f t="shared" si="5"/>
        <v>#REF!</v>
      </c>
      <c r="C114" s="76" t="e">
        <f t="shared" si="6"/>
        <v>#REF!</v>
      </c>
    </row>
    <row r="115" spans="2:3" ht="15.75" customHeight="1" x14ac:dyDescent="0.25">
      <c r="B115" s="67" t="e">
        <f t="shared" si="5"/>
        <v>#REF!</v>
      </c>
      <c r="C115" s="76" t="e">
        <f t="shared" si="6"/>
        <v>#REF!</v>
      </c>
    </row>
    <row r="116" spans="2:3" ht="15.75" customHeight="1" x14ac:dyDescent="0.25">
      <c r="B116" s="67" t="e">
        <f t="shared" si="5"/>
        <v>#REF!</v>
      </c>
      <c r="C116" s="76" t="e">
        <f t="shared" si="6"/>
        <v>#REF!</v>
      </c>
    </row>
    <row r="117" spans="2:3" ht="15.75" customHeight="1" x14ac:dyDescent="0.25">
      <c r="B117" s="67" t="e">
        <f t="shared" si="5"/>
        <v>#REF!</v>
      </c>
      <c r="C117" s="76" t="e">
        <f t="shared" si="6"/>
        <v>#REF!</v>
      </c>
    </row>
    <row r="118" spans="2:3" ht="15.75" customHeight="1" x14ac:dyDescent="0.25">
      <c r="B118" s="67" t="e">
        <f t="shared" si="5"/>
        <v>#REF!</v>
      </c>
      <c r="C118" s="76" t="e">
        <f t="shared" si="6"/>
        <v>#REF!</v>
      </c>
    </row>
    <row r="119" spans="2:3" ht="15.75" customHeight="1" x14ac:dyDescent="0.25">
      <c r="B119" s="67" t="e">
        <f t="shared" si="5"/>
        <v>#REF!</v>
      </c>
      <c r="C119" s="76" t="e">
        <f t="shared" si="6"/>
        <v>#REF!</v>
      </c>
    </row>
    <row r="120" spans="2:3" ht="15.75" customHeight="1" x14ac:dyDescent="0.25">
      <c r="B120" s="67" t="e">
        <f t="shared" si="5"/>
        <v>#REF!</v>
      </c>
      <c r="C120" s="76" t="e">
        <f t="shared" si="6"/>
        <v>#REF!</v>
      </c>
    </row>
    <row r="121" spans="2:3" ht="15.75" customHeight="1" x14ac:dyDescent="0.25">
      <c r="B121" s="67" t="e">
        <f t="shared" si="5"/>
        <v>#REF!</v>
      </c>
      <c r="C121" s="76" t="e">
        <f t="shared" si="6"/>
        <v>#REF!</v>
      </c>
    </row>
    <row r="122" spans="2:3" ht="15.75" customHeight="1" x14ac:dyDescent="0.25">
      <c r="B122" s="67" t="e">
        <f t="shared" si="5"/>
        <v>#REF!</v>
      </c>
      <c r="C122" s="76" t="e">
        <f t="shared" si="6"/>
        <v>#REF!</v>
      </c>
    </row>
    <row r="123" spans="2:3" ht="15.75" customHeight="1" x14ac:dyDescent="0.25">
      <c r="B123" s="67" t="e">
        <f t="shared" si="5"/>
        <v>#REF!</v>
      </c>
      <c r="C123" s="76" t="e">
        <f t="shared" si="6"/>
        <v>#REF!</v>
      </c>
    </row>
    <row r="124" spans="2:3" ht="15.75" customHeight="1" x14ac:dyDescent="0.25">
      <c r="B124" s="67" t="e">
        <f t="shared" si="5"/>
        <v>#REF!</v>
      </c>
      <c r="C124" s="76" t="e">
        <f t="shared" si="6"/>
        <v>#REF!</v>
      </c>
    </row>
    <row r="125" spans="2:3" ht="15.75" customHeight="1" x14ac:dyDescent="0.25">
      <c r="B125" s="67" t="e">
        <f t="shared" si="5"/>
        <v>#REF!</v>
      </c>
      <c r="C125" s="76" t="e">
        <f t="shared" si="6"/>
        <v>#REF!</v>
      </c>
    </row>
    <row r="126" spans="2:3" ht="15.75" customHeight="1" x14ac:dyDescent="0.25">
      <c r="B126" s="67" t="e">
        <f t="shared" si="5"/>
        <v>#REF!</v>
      </c>
      <c r="C126" s="76" t="e">
        <f t="shared" si="6"/>
        <v>#REF!</v>
      </c>
    </row>
    <row r="127" spans="2:3" ht="15.75" customHeight="1" x14ac:dyDescent="0.25">
      <c r="B127" s="67" t="e">
        <f t="shared" si="5"/>
        <v>#REF!</v>
      </c>
      <c r="C127" s="76" t="e">
        <f t="shared" si="6"/>
        <v>#REF!</v>
      </c>
    </row>
    <row r="128" spans="2:3" ht="15.75" customHeight="1" x14ac:dyDescent="0.25">
      <c r="B128" s="67" t="e">
        <f t="shared" si="5"/>
        <v>#REF!</v>
      </c>
      <c r="C128" s="76" t="e">
        <f t="shared" si="6"/>
        <v>#REF!</v>
      </c>
    </row>
    <row r="129" spans="2:3" ht="15.75" customHeight="1" x14ac:dyDescent="0.25">
      <c r="B129" s="67" t="e">
        <f t="shared" si="5"/>
        <v>#REF!</v>
      </c>
      <c r="C129" s="76" t="e">
        <f t="shared" si="6"/>
        <v>#REF!</v>
      </c>
    </row>
    <row r="130" spans="2:3" ht="15.75" customHeight="1" x14ac:dyDescent="0.25">
      <c r="B130" s="67" t="e">
        <f t="shared" si="5"/>
        <v>#REF!</v>
      </c>
      <c r="C130" s="76" t="e">
        <f t="shared" si="6"/>
        <v>#REF!</v>
      </c>
    </row>
    <row r="131" spans="2:3" ht="15.75" customHeight="1" x14ac:dyDescent="0.25">
      <c r="B131" s="67" t="e">
        <f t="shared" si="5"/>
        <v>#REF!</v>
      </c>
      <c r="C131" s="76" t="e">
        <f t="shared" si="6"/>
        <v>#REF!</v>
      </c>
    </row>
    <row r="132" spans="2:3" ht="15.75" customHeight="1" x14ac:dyDescent="0.25">
      <c r="B132" s="67" t="e">
        <f t="shared" si="5"/>
        <v>#REF!</v>
      </c>
      <c r="C132" s="76" t="e">
        <f t="shared" si="6"/>
        <v>#REF!</v>
      </c>
    </row>
    <row r="133" spans="2:3" ht="15.75" customHeight="1" x14ac:dyDescent="0.25">
      <c r="B133" s="67" t="e">
        <f t="shared" si="5"/>
        <v>#REF!</v>
      </c>
      <c r="C133" s="76" t="e">
        <f t="shared" si="6"/>
        <v>#REF!</v>
      </c>
    </row>
    <row r="134" spans="2:3" ht="15.75" customHeight="1" x14ac:dyDescent="0.25">
      <c r="B134" s="67" t="e">
        <f t="shared" si="5"/>
        <v>#REF!</v>
      </c>
      <c r="C134" s="76" t="e">
        <f t="shared" si="6"/>
        <v>#REF!</v>
      </c>
    </row>
    <row r="135" spans="2:3" ht="15.75" customHeight="1" x14ac:dyDescent="0.25">
      <c r="B135" s="67" t="e">
        <f t="shared" si="5"/>
        <v>#REF!</v>
      </c>
      <c r="C135" s="76" t="e">
        <f t="shared" si="6"/>
        <v>#REF!</v>
      </c>
    </row>
    <row r="136" spans="2:3" ht="15.75" customHeight="1" x14ac:dyDescent="0.25">
      <c r="B136" s="67" t="e">
        <f t="shared" si="5"/>
        <v>#REF!</v>
      </c>
      <c r="C136" s="76" t="e">
        <f t="shared" si="6"/>
        <v>#REF!</v>
      </c>
    </row>
    <row r="137" spans="2:3" ht="15.75" customHeight="1" x14ac:dyDescent="0.25">
      <c r="B137" s="67" t="e">
        <f t="shared" si="5"/>
        <v>#REF!</v>
      </c>
      <c r="C137" s="76" t="e">
        <f t="shared" si="6"/>
        <v>#REF!</v>
      </c>
    </row>
    <row r="138" spans="2:3" ht="15.75" customHeight="1" x14ac:dyDescent="0.25">
      <c r="B138" s="67" t="e">
        <f t="shared" si="5"/>
        <v>#REF!</v>
      </c>
      <c r="C138" s="76" t="e">
        <f t="shared" si="6"/>
        <v>#REF!</v>
      </c>
    </row>
    <row r="139" spans="2:3" ht="15.75" customHeight="1" x14ac:dyDescent="0.25">
      <c r="B139" s="67" t="e">
        <f t="shared" si="5"/>
        <v>#REF!</v>
      </c>
      <c r="C139" s="76" t="e">
        <f t="shared" si="6"/>
        <v>#REF!</v>
      </c>
    </row>
    <row r="140" spans="2:3" ht="15.75" customHeight="1" x14ac:dyDescent="0.25">
      <c r="B140" s="67" t="e">
        <f t="shared" si="5"/>
        <v>#REF!</v>
      </c>
      <c r="C140" s="76" t="e">
        <f t="shared" si="6"/>
        <v>#REF!</v>
      </c>
    </row>
    <row r="141" spans="2:3" ht="15.75" customHeight="1" x14ac:dyDescent="0.25">
      <c r="B141" s="67" t="e">
        <f t="shared" si="5"/>
        <v>#REF!</v>
      </c>
      <c r="C141" s="76" t="e">
        <f t="shared" si="6"/>
        <v>#REF!</v>
      </c>
    </row>
    <row r="142" spans="2:3" ht="15.75" customHeight="1" x14ac:dyDescent="0.25">
      <c r="B142" s="67" t="e">
        <f t="shared" si="5"/>
        <v>#REF!</v>
      </c>
      <c r="C142" s="76" t="e">
        <f t="shared" si="6"/>
        <v>#REF!</v>
      </c>
    </row>
    <row r="143" spans="2:3" ht="15.75" customHeight="1" x14ac:dyDescent="0.25">
      <c r="B143" s="67" t="e">
        <f t="shared" si="5"/>
        <v>#REF!</v>
      </c>
      <c r="C143" s="76" t="e">
        <f t="shared" si="6"/>
        <v>#REF!</v>
      </c>
    </row>
    <row r="144" spans="2:3" ht="15.75" customHeight="1" x14ac:dyDescent="0.25">
      <c r="B144" s="67" t="e">
        <f t="shared" si="5"/>
        <v>#REF!</v>
      </c>
      <c r="C144" s="76" t="e">
        <f t="shared" si="6"/>
        <v>#REF!</v>
      </c>
    </row>
    <row r="145" spans="2:3" ht="15.75" customHeight="1" x14ac:dyDescent="0.25">
      <c r="B145" s="67" t="e">
        <f t="shared" si="5"/>
        <v>#REF!</v>
      </c>
      <c r="C145" s="76" t="e">
        <f t="shared" si="6"/>
        <v>#REF!</v>
      </c>
    </row>
    <row r="146" spans="2:3" ht="15.75" customHeight="1" x14ac:dyDescent="0.25">
      <c r="B146" s="67" t="e">
        <f t="shared" si="5"/>
        <v>#REF!</v>
      </c>
      <c r="C146" s="76" t="e">
        <f t="shared" si="6"/>
        <v>#REF!</v>
      </c>
    </row>
    <row r="147" spans="2:3" ht="15.75" customHeight="1" x14ac:dyDescent="0.25">
      <c r="B147" s="67" t="e">
        <f t="shared" si="5"/>
        <v>#REF!</v>
      </c>
      <c r="C147" s="76" t="e">
        <f t="shared" si="6"/>
        <v>#REF!</v>
      </c>
    </row>
    <row r="148" spans="2:3" ht="15.75" customHeight="1" x14ac:dyDescent="0.25">
      <c r="B148" s="67" t="e">
        <f t="shared" si="5"/>
        <v>#REF!</v>
      </c>
      <c r="C148" s="76" t="e">
        <f t="shared" si="6"/>
        <v>#REF!</v>
      </c>
    </row>
    <row r="149" spans="2:3" ht="15.75" customHeight="1" x14ac:dyDescent="0.25">
      <c r="B149" s="67" t="e">
        <f t="shared" si="5"/>
        <v>#REF!</v>
      </c>
      <c r="C149" s="76" t="e">
        <f t="shared" si="6"/>
        <v>#REF!</v>
      </c>
    </row>
    <row r="150" spans="2:3" ht="15.75" customHeight="1" x14ac:dyDescent="0.25">
      <c r="B150" s="67" t="e">
        <f t="shared" si="5"/>
        <v>#REF!</v>
      </c>
      <c r="C150" s="76" t="e">
        <f t="shared" si="6"/>
        <v>#REF!</v>
      </c>
    </row>
    <row r="151" spans="2:3" ht="15.75" customHeight="1" x14ac:dyDescent="0.25">
      <c r="B151" s="67" t="e">
        <f t="shared" si="5"/>
        <v>#REF!</v>
      </c>
      <c r="C151" s="76" t="e">
        <f t="shared" si="6"/>
        <v>#REF!</v>
      </c>
    </row>
    <row r="152" spans="2:3" ht="15.75" customHeight="1" x14ac:dyDescent="0.25">
      <c r="B152" s="67" t="e">
        <f t="shared" si="5"/>
        <v>#REF!</v>
      </c>
      <c r="C152" s="76" t="e">
        <f t="shared" si="6"/>
        <v>#REF!</v>
      </c>
    </row>
    <row r="153" spans="2:3" ht="15.75" customHeight="1" x14ac:dyDescent="0.25">
      <c r="B153" s="67" t="e">
        <f t="shared" si="5"/>
        <v>#REF!</v>
      </c>
      <c r="C153" s="76" t="e">
        <f t="shared" si="6"/>
        <v>#REF!</v>
      </c>
    </row>
    <row r="154" spans="2:3" ht="15.75" customHeight="1" x14ac:dyDescent="0.25">
      <c r="B154" s="67" t="e">
        <f t="shared" si="5"/>
        <v>#REF!</v>
      </c>
      <c r="C154" s="76" t="e">
        <f t="shared" si="6"/>
        <v>#REF!</v>
      </c>
    </row>
    <row r="155" spans="2:3" ht="15.75" customHeight="1" x14ac:dyDescent="0.25">
      <c r="B155" s="67" t="e">
        <f t="shared" si="5"/>
        <v>#REF!</v>
      </c>
      <c r="C155" s="76" t="e">
        <f t="shared" si="6"/>
        <v>#REF!</v>
      </c>
    </row>
    <row r="156" spans="2:3" ht="15.75" customHeight="1" x14ac:dyDescent="0.25">
      <c r="B156" s="67" t="e">
        <f t="shared" si="5"/>
        <v>#REF!</v>
      </c>
      <c r="C156" s="76" t="e">
        <f t="shared" si="6"/>
        <v>#REF!</v>
      </c>
    </row>
    <row r="157" spans="2:3" ht="15.75" customHeight="1" x14ac:dyDescent="0.25">
      <c r="B157" s="67" t="e">
        <f t="shared" ref="B157:B220" si="7">IF(B156="","",IF(B156+$C$9&lt;=$C$5,B156+$C$9,""))</f>
        <v>#REF!</v>
      </c>
      <c r="C157" s="76" t="e">
        <f t="shared" ref="C157:C220" si="8">IF(B157&lt;&gt;"",C156-$C$2/COUNT($B$17:$B$510),"")</f>
        <v>#REF!</v>
      </c>
    </row>
    <row r="158" spans="2:3" ht="15.75" customHeight="1" x14ac:dyDescent="0.25">
      <c r="B158" s="67" t="e">
        <f t="shared" si="7"/>
        <v>#REF!</v>
      </c>
      <c r="C158" s="76" t="e">
        <f t="shared" si="8"/>
        <v>#REF!</v>
      </c>
    </row>
    <row r="159" spans="2:3" ht="15.75" customHeight="1" x14ac:dyDescent="0.25">
      <c r="B159" s="67" t="e">
        <f t="shared" si="7"/>
        <v>#REF!</v>
      </c>
      <c r="C159" s="76" t="e">
        <f t="shared" si="8"/>
        <v>#REF!</v>
      </c>
    </row>
    <row r="160" spans="2:3" ht="15.75" customHeight="1" x14ac:dyDescent="0.25">
      <c r="B160" s="67" t="e">
        <f t="shared" si="7"/>
        <v>#REF!</v>
      </c>
      <c r="C160" s="76" t="e">
        <f t="shared" si="8"/>
        <v>#REF!</v>
      </c>
    </row>
    <row r="161" spans="2:3" ht="15.75" customHeight="1" x14ac:dyDescent="0.25">
      <c r="B161" s="67" t="e">
        <f t="shared" si="7"/>
        <v>#REF!</v>
      </c>
      <c r="C161" s="76" t="e">
        <f t="shared" si="8"/>
        <v>#REF!</v>
      </c>
    </row>
    <row r="162" spans="2:3" ht="15.75" customHeight="1" x14ac:dyDescent="0.25">
      <c r="B162" s="67" t="e">
        <f t="shared" si="7"/>
        <v>#REF!</v>
      </c>
      <c r="C162" s="76" t="e">
        <f t="shared" si="8"/>
        <v>#REF!</v>
      </c>
    </row>
    <row r="163" spans="2:3" ht="15.75" customHeight="1" x14ac:dyDescent="0.25">
      <c r="B163" s="67" t="e">
        <f t="shared" si="7"/>
        <v>#REF!</v>
      </c>
      <c r="C163" s="76" t="e">
        <f t="shared" si="8"/>
        <v>#REF!</v>
      </c>
    </row>
    <row r="164" spans="2:3" ht="15.75" customHeight="1" x14ac:dyDescent="0.25">
      <c r="B164" s="67" t="e">
        <f t="shared" si="7"/>
        <v>#REF!</v>
      </c>
      <c r="C164" s="76" t="e">
        <f t="shared" si="8"/>
        <v>#REF!</v>
      </c>
    </row>
    <row r="165" spans="2:3" ht="15.75" customHeight="1" x14ac:dyDescent="0.25">
      <c r="B165" s="67" t="e">
        <f t="shared" si="7"/>
        <v>#REF!</v>
      </c>
      <c r="C165" s="76" t="e">
        <f t="shared" si="8"/>
        <v>#REF!</v>
      </c>
    </row>
    <row r="166" spans="2:3" ht="15.75" customHeight="1" x14ac:dyDescent="0.25">
      <c r="B166" s="67" t="e">
        <f t="shared" si="7"/>
        <v>#REF!</v>
      </c>
      <c r="C166" s="76" t="e">
        <f t="shared" si="8"/>
        <v>#REF!</v>
      </c>
    </row>
    <row r="167" spans="2:3" ht="15.75" customHeight="1" x14ac:dyDescent="0.25">
      <c r="B167" s="67" t="e">
        <f t="shared" si="7"/>
        <v>#REF!</v>
      </c>
      <c r="C167" s="76" t="e">
        <f t="shared" si="8"/>
        <v>#REF!</v>
      </c>
    </row>
    <row r="168" spans="2:3" ht="15.75" customHeight="1" x14ac:dyDescent="0.25">
      <c r="B168" s="67" t="e">
        <f t="shared" si="7"/>
        <v>#REF!</v>
      </c>
      <c r="C168" s="76" t="e">
        <f t="shared" si="8"/>
        <v>#REF!</v>
      </c>
    </row>
    <row r="169" spans="2:3" ht="15.75" customHeight="1" x14ac:dyDescent="0.25">
      <c r="B169" s="67" t="e">
        <f t="shared" si="7"/>
        <v>#REF!</v>
      </c>
      <c r="C169" s="76" t="e">
        <f t="shared" si="8"/>
        <v>#REF!</v>
      </c>
    </row>
    <row r="170" spans="2:3" ht="15.75" customHeight="1" x14ac:dyDescent="0.25">
      <c r="B170" s="67" t="e">
        <f t="shared" si="7"/>
        <v>#REF!</v>
      </c>
      <c r="C170" s="76" t="e">
        <f t="shared" si="8"/>
        <v>#REF!</v>
      </c>
    </row>
    <row r="171" spans="2:3" ht="15.75" customHeight="1" x14ac:dyDescent="0.25">
      <c r="B171" s="67" t="e">
        <f t="shared" si="7"/>
        <v>#REF!</v>
      </c>
      <c r="C171" s="76" t="e">
        <f t="shared" si="8"/>
        <v>#REF!</v>
      </c>
    </row>
    <row r="172" spans="2:3" ht="15.75" customHeight="1" x14ac:dyDescent="0.25">
      <c r="B172" s="67" t="e">
        <f t="shared" si="7"/>
        <v>#REF!</v>
      </c>
      <c r="C172" s="76" t="e">
        <f t="shared" si="8"/>
        <v>#REF!</v>
      </c>
    </row>
    <row r="173" spans="2:3" ht="15.75" customHeight="1" x14ac:dyDescent="0.25">
      <c r="B173" s="67" t="e">
        <f t="shared" si="7"/>
        <v>#REF!</v>
      </c>
      <c r="C173" s="76" t="e">
        <f t="shared" si="8"/>
        <v>#REF!</v>
      </c>
    </row>
    <row r="174" spans="2:3" ht="15.75" customHeight="1" x14ac:dyDescent="0.25">
      <c r="B174" s="67" t="e">
        <f t="shared" si="7"/>
        <v>#REF!</v>
      </c>
      <c r="C174" s="76" t="e">
        <f t="shared" si="8"/>
        <v>#REF!</v>
      </c>
    </row>
    <row r="175" spans="2:3" ht="15.75" customHeight="1" x14ac:dyDescent="0.25">
      <c r="B175" s="67" t="e">
        <f t="shared" si="7"/>
        <v>#REF!</v>
      </c>
      <c r="C175" s="76" t="e">
        <f t="shared" si="8"/>
        <v>#REF!</v>
      </c>
    </row>
    <row r="176" spans="2:3" ht="15.75" customHeight="1" x14ac:dyDescent="0.25">
      <c r="B176" s="67" t="e">
        <f t="shared" si="7"/>
        <v>#REF!</v>
      </c>
      <c r="C176" s="76" t="e">
        <f t="shared" si="8"/>
        <v>#REF!</v>
      </c>
    </row>
    <row r="177" spans="2:3" ht="15.75" customHeight="1" x14ac:dyDescent="0.25">
      <c r="B177" s="67" t="e">
        <f t="shared" si="7"/>
        <v>#REF!</v>
      </c>
      <c r="C177" s="76" t="e">
        <f t="shared" si="8"/>
        <v>#REF!</v>
      </c>
    </row>
    <row r="178" spans="2:3" ht="15.75" customHeight="1" x14ac:dyDescent="0.25">
      <c r="B178" s="67" t="e">
        <f t="shared" si="7"/>
        <v>#REF!</v>
      </c>
      <c r="C178" s="76" t="e">
        <f t="shared" si="8"/>
        <v>#REF!</v>
      </c>
    </row>
    <row r="179" spans="2:3" ht="15.75" customHeight="1" x14ac:dyDescent="0.25">
      <c r="B179" s="67" t="e">
        <f t="shared" si="7"/>
        <v>#REF!</v>
      </c>
      <c r="C179" s="76" t="e">
        <f t="shared" si="8"/>
        <v>#REF!</v>
      </c>
    </row>
    <row r="180" spans="2:3" ht="15.75" customHeight="1" x14ac:dyDescent="0.25">
      <c r="B180" s="67" t="e">
        <f t="shared" si="7"/>
        <v>#REF!</v>
      </c>
      <c r="C180" s="76" t="e">
        <f t="shared" si="8"/>
        <v>#REF!</v>
      </c>
    </row>
    <row r="181" spans="2:3" ht="15.75" customHeight="1" x14ac:dyDescent="0.25">
      <c r="B181" s="67" t="e">
        <f t="shared" si="7"/>
        <v>#REF!</v>
      </c>
      <c r="C181" s="76" t="e">
        <f t="shared" si="8"/>
        <v>#REF!</v>
      </c>
    </row>
    <row r="182" spans="2:3" ht="15.75" customHeight="1" x14ac:dyDescent="0.25">
      <c r="B182" s="67" t="e">
        <f t="shared" si="7"/>
        <v>#REF!</v>
      </c>
      <c r="C182" s="76" t="e">
        <f t="shared" si="8"/>
        <v>#REF!</v>
      </c>
    </row>
    <row r="183" spans="2:3" ht="15.75" customHeight="1" x14ac:dyDescent="0.25">
      <c r="B183" s="67" t="e">
        <f t="shared" si="7"/>
        <v>#REF!</v>
      </c>
      <c r="C183" s="76" t="e">
        <f t="shared" si="8"/>
        <v>#REF!</v>
      </c>
    </row>
    <row r="184" spans="2:3" ht="15.75" customHeight="1" x14ac:dyDescent="0.25">
      <c r="B184" s="67" t="e">
        <f t="shared" si="7"/>
        <v>#REF!</v>
      </c>
      <c r="C184" s="76" t="e">
        <f t="shared" si="8"/>
        <v>#REF!</v>
      </c>
    </row>
    <row r="185" spans="2:3" ht="15.75" customHeight="1" x14ac:dyDescent="0.25">
      <c r="B185" s="67" t="e">
        <f t="shared" si="7"/>
        <v>#REF!</v>
      </c>
      <c r="C185" s="76" t="e">
        <f t="shared" si="8"/>
        <v>#REF!</v>
      </c>
    </row>
    <row r="186" spans="2:3" ht="15.75" customHeight="1" x14ac:dyDescent="0.25">
      <c r="B186" s="67" t="e">
        <f t="shared" si="7"/>
        <v>#REF!</v>
      </c>
      <c r="C186" s="76" t="e">
        <f t="shared" si="8"/>
        <v>#REF!</v>
      </c>
    </row>
    <row r="187" spans="2:3" ht="15.75" customHeight="1" x14ac:dyDescent="0.25">
      <c r="B187" s="67" t="e">
        <f t="shared" si="7"/>
        <v>#REF!</v>
      </c>
      <c r="C187" s="76" t="e">
        <f t="shared" si="8"/>
        <v>#REF!</v>
      </c>
    </row>
    <row r="188" spans="2:3" ht="15.75" customHeight="1" x14ac:dyDescent="0.25">
      <c r="B188" s="67" t="e">
        <f t="shared" si="7"/>
        <v>#REF!</v>
      </c>
      <c r="C188" s="76" t="e">
        <f t="shared" si="8"/>
        <v>#REF!</v>
      </c>
    </row>
    <row r="189" spans="2:3" ht="15.75" customHeight="1" x14ac:dyDescent="0.25">
      <c r="B189" s="67" t="e">
        <f t="shared" si="7"/>
        <v>#REF!</v>
      </c>
      <c r="C189" s="76" t="e">
        <f t="shared" si="8"/>
        <v>#REF!</v>
      </c>
    </row>
    <row r="190" spans="2:3" ht="15.75" customHeight="1" x14ac:dyDescent="0.25">
      <c r="B190" s="67" t="e">
        <f t="shared" si="7"/>
        <v>#REF!</v>
      </c>
      <c r="C190" s="76" t="e">
        <f t="shared" si="8"/>
        <v>#REF!</v>
      </c>
    </row>
    <row r="191" spans="2:3" ht="15.75" customHeight="1" x14ac:dyDescent="0.25">
      <c r="B191" s="67" t="e">
        <f t="shared" si="7"/>
        <v>#REF!</v>
      </c>
      <c r="C191" s="76" t="e">
        <f t="shared" si="8"/>
        <v>#REF!</v>
      </c>
    </row>
    <row r="192" spans="2:3" ht="15.75" customHeight="1" x14ac:dyDescent="0.25">
      <c r="B192" s="67" t="e">
        <f t="shared" si="7"/>
        <v>#REF!</v>
      </c>
      <c r="C192" s="76" t="e">
        <f t="shared" si="8"/>
        <v>#REF!</v>
      </c>
    </row>
    <row r="193" spans="2:3" ht="15.75" customHeight="1" x14ac:dyDescent="0.25">
      <c r="B193" s="67" t="e">
        <f t="shared" si="7"/>
        <v>#REF!</v>
      </c>
      <c r="C193" s="76" t="e">
        <f t="shared" si="8"/>
        <v>#REF!</v>
      </c>
    </row>
    <row r="194" spans="2:3" ht="15.75" customHeight="1" x14ac:dyDescent="0.25">
      <c r="B194" s="67" t="e">
        <f t="shared" si="7"/>
        <v>#REF!</v>
      </c>
      <c r="C194" s="76" t="e">
        <f t="shared" si="8"/>
        <v>#REF!</v>
      </c>
    </row>
    <row r="195" spans="2:3" ht="15.75" customHeight="1" x14ac:dyDescent="0.25">
      <c r="B195" s="67" t="e">
        <f t="shared" si="7"/>
        <v>#REF!</v>
      </c>
      <c r="C195" s="76" t="e">
        <f t="shared" si="8"/>
        <v>#REF!</v>
      </c>
    </row>
    <row r="196" spans="2:3" ht="15.75" customHeight="1" x14ac:dyDescent="0.25">
      <c r="B196" s="67" t="e">
        <f t="shared" si="7"/>
        <v>#REF!</v>
      </c>
      <c r="C196" s="76" t="e">
        <f t="shared" si="8"/>
        <v>#REF!</v>
      </c>
    </row>
    <row r="197" spans="2:3" ht="15.75" customHeight="1" x14ac:dyDescent="0.25">
      <c r="B197" s="67" t="e">
        <f t="shared" si="7"/>
        <v>#REF!</v>
      </c>
      <c r="C197" s="76" t="e">
        <f t="shared" si="8"/>
        <v>#REF!</v>
      </c>
    </row>
    <row r="198" spans="2:3" ht="15.75" customHeight="1" x14ac:dyDescent="0.25">
      <c r="B198" s="67" t="e">
        <f t="shared" si="7"/>
        <v>#REF!</v>
      </c>
      <c r="C198" s="76" t="e">
        <f t="shared" si="8"/>
        <v>#REF!</v>
      </c>
    </row>
    <row r="199" spans="2:3" ht="15.75" customHeight="1" x14ac:dyDescent="0.25">
      <c r="B199" s="67" t="e">
        <f t="shared" si="7"/>
        <v>#REF!</v>
      </c>
      <c r="C199" s="76" t="e">
        <f t="shared" si="8"/>
        <v>#REF!</v>
      </c>
    </row>
    <row r="200" spans="2:3" ht="15.75" customHeight="1" x14ac:dyDescent="0.25">
      <c r="B200" s="67" t="e">
        <f t="shared" si="7"/>
        <v>#REF!</v>
      </c>
      <c r="C200" s="76" t="e">
        <f t="shared" si="8"/>
        <v>#REF!</v>
      </c>
    </row>
    <row r="201" spans="2:3" ht="15.75" customHeight="1" x14ac:dyDescent="0.25">
      <c r="B201" s="67" t="e">
        <f t="shared" si="7"/>
        <v>#REF!</v>
      </c>
      <c r="C201" s="76" t="e">
        <f t="shared" si="8"/>
        <v>#REF!</v>
      </c>
    </row>
    <row r="202" spans="2:3" ht="15.75" customHeight="1" x14ac:dyDescent="0.25">
      <c r="B202" s="67" t="e">
        <f t="shared" si="7"/>
        <v>#REF!</v>
      </c>
      <c r="C202" s="76" t="e">
        <f t="shared" si="8"/>
        <v>#REF!</v>
      </c>
    </row>
    <row r="203" spans="2:3" ht="15.75" customHeight="1" x14ac:dyDescent="0.25">
      <c r="B203" s="67" t="e">
        <f t="shared" si="7"/>
        <v>#REF!</v>
      </c>
      <c r="C203" s="76" t="e">
        <f t="shared" si="8"/>
        <v>#REF!</v>
      </c>
    </row>
    <row r="204" spans="2:3" ht="15.75" customHeight="1" x14ac:dyDescent="0.25">
      <c r="B204" s="67" t="e">
        <f t="shared" si="7"/>
        <v>#REF!</v>
      </c>
      <c r="C204" s="76" t="e">
        <f t="shared" si="8"/>
        <v>#REF!</v>
      </c>
    </row>
    <row r="205" spans="2:3" ht="15.75" customHeight="1" x14ac:dyDescent="0.25">
      <c r="B205" s="67" t="e">
        <f t="shared" si="7"/>
        <v>#REF!</v>
      </c>
      <c r="C205" s="76" t="e">
        <f t="shared" si="8"/>
        <v>#REF!</v>
      </c>
    </row>
    <row r="206" spans="2:3" ht="15.75" customHeight="1" x14ac:dyDescent="0.25">
      <c r="B206" s="67" t="e">
        <f t="shared" si="7"/>
        <v>#REF!</v>
      </c>
      <c r="C206" s="76" t="e">
        <f t="shared" si="8"/>
        <v>#REF!</v>
      </c>
    </row>
    <row r="207" spans="2:3" ht="15.75" customHeight="1" x14ac:dyDescent="0.25">
      <c r="B207" s="67" t="e">
        <f t="shared" si="7"/>
        <v>#REF!</v>
      </c>
      <c r="C207" s="76" t="e">
        <f t="shared" si="8"/>
        <v>#REF!</v>
      </c>
    </row>
    <row r="208" spans="2:3" ht="15.75" customHeight="1" x14ac:dyDescent="0.25">
      <c r="B208" s="67" t="e">
        <f t="shared" si="7"/>
        <v>#REF!</v>
      </c>
      <c r="C208" s="76" t="e">
        <f t="shared" si="8"/>
        <v>#REF!</v>
      </c>
    </row>
    <row r="209" spans="2:3" ht="15.75" customHeight="1" x14ac:dyDescent="0.25">
      <c r="B209" s="67" t="e">
        <f t="shared" si="7"/>
        <v>#REF!</v>
      </c>
      <c r="C209" s="76" t="e">
        <f t="shared" si="8"/>
        <v>#REF!</v>
      </c>
    </row>
    <row r="210" spans="2:3" ht="15.75" customHeight="1" x14ac:dyDescent="0.25">
      <c r="B210" s="67" t="e">
        <f t="shared" si="7"/>
        <v>#REF!</v>
      </c>
      <c r="C210" s="76" t="e">
        <f t="shared" si="8"/>
        <v>#REF!</v>
      </c>
    </row>
    <row r="211" spans="2:3" ht="15.75" customHeight="1" x14ac:dyDescent="0.25">
      <c r="B211" s="67" t="e">
        <f t="shared" si="7"/>
        <v>#REF!</v>
      </c>
      <c r="C211" s="76" t="e">
        <f t="shared" si="8"/>
        <v>#REF!</v>
      </c>
    </row>
    <row r="212" spans="2:3" ht="15.75" customHeight="1" x14ac:dyDescent="0.25">
      <c r="B212" s="67" t="e">
        <f t="shared" si="7"/>
        <v>#REF!</v>
      </c>
      <c r="C212" s="76" t="e">
        <f t="shared" si="8"/>
        <v>#REF!</v>
      </c>
    </row>
    <row r="213" spans="2:3" ht="15.75" customHeight="1" x14ac:dyDescent="0.25">
      <c r="B213" s="67" t="e">
        <f t="shared" si="7"/>
        <v>#REF!</v>
      </c>
      <c r="C213" s="76" t="e">
        <f t="shared" si="8"/>
        <v>#REF!</v>
      </c>
    </row>
    <row r="214" spans="2:3" ht="15.75" customHeight="1" x14ac:dyDescent="0.25">
      <c r="B214" s="67" t="e">
        <f t="shared" si="7"/>
        <v>#REF!</v>
      </c>
      <c r="C214" s="76" t="e">
        <f t="shared" si="8"/>
        <v>#REF!</v>
      </c>
    </row>
    <row r="215" spans="2:3" ht="15.75" customHeight="1" x14ac:dyDescent="0.25">
      <c r="B215" s="67" t="e">
        <f t="shared" si="7"/>
        <v>#REF!</v>
      </c>
      <c r="C215" s="76" t="e">
        <f t="shared" si="8"/>
        <v>#REF!</v>
      </c>
    </row>
    <row r="216" spans="2:3" ht="15.75" customHeight="1" x14ac:dyDescent="0.25">
      <c r="B216" s="67" t="e">
        <f t="shared" si="7"/>
        <v>#REF!</v>
      </c>
      <c r="C216" s="76" t="e">
        <f t="shared" si="8"/>
        <v>#REF!</v>
      </c>
    </row>
    <row r="217" spans="2:3" ht="15.75" customHeight="1" x14ac:dyDescent="0.25">
      <c r="B217" s="67" t="e">
        <f t="shared" si="7"/>
        <v>#REF!</v>
      </c>
      <c r="C217" s="76" t="e">
        <f t="shared" si="8"/>
        <v>#REF!</v>
      </c>
    </row>
    <row r="218" spans="2:3" ht="15.75" customHeight="1" x14ac:dyDescent="0.25">
      <c r="B218" s="67" t="e">
        <f t="shared" si="7"/>
        <v>#REF!</v>
      </c>
      <c r="C218" s="76" t="e">
        <f t="shared" si="8"/>
        <v>#REF!</v>
      </c>
    </row>
    <row r="219" spans="2:3" ht="15.75" customHeight="1" x14ac:dyDescent="0.25">
      <c r="B219" s="67" t="e">
        <f t="shared" si="7"/>
        <v>#REF!</v>
      </c>
      <c r="C219" s="76" t="e">
        <f t="shared" si="8"/>
        <v>#REF!</v>
      </c>
    </row>
    <row r="220" spans="2:3" ht="15.75" customHeight="1" x14ac:dyDescent="0.25">
      <c r="B220" s="67" t="e">
        <f t="shared" si="7"/>
        <v>#REF!</v>
      </c>
      <c r="C220" s="76" t="e">
        <f t="shared" si="8"/>
        <v>#REF!</v>
      </c>
    </row>
    <row r="221" spans="2:3" ht="15.75" customHeight="1" x14ac:dyDescent="0.25">
      <c r="B221" s="67" t="e">
        <f t="shared" ref="B221:B284" si="9">IF(B220="","",IF(B220+$C$9&lt;=$C$5,B220+$C$9,""))</f>
        <v>#REF!</v>
      </c>
      <c r="C221" s="76" t="e">
        <f t="shared" ref="C221:C284" si="10">IF(B221&lt;&gt;"",C220-$C$2/COUNT($B$17:$B$510),"")</f>
        <v>#REF!</v>
      </c>
    </row>
    <row r="222" spans="2:3" ht="15.75" customHeight="1" x14ac:dyDescent="0.25">
      <c r="B222" s="67" t="e">
        <f t="shared" si="9"/>
        <v>#REF!</v>
      </c>
      <c r="C222" s="76" t="e">
        <f t="shared" si="10"/>
        <v>#REF!</v>
      </c>
    </row>
    <row r="223" spans="2:3" ht="15.75" customHeight="1" x14ac:dyDescent="0.25">
      <c r="B223" s="67" t="e">
        <f t="shared" si="9"/>
        <v>#REF!</v>
      </c>
      <c r="C223" s="76" t="e">
        <f t="shared" si="10"/>
        <v>#REF!</v>
      </c>
    </row>
    <row r="224" spans="2:3" ht="15.75" customHeight="1" x14ac:dyDescent="0.25">
      <c r="B224" s="67" t="e">
        <f t="shared" si="9"/>
        <v>#REF!</v>
      </c>
      <c r="C224" s="76" t="e">
        <f t="shared" si="10"/>
        <v>#REF!</v>
      </c>
    </row>
    <row r="225" spans="2:3" ht="15.75" customHeight="1" x14ac:dyDescent="0.25">
      <c r="B225" s="67" t="e">
        <f t="shared" si="9"/>
        <v>#REF!</v>
      </c>
      <c r="C225" s="76" t="e">
        <f t="shared" si="10"/>
        <v>#REF!</v>
      </c>
    </row>
    <row r="226" spans="2:3" ht="15.75" customHeight="1" x14ac:dyDescent="0.25">
      <c r="B226" s="67" t="e">
        <f t="shared" si="9"/>
        <v>#REF!</v>
      </c>
      <c r="C226" s="76" t="e">
        <f t="shared" si="10"/>
        <v>#REF!</v>
      </c>
    </row>
    <row r="227" spans="2:3" ht="15.75" customHeight="1" x14ac:dyDescent="0.25">
      <c r="B227" s="67" t="e">
        <f t="shared" si="9"/>
        <v>#REF!</v>
      </c>
      <c r="C227" s="76" t="e">
        <f t="shared" si="10"/>
        <v>#REF!</v>
      </c>
    </row>
    <row r="228" spans="2:3" ht="15.75" customHeight="1" x14ac:dyDescent="0.25">
      <c r="B228" s="67" t="e">
        <f t="shared" si="9"/>
        <v>#REF!</v>
      </c>
      <c r="C228" s="76" t="e">
        <f t="shared" si="10"/>
        <v>#REF!</v>
      </c>
    </row>
    <row r="229" spans="2:3" ht="15.75" customHeight="1" x14ac:dyDescent="0.25">
      <c r="B229" s="67" t="e">
        <f t="shared" si="9"/>
        <v>#REF!</v>
      </c>
      <c r="C229" s="76" t="e">
        <f t="shared" si="10"/>
        <v>#REF!</v>
      </c>
    </row>
    <row r="230" spans="2:3" ht="15.75" customHeight="1" x14ac:dyDescent="0.25">
      <c r="B230" s="67" t="e">
        <f t="shared" si="9"/>
        <v>#REF!</v>
      </c>
      <c r="C230" s="76" t="e">
        <f t="shared" si="10"/>
        <v>#REF!</v>
      </c>
    </row>
    <row r="231" spans="2:3" ht="15.75" customHeight="1" x14ac:dyDescent="0.25">
      <c r="B231" s="67" t="e">
        <f t="shared" si="9"/>
        <v>#REF!</v>
      </c>
      <c r="C231" s="76" t="e">
        <f t="shared" si="10"/>
        <v>#REF!</v>
      </c>
    </row>
    <row r="232" spans="2:3" ht="15.75" customHeight="1" x14ac:dyDescent="0.25">
      <c r="B232" s="67" t="e">
        <f t="shared" si="9"/>
        <v>#REF!</v>
      </c>
      <c r="C232" s="76" t="e">
        <f t="shared" si="10"/>
        <v>#REF!</v>
      </c>
    </row>
    <row r="233" spans="2:3" ht="15.75" customHeight="1" x14ac:dyDescent="0.25">
      <c r="B233" s="67" t="e">
        <f t="shared" si="9"/>
        <v>#REF!</v>
      </c>
      <c r="C233" s="76" t="e">
        <f t="shared" si="10"/>
        <v>#REF!</v>
      </c>
    </row>
    <row r="234" spans="2:3" ht="15.75" customHeight="1" x14ac:dyDescent="0.25">
      <c r="B234" s="67" t="e">
        <f t="shared" si="9"/>
        <v>#REF!</v>
      </c>
      <c r="C234" s="76" t="e">
        <f t="shared" si="10"/>
        <v>#REF!</v>
      </c>
    </row>
    <row r="235" spans="2:3" ht="15.75" customHeight="1" x14ac:dyDescent="0.25">
      <c r="B235" s="67" t="e">
        <f t="shared" si="9"/>
        <v>#REF!</v>
      </c>
      <c r="C235" s="76" t="e">
        <f t="shared" si="10"/>
        <v>#REF!</v>
      </c>
    </row>
    <row r="236" spans="2:3" ht="15.75" customHeight="1" x14ac:dyDescent="0.25">
      <c r="B236" s="67" t="e">
        <f t="shared" si="9"/>
        <v>#REF!</v>
      </c>
      <c r="C236" s="76" t="e">
        <f t="shared" si="10"/>
        <v>#REF!</v>
      </c>
    </row>
    <row r="237" spans="2:3" ht="15.75" customHeight="1" x14ac:dyDescent="0.25">
      <c r="B237" s="67" t="e">
        <f t="shared" si="9"/>
        <v>#REF!</v>
      </c>
      <c r="C237" s="76" t="e">
        <f t="shared" si="10"/>
        <v>#REF!</v>
      </c>
    </row>
    <row r="238" spans="2:3" ht="15.75" customHeight="1" x14ac:dyDescent="0.25">
      <c r="B238" s="67" t="e">
        <f t="shared" si="9"/>
        <v>#REF!</v>
      </c>
      <c r="C238" s="76" t="e">
        <f t="shared" si="10"/>
        <v>#REF!</v>
      </c>
    </row>
    <row r="239" spans="2:3" ht="15.75" customHeight="1" x14ac:dyDescent="0.25">
      <c r="B239" s="67" t="e">
        <f t="shared" si="9"/>
        <v>#REF!</v>
      </c>
      <c r="C239" s="76" t="e">
        <f t="shared" si="10"/>
        <v>#REF!</v>
      </c>
    </row>
    <row r="240" spans="2:3" ht="15.75" customHeight="1" x14ac:dyDescent="0.25">
      <c r="B240" s="67" t="e">
        <f t="shared" si="9"/>
        <v>#REF!</v>
      </c>
      <c r="C240" s="76" t="e">
        <f t="shared" si="10"/>
        <v>#REF!</v>
      </c>
    </row>
    <row r="241" spans="2:3" ht="15.75" customHeight="1" x14ac:dyDescent="0.25">
      <c r="B241" s="67" t="e">
        <f t="shared" si="9"/>
        <v>#REF!</v>
      </c>
      <c r="C241" s="76" t="e">
        <f t="shared" si="10"/>
        <v>#REF!</v>
      </c>
    </row>
    <row r="242" spans="2:3" ht="15.75" customHeight="1" x14ac:dyDescent="0.25">
      <c r="B242" s="67" t="e">
        <f t="shared" si="9"/>
        <v>#REF!</v>
      </c>
      <c r="C242" s="76" t="e">
        <f t="shared" si="10"/>
        <v>#REF!</v>
      </c>
    </row>
    <row r="243" spans="2:3" ht="15.75" customHeight="1" x14ac:dyDescent="0.25">
      <c r="B243" s="67" t="e">
        <f t="shared" si="9"/>
        <v>#REF!</v>
      </c>
      <c r="C243" s="76" t="e">
        <f t="shared" si="10"/>
        <v>#REF!</v>
      </c>
    </row>
    <row r="244" spans="2:3" ht="15.75" customHeight="1" x14ac:dyDescent="0.25">
      <c r="B244" s="67" t="e">
        <f t="shared" si="9"/>
        <v>#REF!</v>
      </c>
      <c r="C244" s="76" t="e">
        <f t="shared" si="10"/>
        <v>#REF!</v>
      </c>
    </row>
    <row r="245" spans="2:3" ht="15.75" customHeight="1" x14ac:dyDescent="0.25">
      <c r="B245" s="67" t="e">
        <f t="shared" si="9"/>
        <v>#REF!</v>
      </c>
      <c r="C245" s="76" t="e">
        <f t="shared" si="10"/>
        <v>#REF!</v>
      </c>
    </row>
    <row r="246" spans="2:3" ht="15.75" customHeight="1" x14ac:dyDescent="0.25">
      <c r="B246" s="67" t="e">
        <f t="shared" si="9"/>
        <v>#REF!</v>
      </c>
      <c r="C246" s="76" t="e">
        <f t="shared" si="10"/>
        <v>#REF!</v>
      </c>
    </row>
    <row r="247" spans="2:3" ht="15.75" customHeight="1" x14ac:dyDescent="0.25">
      <c r="B247" s="67" t="e">
        <f t="shared" si="9"/>
        <v>#REF!</v>
      </c>
      <c r="C247" s="76" t="e">
        <f t="shared" si="10"/>
        <v>#REF!</v>
      </c>
    </row>
    <row r="248" spans="2:3" ht="15.75" customHeight="1" x14ac:dyDescent="0.25">
      <c r="B248" s="67" t="e">
        <f t="shared" si="9"/>
        <v>#REF!</v>
      </c>
      <c r="C248" s="76" t="e">
        <f t="shared" si="10"/>
        <v>#REF!</v>
      </c>
    </row>
    <row r="249" spans="2:3" ht="15.75" customHeight="1" x14ac:dyDescent="0.25">
      <c r="B249" s="67" t="e">
        <f t="shared" si="9"/>
        <v>#REF!</v>
      </c>
      <c r="C249" s="76" t="e">
        <f t="shared" si="10"/>
        <v>#REF!</v>
      </c>
    </row>
    <row r="250" spans="2:3" ht="15.75" customHeight="1" x14ac:dyDescent="0.25">
      <c r="B250" s="67" t="e">
        <f t="shared" si="9"/>
        <v>#REF!</v>
      </c>
      <c r="C250" s="76" t="e">
        <f t="shared" si="10"/>
        <v>#REF!</v>
      </c>
    </row>
    <row r="251" spans="2:3" ht="15.75" customHeight="1" x14ac:dyDescent="0.25">
      <c r="B251" s="67" t="e">
        <f t="shared" si="9"/>
        <v>#REF!</v>
      </c>
      <c r="C251" s="76" t="e">
        <f t="shared" si="10"/>
        <v>#REF!</v>
      </c>
    </row>
    <row r="252" spans="2:3" ht="15.75" customHeight="1" x14ac:dyDescent="0.25">
      <c r="B252" s="67" t="e">
        <f t="shared" si="9"/>
        <v>#REF!</v>
      </c>
      <c r="C252" s="76" t="e">
        <f t="shared" si="10"/>
        <v>#REF!</v>
      </c>
    </row>
    <row r="253" spans="2:3" ht="15.75" customHeight="1" x14ac:dyDescent="0.25">
      <c r="B253" s="67" t="e">
        <f t="shared" si="9"/>
        <v>#REF!</v>
      </c>
      <c r="C253" s="76" t="e">
        <f t="shared" si="10"/>
        <v>#REF!</v>
      </c>
    </row>
    <row r="254" spans="2:3" ht="15.75" customHeight="1" x14ac:dyDescent="0.25">
      <c r="B254" s="67" t="e">
        <f t="shared" si="9"/>
        <v>#REF!</v>
      </c>
      <c r="C254" s="76" t="e">
        <f t="shared" si="10"/>
        <v>#REF!</v>
      </c>
    </row>
    <row r="255" spans="2:3" ht="15.75" customHeight="1" x14ac:dyDescent="0.25">
      <c r="B255" s="67" t="e">
        <f t="shared" si="9"/>
        <v>#REF!</v>
      </c>
      <c r="C255" s="76" t="e">
        <f t="shared" si="10"/>
        <v>#REF!</v>
      </c>
    </row>
    <row r="256" spans="2:3" ht="15.75" customHeight="1" x14ac:dyDescent="0.25">
      <c r="B256" s="67" t="e">
        <f t="shared" si="9"/>
        <v>#REF!</v>
      </c>
      <c r="C256" s="76" t="e">
        <f t="shared" si="10"/>
        <v>#REF!</v>
      </c>
    </row>
    <row r="257" spans="2:3" ht="15.75" customHeight="1" x14ac:dyDescent="0.25">
      <c r="B257" s="67" t="e">
        <f t="shared" si="9"/>
        <v>#REF!</v>
      </c>
      <c r="C257" s="76" t="e">
        <f t="shared" si="10"/>
        <v>#REF!</v>
      </c>
    </row>
    <row r="258" spans="2:3" ht="15.75" customHeight="1" x14ac:dyDescent="0.25">
      <c r="B258" s="67" t="e">
        <f t="shared" si="9"/>
        <v>#REF!</v>
      </c>
      <c r="C258" s="76" t="e">
        <f t="shared" si="10"/>
        <v>#REF!</v>
      </c>
    </row>
    <row r="259" spans="2:3" ht="15.75" customHeight="1" x14ac:dyDescent="0.25">
      <c r="B259" s="67" t="e">
        <f t="shared" si="9"/>
        <v>#REF!</v>
      </c>
      <c r="C259" s="76" t="e">
        <f t="shared" si="10"/>
        <v>#REF!</v>
      </c>
    </row>
    <row r="260" spans="2:3" ht="15.75" customHeight="1" x14ac:dyDescent="0.25">
      <c r="B260" s="67" t="e">
        <f t="shared" si="9"/>
        <v>#REF!</v>
      </c>
      <c r="C260" s="76" t="e">
        <f t="shared" si="10"/>
        <v>#REF!</v>
      </c>
    </row>
    <row r="261" spans="2:3" ht="15.75" customHeight="1" x14ac:dyDescent="0.25">
      <c r="B261" s="67" t="e">
        <f t="shared" si="9"/>
        <v>#REF!</v>
      </c>
      <c r="C261" s="76" t="e">
        <f t="shared" si="10"/>
        <v>#REF!</v>
      </c>
    </row>
    <row r="262" spans="2:3" ht="15.75" customHeight="1" x14ac:dyDescent="0.25">
      <c r="B262" s="67" t="e">
        <f t="shared" si="9"/>
        <v>#REF!</v>
      </c>
      <c r="C262" s="76" t="e">
        <f t="shared" si="10"/>
        <v>#REF!</v>
      </c>
    </row>
    <row r="263" spans="2:3" ht="15.75" customHeight="1" x14ac:dyDescent="0.25">
      <c r="B263" s="67" t="e">
        <f t="shared" si="9"/>
        <v>#REF!</v>
      </c>
      <c r="C263" s="76" t="e">
        <f t="shared" si="10"/>
        <v>#REF!</v>
      </c>
    </row>
    <row r="264" spans="2:3" ht="15.75" customHeight="1" x14ac:dyDescent="0.25">
      <c r="B264" s="67" t="e">
        <f t="shared" si="9"/>
        <v>#REF!</v>
      </c>
      <c r="C264" s="76" t="e">
        <f t="shared" si="10"/>
        <v>#REF!</v>
      </c>
    </row>
    <row r="265" spans="2:3" ht="15.75" customHeight="1" x14ac:dyDescent="0.25">
      <c r="B265" s="67" t="e">
        <f t="shared" si="9"/>
        <v>#REF!</v>
      </c>
      <c r="C265" s="76" t="e">
        <f t="shared" si="10"/>
        <v>#REF!</v>
      </c>
    </row>
    <row r="266" spans="2:3" ht="15.75" customHeight="1" x14ac:dyDescent="0.25">
      <c r="B266" s="67" t="e">
        <f t="shared" si="9"/>
        <v>#REF!</v>
      </c>
      <c r="C266" s="76" t="e">
        <f t="shared" si="10"/>
        <v>#REF!</v>
      </c>
    </row>
    <row r="267" spans="2:3" ht="15.75" customHeight="1" x14ac:dyDescent="0.25">
      <c r="B267" s="67" t="e">
        <f t="shared" si="9"/>
        <v>#REF!</v>
      </c>
      <c r="C267" s="76" t="e">
        <f t="shared" si="10"/>
        <v>#REF!</v>
      </c>
    </row>
    <row r="268" spans="2:3" ht="15.75" customHeight="1" x14ac:dyDescent="0.25">
      <c r="B268" s="67" t="e">
        <f t="shared" si="9"/>
        <v>#REF!</v>
      </c>
      <c r="C268" s="76" t="e">
        <f t="shared" si="10"/>
        <v>#REF!</v>
      </c>
    </row>
    <row r="269" spans="2:3" ht="15.75" customHeight="1" x14ac:dyDescent="0.25">
      <c r="B269" s="67" t="e">
        <f t="shared" si="9"/>
        <v>#REF!</v>
      </c>
      <c r="C269" s="76" t="e">
        <f t="shared" si="10"/>
        <v>#REF!</v>
      </c>
    </row>
    <row r="270" spans="2:3" ht="15.75" customHeight="1" x14ac:dyDescent="0.25">
      <c r="B270" s="67" t="e">
        <f t="shared" si="9"/>
        <v>#REF!</v>
      </c>
      <c r="C270" s="76" t="e">
        <f t="shared" si="10"/>
        <v>#REF!</v>
      </c>
    </row>
    <row r="271" spans="2:3" ht="15.75" customHeight="1" x14ac:dyDescent="0.25">
      <c r="B271" s="67" t="e">
        <f t="shared" si="9"/>
        <v>#REF!</v>
      </c>
      <c r="C271" s="76" t="e">
        <f t="shared" si="10"/>
        <v>#REF!</v>
      </c>
    </row>
    <row r="272" spans="2:3" ht="15.75" customHeight="1" x14ac:dyDescent="0.25">
      <c r="B272" s="67" t="e">
        <f t="shared" si="9"/>
        <v>#REF!</v>
      </c>
      <c r="C272" s="76" t="e">
        <f t="shared" si="10"/>
        <v>#REF!</v>
      </c>
    </row>
    <row r="273" spans="2:3" ht="15.75" customHeight="1" x14ac:dyDescent="0.25">
      <c r="B273" s="67" t="e">
        <f t="shared" si="9"/>
        <v>#REF!</v>
      </c>
      <c r="C273" s="76" t="e">
        <f t="shared" si="10"/>
        <v>#REF!</v>
      </c>
    </row>
    <row r="274" spans="2:3" ht="15.75" customHeight="1" x14ac:dyDescent="0.25">
      <c r="B274" s="67" t="e">
        <f t="shared" si="9"/>
        <v>#REF!</v>
      </c>
      <c r="C274" s="76" t="e">
        <f t="shared" si="10"/>
        <v>#REF!</v>
      </c>
    </row>
    <row r="275" spans="2:3" ht="15.75" customHeight="1" x14ac:dyDescent="0.25">
      <c r="B275" s="67" t="e">
        <f t="shared" si="9"/>
        <v>#REF!</v>
      </c>
      <c r="C275" s="76" t="e">
        <f t="shared" si="10"/>
        <v>#REF!</v>
      </c>
    </row>
    <row r="276" spans="2:3" ht="15.75" customHeight="1" x14ac:dyDescent="0.25">
      <c r="B276" s="67" t="e">
        <f t="shared" si="9"/>
        <v>#REF!</v>
      </c>
      <c r="C276" s="76" t="e">
        <f t="shared" si="10"/>
        <v>#REF!</v>
      </c>
    </row>
    <row r="277" spans="2:3" ht="15.75" customHeight="1" x14ac:dyDescent="0.25">
      <c r="B277" s="67" t="e">
        <f t="shared" si="9"/>
        <v>#REF!</v>
      </c>
      <c r="C277" s="76" t="e">
        <f t="shared" si="10"/>
        <v>#REF!</v>
      </c>
    </row>
    <row r="278" spans="2:3" ht="15.75" customHeight="1" x14ac:dyDescent="0.25">
      <c r="B278" s="67" t="e">
        <f t="shared" si="9"/>
        <v>#REF!</v>
      </c>
      <c r="C278" s="76" t="e">
        <f t="shared" si="10"/>
        <v>#REF!</v>
      </c>
    </row>
    <row r="279" spans="2:3" ht="15.75" customHeight="1" x14ac:dyDescent="0.25">
      <c r="B279" s="67" t="e">
        <f t="shared" si="9"/>
        <v>#REF!</v>
      </c>
      <c r="C279" s="76" t="e">
        <f t="shared" si="10"/>
        <v>#REF!</v>
      </c>
    </row>
    <row r="280" spans="2:3" ht="15.75" customHeight="1" x14ac:dyDescent="0.25">
      <c r="B280" s="67" t="e">
        <f t="shared" si="9"/>
        <v>#REF!</v>
      </c>
      <c r="C280" s="76" t="e">
        <f t="shared" si="10"/>
        <v>#REF!</v>
      </c>
    </row>
    <row r="281" spans="2:3" ht="15.75" customHeight="1" x14ac:dyDescent="0.25">
      <c r="B281" s="67" t="e">
        <f t="shared" si="9"/>
        <v>#REF!</v>
      </c>
      <c r="C281" s="76" t="e">
        <f t="shared" si="10"/>
        <v>#REF!</v>
      </c>
    </row>
    <row r="282" spans="2:3" ht="15.75" customHeight="1" x14ac:dyDescent="0.25">
      <c r="B282" s="67" t="e">
        <f t="shared" si="9"/>
        <v>#REF!</v>
      </c>
      <c r="C282" s="76" t="e">
        <f t="shared" si="10"/>
        <v>#REF!</v>
      </c>
    </row>
    <row r="283" spans="2:3" ht="15.75" customHeight="1" x14ac:dyDescent="0.25">
      <c r="B283" s="67" t="e">
        <f t="shared" si="9"/>
        <v>#REF!</v>
      </c>
      <c r="C283" s="76" t="e">
        <f t="shared" si="10"/>
        <v>#REF!</v>
      </c>
    </row>
    <row r="284" spans="2:3" ht="15.75" customHeight="1" x14ac:dyDescent="0.25">
      <c r="B284" s="67" t="e">
        <f t="shared" si="9"/>
        <v>#REF!</v>
      </c>
      <c r="C284" s="76" t="e">
        <f t="shared" si="10"/>
        <v>#REF!</v>
      </c>
    </row>
    <row r="285" spans="2:3" ht="15.75" customHeight="1" x14ac:dyDescent="0.25">
      <c r="B285" s="67" t="e">
        <f t="shared" ref="B285:B348" si="11">IF(B284="","",IF(B284+$C$9&lt;=$C$5,B284+$C$9,""))</f>
        <v>#REF!</v>
      </c>
      <c r="C285" s="76" t="e">
        <f t="shared" ref="C285:C348" si="12">IF(B285&lt;&gt;"",C284-$C$2/COUNT($B$17:$B$510),"")</f>
        <v>#REF!</v>
      </c>
    </row>
    <row r="286" spans="2:3" ht="15.75" customHeight="1" x14ac:dyDescent="0.25">
      <c r="B286" s="67" t="e">
        <f t="shared" si="11"/>
        <v>#REF!</v>
      </c>
      <c r="C286" s="76" t="e">
        <f t="shared" si="12"/>
        <v>#REF!</v>
      </c>
    </row>
    <row r="287" spans="2:3" ht="15.75" customHeight="1" x14ac:dyDescent="0.25">
      <c r="B287" s="67" t="e">
        <f t="shared" si="11"/>
        <v>#REF!</v>
      </c>
      <c r="C287" s="76" t="e">
        <f t="shared" si="12"/>
        <v>#REF!</v>
      </c>
    </row>
    <row r="288" spans="2:3" ht="15.75" customHeight="1" x14ac:dyDescent="0.25">
      <c r="B288" s="67" t="e">
        <f t="shared" si="11"/>
        <v>#REF!</v>
      </c>
      <c r="C288" s="76" t="e">
        <f t="shared" si="12"/>
        <v>#REF!</v>
      </c>
    </row>
    <row r="289" spans="2:3" ht="15.75" customHeight="1" x14ac:dyDescent="0.25">
      <c r="B289" s="67" t="e">
        <f t="shared" si="11"/>
        <v>#REF!</v>
      </c>
      <c r="C289" s="76" t="e">
        <f t="shared" si="12"/>
        <v>#REF!</v>
      </c>
    </row>
    <row r="290" spans="2:3" ht="15.75" customHeight="1" x14ac:dyDescent="0.25">
      <c r="B290" s="67" t="e">
        <f t="shared" si="11"/>
        <v>#REF!</v>
      </c>
      <c r="C290" s="76" t="e">
        <f t="shared" si="12"/>
        <v>#REF!</v>
      </c>
    </row>
    <row r="291" spans="2:3" ht="15.75" customHeight="1" x14ac:dyDescent="0.25">
      <c r="B291" s="67" t="e">
        <f t="shared" si="11"/>
        <v>#REF!</v>
      </c>
      <c r="C291" s="76" t="e">
        <f t="shared" si="12"/>
        <v>#REF!</v>
      </c>
    </row>
    <row r="292" spans="2:3" ht="15.75" customHeight="1" x14ac:dyDescent="0.25">
      <c r="B292" s="67" t="e">
        <f t="shared" si="11"/>
        <v>#REF!</v>
      </c>
      <c r="C292" s="76" t="e">
        <f t="shared" si="12"/>
        <v>#REF!</v>
      </c>
    </row>
    <row r="293" spans="2:3" ht="15.75" customHeight="1" x14ac:dyDescent="0.25">
      <c r="B293" s="67" t="e">
        <f t="shared" si="11"/>
        <v>#REF!</v>
      </c>
      <c r="C293" s="76" t="e">
        <f t="shared" si="12"/>
        <v>#REF!</v>
      </c>
    </row>
    <row r="294" spans="2:3" ht="15.75" customHeight="1" x14ac:dyDescent="0.25">
      <c r="B294" s="67" t="e">
        <f t="shared" si="11"/>
        <v>#REF!</v>
      </c>
      <c r="C294" s="76" t="e">
        <f t="shared" si="12"/>
        <v>#REF!</v>
      </c>
    </row>
    <row r="295" spans="2:3" ht="15.75" customHeight="1" x14ac:dyDescent="0.25">
      <c r="B295" s="67" t="e">
        <f t="shared" si="11"/>
        <v>#REF!</v>
      </c>
      <c r="C295" s="76" t="e">
        <f t="shared" si="12"/>
        <v>#REF!</v>
      </c>
    </row>
    <row r="296" spans="2:3" ht="15.75" customHeight="1" x14ac:dyDescent="0.25">
      <c r="B296" s="67" t="e">
        <f t="shared" si="11"/>
        <v>#REF!</v>
      </c>
      <c r="C296" s="76" t="e">
        <f t="shared" si="12"/>
        <v>#REF!</v>
      </c>
    </row>
    <row r="297" spans="2:3" ht="15.75" customHeight="1" x14ac:dyDescent="0.25">
      <c r="B297" s="67" t="e">
        <f t="shared" si="11"/>
        <v>#REF!</v>
      </c>
      <c r="C297" s="76" t="e">
        <f t="shared" si="12"/>
        <v>#REF!</v>
      </c>
    </row>
    <row r="298" spans="2:3" ht="15.75" customHeight="1" x14ac:dyDescent="0.25">
      <c r="B298" s="67" t="e">
        <f t="shared" si="11"/>
        <v>#REF!</v>
      </c>
      <c r="C298" s="76" t="e">
        <f t="shared" si="12"/>
        <v>#REF!</v>
      </c>
    </row>
    <row r="299" spans="2:3" ht="15.75" customHeight="1" x14ac:dyDescent="0.25">
      <c r="B299" s="67" t="e">
        <f t="shared" si="11"/>
        <v>#REF!</v>
      </c>
      <c r="C299" s="76" t="e">
        <f t="shared" si="12"/>
        <v>#REF!</v>
      </c>
    </row>
    <row r="300" spans="2:3" ht="15.75" customHeight="1" x14ac:dyDescent="0.25">
      <c r="B300" s="67" t="e">
        <f t="shared" si="11"/>
        <v>#REF!</v>
      </c>
      <c r="C300" s="76" t="e">
        <f t="shared" si="12"/>
        <v>#REF!</v>
      </c>
    </row>
    <row r="301" spans="2:3" ht="15.75" customHeight="1" x14ac:dyDescent="0.25">
      <c r="B301" s="67" t="e">
        <f t="shared" si="11"/>
        <v>#REF!</v>
      </c>
      <c r="C301" s="76" t="e">
        <f t="shared" si="12"/>
        <v>#REF!</v>
      </c>
    </row>
    <row r="302" spans="2:3" ht="15.75" customHeight="1" x14ac:dyDescent="0.25">
      <c r="B302" s="67" t="e">
        <f t="shared" si="11"/>
        <v>#REF!</v>
      </c>
      <c r="C302" s="76" t="e">
        <f t="shared" si="12"/>
        <v>#REF!</v>
      </c>
    </row>
    <row r="303" spans="2:3" ht="15.75" customHeight="1" x14ac:dyDescent="0.25">
      <c r="B303" s="67" t="e">
        <f t="shared" si="11"/>
        <v>#REF!</v>
      </c>
      <c r="C303" s="76" t="e">
        <f t="shared" si="12"/>
        <v>#REF!</v>
      </c>
    </row>
    <row r="304" spans="2:3" ht="15.75" customHeight="1" x14ac:dyDescent="0.25">
      <c r="B304" s="67" t="e">
        <f t="shared" si="11"/>
        <v>#REF!</v>
      </c>
      <c r="C304" s="76" t="e">
        <f t="shared" si="12"/>
        <v>#REF!</v>
      </c>
    </row>
    <row r="305" spans="2:3" ht="15.75" customHeight="1" x14ac:dyDescent="0.25">
      <c r="B305" s="67" t="e">
        <f t="shared" si="11"/>
        <v>#REF!</v>
      </c>
      <c r="C305" s="76" t="e">
        <f t="shared" si="12"/>
        <v>#REF!</v>
      </c>
    </row>
    <row r="306" spans="2:3" ht="15.75" customHeight="1" x14ac:dyDescent="0.25">
      <c r="B306" s="67" t="e">
        <f t="shared" si="11"/>
        <v>#REF!</v>
      </c>
      <c r="C306" s="76" t="e">
        <f t="shared" si="12"/>
        <v>#REF!</v>
      </c>
    </row>
    <row r="307" spans="2:3" ht="15.75" customHeight="1" x14ac:dyDescent="0.25">
      <c r="B307" s="67" t="e">
        <f t="shared" si="11"/>
        <v>#REF!</v>
      </c>
      <c r="C307" s="76" t="e">
        <f t="shared" si="12"/>
        <v>#REF!</v>
      </c>
    </row>
    <row r="308" spans="2:3" ht="15.75" customHeight="1" x14ac:dyDescent="0.25">
      <c r="B308" s="67" t="e">
        <f t="shared" si="11"/>
        <v>#REF!</v>
      </c>
      <c r="C308" s="76" t="e">
        <f t="shared" si="12"/>
        <v>#REF!</v>
      </c>
    </row>
    <row r="309" spans="2:3" ht="15.75" customHeight="1" x14ac:dyDescent="0.25">
      <c r="B309" s="67" t="e">
        <f t="shared" si="11"/>
        <v>#REF!</v>
      </c>
      <c r="C309" s="76" t="e">
        <f t="shared" si="12"/>
        <v>#REF!</v>
      </c>
    </row>
    <row r="310" spans="2:3" ht="15.75" customHeight="1" x14ac:dyDescent="0.25">
      <c r="B310" s="67" t="e">
        <f t="shared" si="11"/>
        <v>#REF!</v>
      </c>
      <c r="C310" s="76" t="e">
        <f t="shared" si="12"/>
        <v>#REF!</v>
      </c>
    </row>
    <row r="311" spans="2:3" ht="15.75" customHeight="1" x14ac:dyDescent="0.25">
      <c r="B311" s="67" t="e">
        <f t="shared" si="11"/>
        <v>#REF!</v>
      </c>
      <c r="C311" s="76" t="e">
        <f t="shared" si="12"/>
        <v>#REF!</v>
      </c>
    </row>
    <row r="312" spans="2:3" ht="15.75" customHeight="1" x14ac:dyDescent="0.25">
      <c r="B312" s="67" t="e">
        <f t="shared" si="11"/>
        <v>#REF!</v>
      </c>
      <c r="C312" s="76" t="e">
        <f t="shared" si="12"/>
        <v>#REF!</v>
      </c>
    </row>
    <row r="313" spans="2:3" ht="15.75" customHeight="1" x14ac:dyDescent="0.25">
      <c r="B313" s="67" t="e">
        <f t="shared" si="11"/>
        <v>#REF!</v>
      </c>
      <c r="C313" s="76" t="e">
        <f t="shared" si="12"/>
        <v>#REF!</v>
      </c>
    </row>
    <row r="314" spans="2:3" ht="15.75" customHeight="1" x14ac:dyDescent="0.25">
      <c r="B314" s="67" t="e">
        <f t="shared" si="11"/>
        <v>#REF!</v>
      </c>
      <c r="C314" s="76" t="e">
        <f t="shared" si="12"/>
        <v>#REF!</v>
      </c>
    </row>
    <row r="315" spans="2:3" ht="15.75" customHeight="1" x14ac:dyDescent="0.25">
      <c r="B315" s="67" t="e">
        <f t="shared" si="11"/>
        <v>#REF!</v>
      </c>
      <c r="C315" s="76" t="e">
        <f t="shared" si="12"/>
        <v>#REF!</v>
      </c>
    </row>
    <row r="316" spans="2:3" ht="15.75" customHeight="1" x14ac:dyDescent="0.25">
      <c r="B316" s="67" t="e">
        <f t="shared" si="11"/>
        <v>#REF!</v>
      </c>
      <c r="C316" s="76" t="e">
        <f t="shared" si="12"/>
        <v>#REF!</v>
      </c>
    </row>
    <row r="317" spans="2:3" ht="15.75" customHeight="1" x14ac:dyDescent="0.25">
      <c r="B317" s="67" t="e">
        <f t="shared" si="11"/>
        <v>#REF!</v>
      </c>
      <c r="C317" s="76" t="e">
        <f t="shared" si="12"/>
        <v>#REF!</v>
      </c>
    </row>
    <row r="318" spans="2:3" ht="15.75" customHeight="1" x14ac:dyDescent="0.25">
      <c r="B318" s="67" t="e">
        <f t="shared" si="11"/>
        <v>#REF!</v>
      </c>
      <c r="C318" s="76" t="e">
        <f t="shared" si="12"/>
        <v>#REF!</v>
      </c>
    </row>
    <row r="319" spans="2:3" ht="15.75" customHeight="1" x14ac:dyDescent="0.25">
      <c r="B319" s="67" t="e">
        <f t="shared" si="11"/>
        <v>#REF!</v>
      </c>
      <c r="C319" s="76" t="e">
        <f t="shared" si="12"/>
        <v>#REF!</v>
      </c>
    </row>
    <row r="320" spans="2:3" ht="15.75" customHeight="1" x14ac:dyDescent="0.25">
      <c r="B320" s="67" t="e">
        <f t="shared" si="11"/>
        <v>#REF!</v>
      </c>
      <c r="C320" s="76" t="e">
        <f t="shared" si="12"/>
        <v>#REF!</v>
      </c>
    </row>
    <row r="321" spans="2:3" ht="15.75" customHeight="1" x14ac:dyDescent="0.25">
      <c r="B321" s="67" t="e">
        <f t="shared" si="11"/>
        <v>#REF!</v>
      </c>
      <c r="C321" s="76" t="e">
        <f t="shared" si="12"/>
        <v>#REF!</v>
      </c>
    </row>
    <row r="322" spans="2:3" ht="15.75" customHeight="1" x14ac:dyDescent="0.25">
      <c r="B322" s="67" t="e">
        <f t="shared" si="11"/>
        <v>#REF!</v>
      </c>
      <c r="C322" s="76" t="e">
        <f t="shared" si="12"/>
        <v>#REF!</v>
      </c>
    </row>
    <row r="323" spans="2:3" ht="15.75" customHeight="1" x14ac:dyDescent="0.25">
      <c r="B323" s="67" t="e">
        <f t="shared" si="11"/>
        <v>#REF!</v>
      </c>
      <c r="C323" s="76" t="e">
        <f t="shared" si="12"/>
        <v>#REF!</v>
      </c>
    </row>
    <row r="324" spans="2:3" ht="15.75" customHeight="1" x14ac:dyDescent="0.25">
      <c r="B324" s="67" t="e">
        <f t="shared" si="11"/>
        <v>#REF!</v>
      </c>
      <c r="C324" s="76" t="e">
        <f t="shared" si="12"/>
        <v>#REF!</v>
      </c>
    </row>
    <row r="325" spans="2:3" ht="15.75" customHeight="1" x14ac:dyDescent="0.25">
      <c r="B325" s="67" t="e">
        <f t="shared" si="11"/>
        <v>#REF!</v>
      </c>
      <c r="C325" s="76" t="e">
        <f t="shared" si="12"/>
        <v>#REF!</v>
      </c>
    </row>
    <row r="326" spans="2:3" ht="15.75" customHeight="1" x14ac:dyDescent="0.25">
      <c r="B326" s="67" t="e">
        <f t="shared" si="11"/>
        <v>#REF!</v>
      </c>
      <c r="C326" s="76" t="e">
        <f t="shared" si="12"/>
        <v>#REF!</v>
      </c>
    </row>
    <row r="327" spans="2:3" ht="15.75" customHeight="1" x14ac:dyDescent="0.25">
      <c r="B327" s="67" t="e">
        <f t="shared" si="11"/>
        <v>#REF!</v>
      </c>
      <c r="C327" s="76" t="e">
        <f t="shared" si="12"/>
        <v>#REF!</v>
      </c>
    </row>
    <row r="328" spans="2:3" ht="15.75" customHeight="1" x14ac:dyDescent="0.25">
      <c r="B328" s="67" t="e">
        <f t="shared" si="11"/>
        <v>#REF!</v>
      </c>
      <c r="C328" s="76" t="e">
        <f t="shared" si="12"/>
        <v>#REF!</v>
      </c>
    </row>
    <row r="329" spans="2:3" ht="15.75" customHeight="1" x14ac:dyDescent="0.25">
      <c r="B329" s="67" t="e">
        <f t="shared" si="11"/>
        <v>#REF!</v>
      </c>
      <c r="C329" s="76" t="e">
        <f t="shared" si="12"/>
        <v>#REF!</v>
      </c>
    </row>
    <row r="330" spans="2:3" ht="15.75" customHeight="1" x14ac:dyDescent="0.25">
      <c r="B330" s="67" t="e">
        <f t="shared" si="11"/>
        <v>#REF!</v>
      </c>
      <c r="C330" s="76" t="e">
        <f t="shared" si="12"/>
        <v>#REF!</v>
      </c>
    </row>
    <row r="331" spans="2:3" ht="15.75" customHeight="1" x14ac:dyDescent="0.25">
      <c r="B331" s="67" t="e">
        <f t="shared" si="11"/>
        <v>#REF!</v>
      </c>
      <c r="C331" s="76" t="e">
        <f t="shared" si="12"/>
        <v>#REF!</v>
      </c>
    </row>
    <row r="332" spans="2:3" ht="15.75" customHeight="1" x14ac:dyDescent="0.25">
      <c r="B332" s="67" t="e">
        <f t="shared" si="11"/>
        <v>#REF!</v>
      </c>
      <c r="C332" s="76" t="e">
        <f t="shared" si="12"/>
        <v>#REF!</v>
      </c>
    </row>
    <row r="333" spans="2:3" ht="15.75" customHeight="1" x14ac:dyDescent="0.25">
      <c r="B333" s="67" t="e">
        <f t="shared" si="11"/>
        <v>#REF!</v>
      </c>
      <c r="C333" s="76" t="e">
        <f t="shared" si="12"/>
        <v>#REF!</v>
      </c>
    </row>
    <row r="334" spans="2:3" ht="15.75" customHeight="1" x14ac:dyDescent="0.25">
      <c r="B334" s="67" t="e">
        <f t="shared" si="11"/>
        <v>#REF!</v>
      </c>
      <c r="C334" s="76" t="e">
        <f t="shared" si="12"/>
        <v>#REF!</v>
      </c>
    </row>
    <row r="335" spans="2:3" ht="15.75" customHeight="1" x14ac:dyDescent="0.25">
      <c r="B335" s="67" t="e">
        <f t="shared" si="11"/>
        <v>#REF!</v>
      </c>
      <c r="C335" s="76" t="e">
        <f t="shared" si="12"/>
        <v>#REF!</v>
      </c>
    </row>
    <row r="336" spans="2:3" ht="15.75" customHeight="1" x14ac:dyDescent="0.25">
      <c r="B336" s="67" t="e">
        <f t="shared" si="11"/>
        <v>#REF!</v>
      </c>
      <c r="C336" s="76" t="e">
        <f t="shared" si="12"/>
        <v>#REF!</v>
      </c>
    </row>
    <row r="337" spans="2:3" ht="15.75" customHeight="1" x14ac:dyDescent="0.25">
      <c r="B337" s="67" t="e">
        <f t="shared" si="11"/>
        <v>#REF!</v>
      </c>
      <c r="C337" s="76" t="e">
        <f t="shared" si="12"/>
        <v>#REF!</v>
      </c>
    </row>
    <row r="338" spans="2:3" ht="15.75" customHeight="1" x14ac:dyDescent="0.25">
      <c r="B338" s="67" t="e">
        <f t="shared" si="11"/>
        <v>#REF!</v>
      </c>
      <c r="C338" s="76" t="e">
        <f t="shared" si="12"/>
        <v>#REF!</v>
      </c>
    </row>
    <row r="339" spans="2:3" ht="15.75" customHeight="1" x14ac:dyDescent="0.25">
      <c r="B339" s="67" t="e">
        <f t="shared" si="11"/>
        <v>#REF!</v>
      </c>
      <c r="C339" s="76" t="e">
        <f t="shared" si="12"/>
        <v>#REF!</v>
      </c>
    </row>
    <row r="340" spans="2:3" ht="15.75" customHeight="1" x14ac:dyDescent="0.25">
      <c r="B340" s="67" t="e">
        <f t="shared" si="11"/>
        <v>#REF!</v>
      </c>
      <c r="C340" s="76" t="e">
        <f t="shared" si="12"/>
        <v>#REF!</v>
      </c>
    </row>
    <row r="341" spans="2:3" ht="15.75" customHeight="1" x14ac:dyDescent="0.25">
      <c r="B341" s="67" t="e">
        <f t="shared" si="11"/>
        <v>#REF!</v>
      </c>
      <c r="C341" s="76" t="e">
        <f t="shared" si="12"/>
        <v>#REF!</v>
      </c>
    </row>
    <row r="342" spans="2:3" ht="15.75" customHeight="1" x14ac:dyDescent="0.25">
      <c r="B342" s="67" t="e">
        <f t="shared" si="11"/>
        <v>#REF!</v>
      </c>
      <c r="C342" s="76" t="e">
        <f t="shared" si="12"/>
        <v>#REF!</v>
      </c>
    </row>
    <row r="343" spans="2:3" ht="15.75" customHeight="1" x14ac:dyDescent="0.25">
      <c r="B343" s="67" t="e">
        <f t="shared" si="11"/>
        <v>#REF!</v>
      </c>
      <c r="C343" s="76" t="e">
        <f t="shared" si="12"/>
        <v>#REF!</v>
      </c>
    </row>
    <row r="344" spans="2:3" ht="15.75" customHeight="1" x14ac:dyDescent="0.25">
      <c r="B344" s="67" t="e">
        <f t="shared" si="11"/>
        <v>#REF!</v>
      </c>
      <c r="C344" s="76" t="e">
        <f t="shared" si="12"/>
        <v>#REF!</v>
      </c>
    </row>
    <row r="345" spans="2:3" ht="15.75" customHeight="1" x14ac:dyDescent="0.25">
      <c r="B345" s="67" t="e">
        <f t="shared" si="11"/>
        <v>#REF!</v>
      </c>
      <c r="C345" s="76" t="e">
        <f t="shared" si="12"/>
        <v>#REF!</v>
      </c>
    </row>
    <row r="346" spans="2:3" ht="15.75" customHeight="1" x14ac:dyDescent="0.25">
      <c r="B346" s="67" t="e">
        <f t="shared" si="11"/>
        <v>#REF!</v>
      </c>
      <c r="C346" s="76" t="e">
        <f t="shared" si="12"/>
        <v>#REF!</v>
      </c>
    </row>
    <row r="347" spans="2:3" ht="15.75" customHeight="1" x14ac:dyDescent="0.25">
      <c r="B347" s="67" t="e">
        <f t="shared" si="11"/>
        <v>#REF!</v>
      </c>
      <c r="C347" s="76" t="e">
        <f t="shared" si="12"/>
        <v>#REF!</v>
      </c>
    </row>
    <row r="348" spans="2:3" ht="15.75" customHeight="1" x14ac:dyDescent="0.25">
      <c r="B348" s="67" t="e">
        <f t="shared" si="11"/>
        <v>#REF!</v>
      </c>
      <c r="C348" s="76" t="e">
        <f t="shared" si="12"/>
        <v>#REF!</v>
      </c>
    </row>
    <row r="349" spans="2:3" ht="15.75" customHeight="1" x14ac:dyDescent="0.25">
      <c r="B349" s="67" t="e">
        <f t="shared" ref="B349:B412" si="13">IF(B348="","",IF(B348+$C$9&lt;=$C$5,B348+$C$9,""))</f>
        <v>#REF!</v>
      </c>
      <c r="C349" s="76" t="e">
        <f t="shared" ref="C349:C412" si="14">IF(B349&lt;&gt;"",C348-$C$2/COUNT($B$17:$B$510),"")</f>
        <v>#REF!</v>
      </c>
    </row>
    <row r="350" spans="2:3" ht="15.75" customHeight="1" x14ac:dyDescent="0.25">
      <c r="B350" s="67" t="e">
        <f t="shared" si="13"/>
        <v>#REF!</v>
      </c>
      <c r="C350" s="76" t="e">
        <f t="shared" si="14"/>
        <v>#REF!</v>
      </c>
    </row>
    <row r="351" spans="2:3" ht="15.75" customHeight="1" x14ac:dyDescent="0.25">
      <c r="B351" s="67" t="e">
        <f t="shared" si="13"/>
        <v>#REF!</v>
      </c>
      <c r="C351" s="76" t="e">
        <f t="shared" si="14"/>
        <v>#REF!</v>
      </c>
    </row>
    <row r="352" spans="2:3" ht="15.75" customHeight="1" x14ac:dyDescent="0.25">
      <c r="B352" s="67" t="e">
        <f t="shared" si="13"/>
        <v>#REF!</v>
      </c>
      <c r="C352" s="76" t="e">
        <f t="shared" si="14"/>
        <v>#REF!</v>
      </c>
    </row>
    <row r="353" spans="2:3" ht="15.75" customHeight="1" x14ac:dyDescent="0.25">
      <c r="B353" s="67" t="e">
        <f t="shared" si="13"/>
        <v>#REF!</v>
      </c>
      <c r="C353" s="76" t="e">
        <f t="shared" si="14"/>
        <v>#REF!</v>
      </c>
    </row>
    <row r="354" spans="2:3" ht="15.75" customHeight="1" x14ac:dyDescent="0.25">
      <c r="B354" s="67" t="e">
        <f t="shared" si="13"/>
        <v>#REF!</v>
      </c>
      <c r="C354" s="76" t="e">
        <f t="shared" si="14"/>
        <v>#REF!</v>
      </c>
    </row>
    <row r="355" spans="2:3" ht="15.75" customHeight="1" x14ac:dyDescent="0.25">
      <c r="B355" s="67" t="e">
        <f t="shared" si="13"/>
        <v>#REF!</v>
      </c>
      <c r="C355" s="76" t="e">
        <f t="shared" si="14"/>
        <v>#REF!</v>
      </c>
    </row>
    <row r="356" spans="2:3" ht="15.75" customHeight="1" x14ac:dyDescent="0.25">
      <c r="B356" s="67" t="e">
        <f t="shared" si="13"/>
        <v>#REF!</v>
      </c>
      <c r="C356" s="76" t="e">
        <f t="shared" si="14"/>
        <v>#REF!</v>
      </c>
    </row>
    <row r="357" spans="2:3" ht="15.75" customHeight="1" x14ac:dyDescent="0.25">
      <c r="B357" s="67" t="e">
        <f t="shared" si="13"/>
        <v>#REF!</v>
      </c>
      <c r="C357" s="76" t="e">
        <f t="shared" si="14"/>
        <v>#REF!</v>
      </c>
    </row>
    <row r="358" spans="2:3" ht="15.75" customHeight="1" x14ac:dyDescent="0.25">
      <c r="B358" s="67" t="e">
        <f t="shared" si="13"/>
        <v>#REF!</v>
      </c>
      <c r="C358" s="76" t="e">
        <f t="shared" si="14"/>
        <v>#REF!</v>
      </c>
    </row>
    <row r="359" spans="2:3" ht="15.75" customHeight="1" x14ac:dyDescent="0.25">
      <c r="B359" s="67" t="e">
        <f t="shared" si="13"/>
        <v>#REF!</v>
      </c>
      <c r="C359" s="76" t="e">
        <f t="shared" si="14"/>
        <v>#REF!</v>
      </c>
    </row>
    <row r="360" spans="2:3" ht="15.75" customHeight="1" x14ac:dyDescent="0.25">
      <c r="B360" s="67" t="e">
        <f t="shared" si="13"/>
        <v>#REF!</v>
      </c>
      <c r="C360" s="76" t="e">
        <f t="shared" si="14"/>
        <v>#REF!</v>
      </c>
    </row>
    <row r="361" spans="2:3" ht="15.75" customHeight="1" x14ac:dyDescent="0.25">
      <c r="B361" s="67" t="e">
        <f t="shared" si="13"/>
        <v>#REF!</v>
      </c>
      <c r="C361" s="76" t="e">
        <f t="shared" si="14"/>
        <v>#REF!</v>
      </c>
    </row>
    <row r="362" spans="2:3" ht="15.75" customHeight="1" x14ac:dyDescent="0.25">
      <c r="B362" s="67" t="e">
        <f t="shared" si="13"/>
        <v>#REF!</v>
      </c>
      <c r="C362" s="76" t="e">
        <f t="shared" si="14"/>
        <v>#REF!</v>
      </c>
    </row>
    <row r="363" spans="2:3" ht="15.75" customHeight="1" x14ac:dyDescent="0.25">
      <c r="B363" s="67" t="e">
        <f t="shared" si="13"/>
        <v>#REF!</v>
      </c>
      <c r="C363" s="76" t="e">
        <f t="shared" si="14"/>
        <v>#REF!</v>
      </c>
    </row>
    <row r="364" spans="2:3" ht="15.75" customHeight="1" x14ac:dyDescent="0.25">
      <c r="B364" s="67" t="e">
        <f t="shared" si="13"/>
        <v>#REF!</v>
      </c>
      <c r="C364" s="76" t="e">
        <f t="shared" si="14"/>
        <v>#REF!</v>
      </c>
    </row>
    <row r="365" spans="2:3" ht="15.75" customHeight="1" x14ac:dyDescent="0.25">
      <c r="B365" s="67" t="e">
        <f t="shared" si="13"/>
        <v>#REF!</v>
      </c>
      <c r="C365" s="76" t="e">
        <f t="shared" si="14"/>
        <v>#REF!</v>
      </c>
    </row>
    <row r="366" spans="2:3" ht="15.75" customHeight="1" x14ac:dyDescent="0.25">
      <c r="B366" s="67" t="e">
        <f t="shared" si="13"/>
        <v>#REF!</v>
      </c>
      <c r="C366" s="76" t="e">
        <f t="shared" si="14"/>
        <v>#REF!</v>
      </c>
    </row>
    <row r="367" spans="2:3" ht="15.75" customHeight="1" x14ac:dyDescent="0.25">
      <c r="B367" s="67" t="e">
        <f t="shared" si="13"/>
        <v>#REF!</v>
      </c>
      <c r="C367" s="76" t="e">
        <f t="shared" si="14"/>
        <v>#REF!</v>
      </c>
    </row>
    <row r="368" spans="2:3" ht="15.75" customHeight="1" x14ac:dyDescent="0.25">
      <c r="B368" s="67" t="e">
        <f t="shared" si="13"/>
        <v>#REF!</v>
      </c>
      <c r="C368" s="76" t="e">
        <f t="shared" si="14"/>
        <v>#REF!</v>
      </c>
    </row>
    <row r="369" spans="2:3" ht="15.75" customHeight="1" x14ac:dyDescent="0.25">
      <c r="B369" s="67" t="e">
        <f t="shared" si="13"/>
        <v>#REF!</v>
      </c>
      <c r="C369" s="76" t="e">
        <f t="shared" si="14"/>
        <v>#REF!</v>
      </c>
    </row>
    <row r="370" spans="2:3" ht="15.75" customHeight="1" x14ac:dyDescent="0.25">
      <c r="B370" s="67" t="e">
        <f t="shared" si="13"/>
        <v>#REF!</v>
      </c>
      <c r="C370" s="76" t="e">
        <f t="shared" si="14"/>
        <v>#REF!</v>
      </c>
    </row>
    <row r="371" spans="2:3" ht="15.75" customHeight="1" x14ac:dyDescent="0.25">
      <c r="B371" s="67" t="e">
        <f t="shared" si="13"/>
        <v>#REF!</v>
      </c>
      <c r="C371" s="76" t="e">
        <f t="shared" si="14"/>
        <v>#REF!</v>
      </c>
    </row>
    <row r="372" spans="2:3" ht="15.75" customHeight="1" x14ac:dyDescent="0.25">
      <c r="B372" s="67" t="e">
        <f t="shared" si="13"/>
        <v>#REF!</v>
      </c>
      <c r="C372" s="76" t="e">
        <f t="shared" si="14"/>
        <v>#REF!</v>
      </c>
    </row>
    <row r="373" spans="2:3" ht="15.75" customHeight="1" x14ac:dyDescent="0.25">
      <c r="B373" s="67" t="e">
        <f t="shared" si="13"/>
        <v>#REF!</v>
      </c>
      <c r="C373" s="76" t="e">
        <f t="shared" si="14"/>
        <v>#REF!</v>
      </c>
    </row>
    <row r="374" spans="2:3" ht="15.75" customHeight="1" x14ac:dyDescent="0.25">
      <c r="B374" s="67" t="e">
        <f t="shared" si="13"/>
        <v>#REF!</v>
      </c>
      <c r="C374" s="76" t="e">
        <f t="shared" si="14"/>
        <v>#REF!</v>
      </c>
    </row>
    <row r="375" spans="2:3" ht="15.75" customHeight="1" x14ac:dyDescent="0.25">
      <c r="B375" s="67" t="e">
        <f t="shared" si="13"/>
        <v>#REF!</v>
      </c>
      <c r="C375" s="76" t="e">
        <f t="shared" si="14"/>
        <v>#REF!</v>
      </c>
    </row>
    <row r="376" spans="2:3" ht="15.75" customHeight="1" x14ac:dyDescent="0.25">
      <c r="B376" s="67" t="e">
        <f t="shared" si="13"/>
        <v>#REF!</v>
      </c>
      <c r="C376" s="76" t="e">
        <f t="shared" si="14"/>
        <v>#REF!</v>
      </c>
    </row>
    <row r="377" spans="2:3" ht="15.75" customHeight="1" x14ac:dyDescent="0.25">
      <c r="B377" s="67" t="e">
        <f t="shared" si="13"/>
        <v>#REF!</v>
      </c>
      <c r="C377" s="76" t="e">
        <f t="shared" si="14"/>
        <v>#REF!</v>
      </c>
    </row>
    <row r="378" spans="2:3" ht="15.75" customHeight="1" x14ac:dyDescent="0.25">
      <c r="B378" s="67" t="e">
        <f t="shared" si="13"/>
        <v>#REF!</v>
      </c>
      <c r="C378" s="76" t="e">
        <f t="shared" si="14"/>
        <v>#REF!</v>
      </c>
    </row>
    <row r="379" spans="2:3" ht="15.75" customHeight="1" x14ac:dyDescent="0.25">
      <c r="B379" s="67" t="e">
        <f t="shared" si="13"/>
        <v>#REF!</v>
      </c>
      <c r="C379" s="76" t="e">
        <f t="shared" si="14"/>
        <v>#REF!</v>
      </c>
    </row>
    <row r="380" spans="2:3" ht="15.75" customHeight="1" x14ac:dyDescent="0.25">
      <c r="B380" s="67" t="e">
        <f t="shared" si="13"/>
        <v>#REF!</v>
      </c>
      <c r="C380" s="76" t="e">
        <f t="shared" si="14"/>
        <v>#REF!</v>
      </c>
    </row>
    <row r="381" spans="2:3" ht="15.75" customHeight="1" x14ac:dyDescent="0.25">
      <c r="B381" s="67" t="e">
        <f t="shared" si="13"/>
        <v>#REF!</v>
      </c>
      <c r="C381" s="76" t="e">
        <f t="shared" si="14"/>
        <v>#REF!</v>
      </c>
    </row>
    <row r="382" spans="2:3" ht="15.75" customHeight="1" x14ac:dyDescent="0.25">
      <c r="B382" s="67" t="e">
        <f t="shared" si="13"/>
        <v>#REF!</v>
      </c>
      <c r="C382" s="76" t="e">
        <f t="shared" si="14"/>
        <v>#REF!</v>
      </c>
    </row>
    <row r="383" spans="2:3" ht="15.75" customHeight="1" x14ac:dyDescent="0.25">
      <c r="B383" s="67" t="e">
        <f t="shared" si="13"/>
        <v>#REF!</v>
      </c>
      <c r="C383" s="76" t="e">
        <f t="shared" si="14"/>
        <v>#REF!</v>
      </c>
    </row>
    <row r="384" spans="2:3" ht="15.75" customHeight="1" x14ac:dyDescent="0.25">
      <c r="B384" s="67" t="e">
        <f t="shared" si="13"/>
        <v>#REF!</v>
      </c>
      <c r="C384" s="76" t="e">
        <f t="shared" si="14"/>
        <v>#REF!</v>
      </c>
    </row>
    <row r="385" spans="2:3" ht="15.75" customHeight="1" x14ac:dyDescent="0.25">
      <c r="B385" s="67" t="e">
        <f t="shared" si="13"/>
        <v>#REF!</v>
      </c>
      <c r="C385" s="76" t="e">
        <f t="shared" si="14"/>
        <v>#REF!</v>
      </c>
    </row>
    <row r="386" spans="2:3" ht="15.75" customHeight="1" x14ac:dyDescent="0.25">
      <c r="B386" s="67" t="e">
        <f t="shared" si="13"/>
        <v>#REF!</v>
      </c>
      <c r="C386" s="76" t="e">
        <f t="shared" si="14"/>
        <v>#REF!</v>
      </c>
    </row>
    <row r="387" spans="2:3" ht="15.75" customHeight="1" x14ac:dyDescent="0.25">
      <c r="B387" s="67" t="e">
        <f t="shared" si="13"/>
        <v>#REF!</v>
      </c>
      <c r="C387" s="76" t="e">
        <f t="shared" si="14"/>
        <v>#REF!</v>
      </c>
    </row>
    <row r="388" spans="2:3" ht="15.75" customHeight="1" x14ac:dyDescent="0.25">
      <c r="B388" s="67" t="e">
        <f t="shared" si="13"/>
        <v>#REF!</v>
      </c>
      <c r="C388" s="76" t="e">
        <f t="shared" si="14"/>
        <v>#REF!</v>
      </c>
    </row>
    <row r="389" spans="2:3" ht="15.75" customHeight="1" x14ac:dyDescent="0.25">
      <c r="B389" s="67" t="e">
        <f t="shared" si="13"/>
        <v>#REF!</v>
      </c>
      <c r="C389" s="76" t="e">
        <f t="shared" si="14"/>
        <v>#REF!</v>
      </c>
    </row>
    <row r="390" spans="2:3" ht="15.75" customHeight="1" x14ac:dyDescent="0.25">
      <c r="B390" s="67" t="e">
        <f t="shared" si="13"/>
        <v>#REF!</v>
      </c>
      <c r="C390" s="76" t="e">
        <f t="shared" si="14"/>
        <v>#REF!</v>
      </c>
    </row>
    <row r="391" spans="2:3" ht="15.75" customHeight="1" x14ac:dyDescent="0.25">
      <c r="B391" s="67" t="e">
        <f t="shared" si="13"/>
        <v>#REF!</v>
      </c>
      <c r="C391" s="76" t="e">
        <f t="shared" si="14"/>
        <v>#REF!</v>
      </c>
    </row>
    <row r="392" spans="2:3" ht="15.75" customHeight="1" x14ac:dyDescent="0.25">
      <c r="B392" s="67" t="e">
        <f t="shared" si="13"/>
        <v>#REF!</v>
      </c>
      <c r="C392" s="76" t="e">
        <f t="shared" si="14"/>
        <v>#REF!</v>
      </c>
    </row>
    <row r="393" spans="2:3" ht="15.75" customHeight="1" x14ac:dyDescent="0.25">
      <c r="B393" s="67" t="e">
        <f t="shared" si="13"/>
        <v>#REF!</v>
      </c>
      <c r="C393" s="76" t="e">
        <f t="shared" si="14"/>
        <v>#REF!</v>
      </c>
    </row>
    <row r="394" spans="2:3" ht="15.75" customHeight="1" x14ac:dyDescent="0.25">
      <c r="B394" s="67" t="e">
        <f t="shared" si="13"/>
        <v>#REF!</v>
      </c>
      <c r="C394" s="76" t="e">
        <f t="shared" si="14"/>
        <v>#REF!</v>
      </c>
    </row>
    <row r="395" spans="2:3" ht="15.75" customHeight="1" x14ac:dyDescent="0.25">
      <c r="B395" s="67" t="e">
        <f t="shared" si="13"/>
        <v>#REF!</v>
      </c>
      <c r="C395" s="76" t="e">
        <f t="shared" si="14"/>
        <v>#REF!</v>
      </c>
    </row>
    <row r="396" spans="2:3" ht="15.75" customHeight="1" x14ac:dyDescent="0.25">
      <c r="B396" s="67" t="e">
        <f t="shared" si="13"/>
        <v>#REF!</v>
      </c>
      <c r="C396" s="76" t="e">
        <f t="shared" si="14"/>
        <v>#REF!</v>
      </c>
    </row>
    <row r="397" spans="2:3" ht="15.75" customHeight="1" x14ac:dyDescent="0.25">
      <c r="B397" s="67" t="e">
        <f t="shared" si="13"/>
        <v>#REF!</v>
      </c>
      <c r="C397" s="76" t="e">
        <f t="shared" si="14"/>
        <v>#REF!</v>
      </c>
    </row>
    <row r="398" spans="2:3" ht="15.75" customHeight="1" x14ac:dyDescent="0.25">
      <c r="B398" s="67" t="e">
        <f t="shared" si="13"/>
        <v>#REF!</v>
      </c>
      <c r="C398" s="76" t="e">
        <f t="shared" si="14"/>
        <v>#REF!</v>
      </c>
    </row>
    <row r="399" spans="2:3" ht="15.75" customHeight="1" x14ac:dyDescent="0.25">
      <c r="B399" s="67" t="e">
        <f t="shared" si="13"/>
        <v>#REF!</v>
      </c>
      <c r="C399" s="76" t="e">
        <f t="shared" si="14"/>
        <v>#REF!</v>
      </c>
    </row>
    <row r="400" spans="2:3" ht="15.75" customHeight="1" x14ac:dyDescent="0.25">
      <c r="B400" s="67" t="e">
        <f t="shared" si="13"/>
        <v>#REF!</v>
      </c>
      <c r="C400" s="76" t="e">
        <f t="shared" si="14"/>
        <v>#REF!</v>
      </c>
    </row>
    <row r="401" spans="2:3" ht="15.75" customHeight="1" x14ac:dyDescent="0.25">
      <c r="B401" s="67" t="e">
        <f t="shared" si="13"/>
        <v>#REF!</v>
      </c>
      <c r="C401" s="76" t="e">
        <f t="shared" si="14"/>
        <v>#REF!</v>
      </c>
    </row>
    <row r="402" spans="2:3" ht="15.75" customHeight="1" x14ac:dyDescent="0.25">
      <c r="B402" s="67" t="e">
        <f t="shared" si="13"/>
        <v>#REF!</v>
      </c>
      <c r="C402" s="76" t="e">
        <f t="shared" si="14"/>
        <v>#REF!</v>
      </c>
    </row>
    <row r="403" spans="2:3" ht="15.75" customHeight="1" x14ac:dyDescent="0.25">
      <c r="B403" s="67" t="e">
        <f t="shared" si="13"/>
        <v>#REF!</v>
      </c>
      <c r="C403" s="76" t="e">
        <f t="shared" si="14"/>
        <v>#REF!</v>
      </c>
    </row>
    <row r="404" spans="2:3" ht="15.75" customHeight="1" x14ac:dyDescent="0.25">
      <c r="B404" s="67" t="e">
        <f t="shared" si="13"/>
        <v>#REF!</v>
      </c>
      <c r="C404" s="76" t="e">
        <f t="shared" si="14"/>
        <v>#REF!</v>
      </c>
    </row>
    <row r="405" spans="2:3" ht="15.75" customHeight="1" x14ac:dyDescent="0.25">
      <c r="B405" s="67" t="e">
        <f t="shared" si="13"/>
        <v>#REF!</v>
      </c>
      <c r="C405" s="76" t="e">
        <f t="shared" si="14"/>
        <v>#REF!</v>
      </c>
    </row>
    <row r="406" spans="2:3" ht="15.75" customHeight="1" x14ac:dyDescent="0.25">
      <c r="B406" s="67" t="e">
        <f t="shared" si="13"/>
        <v>#REF!</v>
      </c>
      <c r="C406" s="76" t="e">
        <f t="shared" si="14"/>
        <v>#REF!</v>
      </c>
    </row>
    <row r="407" spans="2:3" ht="15.75" customHeight="1" x14ac:dyDescent="0.25">
      <c r="B407" s="67" t="e">
        <f t="shared" si="13"/>
        <v>#REF!</v>
      </c>
      <c r="C407" s="76" t="e">
        <f t="shared" si="14"/>
        <v>#REF!</v>
      </c>
    </row>
    <row r="408" spans="2:3" ht="15.75" customHeight="1" x14ac:dyDescent="0.25">
      <c r="B408" s="67" t="e">
        <f t="shared" si="13"/>
        <v>#REF!</v>
      </c>
      <c r="C408" s="76" t="e">
        <f t="shared" si="14"/>
        <v>#REF!</v>
      </c>
    </row>
    <row r="409" spans="2:3" ht="15.75" customHeight="1" x14ac:dyDescent="0.25">
      <c r="B409" s="67" t="e">
        <f t="shared" si="13"/>
        <v>#REF!</v>
      </c>
      <c r="C409" s="76" t="e">
        <f t="shared" si="14"/>
        <v>#REF!</v>
      </c>
    </row>
    <row r="410" spans="2:3" ht="15.75" customHeight="1" x14ac:dyDescent="0.25">
      <c r="B410" s="67" t="e">
        <f t="shared" si="13"/>
        <v>#REF!</v>
      </c>
      <c r="C410" s="76" t="e">
        <f t="shared" si="14"/>
        <v>#REF!</v>
      </c>
    </row>
    <row r="411" spans="2:3" ht="15.75" customHeight="1" x14ac:dyDescent="0.25">
      <c r="B411" s="67" t="e">
        <f t="shared" si="13"/>
        <v>#REF!</v>
      </c>
      <c r="C411" s="76" t="e">
        <f t="shared" si="14"/>
        <v>#REF!</v>
      </c>
    </row>
    <row r="412" spans="2:3" ht="15.75" customHeight="1" x14ac:dyDescent="0.25">
      <c r="B412" s="67" t="e">
        <f t="shared" si="13"/>
        <v>#REF!</v>
      </c>
      <c r="C412" s="76" t="e">
        <f t="shared" si="14"/>
        <v>#REF!</v>
      </c>
    </row>
    <row r="413" spans="2:3" ht="15.75" customHeight="1" x14ac:dyDescent="0.25">
      <c r="B413" s="67" t="e">
        <f t="shared" ref="B413:B476" si="15">IF(B412="","",IF(B412+$C$9&lt;=$C$5,B412+$C$9,""))</f>
        <v>#REF!</v>
      </c>
      <c r="C413" s="76" t="e">
        <f t="shared" ref="C413:C476" si="16">IF(B413&lt;&gt;"",C412-$C$2/COUNT($B$17:$B$510),"")</f>
        <v>#REF!</v>
      </c>
    </row>
    <row r="414" spans="2:3" ht="15.75" customHeight="1" x14ac:dyDescent="0.25">
      <c r="B414" s="67" t="e">
        <f t="shared" si="15"/>
        <v>#REF!</v>
      </c>
      <c r="C414" s="76" t="e">
        <f t="shared" si="16"/>
        <v>#REF!</v>
      </c>
    </row>
    <row r="415" spans="2:3" ht="15.75" customHeight="1" x14ac:dyDescent="0.25">
      <c r="B415" s="67" t="e">
        <f t="shared" si="15"/>
        <v>#REF!</v>
      </c>
      <c r="C415" s="76" t="e">
        <f t="shared" si="16"/>
        <v>#REF!</v>
      </c>
    </row>
    <row r="416" spans="2:3" ht="15.75" customHeight="1" x14ac:dyDescent="0.25">
      <c r="B416" s="67" t="e">
        <f t="shared" si="15"/>
        <v>#REF!</v>
      </c>
      <c r="C416" s="76" t="e">
        <f t="shared" si="16"/>
        <v>#REF!</v>
      </c>
    </row>
    <row r="417" spans="2:3" ht="15.75" customHeight="1" x14ac:dyDescent="0.25">
      <c r="B417" s="67" t="e">
        <f t="shared" si="15"/>
        <v>#REF!</v>
      </c>
      <c r="C417" s="76" t="e">
        <f t="shared" si="16"/>
        <v>#REF!</v>
      </c>
    </row>
    <row r="418" spans="2:3" ht="15.75" customHeight="1" x14ac:dyDescent="0.25">
      <c r="B418" s="67" t="e">
        <f t="shared" si="15"/>
        <v>#REF!</v>
      </c>
      <c r="C418" s="76" t="e">
        <f t="shared" si="16"/>
        <v>#REF!</v>
      </c>
    </row>
    <row r="419" spans="2:3" ht="15.75" customHeight="1" x14ac:dyDescent="0.25">
      <c r="B419" s="67" t="e">
        <f t="shared" si="15"/>
        <v>#REF!</v>
      </c>
      <c r="C419" s="76" t="e">
        <f t="shared" si="16"/>
        <v>#REF!</v>
      </c>
    </row>
    <row r="420" spans="2:3" ht="15.75" customHeight="1" x14ac:dyDescent="0.25">
      <c r="B420" s="67" t="e">
        <f t="shared" si="15"/>
        <v>#REF!</v>
      </c>
      <c r="C420" s="76" t="e">
        <f t="shared" si="16"/>
        <v>#REF!</v>
      </c>
    </row>
    <row r="421" spans="2:3" ht="15.75" customHeight="1" x14ac:dyDescent="0.25">
      <c r="B421" s="67" t="e">
        <f t="shared" si="15"/>
        <v>#REF!</v>
      </c>
      <c r="C421" s="76" t="e">
        <f t="shared" si="16"/>
        <v>#REF!</v>
      </c>
    </row>
    <row r="422" spans="2:3" ht="15.75" customHeight="1" x14ac:dyDescent="0.25">
      <c r="B422" s="67" t="e">
        <f t="shared" si="15"/>
        <v>#REF!</v>
      </c>
      <c r="C422" s="76" t="e">
        <f t="shared" si="16"/>
        <v>#REF!</v>
      </c>
    </row>
    <row r="423" spans="2:3" ht="15.75" customHeight="1" x14ac:dyDescent="0.25">
      <c r="B423" s="67" t="e">
        <f t="shared" si="15"/>
        <v>#REF!</v>
      </c>
      <c r="C423" s="76" t="e">
        <f t="shared" si="16"/>
        <v>#REF!</v>
      </c>
    </row>
    <row r="424" spans="2:3" ht="15.75" customHeight="1" x14ac:dyDescent="0.25">
      <c r="B424" s="67" t="e">
        <f t="shared" si="15"/>
        <v>#REF!</v>
      </c>
      <c r="C424" s="76" t="e">
        <f t="shared" si="16"/>
        <v>#REF!</v>
      </c>
    </row>
    <row r="425" spans="2:3" ht="15.75" customHeight="1" x14ac:dyDescent="0.25">
      <c r="B425" s="67" t="e">
        <f t="shared" si="15"/>
        <v>#REF!</v>
      </c>
      <c r="C425" s="76" t="e">
        <f t="shared" si="16"/>
        <v>#REF!</v>
      </c>
    </row>
    <row r="426" spans="2:3" ht="15.75" customHeight="1" x14ac:dyDescent="0.25">
      <c r="B426" s="67" t="e">
        <f t="shared" si="15"/>
        <v>#REF!</v>
      </c>
      <c r="C426" s="76" t="e">
        <f t="shared" si="16"/>
        <v>#REF!</v>
      </c>
    </row>
    <row r="427" spans="2:3" ht="15.75" customHeight="1" x14ac:dyDescent="0.25">
      <c r="B427" s="67" t="e">
        <f t="shared" si="15"/>
        <v>#REF!</v>
      </c>
      <c r="C427" s="76" t="e">
        <f t="shared" si="16"/>
        <v>#REF!</v>
      </c>
    </row>
    <row r="428" spans="2:3" ht="15.75" customHeight="1" x14ac:dyDescent="0.25">
      <c r="B428" s="67" t="e">
        <f t="shared" si="15"/>
        <v>#REF!</v>
      </c>
      <c r="C428" s="76" t="e">
        <f t="shared" si="16"/>
        <v>#REF!</v>
      </c>
    </row>
    <row r="429" spans="2:3" ht="15.75" customHeight="1" x14ac:dyDescent="0.25">
      <c r="B429" s="67" t="e">
        <f t="shared" si="15"/>
        <v>#REF!</v>
      </c>
      <c r="C429" s="76" t="e">
        <f t="shared" si="16"/>
        <v>#REF!</v>
      </c>
    </row>
    <row r="430" spans="2:3" ht="15.75" customHeight="1" x14ac:dyDescent="0.25">
      <c r="B430" s="67" t="e">
        <f t="shared" si="15"/>
        <v>#REF!</v>
      </c>
      <c r="C430" s="76" t="e">
        <f t="shared" si="16"/>
        <v>#REF!</v>
      </c>
    </row>
    <row r="431" spans="2:3" ht="15.75" customHeight="1" x14ac:dyDescent="0.25">
      <c r="B431" s="67" t="e">
        <f t="shared" si="15"/>
        <v>#REF!</v>
      </c>
      <c r="C431" s="76" t="e">
        <f t="shared" si="16"/>
        <v>#REF!</v>
      </c>
    </row>
    <row r="432" spans="2:3" ht="15.75" customHeight="1" x14ac:dyDescent="0.25">
      <c r="B432" s="67" t="e">
        <f t="shared" si="15"/>
        <v>#REF!</v>
      </c>
      <c r="C432" s="76" t="e">
        <f t="shared" si="16"/>
        <v>#REF!</v>
      </c>
    </row>
    <row r="433" spans="2:3" ht="15.75" customHeight="1" x14ac:dyDescent="0.25">
      <c r="B433" s="67" t="e">
        <f t="shared" si="15"/>
        <v>#REF!</v>
      </c>
      <c r="C433" s="76" t="e">
        <f t="shared" si="16"/>
        <v>#REF!</v>
      </c>
    </row>
    <row r="434" spans="2:3" ht="15.75" customHeight="1" x14ac:dyDescent="0.25">
      <c r="B434" s="67" t="e">
        <f t="shared" si="15"/>
        <v>#REF!</v>
      </c>
      <c r="C434" s="76" t="e">
        <f t="shared" si="16"/>
        <v>#REF!</v>
      </c>
    </row>
    <row r="435" spans="2:3" ht="15.75" customHeight="1" x14ac:dyDescent="0.25">
      <c r="B435" s="67" t="e">
        <f t="shared" si="15"/>
        <v>#REF!</v>
      </c>
      <c r="C435" s="76" t="e">
        <f t="shared" si="16"/>
        <v>#REF!</v>
      </c>
    </row>
    <row r="436" spans="2:3" ht="15.75" customHeight="1" x14ac:dyDescent="0.25">
      <c r="B436" s="67" t="e">
        <f t="shared" si="15"/>
        <v>#REF!</v>
      </c>
      <c r="C436" s="76" t="e">
        <f t="shared" si="16"/>
        <v>#REF!</v>
      </c>
    </row>
    <row r="437" spans="2:3" ht="15.75" customHeight="1" x14ac:dyDescent="0.25">
      <c r="B437" s="67" t="e">
        <f t="shared" si="15"/>
        <v>#REF!</v>
      </c>
      <c r="C437" s="76" t="e">
        <f t="shared" si="16"/>
        <v>#REF!</v>
      </c>
    </row>
    <row r="438" spans="2:3" ht="15.75" customHeight="1" x14ac:dyDescent="0.25">
      <c r="B438" s="67" t="e">
        <f t="shared" si="15"/>
        <v>#REF!</v>
      </c>
      <c r="C438" s="76" t="e">
        <f t="shared" si="16"/>
        <v>#REF!</v>
      </c>
    </row>
    <row r="439" spans="2:3" ht="15.75" customHeight="1" x14ac:dyDescent="0.25">
      <c r="B439" s="67" t="e">
        <f t="shared" si="15"/>
        <v>#REF!</v>
      </c>
      <c r="C439" s="76" t="e">
        <f t="shared" si="16"/>
        <v>#REF!</v>
      </c>
    </row>
    <row r="440" spans="2:3" ht="15.75" customHeight="1" x14ac:dyDescent="0.25">
      <c r="B440" s="67" t="e">
        <f t="shared" si="15"/>
        <v>#REF!</v>
      </c>
      <c r="C440" s="76" t="e">
        <f t="shared" si="16"/>
        <v>#REF!</v>
      </c>
    </row>
    <row r="441" spans="2:3" ht="15.75" customHeight="1" x14ac:dyDescent="0.25">
      <c r="B441" s="67" t="e">
        <f t="shared" si="15"/>
        <v>#REF!</v>
      </c>
      <c r="C441" s="76" t="e">
        <f t="shared" si="16"/>
        <v>#REF!</v>
      </c>
    </row>
    <row r="442" spans="2:3" ht="15.75" customHeight="1" x14ac:dyDescent="0.25">
      <c r="B442" s="67" t="e">
        <f t="shared" si="15"/>
        <v>#REF!</v>
      </c>
      <c r="C442" s="76" t="e">
        <f t="shared" si="16"/>
        <v>#REF!</v>
      </c>
    </row>
    <row r="443" spans="2:3" ht="15.75" customHeight="1" x14ac:dyDescent="0.25">
      <c r="B443" s="67" t="e">
        <f t="shared" si="15"/>
        <v>#REF!</v>
      </c>
      <c r="C443" s="76" t="e">
        <f t="shared" si="16"/>
        <v>#REF!</v>
      </c>
    </row>
    <row r="444" spans="2:3" ht="15.75" customHeight="1" x14ac:dyDescent="0.25">
      <c r="B444" s="67" t="e">
        <f t="shared" si="15"/>
        <v>#REF!</v>
      </c>
      <c r="C444" s="76" t="e">
        <f t="shared" si="16"/>
        <v>#REF!</v>
      </c>
    </row>
    <row r="445" spans="2:3" ht="15.75" customHeight="1" x14ac:dyDescent="0.25">
      <c r="B445" s="67" t="e">
        <f t="shared" si="15"/>
        <v>#REF!</v>
      </c>
      <c r="C445" s="76" t="e">
        <f t="shared" si="16"/>
        <v>#REF!</v>
      </c>
    </row>
    <row r="446" spans="2:3" ht="15.75" customHeight="1" x14ac:dyDescent="0.25">
      <c r="B446" s="67" t="e">
        <f t="shared" si="15"/>
        <v>#REF!</v>
      </c>
      <c r="C446" s="76" t="e">
        <f t="shared" si="16"/>
        <v>#REF!</v>
      </c>
    </row>
    <row r="447" spans="2:3" ht="15.75" customHeight="1" x14ac:dyDescent="0.25">
      <c r="B447" s="67" t="e">
        <f t="shared" si="15"/>
        <v>#REF!</v>
      </c>
      <c r="C447" s="76" t="e">
        <f t="shared" si="16"/>
        <v>#REF!</v>
      </c>
    </row>
    <row r="448" spans="2:3" ht="15.75" customHeight="1" x14ac:dyDescent="0.25">
      <c r="B448" s="67" t="e">
        <f t="shared" si="15"/>
        <v>#REF!</v>
      </c>
      <c r="C448" s="76" t="e">
        <f t="shared" si="16"/>
        <v>#REF!</v>
      </c>
    </row>
    <row r="449" spans="2:3" ht="15.75" customHeight="1" x14ac:dyDescent="0.25">
      <c r="B449" s="67" t="e">
        <f t="shared" si="15"/>
        <v>#REF!</v>
      </c>
      <c r="C449" s="76" t="e">
        <f t="shared" si="16"/>
        <v>#REF!</v>
      </c>
    </row>
    <row r="450" spans="2:3" ht="15.75" customHeight="1" x14ac:dyDescent="0.25">
      <c r="B450" s="67" t="e">
        <f t="shared" si="15"/>
        <v>#REF!</v>
      </c>
      <c r="C450" s="76" t="e">
        <f t="shared" si="16"/>
        <v>#REF!</v>
      </c>
    </row>
    <row r="451" spans="2:3" ht="15.75" customHeight="1" x14ac:dyDescent="0.25">
      <c r="B451" s="67" t="e">
        <f t="shared" si="15"/>
        <v>#REF!</v>
      </c>
      <c r="C451" s="76" t="e">
        <f t="shared" si="16"/>
        <v>#REF!</v>
      </c>
    </row>
    <row r="452" spans="2:3" ht="15.75" customHeight="1" x14ac:dyDescent="0.25">
      <c r="B452" s="67" t="e">
        <f t="shared" si="15"/>
        <v>#REF!</v>
      </c>
      <c r="C452" s="76" t="e">
        <f t="shared" si="16"/>
        <v>#REF!</v>
      </c>
    </row>
    <row r="453" spans="2:3" ht="15.75" customHeight="1" x14ac:dyDescent="0.25">
      <c r="B453" s="67" t="e">
        <f t="shared" si="15"/>
        <v>#REF!</v>
      </c>
      <c r="C453" s="76" t="e">
        <f t="shared" si="16"/>
        <v>#REF!</v>
      </c>
    </row>
    <row r="454" spans="2:3" ht="15.75" customHeight="1" x14ac:dyDescent="0.25">
      <c r="B454" s="67" t="e">
        <f t="shared" si="15"/>
        <v>#REF!</v>
      </c>
      <c r="C454" s="76" t="e">
        <f t="shared" si="16"/>
        <v>#REF!</v>
      </c>
    </row>
    <row r="455" spans="2:3" ht="15.75" customHeight="1" x14ac:dyDescent="0.25">
      <c r="B455" s="67" t="e">
        <f t="shared" si="15"/>
        <v>#REF!</v>
      </c>
      <c r="C455" s="76" t="e">
        <f t="shared" si="16"/>
        <v>#REF!</v>
      </c>
    </row>
    <row r="456" spans="2:3" ht="15.75" customHeight="1" x14ac:dyDescent="0.25">
      <c r="B456" s="67" t="e">
        <f t="shared" si="15"/>
        <v>#REF!</v>
      </c>
      <c r="C456" s="76" t="e">
        <f t="shared" si="16"/>
        <v>#REF!</v>
      </c>
    </row>
    <row r="457" spans="2:3" ht="15.75" customHeight="1" x14ac:dyDescent="0.25">
      <c r="B457" s="67" t="e">
        <f t="shared" si="15"/>
        <v>#REF!</v>
      </c>
      <c r="C457" s="76" t="e">
        <f t="shared" si="16"/>
        <v>#REF!</v>
      </c>
    </row>
    <row r="458" spans="2:3" ht="15.75" customHeight="1" x14ac:dyDescent="0.25">
      <c r="B458" s="67" t="e">
        <f t="shared" si="15"/>
        <v>#REF!</v>
      </c>
      <c r="C458" s="76" t="e">
        <f t="shared" si="16"/>
        <v>#REF!</v>
      </c>
    </row>
    <row r="459" spans="2:3" ht="15.75" customHeight="1" x14ac:dyDescent="0.25">
      <c r="B459" s="67" t="e">
        <f t="shared" si="15"/>
        <v>#REF!</v>
      </c>
      <c r="C459" s="76" t="e">
        <f t="shared" si="16"/>
        <v>#REF!</v>
      </c>
    </row>
    <row r="460" spans="2:3" ht="15.75" customHeight="1" x14ac:dyDescent="0.25">
      <c r="B460" s="67" t="e">
        <f t="shared" si="15"/>
        <v>#REF!</v>
      </c>
      <c r="C460" s="76" t="e">
        <f t="shared" si="16"/>
        <v>#REF!</v>
      </c>
    </row>
    <row r="461" spans="2:3" ht="15.75" customHeight="1" x14ac:dyDescent="0.25">
      <c r="B461" s="67" t="e">
        <f t="shared" si="15"/>
        <v>#REF!</v>
      </c>
      <c r="C461" s="76" t="e">
        <f t="shared" si="16"/>
        <v>#REF!</v>
      </c>
    </row>
    <row r="462" spans="2:3" ht="15.75" customHeight="1" x14ac:dyDescent="0.25">
      <c r="B462" s="67" t="e">
        <f t="shared" si="15"/>
        <v>#REF!</v>
      </c>
      <c r="C462" s="76" t="e">
        <f t="shared" si="16"/>
        <v>#REF!</v>
      </c>
    </row>
    <row r="463" spans="2:3" ht="15.75" customHeight="1" x14ac:dyDescent="0.25">
      <c r="B463" s="67" t="e">
        <f t="shared" si="15"/>
        <v>#REF!</v>
      </c>
      <c r="C463" s="76" t="e">
        <f t="shared" si="16"/>
        <v>#REF!</v>
      </c>
    </row>
    <row r="464" spans="2:3" ht="15.75" customHeight="1" x14ac:dyDescent="0.25">
      <c r="B464" s="67" t="e">
        <f t="shared" si="15"/>
        <v>#REF!</v>
      </c>
      <c r="C464" s="76" t="e">
        <f t="shared" si="16"/>
        <v>#REF!</v>
      </c>
    </row>
    <row r="465" spans="2:3" ht="15.75" customHeight="1" x14ac:dyDescent="0.25">
      <c r="B465" s="67" t="e">
        <f t="shared" si="15"/>
        <v>#REF!</v>
      </c>
      <c r="C465" s="76" t="e">
        <f t="shared" si="16"/>
        <v>#REF!</v>
      </c>
    </row>
    <row r="466" spans="2:3" ht="15.75" customHeight="1" x14ac:dyDescent="0.25">
      <c r="B466" s="67" t="e">
        <f t="shared" si="15"/>
        <v>#REF!</v>
      </c>
      <c r="C466" s="76" t="e">
        <f t="shared" si="16"/>
        <v>#REF!</v>
      </c>
    </row>
    <row r="467" spans="2:3" ht="15.75" customHeight="1" x14ac:dyDescent="0.25">
      <c r="B467" s="67" t="e">
        <f t="shared" si="15"/>
        <v>#REF!</v>
      </c>
      <c r="C467" s="76" t="e">
        <f t="shared" si="16"/>
        <v>#REF!</v>
      </c>
    </row>
    <row r="468" spans="2:3" ht="15.75" customHeight="1" x14ac:dyDescent="0.25">
      <c r="B468" s="67" t="e">
        <f t="shared" si="15"/>
        <v>#REF!</v>
      </c>
      <c r="C468" s="76" t="e">
        <f t="shared" si="16"/>
        <v>#REF!</v>
      </c>
    </row>
    <row r="469" spans="2:3" ht="15.75" customHeight="1" x14ac:dyDescent="0.25">
      <c r="B469" s="67" t="e">
        <f t="shared" si="15"/>
        <v>#REF!</v>
      </c>
      <c r="C469" s="76" t="e">
        <f t="shared" si="16"/>
        <v>#REF!</v>
      </c>
    </row>
    <row r="470" spans="2:3" ht="15.75" customHeight="1" x14ac:dyDescent="0.25">
      <c r="B470" s="67" t="e">
        <f t="shared" si="15"/>
        <v>#REF!</v>
      </c>
      <c r="C470" s="76" t="e">
        <f t="shared" si="16"/>
        <v>#REF!</v>
      </c>
    </row>
    <row r="471" spans="2:3" ht="15.75" customHeight="1" x14ac:dyDescent="0.25">
      <c r="B471" s="67" t="e">
        <f t="shared" si="15"/>
        <v>#REF!</v>
      </c>
      <c r="C471" s="76" t="e">
        <f t="shared" si="16"/>
        <v>#REF!</v>
      </c>
    </row>
    <row r="472" spans="2:3" ht="15.75" customHeight="1" x14ac:dyDescent="0.25">
      <c r="B472" s="67" t="e">
        <f t="shared" si="15"/>
        <v>#REF!</v>
      </c>
      <c r="C472" s="76" t="e">
        <f t="shared" si="16"/>
        <v>#REF!</v>
      </c>
    </row>
    <row r="473" spans="2:3" ht="15.75" customHeight="1" x14ac:dyDescent="0.25">
      <c r="B473" s="67" t="e">
        <f t="shared" si="15"/>
        <v>#REF!</v>
      </c>
      <c r="C473" s="76" t="e">
        <f t="shared" si="16"/>
        <v>#REF!</v>
      </c>
    </row>
    <row r="474" spans="2:3" ht="15.75" customHeight="1" x14ac:dyDescent="0.25">
      <c r="B474" s="67" t="e">
        <f t="shared" si="15"/>
        <v>#REF!</v>
      </c>
      <c r="C474" s="76" t="e">
        <f t="shared" si="16"/>
        <v>#REF!</v>
      </c>
    </row>
    <row r="475" spans="2:3" ht="15.75" customHeight="1" x14ac:dyDescent="0.25">
      <c r="B475" s="67" t="e">
        <f t="shared" si="15"/>
        <v>#REF!</v>
      </c>
      <c r="C475" s="76" t="e">
        <f t="shared" si="16"/>
        <v>#REF!</v>
      </c>
    </row>
    <row r="476" spans="2:3" ht="15.75" customHeight="1" x14ac:dyDescent="0.25">
      <c r="B476" s="67" t="e">
        <f t="shared" si="15"/>
        <v>#REF!</v>
      </c>
      <c r="C476" s="76" t="e">
        <f t="shared" si="16"/>
        <v>#REF!</v>
      </c>
    </row>
    <row r="477" spans="2:3" ht="15.75" customHeight="1" x14ac:dyDescent="0.25">
      <c r="B477" s="67" t="e">
        <f t="shared" ref="B477:B511" si="17">IF(B476="","",IF(B476+$C$9&lt;=$C$5,B476+$C$9,""))</f>
        <v>#REF!</v>
      </c>
      <c r="C477" s="76" t="e">
        <f t="shared" ref="C477:C511" si="18">IF(B477&lt;&gt;"",C476-$C$2/COUNT($B$17:$B$510),"")</f>
        <v>#REF!</v>
      </c>
    </row>
    <row r="478" spans="2:3" ht="15.75" customHeight="1" x14ac:dyDescent="0.25">
      <c r="B478" s="67" t="e">
        <f t="shared" si="17"/>
        <v>#REF!</v>
      </c>
      <c r="C478" s="76" t="e">
        <f t="shared" si="18"/>
        <v>#REF!</v>
      </c>
    </row>
    <row r="479" spans="2:3" ht="15.75" customHeight="1" x14ac:dyDescent="0.25">
      <c r="B479" s="67" t="e">
        <f t="shared" si="17"/>
        <v>#REF!</v>
      </c>
      <c r="C479" s="76" t="e">
        <f t="shared" si="18"/>
        <v>#REF!</v>
      </c>
    </row>
    <row r="480" spans="2:3" ht="15.75" customHeight="1" x14ac:dyDescent="0.25">
      <c r="B480" s="67" t="e">
        <f t="shared" si="17"/>
        <v>#REF!</v>
      </c>
      <c r="C480" s="76" t="e">
        <f t="shared" si="18"/>
        <v>#REF!</v>
      </c>
    </row>
    <row r="481" spans="2:3" ht="15.75" customHeight="1" x14ac:dyDescent="0.25">
      <c r="B481" s="67" t="e">
        <f t="shared" si="17"/>
        <v>#REF!</v>
      </c>
      <c r="C481" s="76" t="e">
        <f t="shared" si="18"/>
        <v>#REF!</v>
      </c>
    </row>
    <row r="482" spans="2:3" ht="15.75" customHeight="1" x14ac:dyDescent="0.25">
      <c r="B482" s="67" t="e">
        <f t="shared" si="17"/>
        <v>#REF!</v>
      </c>
      <c r="C482" s="76" t="e">
        <f t="shared" si="18"/>
        <v>#REF!</v>
      </c>
    </row>
    <row r="483" spans="2:3" ht="15.75" customHeight="1" x14ac:dyDescent="0.25">
      <c r="B483" s="67" t="e">
        <f t="shared" si="17"/>
        <v>#REF!</v>
      </c>
      <c r="C483" s="76" t="e">
        <f t="shared" si="18"/>
        <v>#REF!</v>
      </c>
    </row>
    <row r="484" spans="2:3" ht="15.75" customHeight="1" x14ac:dyDescent="0.25">
      <c r="B484" s="67" t="e">
        <f t="shared" si="17"/>
        <v>#REF!</v>
      </c>
      <c r="C484" s="76" t="e">
        <f t="shared" si="18"/>
        <v>#REF!</v>
      </c>
    </row>
    <row r="485" spans="2:3" ht="15.75" customHeight="1" x14ac:dyDescent="0.25">
      <c r="B485" s="67" t="e">
        <f t="shared" si="17"/>
        <v>#REF!</v>
      </c>
      <c r="C485" s="76" t="e">
        <f t="shared" si="18"/>
        <v>#REF!</v>
      </c>
    </row>
    <row r="486" spans="2:3" ht="15.75" customHeight="1" x14ac:dyDescent="0.25">
      <c r="B486" s="67" t="e">
        <f t="shared" si="17"/>
        <v>#REF!</v>
      </c>
      <c r="C486" s="76" t="e">
        <f t="shared" si="18"/>
        <v>#REF!</v>
      </c>
    </row>
    <row r="487" spans="2:3" ht="15.75" customHeight="1" x14ac:dyDescent="0.25">
      <c r="B487" s="67" t="e">
        <f t="shared" si="17"/>
        <v>#REF!</v>
      </c>
      <c r="C487" s="76" t="e">
        <f t="shared" si="18"/>
        <v>#REF!</v>
      </c>
    </row>
    <row r="488" spans="2:3" ht="15.75" customHeight="1" x14ac:dyDescent="0.25">
      <c r="B488" s="67" t="e">
        <f t="shared" si="17"/>
        <v>#REF!</v>
      </c>
      <c r="C488" s="76" t="e">
        <f t="shared" si="18"/>
        <v>#REF!</v>
      </c>
    </row>
    <row r="489" spans="2:3" ht="15.75" customHeight="1" x14ac:dyDescent="0.25">
      <c r="B489" s="67" t="e">
        <f t="shared" si="17"/>
        <v>#REF!</v>
      </c>
      <c r="C489" s="76" t="e">
        <f t="shared" si="18"/>
        <v>#REF!</v>
      </c>
    </row>
    <row r="490" spans="2:3" ht="15.75" customHeight="1" x14ac:dyDescent="0.25">
      <c r="B490" s="67" t="e">
        <f t="shared" si="17"/>
        <v>#REF!</v>
      </c>
      <c r="C490" s="76" t="e">
        <f t="shared" si="18"/>
        <v>#REF!</v>
      </c>
    </row>
    <row r="491" spans="2:3" ht="15.75" customHeight="1" x14ac:dyDescent="0.25">
      <c r="B491" s="67" t="e">
        <f t="shared" si="17"/>
        <v>#REF!</v>
      </c>
      <c r="C491" s="76" t="e">
        <f t="shared" si="18"/>
        <v>#REF!</v>
      </c>
    </row>
    <row r="492" spans="2:3" ht="15.75" customHeight="1" x14ac:dyDescent="0.25">
      <c r="B492" s="67" t="e">
        <f t="shared" si="17"/>
        <v>#REF!</v>
      </c>
      <c r="C492" s="76" t="e">
        <f t="shared" si="18"/>
        <v>#REF!</v>
      </c>
    </row>
    <row r="493" spans="2:3" ht="15.75" customHeight="1" x14ac:dyDescent="0.25">
      <c r="B493" s="67" t="e">
        <f t="shared" si="17"/>
        <v>#REF!</v>
      </c>
      <c r="C493" s="76" t="e">
        <f t="shared" si="18"/>
        <v>#REF!</v>
      </c>
    </row>
    <row r="494" spans="2:3" ht="15.75" customHeight="1" x14ac:dyDescent="0.25">
      <c r="B494" s="67" t="e">
        <f t="shared" si="17"/>
        <v>#REF!</v>
      </c>
      <c r="C494" s="76" t="e">
        <f t="shared" si="18"/>
        <v>#REF!</v>
      </c>
    </row>
    <row r="495" spans="2:3" ht="15.75" customHeight="1" x14ac:dyDescent="0.25">
      <c r="B495" s="67" t="e">
        <f t="shared" si="17"/>
        <v>#REF!</v>
      </c>
      <c r="C495" s="76" t="e">
        <f t="shared" si="18"/>
        <v>#REF!</v>
      </c>
    </row>
    <row r="496" spans="2:3" ht="15.75" customHeight="1" x14ac:dyDescent="0.25">
      <c r="B496" s="67" t="e">
        <f t="shared" si="17"/>
        <v>#REF!</v>
      </c>
      <c r="C496" s="76" t="e">
        <f t="shared" si="18"/>
        <v>#REF!</v>
      </c>
    </row>
    <row r="497" spans="2:3" ht="15.75" customHeight="1" x14ac:dyDescent="0.25">
      <c r="B497" s="67" t="e">
        <f t="shared" si="17"/>
        <v>#REF!</v>
      </c>
      <c r="C497" s="76" t="e">
        <f t="shared" si="18"/>
        <v>#REF!</v>
      </c>
    </row>
    <row r="498" spans="2:3" ht="15.75" customHeight="1" x14ac:dyDescent="0.25">
      <c r="B498" s="67" t="e">
        <f t="shared" si="17"/>
        <v>#REF!</v>
      </c>
      <c r="C498" s="76" t="e">
        <f t="shared" si="18"/>
        <v>#REF!</v>
      </c>
    </row>
    <row r="499" spans="2:3" ht="15.75" customHeight="1" x14ac:dyDescent="0.25">
      <c r="B499" s="67" t="e">
        <f t="shared" si="17"/>
        <v>#REF!</v>
      </c>
      <c r="C499" s="76" t="e">
        <f t="shared" si="18"/>
        <v>#REF!</v>
      </c>
    </row>
    <row r="500" spans="2:3" ht="15.75" customHeight="1" x14ac:dyDescent="0.25">
      <c r="B500" s="67" t="e">
        <f t="shared" si="17"/>
        <v>#REF!</v>
      </c>
      <c r="C500" s="76" t="e">
        <f t="shared" si="18"/>
        <v>#REF!</v>
      </c>
    </row>
    <row r="501" spans="2:3" ht="15.75" customHeight="1" x14ac:dyDescent="0.25">
      <c r="B501" s="67" t="e">
        <f t="shared" si="17"/>
        <v>#REF!</v>
      </c>
      <c r="C501" s="76" t="e">
        <f t="shared" si="18"/>
        <v>#REF!</v>
      </c>
    </row>
    <row r="502" spans="2:3" ht="15.75" customHeight="1" x14ac:dyDescent="0.25">
      <c r="B502" s="67" t="e">
        <f t="shared" si="17"/>
        <v>#REF!</v>
      </c>
      <c r="C502" s="76" t="e">
        <f t="shared" si="18"/>
        <v>#REF!</v>
      </c>
    </row>
    <row r="503" spans="2:3" ht="15.75" customHeight="1" x14ac:dyDescent="0.25">
      <c r="B503" s="67" t="e">
        <f t="shared" si="17"/>
        <v>#REF!</v>
      </c>
      <c r="C503" s="76" t="e">
        <f t="shared" si="18"/>
        <v>#REF!</v>
      </c>
    </row>
    <row r="504" spans="2:3" ht="15.75" customHeight="1" x14ac:dyDescent="0.25">
      <c r="B504" s="67" t="e">
        <f t="shared" si="17"/>
        <v>#REF!</v>
      </c>
      <c r="C504" s="76" t="e">
        <f t="shared" si="18"/>
        <v>#REF!</v>
      </c>
    </row>
    <row r="505" spans="2:3" ht="15.75" customHeight="1" x14ac:dyDescent="0.25">
      <c r="B505" s="67" t="e">
        <f t="shared" si="17"/>
        <v>#REF!</v>
      </c>
      <c r="C505" s="76" t="e">
        <f t="shared" si="18"/>
        <v>#REF!</v>
      </c>
    </row>
    <row r="506" spans="2:3" ht="15.75" customHeight="1" x14ac:dyDescent="0.25">
      <c r="B506" s="67" t="e">
        <f t="shared" si="17"/>
        <v>#REF!</v>
      </c>
      <c r="C506" s="76" t="e">
        <f t="shared" si="18"/>
        <v>#REF!</v>
      </c>
    </row>
    <row r="507" spans="2:3" ht="15.75" customHeight="1" x14ac:dyDescent="0.25">
      <c r="B507" s="67" t="e">
        <f t="shared" si="17"/>
        <v>#REF!</v>
      </c>
      <c r="C507" s="76" t="e">
        <f t="shared" si="18"/>
        <v>#REF!</v>
      </c>
    </row>
    <row r="508" spans="2:3" ht="15.75" customHeight="1" x14ac:dyDescent="0.25">
      <c r="B508" s="67" t="e">
        <f t="shared" si="17"/>
        <v>#REF!</v>
      </c>
      <c r="C508" s="76" t="e">
        <f t="shared" si="18"/>
        <v>#REF!</v>
      </c>
    </row>
    <row r="509" spans="2:3" ht="15.75" customHeight="1" x14ac:dyDescent="0.25">
      <c r="B509" s="67" t="e">
        <f t="shared" si="17"/>
        <v>#REF!</v>
      </c>
      <c r="C509" s="76" t="e">
        <f t="shared" si="18"/>
        <v>#REF!</v>
      </c>
    </row>
    <row r="510" spans="2:3" ht="15.75" customHeight="1" x14ac:dyDescent="0.25">
      <c r="B510" s="67" t="e">
        <f t="shared" si="17"/>
        <v>#REF!</v>
      </c>
      <c r="C510" s="76" t="e">
        <f t="shared" si="18"/>
        <v>#REF!</v>
      </c>
    </row>
    <row r="511" spans="2:3" ht="15.75" customHeight="1" x14ac:dyDescent="0.25">
      <c r="B511" s="67" t="e">
        <f t="shared" si="17"/>
        <v>#REF!</v>
      </c>
      <c r="C511" s="76" t="e">
        <f t="shared" si="18"/>
        <v>#REF!</v>
      </c>
    </row>
  </sheetData>
  <mergeCells count="3">
    <mergeCell ref="A1:K1"/>
    <mergeCell ref="B12:F12"/>
    <mergeCell ref="G12:L12"/>
  </mergeCells>
  <conditionalFormatting sqref="A17:K17">
    <cfRule type="expression" dxfId="119" priority="6">
      <formula>AND(TODAY()&gt;=$B17,TODAY()&lt;$B18)</formula>
    </cfRule>
  </conditionalFormatting>
  <conditionalFormatting sqref="A14:L14">
    <cfRule type="expression" dxfId="118" priority="8">
      <formula>AND(TODAY()&gt;=$B$14,TODAY()&lt;$B$15)</formula>
    </cfRule>
  </conditionalFormatting>
  <conditionalFormatting sqref="A15:L16">
    <cfRule type="expression" dxfId="117" priority="7">
      <formula>AND(TODAY()&gt;=$B15,TODAY()&lt;$B16)</formula>
    </cfRule>
  </conditionalFormatting>
  <conditionalFormatting sqref="A18:L18 A19:I21 A22:K23 A24:L54">
    <cfRule type="expression" dxfId="116" priority="5">
      <formula>AND(TODAY()&gt;=$B18,TODAY()&lt;$B19)</formula>
    </cfRule>
  </conditionalFormatting>
  <conditionalFormatting sqref="B14:B54">
    <cfRule type="cellIs" dxfId="115" priority="4" operator="greaterThan">
      <formula>$C$5</formula>
    </cfRule>
  </conditionalFormatting>
  <conditionalFormatting sqref="J19:L21">
    <cfRule type="expression" dxfId="114" priority="2">
      <formula>AND(TODAY()&gt;=$B19,TODAY()&lt;$B20)</formula>
    </cfRule>
  </conditionalFormatting>
  <conditionalFormatting sqref="L17">
    <cfRule type="expression" dxfId="113" priority="3">
      <formula>AND(TODAY()&gt;=$B17,TODAY()&lt;$B18)</formula>
    </cfRule>
  </conditionalFormatting>
  <conditionalFormatting sqref="L22:L23">
    <cfRule type="expression" dxfId="112" priority="1">
      <formula>AND(TODAY()&gt;=$B22,TODAY()&lt;$B23)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093A-0FA0-4F40-844F-55AE03F9851D}">
  <sheetPr>
    <tabColor theme="9" tint="0.59999389629810485"/>
  </sheetPr>
  <dimension ref="A1:L511"/>
  <sheetViews>
    <sheetView workbookViewId="0">
      <selection sqref="A1:K1"/>
    </sheetView>
  </sheetViews>
  <sheetFormatPr defaultColWidth="12.625" defaultRowHeight="15" customHeight="1" x14ac:dyDescent="0.45"/>
  <cols>
    <col min="1" max="1" width="22.375" style="23" bestFit="1" customWidth="1"/>
    <col min="2" max="2" width="29.875" style="23" bestFit="1" customWidth="1"/>
    <col min="3" max="3" width="12.625" style="23" customWidth="1"/>
    <col min="4" max="4" width="21.75" style="23" bestFit="1" customWidth="1"/>
    <col min="5" max="5" width="16.125" style="23" customWidth="1"/>
    <col min="6" max="7" width="12.625" style="23" customWidth="1"/>
    <col min="8" max="8" width="15.625" style="23" customWidth="1"/>
    <col min="9" max="9" width="12.625" style="23" customWidth="1"/>
    <col min="10" max="10" width="12.625" style="23" bestFit="1" customWidth="1"/>
    <col min="11" max="11" width="9" style="23"/>
    <col min="12" max="12" width="32.25" style="23" customWidth="1"/>
    <col min="13" max="16384" width="12.625" style="23"/>
  </cols>
  <sheetData>
    <row r="1" spans="1:12" ht="45" customHeight="1" x14ac:dyDescent="0.45">
      <c r="A1" s="154" t="s">
        <v>2531</v>
      </c>
      <c r="B1" s="155"/>
      <c r="C1" s="155"/>
      <c r="D1" s="155"/>
      <c r="E1" s="155"/>
      <c r="F1" s="155"/>
      <c r="G1" s="155"/>
      <c r="H1" s="155"/>
      <c r="I1" s="155"/>
      <c r="J1" s="155"/>
      <c r="K1" s="156"/>
      <c r="L1" s="56"/>
    </row>
    <row r="2" spans="1:12" ht="15.75" customHeight="1" x14ac:dyDescent="0.45">
      <c r="A2" s="40"/>
      <c r="B2" s="62" t="s">
        <v>21</v>
      </c>
      <c r="C2" s="38">
        <v>1</v>
      </c>
      <c r="D2" s="42" t="s">
        <v>22</v>
      </c>
      <c r="E2" s="41" t="s">
        <v>23</v>
      </c>
      <c r="F2" s="35"/>
      <c r="G2" s="24"/>
      <c r="H2" s="24"/>
      <c r="I2" s="24"/>
      <c r="J2" s="24"/>
      <c r="K2" s="24"/>
      <c r="L2" s="55"/>
    </row>
    <row r="3" spans="1:12" ht="15.75" customHeight="1" x14ac:dyDescent="0.45">
      <c r="A3" s="39"/>
      <c r="B3" s="89" t="s">
        <v>24</v>
      </c>
      <c r="C3" s="27">
        <v>3</v>
      </c>
      <c r="D3" s="42" t="s">
        <v>25</v>
      </c>
      <c r="E3" s="41" t="s">
        <v>26</v>
      </c>
      <c r="F3" s="35"/>
      <c r="G3" s="24"/>
      <c r="H3" s="24"/>
      <c r="I3" s="24"/>
      <c r="J3" s="24"/>
      <c r="K3" s="24"/>
      <c r="L3" s="55"/>
    </row>
    <row r="4" spans="1:12" ht="15.75" customHeight="1" x14ac:dyDescent="0.45">
      <c r="A4" s="39"/>
      <c r="B4" s="64" t="s">
        <v>27</v>
      </c>
      <c r="C4" s="32">
        <v>45971</v>
      </c>
      <c r="D4" s="42" t="s">
        <v>28</v>
      </c>
      <c r="E4" s="43"/>
      <c r="F4" s="24"/>
      <c r="G4" s="24"/>
      <c r="H4" s="24"/>
      <c r="I4" s="24"/>
      <c r="J4" s="24"/>
      <c r="K4" s="24"/>
      <c r="L4" s="55"/>
    </row>
    <row r="5" spans="1:12" ht="15.75" customHeight="1" x14ac:dyDescent="0.45">
      <c r="A5" s="39"/>
      <c r="B5" s="64" t="s">
        <v>29</v>
      </c>
      <c r="C5" s="32">
        <v>46014</v>
      </c>
      <c r="D5" s="42" t="s">
        <v>30</v>
      </c>
      <c r="E5" s="43"/>
      <c r="F5" s="24"/>
      <c r="G5" s="24"/>
      <c r="H5" s="24"/>
      <c r="I5" s="24"/>
      <c r="J5" s="24"/>
      <c r="K5" s="24"/>
      <c r="L5" s="24"/>
    </row>
    <row r="6" spans="1:12" ht="15.75" customHeight="1" x14ac:dyDescent="0.45">
      <c r="A6" s="39"/>
      <c r="B6" s="63" t="s">
        <v>31</v>
      </c>
      <c r="C6" s="27">
        <v>1</v>
      </c>
      <c r="D6" s="42" t="s">
        <v>32</v>
      </c>
      <c r="E6" s="41" t="s">
        <v>33</v>
      </c>
      <c r="F6" s="35"/>
      <c r="G6" s="24"/>
      <c r="H6" s="24"/>
      <c r="I6" s="24"/>
      <c r="J6" s="24"/>
      <c r="K6" s="24"/>
      <c r="L6" s="24"/>
    </row>
    <row r="7" spans="1:12" ht="15.75" customHeight="1" x14ac:dyDescent="0.45">
      <c r="A7" s="39"/>
      <c r="B7" s="63" t="s">
        <v>34</v>
      </c>
      <c r="C7" s="27">
        <v>1</v>
      </c>
      <c r="D7" s="42" t="s">
        <v>32</v>
      </c>
      <c r="E7" s="41" t="s">
        <v>33</v>
      </c>
      <c r="F7" s="35"/>
      <c r="G7" s="24"/>
      <c r="H7" s="24"/>
      <c r="I7" s="24"/>
      <c r="J7" s="24"/>
      <c r="K7" s="24"/>
      <c r="L7" s="24"/>
    </row>
    <row r="8" spans="1:12" ht="15.75" customHeight="1" x14ac:dyDescent="0.45">
      <c r="A8" s="39"/>
      <c r="B8" s="64" t="s">
        <v>35</v>
      </c>
      <c r="C8" s="34">
        <v>30</v>
      </c>
      <c r="D8" s="42" t="s">
        <v>32</v>
      </c>
      <c r="E8" s="43"/>
      <c r="F8" s="24"/>
      <c r="G8" s="24"/>
      <c r="H8" s="24"/>
      <c r="I8" s="24"/>
      <c r="J8" s="24"/>
      <c r="K8" s="24"/>
      <c r="L8" s="24"/>
    </row>
    <row r="9" spans="1:12" ht="15.75" customHeight="1" x14ac:dyDescent="0.45">
      <c r="A9" s="39"/>
      <c r="B9" s="64" t="s">
        <v>36</v>
      </c>
      <c r="C9" s="33">
        <v>7</v>
      </c>
      <c r="D9" s="42" t="s">
        <v>37</v>
      </c>
      <c r="E9" s="43"/>
      <c r="F9" s="24"/>
      <c r="G9" s="24"/>
      <c r="H9" s="24"/>
      <c r="I9" s="24"/>
      <c r="J9" s="24"/>
      <c r="K9" s="24"/>
      <c r="L9" s="24"/>
    </row>
    <row r="10" spans="1:12" ht="15.6" customHeight="1" x14ac:dyDescent="0.45">
      <c r="B10" s="22"/>
      <c r="D10" s="22"/>
      <c r="E10" s="24"/>
      <c r="F10" s="24"/>
      <c r="G10" s="24"/>
      <c r="H10" s="24"/>
      <c r="I10" s="24"/>
      <c r="J10" s="24"/>
      <c r="K10" s="24"/>
      <c r="L10" s="24"/>
    </row>
    <row r="11" spans="1:12" ht="115.5" x14ac:dyDescent="0.45">
      <c r="A11" s="88"/>
      <c r="B11" s="61" t="s">
        <v>38</v>
      </c>
      <c r="C11" s="60" t="s">
        <v>39</v>
      </c>
      <c r="D11" s="60" t="s">
        <v>40</v>
      </c>
      <c r="E11" s="60" t="s">
        <v>41</v>
      </c>
      <c r="F11" s="60" t="s">
        <v>42</v>
      </c>
      <c r="G11" s="60" t="s">
        <v>43</v>
      </c>
      <c r="H11" s="60" t="s">
        <v>44</v>
      </c>
      <c r="I11" s="60" t="s">
        <v>45</v>
      </c>
      <c r="J11" s="60" t="s">
        <v>46</v>
      </c>
      <c r="K11" s="60" t="s">
        <v>47</v>
      </c>
      <c r="L11" s="60" t="s">
        <v>48</v>
      </c>
    </row>
    <row r="12" spans="1:12" ht="19.5" x14ac:dyDescent="0.45">
      <c r="A12" s="90"/>
      <c r="B12" s="157" t="s">
        <v>49</v>
      </c>
      <c r="C12" s="158"/>
      <c r="D12" s="158"/>
      <c r="E12" s="158"/>
      <c r="F12" s="159"/>
      <c r="G12" s="160" t="s">
        <v>50</v>
      </c>
      <c r="H12" s="161"/>
      <c r="I12" s="161"/>
      <c r="J12" s="161"/>
      <c r="K12" s="161"/>
      <c r="L12" s="161"/>
    </row>
    <row r="13" spans="1:12" ht="31.5" customHeight="1" x14ac:dyDescent="0.45">
      <c r="A13" s="37" t="s">
        <v>51</v>
      </c>
      <c r="B13" s="26" t="s">
        <v>52</v>
      </c>
      <c r="C13" s="30" t="s">
        <v>53</v>
      </c>
      <c r="D13" s="30" t="s">
        <v>54</v>
      </c>
      <c r="E13" s="30" t="s">
        <v>55</v>
      </c>
      <c r="F13" s="58" t="s">
        <v>56</v>
      </c>
      <c r="G13" s="36" t="s">
        <v>57</v>
      </c>
      <c r="H13" s="47" t="s">
        <v>58</v>
      </c>
      <c r="I13" s="31" t="s">
        <v>59</v>
      </c>
      <c r="J13" s="49" t="s">
        <v>60</v>
      </c>
      <c r="K13" s="57" t="s">
        <v>61</v>
      </c>
      <c r="L13" s="77" t="s">
        <v>62</v>
      </c>
    </row>
    <row r="14" spans="1:12" ht="15.75" customHeight="1" x14ac:dyDescent="0.45">
      <c r="A14" s="73" t="s">
        <v>2532</v>
      </c>
      <c r="B14" s="66">
        <f>$C$4</f>
        <v>45971</v>
      </c>
      <c r="C14" s="79">
        <f>$C$3</f>
        <v>3</v>
      </c>
      <c r="D14" s="79">
        <f>$C$3</f>
        <v>3</v>
      </c>
      <c r="E14" s="79">
        <f>$C$3</f>
        <v>3</v>
      </c>
      <c r="F14" s="80"/>
      <c r="G14" s="81">
        <v>2</v>
      </c>
      <c r="H14" s="81">
        <v>0</v>
      </c>
      <c r="I14" s="82">
        <v>0</v>
      </c>
      <c r="J14" s="83">
        <v>0</v>
      </c>
      <c r="K14" s="84">
        <v>1</v>
      </c>
      <c r="L14" s="111" t="s">
        <v>2533</v>
      </c>
    </row>
    <row r="15" spans="1:12" ht="15.75" customHeight="1" x14ac:dyDescent="0.45">
      <c r="A15" s="73" t="s">
        <v>2534</v>
      </c>
      <c r="B15" s="66">
        <f t="shared" ref="B15:B54" si="0">B14+$C$9</f>
        <v>45978</v>
      </c>
      <c r="C15" s="79">
        <f>IF(OR(C14="",C14=0),"",IF(ISBLANK($J14),IF(C14+$K14+$I14-$C$6&lt;=0,IF(AND(C14&gt;0,C14&lt;&gt;""),0,""),C14+$K14+$I14-$C$6),IF((C14-$J14)+$K14+$I14&lt;=0,IF(AND(C14&gt;0,C14&lt;&gt;""),0,""),(C14-$J14)+$K14+$I14)))</f>
        <v>4</v>
      </c>
      <c r="D15" s="79">
        <f t="shared" ref="D15:D54" si="1">IF(OR(D14="",D14=0),"",IF(ISBLANK($J14),IF(D14+$K14+$I14-$C$7&lt;=0,IF(AND(D14&gt;0,D14&lt;&gt;""),0,""),D14+$K14+$I14-$C$7),IF((D14-$J14)+$K14+$I14&lt;=0,IF(AND(D14&gt;0,D14&lt;&gt;""),0,""),(D14-$J14)+$K14+$I14)))</f>
        <v>4</v>
      </c>
      <c r="E15" s="79">
        <f t="shared" ref="E15:E54" si="2">IF(OR(E14="",E14=0),"",IF(ISBLANK($J14),IF(E14+$K14+$I14-$C$8&lt;=0,IF(AND(E14&gt;0,E14&lt;&gt;""),0,""),E14+$K14+$I14-$C$8),IF((E14-$J14)+$K14+$I14&lt;=0,IF(AND(E14&gt;0,E14&lt;&gt;""),0,""),(E14-$J14)+$K14+$I14)))</f>
        <v>4</v>
      </c>
      <c r="F15" s="80">
        <f>IF(J14="","",IF(G14+F14+H14+I14-J14&lt;0,0,G14+F14+H14+I14-J14))</f>
        <v>2</v>
      </c>
      <c r="G15" s="81">
        <v>0</v>
      </c>
      <c r="H15" s="81">
        <v>0</v>
      </c>
      <c r="I15" s="82">
        <v>0</v>
      </c>
      <c r="J15" s="83">
        <v>0</v>
      </c>
      <c r="K15" s="84">
        <v>13</v>
      </c>
      <c r="L15" s="111" t="s">
        <v>2535</v>
      </c>
    </row>
    <row r="16" spans="1:12" ht="15.75" customHeight="1" x14ac:dyDescent="0.45">
      <c r="A16" s="73" t="s">
        <v>2536</v>
      </c>
      <c r="B16" s="66">
        <f t="shared" si="0"/>
        <v>45985</v>
      </c>
      <c r="C16" s="85">
        <f t="shared" ref="C16:C54" si="3">IF(OR(C15="",C15=0),"",IF(ISBLANK(J15),IF(C15+K15+I15-$C$6&lt;=0,IF(AND(C15&gt;0,C15&lt;&gt;""),0,""),C15+K15+I15-$C$6),IF((C15-J15)+K15+I15&lt;=0,IF(AND(C15&gt;0,C15&lt;&gt;""),0,""),(C15-J15)+K15+I15)))</f>
        <v>17</v>
      </c>
      <c r="D16" s="85">
        <f t="shared" si="1"/>
        <v>17</v>
      </c>
      <c r="E16" s="85">
        <f t="shared" si="2"/>
        <v>17</v>
      </c>
      <c r="F16" s="80">
        <f t="shared" ref="F16:F54" si="4">IF(J15="","",IF(G15+F15+H15+I15-J15&lt;0,0,G15+F15+H15+I15-J15))</f>
        <v>2</v>
      </c>
      <c r="G16" s="81">
        <v>0</v>
      </c>
      <c r="H16" s="81">
        <v>1</v>
      </c>
      <c r="I16" s="82">
        <v>0</v>
      </c>
      <c r="J16" s="83">
        <v>0</v>
      </c>
      <c r="K16" s="84"/>
      <c r="L16" s="86"/>
    </row>
    <row r="17" spans="1:12" ht="15.75" customHeight="1" x14ac:dyDescent="0.45">
      <c r="A17" s="73" t="s">
        <v>2537</v>
      </c>
      <c r="B17" s="66">
        <f t="shared" si="0"/>
        <v>45992</v>
      </c>
      <c r="C17" s="85">
        <f t="shared" si="3"/>
        <v>17</v>
      </c>
      <c r="D17" s="85">
        <f t="shared" si="1"/>
        <v>17</v>
      </c>
      <c r="E17" s="85">
        <f t="shared" si="2"/>
        <v>17</v>
      </c>
      <c r="F17" s="80">
        <f t="shared" si="4"/>
        <v>3</v>
      </c>
      <c r="G17" s="81"/>
      <c r="H17" s="81"/>
      <c r="I17" s="82"/>
      <c r="J17" s="83"/>
      <c r="K17" s="84"/>
      <c r="L17" s="86"/>
    </row>
    <row r="18" spans="1:12" ht="15.75" customHeight="1" x14ac:dyDescent="0.45">
      <c r="A18" s="73" t="s">
        <v>2538</v>
      </c>
      <c r="B18" s="66">
        <f t="shared" si="0"/>
        <v>45999</v>
      </c>
      <c r="C18" s="85">
        <f t="shared" si="3"/>
        <v>16</v>
      </c>
      <c r="D18" s="85">
        <f t="shared" si="1"/>
        <v>16</v>
      </c>
      <c r="E18" s="85">
        <f t="shared" si="2"/>
        <v>0</v>
      </c>
      <c r="F18" s="80" t="str">
        <f t="shared" si="4"/>
        <v/>
      </c>
      <c r="G18" s="81"/>
      <c r="H18" s="81"/>
      <c r="I18" s="82"/>
      <c r="J18" s="83"/>
      <c r="K18" s="84"/>
      <c r="L18" s="86"/>
    </row>
    <row r="19" spans="1:12" ht="15.75" customHeight="1" x14ac:dyDescent="0.45">
      <c r="A19" s="73" t="s">
        <v>2539</v>
      </c>
      <c r="B19" s="66">
        <f t="shared" si="0"/>
        <v>46006</v>
      </c>
      <c r="C19" s="85">
        <f t="shared" si="3"/>
        <v>15</v>
      </c>
      <c r="D19" s="85">
        <f t="shared" si="1"/>
        <v>15</v>
      </c>
      <c r="E19" s="85" t="str">
        <f t="shared" si="2"/>
        <v/>
      </c>
      <c r="F19" s="80" t="str">
        <f t="shared" si="4"/>
        <v/>
      </c>
      <c r="G19" s="81"/>
      <c r="H19" s="81"/>
      <c r="I19" s="82"/>
      <c r="J19" s="83"/>
      <c r="K19" s="84"/>
      <c r="L19" s="86"/>
    </row>
    <row r="20" spans="1:12" ht="15.75" customHeight="1" x14ac:dyDescent="0.45">
      <c r="A20" s="73" t="s">
        <v>2540</v>
      </c>
      <c r="B20" s="66">
        <f t="shared" si="0"/>
        <v>46013</v>
      </c>
      <c r="C20" s="85">
        <f t="shared" si="3"/>
        <v>14</v>
      </c>
      <c r="D20" s="85">
        <f t="shared" si="1"/>
        <v>14</v>
      </c>
      <c r="E20" s="85" t="str">
        <f t="shared" si="2"/>
        <v/>
      </c>
      <c r="F20" s="80" t="str">
        <f t="shared" si="4"/>
        <v/>
      </c>
      <c r="G20" s="81"/>
      <c r="H20" s="81"/>
      <c r="I20" s="82"/>
      <c r="J20" s="83"/>
      <c r="K20" s="84"/>
      <c r="L20" s="86"/>
    </row>
    <row r="21" spans="1:12" ht="15.75" customHeight="1" x14ac:dyDescent="0.45">
      <c r="A21" s="73" t="s">
        <v>2541</v>
      </c>
      <c r="B21" s="66">
        <f t="shared" si="0"/>
        <v>46020</v>
      </c>
      <c r="C21" s="85">
        <f t="shared" si="3"/>
        <v>13</v>
      </c>
      <c r="D21" s="85">
        <f t="shared" si="1"/>
        <v>13</v>
      </c>
      <c r="E21" s="85" t="str">
        <f t="shared" si="2"/>
        <v/>
      </c>
      <c r="F21" s="80" t="str">
        <f t="shared" si="4"/>
        <v/>
      </c>
      <c r="G21" s="81"/>
      <c r="H21" s="81"/>
      <c r="I21" s="82"/>
      <c r="J21" s="83"/>
      <c r="K21" s="84"/>
      <c r="L21" s="86"/>
    </row>
    <row r="22" spans="1:12" ht="15.75" customHeight="1" x14ac:dyDescent="0.45">
      <c r="A22" s="73"/>
      <c r="B22" s="66">
        <f t="shared" si="0"/>
        <v>46027</v>
      </c>
      <c r="C22" s="85">
        <f t="shared" si="3"/>
        <v>12</v>
      </c>
      <c r="D22" s="85">
        <f t="shared" si="1"/>
        <v>12</v>
      </c>
      <c r="E22" s="85" t="str">
        <f t="shared" si="2"/>
        <v/>
      </c>
      <c r="F22" s="80" t="str">
        <f t="shared" si="4"/>
        <v/>
      </c>
      <c r="G22" s="81"/>
      <c r="H22" s="81"/>
      <c r="I22" s="82"/>
      <c r="J22" s="83"/>
      <c r="K22" s="84"/>
      <c r="L22" s="86"/>
    </row>
    <row r="23" spans="1:12" ht="15.75" customHeight="1" x14ac:dyDescent="0.45">
      <c r="A23" s="73"/>
      <c r="B23" s="66">
        <f t="shared" si="0"/>
        <v>46034</v>
      </c>
      <c r="C23" s="85">
        <f t="shared" si="3"/>
        <v>11</v>
      </c>
      <c r="D23" s="85">
        <f t="shared" si="1"/>
        <v>11</v>
      </c>
      <c r="E23" s="85" t="str">
        <f t="shared" si="2"/>
        <v/>
      </c>
      <c r="F23" s="80" t="str">
        <f t="shared" si="4"/>
        <v/>
      </c>
      <c r="G23" s="81"/>
      <c r="H23" s="81"/>
      <c r="I23" s="82"/>
      <c r="J23" s="83"/>
      <c r="K23" s="84"/>
      <c r="L23" s="86"/>
    </row>
    <row r="24" spans="1:12" ht="15.75" customHeight="1" x14ac:dyDescent="0.45">
      <c r="A24" s="73"/>
      <c r="B24" s="66">
        <f t="shared" si="0"/>
        <v>46041</v>
      </c>
      <c r="C24" s="85">
        <f t="shared" si="3"/>
        <v>10</v>
      </c>
      <c r="D24" s="85">
        <f t="shared" si="1"/>
        <v>10</v>
      </c>
      <c r="E24" s="85" t="str">
        <f t="shared" si="2"/>
        <v/>
      </c>
      <c r="F24" s="80" t="str">
        <f t="shared" si="4"/>
        <v/>
      </c>
      <c r="G24" s="81"/>
      <c r="H24" s="81"/>
      <c r="I24" s="82"/>
      <c r="J24" s="83"/>
      <c r="K24" s="84"/>
      <c r="L24" s="86"/>
    </row>
    <row r="25" spans="1:12" ht="15.75" customHeight="1" x14ac:dyDescent="0.45">
      <c r="A25" s="73"/>
      <c r="B25" s="66">
        <f t="shared" si="0"/>
        <v>46048</v>
      </c>
      <c r="C25" s="85">
        <f t="shared" si="3"/>
        <v>9</v>
      </c>
      <c r="D25" s="85">
        <f t="shared" si="1"/>
        <v>9</v>
      </c>
      <c r="E25" s="85" t="str">
        <f t="shared" si="2"/>
        <v/>
      </c>
      <c r="F25" s="80" t="str">
        <f t="shared" si="4"/>
        <v/>
      </c>
      <c r="G25" s="81"/>
      <c r="H25" s="81"/>
      <c r="I25" s="82"/>
      <c r="J25" s="83"/>
      <c r="K25" s="84"/>
      <c r="L25" s="86"/>
    </row>
    <row r="26" spans="1:12" ht="15.75" customHeight="1" x14ac:dyDescent="0.45">
      <c r="A26" s="73"/>
      <c r="B26" s="66">
        <f t="shared" si="0"/>
        <v>46055</v>
      </c>
      <c r="C26" s="85">
        <f t="shared" si="3"/>
        <v>8</v>
      </c>
      <c r="D26" s="85">
        <f t="shared" si="1"/>
        <v>8</v>
      </c>
      <c r="E26" s="85" t="str">
        <f t="shared" si="2"/>
        <v/>
      </c>
      <c r="F26" s="80" t="str">
        <f t="shared" si="4"/>
        <v/>
      </c>
      <c r="G26" s="81"/>
      <c r="H26" s="81"/>
      <c r="I26" s="82"/>
      <c r="J26" s="83"/>
      <c r="K26" s="84"/>
      <c r="L26" s="86"/>
    </row>
    <row r="27" spans="1:12" ht="15.75" customHeight="1" x14ac:dyDescent="0.45">
      <c r="A27" s="73"/>
      <c r="B27" s="66">
        <f t="shared" si="0"/>
        <v>46062</v>
      </c>
      <c r="C27" s="85">
        <f t="shared" si="3"/>
        <v>7</v>
      </c>
      <c r="D27" s="85">
        <f t="shared" si="1"/>
        <v>7</v>
      </c>
      <c r="E27" s="85" t="str">
        <f t="shared" si="2"/>
        <v/>
      </c>
      <c r="F27" s="80" t="str">
        <f t="shared" si="4"/>
        <v/>
      </c>
      <c r="G27" s="81"/>
      <c r="H27" s="81"/>
      <c r="I27" s="82"/>
      <c r="J27" s="83"/>
      <c r="K27" s="84"/>
      <c r="L27" s="86"/>
    </row>
    <row r="28" spans="1:12" ht="15.75" customHeight="1" x14ac:dyDescent="0.45">
      <c r="A28" s="73"/>
      <c r="B28" s="66">
        <f t="shared" si="0"/>
        <v>46069</v>
      </c>
      <c r="C28" s="85">
        <f t="shared" si="3"/>
        <v>6</v>
      </c>
      <c r="D28" s="85">
        <f t="shared" si="1"/>
        <v>6</v>
      </c>
      <c r="E28" s="85" t="str">
        <f t="shared" si="2"/>
        <v/>
      </c>
      <c r="F28" s="80" t="str">
        <f t="shared" si="4"/>
        <v/>
      </c>
      <c r="G28" s="81"/>
      <c r="H28" s="81"/>
      <c r="I28" s="82"/>
      <c r="J28" s="83"/>
      <c r="K28" s="84"/>
      <c r="L28" s="86"/>
    </row>
    <row r="29" spans="1:12" ht="15.75" customHeight="1" x14ac:dyDescent="0.45">
      <c r="A29" s="73"/>
      <c r="B29" s="66">
        <f t="shared" si="0"/>
        <v>46076</v>
      </c>
      <c r="C29" s="85">
        <f t="shared" si="3"/>
        <v>5</v>
      </c>
      <c r="D29" s="85">
        <f t="shared" si="1"/>
        <v>5</v>
      </c>
      <c r="E29" s="85" t="str">
        <f t="shared" si="2"/>
        <v/>
      </c>
      <c r="F29" s="80" t="str">
        <f t="shared" si="4"/>
        <v/>
      </c>
      <c r="G29" s="81"/>
      <c r="H29" s="81"/>
      <c r="I29" s="82"/>
      <c r="J29" s="83"/>
      <c r="K29" s="84"/>
      <c r="L29" s="86"/>
    </row>
    <row r="30" spans="1:12" ht="15.75" customHeight="1" x14ac:dyDescent="0.45">
      <c r="A30" s="73"/>
      <c r="B30" s="66">
        <f t="shared" si="0"/>
        <v>46083</v>
      </c>
      <c r="C30" s="85">
        <f t="shared" si="3"/>
        <v>4</v>
      </c>
      <c r="D30" s="85">
        <f t="shared" si="1"/>
        <v>4</v>
      </c>
      <c r="E30" s="85" t="str">
        <f t="shared" si="2"/>
        <v/>
      </c>
      <c r="F30" s="80" t="str">
        <f t="shared" si="4"/>
        <v/>
      </c>
      <c r="G30" s="81"/>
      <c r="H30" s="81"/>
      <c r="I30" s="82"/>
      <c r="J30" s="83"/>
      <c r="K30" s="84"/>
      <c r="L30" s="86"/>
    </row>
    <row r="31" spans="1:12" ht="15.75" customHeight="1" x14ac:dyDescent="0.45">
      <c r="A31" s="73"/>
      <c r="B31" s="66">
        <f t="shared" si="0"/>
        <v>46090</v>
      </c>
      <c r="C31" s="85">
        <f t="shared" si="3"/>
        <v>3</v>
      </c>
      <c r="D31" s="85">
        <f t="shared" si="1"/>
        <v>3</v>
      </c>
      <c r="E31" s="85" t="str">
        <f t="shared" si="2"/>
        <v/>
      </c>
      <c r="F31" s="80" t="str">
        <f t="shared" si="4"/>
        <v/>
      </c>
      <c r="G31" s="81"/>
      <c r="H31" s="81"/>
      <c r="I31" s="82"/>
      <c r="J31" s="83"/>
      <c r="K31" s="84"/>
      <c r="L31" s="86"/>
    </row>
    <row r="32" spans="1:12" ht="15.75" customHeight="1" x14ac:dyDescent="0.45">
      <c r="A32" s="73"/>
      <c r="B32" s="66">
        <f t="shared" si="0"/>
        <v>46097</v>
      </c>
      <c r="C32" s="85">
        <f t="shared" si="3"/>
        <v>2</v>
      </c>
      <c r="D32" s="85">
        <f t="shared" si="1"/>
        <v>2</v>
      </c>
      <c r="E32" s="85" t="str">
        <f t="shared" si="2"/>
        <v/>
      </c>
      <c r="F32" s="80" t="str">
        <f t="shared" si="4"/>
        <v/>
      </c>
      <c r="G32" s="81"/>
      <c r="H32" s="81"/>
      <c r="I32" s="82"/>
      <c r="J32" s="83"/>
      <c r="K32" s="84"/>
      <c r="L32" s="86"/>
    </row>
    <row r="33" spans="1:12" ht="15.75" customHeight="1" x14ac:dyDescent="0.45">
      <c r="A33" s="73"/>
      <c r="B33" s="66">
        <f t="shared" si="0"/>
        <v>46104</v>
      </c>
      <c r="C33" s="85">
        <f t="shared" si="3"/>
        <v>1</v>
      </c>
      <c r="D33" s="85">
        <f t="shared" si="1"/>
        <v>1</v>
      </c>
      <c r="E33" s="85" t="str">
        <f t="shared" si="2"/>
        <v/>
      </c>
      <c r="F33" s="80" t="str">
        <f t="shared" si="4"/>
        <v/>
      </c>
      <c r="G33" s="81"/>
      <c r="H33" s="81"/>
      <c r="I33" s="82"/>
      <c r="J33" s="83"/>
      <c r="K33" s="84"/>
      <c r="L33" s="86"/>
    </row>
    <row r="34" spans="1:12" ht="15.75" customHeight="1" x14ac:dyDescent="0.45">
      <c r="A34" s="73"/>
      <c r="B34" s="66">
        <f t="shared" si="0"/>
        <v>46111</v>
      </c>
      <c r="C34" s="85">
        <f t="shared" si="3"/>
        <v>0</v>
      </c>
      <c r="D34" s="85">
        <f t="shared" si="1"/>
        <v>0</v>
      </c>
      <c r="E34" s="85" t="str">
        <f t="shared" si="2"/>
        <v/>
      </c>
      <c r="F34" s="80" t="str">
        <f t="shared" si="4"/>
        <v/>
      </c>
      <c r="G34" s="81"/>
      <c r="H34" s="81"/>
      <c r="I34" s="82"/>
      <c r="J34" s="83"/>
      <c r="K34" s="84"/>
      <c r="L34" s="86"/>
    </row>
    <row r="35" spans="1:12" ht="15.75" customHeight="1" x14ac:dyDescent="0.45">
      <c r="A35" s="73"/>
      <c r="B35" s="66">
        <f t="shared" si="0"/>
        <v>46118</v>
      </c>
      <c r="C35" s="85" t="str">
        <f t="shared" si="3"/>
        <v/>
      </c>
      <c r="D35" s="85" t="str">
        <f t="shared" si="1"/>
        <v/>
      </c>
      <c r="E35" s="85" t="str">
        <f t="shared" si="2"/>
        <v/>
      </c>
      <c r="F35" s="80" t="str">
        <f t="shared" si="4"/>
        <v/>
      </c>
      <c r="G35" s="81"/>
      <c r="H35" s="81"/>
      <c r="I35" s="82"/>
      <c r="J35" s="83"/>
      <c r="K35" s="84"/>
      <c r="L35" s="86"/>
    </row>
    <row r="36" spans="1:12" ht="15.75" customHeight="1" x14ac:dyDescent="0.45">
      <c r="A36" s="73"/>
      <c r="B36" s="66">
        <f t="shared" si="0"/>
        <v>46125</v>
      </c>
      <c r="C36" s="85" t="str">
        <f t="shared" si="3"/>
        <v/>
      </c>
      <c r="D36" s="85" t="str">
        <f t="shared" si="1"/>
        <v/>
      </c>
      <c r="E36" s="85" t="str">
        <f t="shared" si="2"/>
        <v/>
      </c>
      <c r="F36" s="80" t="str">
        <f t="shared" si="4"/>
        <v/>
      </c>
      <c r="G36" s="81"/>
      <c r="H36" s="81"/>
      <c r="I36" s="82"/>
      <c r="J36" s="83"/>
      <c r="K36" s="84"/>
      <c r="L36" s="86"/>
    </row>
    <row r="37" spans="1:12" ht="15.75" customHeight="1" x14ac:dyDescent="0.45">
      <c r="A37" s="73"/>
      <c r="B37" s="66">
        <f t="shared" si="0"/>
        <v>46132</v>
      </c>
      <c r="C37" s="85" t="str">
        <f t="shared" si="3"/>
        <v/>
      </c>
      <c r="D37" s="85" t="str">
        <f t="shared" si="1"/>
        <v/>
      </c>
      <c r="E37" s="85" t="str">
        <f t="shared" si="2"/>
        <v/>
      </c>
      <c r="F37" s="80" t="str">
        <f t="shared" si="4"/>
        <v/>
      </c>
      <c r="G37" s="81"/>
      <c r="H37" s="81"/>
      <c r="I37" s="82"/>
      <c r="J37" s="83"/>
      <c r="K37" s="84"/>
      <c r="L37" s="86"/>
    </row>
    <row r="38" spans="1:12" ht="15.75" customHeight="1" x14ac:dyDescent="0.45">
      <c r="A38" s="73"/>
      <c r="B38" s="66">
        <f t="shared" si="0"/>
        <v>46139</v>
      </c>
      <c r="C38" s="85" t="str">
        <f t="shared" si="3"/>
        <v/>
      </c>
      <c r="D38" s="85" t="str">
        <f t="shared" si="1"/>
        <v/>
      </c>
      <c r="E38" s="85" t="str">
        <f t="shared" si="2"/>
        <v/>
      </c>
      <c r="F38" s="80" t="str">
        <f t="shared" si="4"/>
        <v/>
      </c>
      <c r="G38" s="81"/>
      <c r="H38" s="81"/>
      <c r="I38" s="82"/>
      <c r="J38" s="83"/>
      <c r="K38" s="84"/>
      <c r="L38" s="86"/>
    </row>
    <row r="39" spans="1:12" ht="15.75" customHeight="1" x14ac:dyDescent="0.45">
      <c r="A39" s="73"/>
      <c r="B39" s="66">
        <f t="shared" si="0"/>
        <v>46146</v>
      </c>
      <c r="C39" s="85" t="str">
        <f t="shared" si="3"/>
        <v/>
      </c>
      <c r="D39" s="85" t="str">
        <f t="shared" si="1"/>
        <v/>
      </c>
      <c r="E39" s="85" t="str">
        <f t="shared" si="2"/>
        <v/>
      </c>
      <c r="F39" s="80" t="str">
        <f t="shared" si="4"/>
        <v/>
      </c>
      <c r="G39" s="81"/>
      <c r="H39" s="81"/>
      <c r="I39" s="82"/>
      <c r="J39" s="83"/>
      <c r="K39" s="84"/>
      <c r="L39" s="86"/>
    </row>
    <row r="40" spans="1:12" ht="15.75" customHeight="1" x14ac:dyDescent="0.45">
      <c r="A40" s="73"/>
      <c r="B40" s="66">
        <f t="shared" si="0"/>
        <v>46153</v>
      </c>
      <c r="C40" s="85" t="str">
        <f t="shared" si="3"/>
        <v/>
      </c>
      <c r="D40" s="85" t="str">
        <f t="shared" si="1"/>
        <v/>
      </c>
      <c r="E40" s="85" t="str">
        <f t="shared" si="2"/>
        <v/>
      </c>
      <c r="F40" s="80" t="str">
        <f t="shared" si="4"/>
        <v/>
      </c>
      <c r="G40" s="81"/>
      <c r="H40" s="81"/>
      <c r="I40" s="82"/>
      <c r="J40" s="83"/>
      <c r="K40" s="84"/>
      <c r="L40" s="86"/>
    </row>
    <row r="41" spans="1:12" ht="15.75" customHeight="1" x14ac:dyDescent="0.45">
      <c r="A41" s="73"/>
      <c r="B41" s="66">
        <f t="shared" si="0"/>
        <v>46160</v>
      </c>
      <c r="C41" s="85" t="str">
        <f t="shared" si="3"/>
        <v/>
      </c>
      <c r="D41" s="85" t="str">
        <f t="shared" si="1"/>
        <v/>
      </c>
      <c r="E41" s="85" t="str">
        <f t="shared" si="2"/>
        <v/>
      </c>
      <c r="F41" s="80" t="str">
        <f t="shared" si="4"/>
        <v/>
      </c>
      <c r="G41" s="81"/>
      <c r="H41" s="81"/>
      <c r="I41" s="82"/>
      <c r="J41" s="83"/>
      <c r="K41" s="84"/>
      <c r="L41" s="86"/>
    </row>
    <row r="42" spans="1:12" ht="15.75" customHeight="1" x14ac:dyDescent="0.45">
      <c r="A42" s="73"/>
      <c r="B42" s="66">
        <f t="shared" si="0"/>
        <v>46167</v>
      </c>
      <c r="C42" s="85" t="str">
        <f t="shared" si="3"/>
        <v/>
      </c>
      <c r="D42" s="85" t="str">
        <f t="shared" si="1"/>
        <v/>
      </c>
      <c r="E42" s="85" t="str">
        <f t="shared" si="2"/>
        <v/>
      </c>
      <c r="F42" s="80" t="str">
        <f t="shared" si="4"/>
        <v/>
      </c>
      <c r="G42" s="81"/>
      <c r="H42" s="81"/>
      <c r="I42" s="82"/>
      <c r="J42" s="83"/>
      <c r="K42" s="84"/>
      <c r="L42" s="86"/>
    </row>
    <row r="43" spans="1:12" ht="15.75" customHeight="1" x14ac:dyDescent="0.45">
      <c r="A43" s="73"/>
      <c r="B43" s="66">
        <f t="shared" si="0"/>
        <v>46174</v>
      </c>
      <c r="C43" s="85" t="str">
        <f t="shared" si="3"/>
        <v/>
      </c>
      <c r="D43" s="85" t="str">
        <f t="shared" si="1"/>
        <v/>
      </c>
      <c r="E43" s="85" t="str">
        <f t="shared" si="2"/>
        <v/>
      </c>
      <c r="F43" s="80" t="str">
        <f t="shared" si="4"/>
        <v/>
      </c>
      <c r="G43" s="81"/>
      <c r="H43" s="81"/>
      <c r="I43" s="82"/>
      <c r="J43" s="83"/>
      <c r="K43" s="84"/>
      <c r="L43" s="86"/>
    </row>
    <row r="44" spans="1:12" ht="15.75" customHeight="1" x14ac:dyDescent="0.45">
      <c r="A44" s="73"/>
      <c r="B44" s="66">
        <f t="shared" si="0"/>
        <v>46181</v>
      </c>
      <c r="C44" s="85" t="str">
        <f t="shared" si="3"/>
        <v/>
      </c>
      <c r="D44" s="85" t="str">
        <f t="shared" si="1"/>
        <v/>
      </c>
      <c r="E44" s="85" t="str">
        <f t="shared" si="2"/>
        <v/>
      </c>
      <c r="F44" s="80" t="str">
        <f t="shared" si="4"/>
        <v/>
      </c>
      <c r="G44" s="81"/>
      <c r="H44" s="81"/>
      <c r="I44" s="82"/>
      <c r="J44" s="83"/>
      <c r="K44" s="84"/>
      <c r="L44" s="86"/>
    </row>
    <row r="45" spans="1:12" ht="15.75" customHeight="1" x14ac:dyDescent="0.45">
      <c r="A45" s="73"/>
      <c r="B45" s="66">
        <f t="shared" si="0"/>
        <v>46188</v>
      </c>
      <c r="C45" s="85" t="str">
        <f t="shared" si="3"/>
        <v/>
      </c>
      <c r="D45" s="85" t="str">
        <f t="shared" si="1"/>
        <v/>
      </c>
      <c r="E45" s="85" t="str">
        <f t="shared" si="2"/>
        <v/>
      </c>
      <c r="F45" s="80" t="str">
        <f t="shared" si="4"/>
        <v/>
      </c>
      <c r="G45" s="81"/>
      <c r="H45" s="81"/>
      <c r="I45" s="82"/>
      <c r="J45" s="83"/>
      <c r="K45" s="84"/>
      <c r="L45" s="86"/>
    </row>
    <row r="46" spans="1:12" ht="15.75" customHeight="1" x14ac:dyDescent="0.45">
      <c r="A46" s="73"/>
      <c r="B46" s="66">
        <f t="shared" si="0"/>
        <v>46195</v>
      </c>
      <c r="C46" s="85" t="str">
        <f t="shared" si="3"/>
        <v/>
      </c>
      <c r="D46" s="85" t="str">
        <f t="shared" si="1"/>
        <v/>
      </c>
      <c r="E46" s="85" t="str">
        <f t="shared" si="2"/>
        <v/>
      </c>
      <c r="F46" s="80" t="str">
        <f t="shared" si="4"/>
        <v/>
      </c>
      <c r="G46" s="81"/>
      <c r="H46" s="81"/>
      <c r="I46" s="82"/>
      <c r="J46" s="83"/>
      <c r="K46" s="84"/>
      <c r="L46" s="86"/>
    </row>
    <row r="47" spans="1:12" ht="15.75" customHeight="1" x14ac:dyDescent="0.45">
      <c r="A47" s="73"/>
      <c r="B47" s="66">
        <f t="shared" si="0"/>
        <v>46202</v>
      </c>
      <c r="C47" s="85" t="str">
        <f t="shared" si="3"/>
        <v/>
      </c>
      <c r="D47" s="85" t="str">
        <f t="shared" si="1"/>
        <v/>
      </c>
      <c r="E47" s="85" t="str">
        <f t="shared" si="2"/>
        <v/>
      </c>
      <c r="F47" s="80" t="str">
        <f t="shared" si="4"/>
        <v/>
      </c>
      <c r="G47" s="81"/>
      <c r="H47" s="81"/>
      <c r="I47" s="82"/>
      <c r="J47" s="83"/>
      <c r="K47" s="84"/>
      <c r="L47" s="86"/>
    </row>
    <row r="48" spans="1:12" ht="15.75" customHeight="1" x14ac:dyDescent="0.45">
      <c r="A48" s="73"/>
      <c r="B48" s="66">
        <f t="shared" si="0"/>
        <v>46209</v>
      </c>
      <c r="C48" s="85" t="str">
        <f t="shared" si="3"/>
        <v/>
      </c>
      <c r="D48" s="85" t="str">
        <f t="shared" si="1"/>
        <v/>
      </c>
      <c r="E48" s="85" t="str">
        <f t="shared" si="2"/>
        <v/>
      </c>
      <c r="F48" s="80" t="str">
        <f t="shared" si="4"/>
        <v/>
      </c>
      <c r="G48" s="81"/>
      <c r="H48" s="81"/>
      <c r="I48" s="82"/>
      <c r="J48" s="83"/>
      <c r="K48" s="84"/>
      <c r="L48" s="86"/>
    </row>
    <row r="49" spans="1:12" ht="15.75" customHeight="1" x14ac:dyDescent="0.45">
      <c r="A49" s="73"/>
      <c r="B49" s="66">
        <f t="shared" si="0"/>
        <v>46216</v>
      </c>
      <c r="C49" s="85" t="str">
        <f t="shared" si="3"/>
        <v/>
      </c>
      <c r="D49" s="85" t="str">
        <f t="shared" si="1"/>
        <v/>
      </c>
      <c r="E49" s="85" t="str">
        <f t="shared" si="2"/>
        <v/>
      </c>
      <c r="F49" s="80" t="str">
        <f t="shared" si="4"/>
        <v/>
      </c>
      <c r="G49" s="81"/>
      <c r="H49" s="81"/>
      <c r="I49" s="82"/>
      <c r="J49" s="83"/>
      <c r="K49" s="84"/>
      <c r="L49" s="86"/>
    </row>
    <row r="50" spans="1:12" ht="15.75" customHeight="1" x14ac:dyDescent="0.45">
      <c r="A50" s="73"/>
      <c r="B50" s="66">
        <f t="shared" si="0"/>
        <v>46223</v>
      </c>
      <c r="C50" s="85" t="str">
        <f t="shared" si="3"/>
        <v/>
      </c>
      <c r="D50" s="85" t="str">
        <f t="shared" si="1"/>
        <v/>
      </c>
      <c r="E50" s="85" t="str">
        <f t="shared" si="2"/>
        <v/>
      </c>
      <c r="F50" s="80" t="str">
        <f t="shared" si="4"/>
        <v/>
      </c>
      <c r="G50" s="81"/>
      <c r="H50" s="81"/>
      <c r="I50" s="82"/>
      <c r="J50" s="83"/>
      <c r="K50" s="84"/>
      <c r="L50" s="86"/>
    </row>
    <row r="51" spans="1:12" ht="15.75" customHeight="1" x14ac:dyDescent="0.45">
      <c r="A51" s="73"/>
      <c r="B51" s="66">
        <f t="shared" si="0"/>
        <v>46230</v>
      </c>
      <c r="C51" s="85" t="str">
        <f t="shared" si="3"/>
        <v/>
      </c>
      <c r="D51" s="85" t="str">
        <f t="shared" si="1"/>
        <v/>
      </c>
      <c r="E51" s="85" t="str">
        <f t="shared" si="2"/>
        <v/>
      </c>
      <c r="F51" s="80" t="str">
        <f t="shared" si="4"/>
        <v/>
      </c>
      <c r="G51" s="81"/>
      <c r="H51" s="81"/>
      <c r="I51" s="82"/>
      <c r="J51" s="83"/>
      <c r="K51" s="84"/>
      <c r="L51" s="86"/>
    </row>
    <row r="52" spans="1:12" ht="15.75" customHeight="1" x14ac:dyDescent="0.45">
      <c r="A52" s="73"/>
      <c r="B52" s="66">
        <f t="shared" si="0"/>
        <v>46237</v>
      </c>
      <c r="C52" s="85" t="str">
        <f t="shared" si="3"/>
        <v/>
      </c>
      <c r="D52" s="85" t="str">
        <f t="shared" si="1"/>
        <v/>
      </c>
      <c r="E52" s="85" t="str">
        <f t="shared" si="2"/>
        <v/>
      </c>
      <c r="F52" s="80" t="str">
        <f t="shared" si="4"/>
        <v/>
      </c>
      <c r="G52" s="81"/>
      <c r="H52" s="81"/>
      <c r="I52" s="82"/>
      <c r="J52" s="83"/>
      <c r="K52" s="84"/>
      <c r="L52" s="86"/>
    </row>
    <row r="53" spans="1:12" ht="15.75" customHeight="1" x14ac:dyDescent="0.45">
      <c r="A53" s="73"/>
      <c r="B53" s="66">
        <f t="shared" si="0"/>
        <v>46244</v>
      </c>
      <c r="C53" s="85" t="str">
        <f t="shared" si="3"/>
        <v/>
      </c>
      <c r="D53" s="85" t="str">
        <f t="shared" si="1"/>
        <v/>
      </c>
      <c r="E53" s="85" t="str">
        <f t="shared" si="2"/>
        <v/>
      </c>
      <c r="F53" s="80" t="str">
        <f t="shared" si="4"/>
        <v/>
      </c>
      <c r="G53" s="81"/>
      <c r="H53" s="81"/>
      <c r="I53" s="82"/>
      <c r="J53" s="83"/>
      <c r="K53" s="84"/>
      <c r="L53" s="86"/>
    </row>
    <row r="54" spans="1:12" ht="15.75" customHeight="1" x14ac:dyDescent="0.45">
      <c r="A54" s="73"/>
      <c r="B54" s="66">
        <f t="shared" si="0"/>
        <v>46251</v>
      </c>
      <c r="C54" s="85" t="str">
        <f t="shared" si="3"/>
        <v/>
      </c>
      <c r="D54" s="85" t="str">
        <f t="shared" si="1"/>
        <v/>
      </c>
      <c r="E54" s="85" t="str">
        <f t="shared" si="2"/>
        <v/>
      </c>
      <c r="F54" s="80" t="str">
        <f t="shared" si="4"/>
        <v/>
      </c>
      <c r="G54" s="81"/>
      <c r="H54" s="81"/>
      <c r="I54" s="82"/>
      <c r="J54" s="83"/>
      <c r="K54" s="84"/>
      <c r="L54" s="86"/>
    </row>
    <row r="81" spans="2:3" ht="15.75" customHeight="1" x14ac:dyDescent="0.45">
      <c r="B81" s="28"/>
      <c r="C81" s="25">
        <f>D90</f>
        <v>0</v>
      </c>
    </row>
    <row r="82" spans="2:3" ht="15.75" customHeight="1" x14ac:dyDescent="0.45">
      <c r="B82" s="28"/>
      <c r="C82" s="25"/>
    </row>
    <row r="83" spans="2:3" ht="15.75" customHeight="1" x14ac:dyDescent="0.45">
      <c r="B83" s="28"/>
      <c r="C83" s="25"/>
    </row>
    <row r="84" spans="2:3" ht="15.75" customHeight="1" x14ac:dyDescent="0.45">
      <c r="B84" s="28"/>
      <c r="C84" s="25"/>
    </row>
    <row r="85" spans="2:3" ht="15.75" customHeight="1" x14ac:dyDescent="0.45">
      <c r="B85" s="28"/>
      <c r="C85" s="25"/>
    </row>
    <row r="86" spans="2:3" ht="15.75" customHeight="1" x14ac:dyDescent="0.45">
      <c r="B86" s="28"/>
      <c r="C86" s="25"/>
    </row>
    <row r="87" spans="2:3" ht="15.75" customHeight="1" x14ac:dyDescent="0.45">
      <c r="B87" s="29" t="str">
        <f t="shared" ref="B87:B150" si="5">IF(B86="","",IF(B86+$C$9&lt;=$C$5,B86+$C$9,""))</f>
        <v/>
      </c>
      <c r="C87" s="25" t="str">
        <f t="shared" ref="C87:C150" si="6">IF(B87&lt;&gt;"",C86-$C$2/COUNT($B$17:$B$510),"")</f>
        <v/>
      </c>
    </row>
    <row r="88" spans="2:3" ht="15.75" customHeight="1" x14ac:dyDescent="0.45">
      <c r="B88" s="29" t="str">
        <f t="shared" si="5"/>
        <v/>
      </c>
      <c r="C88" s="25" t="str">
        <f t="shared" si="6"/>
        <v/>
      </c>
    </row>
    <row r="89" spans="2:3" ht="15.75" customHeight="1" x14ac:dyDescent="0.45">
      <c r="B89" s="29" t="str">
        <f t="shared" si="5"/>
        <v/>
      </c>
      <c r="C89" s="25" t="str">
        <f t="shared" si="6"/>
        <v/>
      </c>
    </row>
    <row r="90" spans="2:3" ht="15.75" customHeight="1" x14ac:dyDescent="0.45">
      <c r="B90" s="29" t="str">
        <f t="shared" si="5"/>
        <v/>
      </c>
      <c r="C90" s="25" t="str">
        <f t="shared" si="6"/>
        <v/>
      </c>
    </row>
    <row r="91" spans="2:3" ht="15.75" customHeight="1" x14ac:dyDescent="0.45">
      <c r="B91" s="29" t="str">
        <f t="shared" si="5"/>
        <v/>
      </c>
      <c r="C91" s="25" t="str">
        <f t="shared" si="6"/>
        <v/>
      </c>
    </row>
    <row r="92" spans="2:3" ht="15.75" customHeight="1" x14ac:dyDescent="0.45">
      <c r="B92" s="29" t="str">
        <f t="shared" si="5"/>
        <v/>
      </c>
      <c r="C92" s="25" t="str">
        <f t="shared" si="6"/>
        <v/>
      </c>
    </row>
    <row r="93" spans="2:3" ht="15.75" customHeight="1" x14ac:dyDescent="0.45">
      <c r="B93" s="29" t="str">
        <f t="shared" si="5"/>
        <v/>
      </c>
      <c r="C93" s="25" t="str">
        <f t="shared" si="6"/>
        <v/>
      </c>
    </row>
    <row r="94" spans="2:3" ht="15.75" customHeight="1" x14ac:dyDescent="0.45">
      <c r="B94" s="29" t="str">
        <f t="shared" si="5"/>
        <v/>
      </c>
      <c r="C94" s="25" t="str">
        <f t="shared" si="6"/>
        <v/>
      </c>
    </row>
    <row r="95" spans="2:3" ht="15.75" customHeight="1" x14ac:dyDescent="0.45">
      <c r="B95" s="29" t="str">
        <f t="shared" si="5"/>
        <v/>
      </c>
      <c r="C95" s="25" t="str">
        <f t="shared" si="6"/>
        <v/>
      </c>
    </row>
    <row r="96" spans="2:3" ht="15.75" customHeight="1" x14ac:dyDescent="0.45">
      <c r="B96" s="29" t="str">
        <f t="shared" si="5"/>
        <v/>
      </c>
      <c r="C96" s="25" t="str">
        <f t="shared" si="6"/>
        <v/>
      </c>
    </row>
    <row r="97" spans="2:3" ht="15.75" customHeight="1" x14ac:dyDescent="0.45">
      <c r="B97" s="29" t="str">
        <f t="shared" si="5"/>
        <v/>
      </c>
      <c r="C97" s="25" t="str">
        <f t="shared" si="6"/>
        <v/>
      </c>
    </row>
    <row r="98" spans="2:3" ht="15.75" customHeight="1" x14ac:dyDescent="0.45">
      <c r="B98" s="29" t="str">
        <f t="shared" si="5"/>
        <v/>
      </c>
      <c r="C98" s="25" t="str">
        <f t="shared" si="6"/>
        <v/>
      </c>
    </row>
    <row r="99" spans="2:3" ht="15.75" customHeight="1" x14ac:dyDescent="0.45">
      <c r="B99" s="29" t="str">
        <f t="shared" si="5"/>
        <v/>
      </c>
      <c r="C99" s="25" t="str">
        <f t="shared" si="6"/>
        <v/>
      </c>
    </row>
    <row r="100" spans="2:3" ht="15.75" customHeight="1" x14ac:dyDescent="0.45">
      <c r="B100" s="29" t="str">
        <f t="shared" si="5"/>
        <v/>
      </c>
      <c r="C100" s="25" t="str">
        <f t="shared" si="6"/>
        <v/>
      </c>
    </row>
    <row r="101" spans="2:3" ht="15.75" customHeight="1" x14ac:dyDescent="0.45">
      <c r="B101" s="29" t="str">
        <f t="shared" si="5"/>
        <v/>
      </c>
      <c r="C101" s="25" t="str">
        <f t="shared" si="6"/>
        <v/>
      </c>
    </row>
    <row r="102" spans="2:3" ht="15.75" customHeight="1" x14ac:dyDescent="0.45">
      <c r="B102" s="29" t="str">
        <f t="shared" si="5"/>
        <v/>
      </c>
      <c r="C102" s="25" t="str">
        <f t="shared" si="6"/>
        <v/>
      </c>
    </row>
    <row r="103" spans="2:3" ht="15.75" customHeight="1" x14ac:dyDescent="0.45">
      <c r="B103" s="29" t="str">
        <f t="shared" si="5"/>
        <v/>
      </c>
      <c r="C103" s="25" t="str">
        <f t="shared" si="6"/>
        <v/>
      </c>
    </row>
    <row r="104" spans="2:3" ht="15.75" customHeight="1" x14ac:dyDescent="0.45">
      <c r="B104" s="29" t="str">
        <f t="shared" si="5"/>
        <v/>
      </c>
      <c r="C104" s="25" t="str">
        <f t="shared" si="6"/>
        <v/>
      </c>
    </row>
    <row r="105" spans="2:3" ht="15.75" customHeight="1" x14ac:dyDescent="0.45">
      <c r="B105" s="29" t="str">
        <f t="shared" si="5"/>
        <v/>
      </c>
      <c r="C105" s="25" t="str">
        <f t="shared" si="6"/>
        <v/>
      </c>
    </row>
    <row r="106" spans="2:3" ht="15.75" customHeight="1" x14ac:dyDescent="0.45">
      <c r="B106" s="29" t="str">
        <f t="shared" si="5"/>
        <v/>
      </c>
      <c r="C106" s="25" t="str">
        <f t="shared" si="6"/>
        <v/>
      </c>
    </row>
    <row r="107" spans="2:3" ht="15.75" customHeight="1" x14ac:dyDescent="0.45">
      <c r="B107" s="29" t="str">
        <f t="shared" si="5"/>
        <v/>
      </c>
      <c r="C107" s="25" t="str">
        <f t="shared" si="6"/>
        <v/>
      </c>
    </row>
    <row r="108" spans="2:3" ht="15.75" customHeight="1" x14ac:dyDescent="0.45">
      <c r="B108" s="29" t="str">
        <f t="shared" si="5"/>
        <v/>
      </c>
      <c r="C108" s="25" t="str">
        <f t="shared" si="6"/>
        <v/>
      </c>
    </row>
    <row r="109" spans="2:3" ht="15.75" customHeight="1" x14ac:dyDescent="0.45">
      <c r="B109" s="29" t="str">
        <f t="shared" si="5"/>
        <v/>
      </c>
      <c r="C109" s="25" t="str">
        <f t="shared" si="6"/>
        <v/>
      </c>
    </row>
    <row r="110" spans="2:3" ht="15.75" customHeight="1" x14ac:dyDescent="0.45">
      <c r="B110" s="29" t="str">
        <f t="shared" si="5"/>
        <v/>
      </c>
      <c r="C110" s="25" t="str">
        <f t="shared" si="6"/>
        <v/>
      </c>
    </row>
    <row r="111" spans="2:3" ht="15.75" customHeight="1" x14ac:dyDescent="0.45">
      <c r="B111" s="29" t="str">
        <f t="shared" si="5"/>
        <v/>
      </c>
      <c r="C111" s="25" t="str">
        <f t="shared" si="6"/>
        <v/>
      </c>
    </row>
    <row r="112" spans="2:3" ht="15.75" customHeight="1" x14ac:dyDescent="0.45">
      <c r="B112" s="29" t="str">
        <f t="shared" si="5"/>
        <v/>
      </c>
      <c r="C112" s="25" t="str">
        <f t="shared" si="6"/>
        <v/>
      </c>
    </row>
    <row r="113" spans="2:3" ht="15.75" customHeight="1" x14ac:dyDescent="0.45">
      <c r="B113" s="29" t="str">
        <f t="shared" si="5"/>
        <v/>
      </c>
      <c r="C113" s="25" t="str">
        <f t="shared" si="6"/>
        <v/>
      </c>
    </row>
    <row r="114" spans="2:3" ht="15.75" customHeight="1" x14ac:dyDescent="0.45">
      <c r="B114" s="29" t="str">
        <f t="shared" si="5"/>
        <v/>
      </c>
      <c r="C114" s="25" t="str">
        <f t="shared" si="6"/>
        <v/>
      </c>
    </row>
    <row r="115" spans="2:3" ht="15.75" customHeight="1" x14ac:dyDescent="0.45">
      <c r="B115" s="29" t="str">
        <f t="shared" si="5"/>
        <v/>
      </c>
      <c r="C115" s="25" t="str">
        <f t="shared" si="6"/>
        <v/>
      </c>
    </row>
    <row r="116" spans="2:3" ht="15.75" customHeight="1" x14ac:dyDescent="0.45">
      <c r="B116" s="29" t="str">
        <f t="shared" si="5"/>
        <v/>
      </c>
      <c r="C116" s="25" t="str">
        <f t="shared" si="6"/>
        <v/>
      </c>
    </row>
    <row r="117" spans="2:3" ht="15.75" customHeight="1" x14ac:dyDescent="0.45">
      <c r="B117" s="29" t="str">
        <f t="shared" si="5"/>
        <v/>
      </c>
      <c r="C117" s="25" t="str">
        <f t="shared" si="6"/>
        <v/>
      </c>
    </row>
    <row r="118" spans="2:3" ht="15.75" customHeight="1" x14ac:dyDescent="0.45">
      <c r="B118" s="29" t="str">
        <f t="shared" si="5"/>
        <v/>
      </c>
      <c r="C118" s="25" t="str">
        <f t="shared" si="6"/>
        <v/>
      </c>
    </row>
    <row r="119" spans="2:3" ht="15.75" customHeight="1" x14ac:dyDescent="0.45">
      <c r="B119" s="29" t="str">
        <f t="shared" si="5"/>
        <v/>
      </c>
      <c r="C119" s="25" t="str">
        <f t="shared" si="6"/>
        <v/>
      </c>
    </row>
    <row r="120" spans="2:3" ht="15.75" customHeight="1" x14ac:dyDescent="0.45">
      <c r="B120" s="29" t="str">
        <f t="shared" si="5"/>
        <v/>
      </c>
      <c r="C120" s="25" t="str">
        <f t="shared" si="6"/>
        <v/>
      </c>
    </row>
    <row r="121" spans="2:3" ht="15.75" customHeight="1" x14ac:dyDescent="0.45">
      <c r="B121" s="29" t="str">
        <f t="shared" si="5"/>
        <v/>
      </c>
      <c r="C121" s="25" t="str">
        <f t="shared" si="6"/>
        <v/>
      </c>
    </row>
    <row r="122" spans="2:3" ht="15.75" customHeight="1" x14ac:dyDescent="0.45">
      <c r="B122" s="29" t="str">
        <f t="shared" si="5"/>
        <v/>
      </c>
      <c r="C122" s="25" t="str">
        <f t="shared" si="6"/>
        <v/>
      </c>
    </row>
    <row r="123" spans="2:3" ht="15.75" customHeight="1" x14ac:dyDescent="0.45">
      <c r="B123" s="29" t="str">
        <f t="shared" si="5"/>
        <v/>
      </c>
      <c r="C123" s="25" t="str">
        <f t="shared" si="6"/>
        <v/>
      </c>
    </row>
    <row r="124" spans="2:3" ht="15.75" customHeight="1" x14ac:dyDescent="0.45">
      <c r="B124" s="29" t="str">
        <f t="shared" si="5"/>
        <v/>
      </c>
      <c r="C124" s="25" t="str">
        <f t="shared" si="6"/>
        <v/>
      </c>
    </row>
    <row r="125" spans="2:3" ht="15.75" customHeight="1" x14ac:dyDescent="0.45">
      <c r="B125" s="29" t="str">
        <f t="shared" si="5"/>
        <v/>
      </c>
      <c r="C125" s="25" t="str">
        <f t="shared" si="6"/>
        <v/>
      </c>
    </row>
    <row r="126" spans="2:3" ht="15.75" customHeight="1" x14ac:dyDescent="0.45">
      <c r="B126" s="29" t="str">
        <f t="shared" si="5"/>
        <v/>
      </c>
      <c r="C126" s="25" t="str">
        <f t="shared" si="6"/>
        <v/>
      </c>
    </row>
    <row r="127" spans="2:3" ht="15.75" customHeight="1" x14ac:dyDescent="0.45">
      <c r="B127" s="29" t="str">
        <f t="shared" si="5"/>
        <v/>
      </c>
      <c r="C127" s="25" t="str">
        <f t="shared" si="6"/>
        <v/>
      </c>
    </row>
    <row r="128" spans="2:3" ht="15.75" customHeight="1" x14ac:dyDescent="0.45">
      <c r="B128" s="29" t="str">
        <f t="shared" si="5"/>
        <v/>
      </c>
      <c r="C128" s="25" t="str">
        <f t="shared" si="6"/>
        <v/>
      </c>
    </row>
    <row r="129" spans="2:3" ht="15.75" customHeight="1" x14ac:dyDescent="0.45">
      <c r="B129" s="29" t="str">
        <f t="shared" si="5"/>
        <v/>
      </c>
      <c r="C129" s="25" t="str">
        <f t="shared" si="6"/>
        <v/>
      </c>
    </row>
    <row r="130" spans="2:3" ht="15.75" customHeight="1" x14ac:dyDescent="0.45">
      <c r="B130" s="29" t="str">
        <f t="shared" si="5"/>
        <v/>
      </c>
      <c r="C130" s="25" t="str">
        <f t="shared" si="6"/>
        <v/>
      </c>
    </row>
    <row r="131" spans="2:3" ht="15.75" customHeight="1" x14ac:dyDescent="0.45">
      <c r="B131" s="29" t="str">
        <f t="shared" si="5"/>
        <v/>
      </c>
      <c r="C131" s="25" t="str">
        <f t="shared" si="6"/>
        <v/>
      </c>
    </row>
    <row r="132" spans="2:3" ht="15.75" customHeight="1" x14ac:dyDescent="0.45">
      <c r="B132" s="29" t="str">
        <f t="shared" si="5"/>
        <v/>
      </c>
      <c r="C132" s="25" t="str">
        <f t="shared" si="6"/>
        <v/>
      </c>
    </row>
    <row r="133" spans="2:3" ht="15.75" customHeight="1" x14ac:dyDescent="0.45">
      <c r="B133" s="29" t="str">
        <f t="shared" si="5"/>
        <v/>
      </c>
      <c r="C133" s="25" t="str">
        <f t="shared" si="6"/>
        <v/>
      </c>
    </row>
    <row r="134" spans="2:3" ht="15.75" customHeight="1" x14ac:dyDescent="0.45">
      <c r="B134" s="29" t="str">
        <f t="shared" si="5"/>
        <v/>
      </c>
      <c r="C134" s="25" t="str">
        <f t="shared" si="6"/>
        <v/>
      </c>
    </row>
    <row r="135" spans="2:3" ht="15.75" customHeight="1" x14ac:dyDescent="0.45">
      <c r="B135" s="29" t="str">
        <f t="shared" si="5"/>
        <v/>
      </c>
      <c r="C135" s="25" t="str">
        <f t="shared" si="6"/>
        <v/>
      </c>
    </row>
    <row r="136" spans="2:3" ht="15.75" customHeight="1" x14ac:dyDescent="0.45">
      <c r="B136" s="29" t="str">
        <f t="shared" si="5"/>
        <v/>
      </c>
      <c r="C136" s="25" t="str">
        <f t="shared" si="6"/>
        <v/>
      </c>
    </row>
    <row r="137" spans="2:3" ht="15.75" customHeight="1" x14ac:dyDescent="0.45">
      <c r="B137" s="29" t="str">
        <f t="shared" si="5"/>
        <v/>
      </c>
      <c r="C137" s="25" t="str">
        <f t="shared" si="6"/>
        <v/>
      </c>
    </row>
    <row r="138" spans="2:3" ht="15.75" customHeight="1" x14ac:dyDescent="0.45">
      <c r="B138" s="29" t="str">
        <f t="shared" si="5"/>
        <v/>
      </c>
      <c r="C138" s="25" t="str">
        <f t="shared" si="6"/>
        <v/>
      </c>
    </row>
    <row r="139" spans="2:3" ht="15.75" customHeight="1" x14ac:dyDescent="0.45">
      <c r="B139" s="29" t="str">
        <f t="shared" si="5"/>
        <v/>
      </c>
      <c r="C139" s="25" t="str">
        <f t="shared" si="6"/>
        <v/>
      </c>
    </row>
    <row r="140" spans="2:3" ht="15.75" customHeight="1" x14ac:dyDescent="0.45">
      <c r="B140" s="29" t="str">
        <f t="shared" si="5"/>
        <v/>
      </c>
      <c r="C140" s="25" t="str">
        <f t="shared" si="6"/>
        <v/>
      </c>
    </row>
    <row r="141" spans="2:3" ht="15.75" customHeight="1" x14ac:dyDescent="0.45">
      <c r="B141" s="29" t="str">
        <f t="shared" si="5"/>
        <v/>
      </c>
      <c r="C141" s="25" t="str">
        <f t="shared" si="6"/>
        <v/>
      </c>
    </row>
    <row r="142" spans="2:3" ht="15.75" customHeight="1" x14ac:dyDescent="0.45">
      <c r="B142" s="29" t="str">
        <f t="shared" si="5"/>
        <v/>
      </c>
      <c r="C142" s="25" t="str">
        <f t="shared" si="6"/>
        <v/>
      </c>
    </row>
    <row r="143" spans="2:3" ht="15.75" customHeight="1" x14ac:dyDescent="0.45">
      <c r="B143" s="29" t="str">
        <f t="shared" si="5"/>
        <v/>
      </c>
      <c r="C143" s="25" t="str">
        <f t="shared" si="6"/>
        <v/>
      </c>
    </row>
    <row r="144" spans="2:3" ht="15.75" customHeight="1" x14ac:dyDescent="0.45">
      <c r="B144" s="29" t="str">
        <f t="shared" si="5"/>
        <v/>
      </c>
      <c r="C144" s="25" t="str">
        <f t="shared" si="6"/>
        <v/>
      </c>
    </row>
    <row r="145" spans="2:3" ht="15.75" customHeight="1" x14ac:dyDescent="0.45">
      <c r="B145" s="29" t="str">
        <f t="shared" si="5"/>
        <v/>
      </c>
      <c r="C145" s="25" t="str">
        <f t="shared" si="6"/>
        <v/>
      </c>
    </row>
    <row r="146" spans="2:3" ht="15.75" customHeight="1" x14ac:dyDescent="0.45">
      <c r="B146" s="29" t="str">
        <f t="shared" si="5"/>
        <v/>
      </c>
      <c r="C146" s="25" t="str">
        <f t="shared" si="6"/>
        <v/>
      </c>
    </row>
    <row r="147" spans="2:3" ht="15.75" customHeight="1" x14ac:dyDescent="0.45">
      <c r="B147" s="29" t="str">
        <f t="shared" si="5"/>
        <v/>
      </c>
      <c r="C147" s="25" t="str">
        <f t="shared" si="6"/>
        <v/>
      </c>
    </row>
    <row r="148" spans="2:3" ht="15.75" customHeight="1" x14ac:dyDescent="0.45">
      <c r="B148" s="29" t="str">
        <f t="shared" si="5"/>
        <v/>
      </c>
      <c r="C148" s="25" t="str">
        <f t="shared" si="6"/>
        <v/>
      </c>
    </row>
    <row r="149" spans="2:3" ht="15.75" customHeight="1" x14ac:dyDescent="0.45">
      <c r="B149" s="29" t="str">
        <f t="shared" si="5"/>
        <v/>
      </c>
      <c r="C149" s="25" t="str">
        <f t="shared" si="6"/>
        <v/>
      </c>
    </row>
    <row r="150" spans="2:3" ht="15.75" customHeight="1" x14ac:dyDescent="0.45">
      <c r="B150" s="29" t="str">
        <f t="shared" si="5"/>
        <v/>
      </c>
      <c r="C150" s="25" t="str">
        <f t="shared" si="6"/>
        <v/>
      </c>
    </row>
    <row r="151" spans="2:3" ht="15.75" customHeight="1" x14ac:dyDescent="0.45">
      <c r="B151" s="29" t="str">
        <f t="shared" ref="B151:B214" si="7">IF(B150="","",IF(B150+$C$9&lt;=$C$5,B150+$C$9,""))</f>
        <v/>
      </c>
      <c r="C151" s="25" t="str">
        <f t="shared" ref="C151:C214" si="8">IF(B151&lt;&gt;"",C150-$C$2/COUNT($B$17:$B$510),"")</f>
        <v/>
      </c>
    </row>
    <row r="152" spans="2:3" ht="15.75" customHeight="1" x14ac:dyDescent="0.45">
      <c r="B152" s="29" t="str">
        <f t="shared" si="7"/>
        <v/>
      </c>
      <c r="C152" s="25" t="str">
        <f t="shared" si="8"/>
        <v/>
      </c>
    </row>
    <row r="153" spans="2:3" ht="15.75" customHeight="1" x14ac:dyDescent="0.45">
      <c r="B153" s="29" t="str">
        <f t="shared" si="7"/>
        <v/>
      </c>
      <c r="C153" s="25" t="str">
        <f t="shared" si="8"/>
        <v/>
      </c>
    </row>
    <row r="154" spans="2:3" ht="15.75" customHeight="1" x14ac:dyDescent="0.45">
      <c r="B154" s="29" t="str">
        <f t="shared" si="7"/>
        <v/>
      </c>
      <c r="C154" s="25" t="str">
        <f t="shared" si="8"/>
        <v/>
      </c>
    </row>
    <row r="155" spans="2:3" ht="15.75" customHeight="1" x14ac:dyDescent="0.45">
      <c r="B155" s="29" t="str">
        <f t="shared" si="7"/>
        <v/>
      </c>
      <c r="C155" s="25" t="str">
        <f t="shared" si="8"/>
        <v/>
      </c>
    </row>
    <row r="156" spans="2:3" ht="15.75" customHeight="1" x14ac:dyDescent="0.45">
      <c r="B156" s="29" t="str">
        <f t="shared" si="7"/>
        <v/>
      </c>
      <c r="C156" s="25" t="str">
        <f t="shared" si="8"/>
        <v/>
      </c>
    </row>
    <row r="157" spans="2:3" ht="15.75" customHeight="1" x14ac:dyDescent="0.45">
      <c r="B157" s="29" t="str">
        <f t="shared" si="7"/>
        <v/>
      </c>
      <c r="C157" s="25" t="str">
        <f t="shared" si="8"/>
        <v/>
      </c>
    </row>
    <row r="158" spans="2:3" ht="15.75" customHeight="1" x14ac:dyDescent="0.45">
      <c r="B158" s="29" t="str">
        <f t="shared" si="7"/>
        <v/>
      </c>
      <c r="C158" s="25" t="str">
        <f t="shared" si="8"/>
        <v/>
      </c>
    </row>
    <row r="159" spans="2:3" ht="15.75" customHeight="1" x14ac:dyDescent="0.45">
      <c r="B159" s="29" t="str">
        <f t="shared" si="7"/>
        <v/>
      </c>
      <c r="C159" s="25" t="str">
        <f t="shared" si="8"/>
        <v/>
      </c>
    </row>
    <row r="160" spans="2:3" ht="15.75" customHeight="1" x14ac:dyDescent="0.45">
      <c r="B160" s="29" t="str">
        <f t="shared" si="7"/>
        <v/>
      </c>
      <c r="C160" s="25" t="str">
        <f t="shared" si="8"/>
        <v/>
      </c>
    </row>
    <row r="161" spans="2:3" ht="15.75" customHeight="1" x14ac:dyDescent="0.45">
      <c r="B161" s="29" t="str">
        <f t="shared" si="7"/>
        <v/>
      </c>
      <c r="C161" s="25" t="str">
        <f t="shared" si="8"/>
        <v/>
      </c>
    </row>
    <row r="162" spans="2:3" ht="15.75" customHeight="1" x14ac:dyDescent="0.45">
      <c r="B162" s="29" t="str">
        <f t="shared" si="7"/>
        <v/>
      </c>
      <c r="C162" s="25" t="str">
        <f t="shared" si="8"/>
        <v/>
      </c>
    </row>
    <row r="163" spans="2:3" ht="15.75" customHeight="1" x14ac:dyDescent="0.45">
      <c r="B163" s="29" t="str">
        <f t="shared" si="7"/>
        <v/>
      </c>
      <c r="C163" s="25" t="str">
        <f t="shared" si="8"/>
        <v/>
      </c>
    </row>
    <row r="164" spans="2:3" ht="15.75" customHeight="1" x14ac:dyDescent="0.45">
      <c r="B164" s="29" t="str">
        <f t="shared" si="7"/>
        <v/>
      </c>
      <c r="C164" s="25" t="str">
        <f t="shared" si="8"/>
        <v/>
      </c>
    </row>
    <row r="165" spans="2:3" ht="15.75" customHeight="1" x14ac:dyDescent="0.45">
      <c r="B165" s="29" t="str">
        <f t="shared" si="7"/>
        <v/>
      </c>
      <c r="C165" s="25" t="str">
        <f t="shared" si="8"/>
        <v/>
      </c>
    </row>
    <row r="166" spans="2:3" ht="15.75" customHeight="1" x14ac:dyDescent="0.45">
      <c r="B166" s="29" t="str">
        <f t="shared" si="7"/>
        <v/>
      </c>
      <c r="C166" s="25" t="str">
        <f t="shared" si="8"/>
        <v/>
      </c>
    </row>
    <row r="167" spans="2:3" ht="15.75" customHeight="1" x14ac:dyDescent="0.45">
      <c r="B167" s="29" t="str">
        <f t="shared" si="7"/>
        <v/>
      </c>
      <c r="C167" s="25" t="str">
        <f t="shared" si="8"/>
        <v/>
      </c>
    </row>
    <row r="168" spans="2:3" ht="15.75" customHeight="1" x14ac:dyDescent="0.45">
      <c r="B168" s="29" t="str">
        <f t="shared" si="7"/>
        <v/>
      </c>
      <c r="C168" s="25" t="str">
        <f t="shared" si="8"/>
        <v/>
      </c>
    </row>
    <row r="169" spans="2:3" ht="15.75" customHeight="1" x14ac:dyDescent="0.45">
      <c r="B169" s="29" t="str">
        <f t="shared" si="7"/>
        <v/>
      </c>
      <c r="C169" s="25" t="str">
        <f t="shared" si="8"/>
        <v/>
      </c>
    </row>
    <row r="170" spans="2:3" ht="15.75" customHeight="1" x14ac:dyDescent="0.45">
      <c r="B170" s="29" t="str">
        <f t="shared" si="7"/>
        <v/>
      </c>
      <c r="C170" s="25" t="str">
        <f t="shared" si="8"/>
        <v/>
      </c>
    </row>
    <row r="171" spans="2:3" ht="15.75" customHeight="1" x14ac:dyDescent="0.45">
      <c r="B171" s="29" t="str">
        <f t="shared" si="7"/>
        <v/>
      </c>
      <c r="C171" s="25" t="str">
        <f t="shared" si="8"/>
        <v/>
      </c>
    </row>
    <row r="172" spans="2:3" ht="15.75" customHeight="1" x14ac:dyDescent="0.45">
      <c r="B172" s="29" t="str">
        <f t="shared" si="7"/>
        <v/>
      </c>
      <c r="C172" s="25" t="str">
        <f t="shared" si="8"/>
        <v/>
      </c>
    </row>
    <row r="173" spans="2:3" ht="15.75" customHeight="1" x14ac:dyDescent="0.45">
      <c r="B173" s="29" t="str">
        <f t="shared" si="7"/>
        <v/>
      </c>
      <c r="C173" s="25" t="str">
        <f t="shared" si="8"/>
        <v/>
      </c>
    </row>
    <row r="174" spans="2:3" ht="15.75" customHeight="1" x14ac:dyDescent="0.45">
      <c r="B174" s="29" t="str">
        <f t="shared" si="7"/>
        <v/>
      </c>
      <c r="C174" s="25" t="str">
        <f t="shared" si="8"/>
        <v/>
      </c>
    </row>
    <row r="175" spans="2:3" ht="15.75" customHeight="1" x14ac:dyDescent="0.45">
      <c r="B175" s="29" t="str">
        <f t="shared" si="7"/>
        <v/>
      </c>
      <c r="C175" s="25" t="str">
        <f t="shared" si="8"/>
        <v/>
      </c>
    </row>
    <row r="176" spans="2:3" ht="15.75" customHeight="1" x14ac:dyDescent="0.45">
      <c r="B176" s="29" t="str">
        <f t="shared" si="7"/>
        <v/>
      </c>
      <c r="C176" s="25" t="str">
        <f t="shared" si="8"/>
        <v/>
      </c>
    </row>
    <row r="177" spans="2:3" ht="15.75" customHeight="1" x14ac:dyDescent="0.45">
      <c r="B177" s="29" t="str">
        <f t="shared" si="7"/>
        <v/>
      </c>
      <c r="C177" s="25" t="str">
        <f t="shared" si="8"/>
        <v/>
      </c>
    </row>
    <row r="178" spans="2:3" ht="15.75" customHeight="1" x14ac:dyDescent="0.45">
      <c r="B178" s="29" t="str">
        <f t="shared" si="7"/>
        <v/>
      </c>
      <c r="C178" s="25" t="str">
        <f t="shared" si="8"/>
        <v/>
      </c>
    </row>
    <row r="179" spans="2:3" ht="15.75" customHeight="1" x14ac:dyDescent="0.45">
      <c r="B179" s="29" t="str">
        <f t="shared" si="7"/>
        <v/>
      </c>
      <c r="C179" s="25" t="str">
        <f t="shared" si="8"/>
        <v/>
      </c>
    </row>
    <row r="180" spans="2:3" ht="15.75" customHeight="1" x14ac:dyDescent="0.45">
      <c r="B180" s="29" t="str">
        <f t="shared" si="7"/>
        <v/>
      </c>
      <c r="C180" s="25" t="str">
        <f t="shared" si="8"/>
        <v/>
      </c>
    </row>
    <row r="181" spans="2:3" ht="15.75" customHeight="1" x14ac:dyDescent="0.45">
      <c r="B181" s="29" t="str">
        <f t="shared" si="7"/>
        <v/>
      </c>
      <c r="C181" s="25" t="str">
        <f t="shared" si="8"/>
        <v/>
      </c>
    </row>
    <row r="182" spans="2:3" ht="15.75" customHeight="1" x14ac:dyDescent="0.45">
      <c r="B182" s="29" t="str">
        <f t="shared" si="7"/>
        <v/>
      </c>
      <c r="C182" s="25" t="str">
        <f t="shared" si="8"/>
        <v/>
      </c>
    </row>
    <row r="183" spans="2:3" ht="15.75" customHeight="1" x14ac:dyDescent="0.45">
      <c r="B183" s="29" t="str">
        <f t="shared" si="7"/>
        <v/>
      </c>
      <c r="C183" s="25" t="str">
        <f t="shared" si="8"/>
        <v/>
      </c>
    </row>
    <row r="184" spans="2:3" ht="15.75" customHeight="1" x14ac:dyDescent="0.45">
      <c r="B184" s="29" t="str">
        <f t="shared" si="7"/>
        <v/>
      </c>
      <c r="C184" s="25" t="str">
        <f t="shared" si="8"/>
        <v/>
      </c>
    </row>
    <row r="185" spans="2:3" ht="15.75" customHeight="1" x14ac:dyDescent="0.45">
      <c r="B185" s="29" t="str">
        <f t="shared" si="7"/>
        <v/>
      </c>
      <c r="C185" s="25" t="str">
        <f t="shared" si="8"/>
        <v/>
      </c>
    </row>
    <row r="186" spans="2:3" ht="15.75" customHeight="1" x14ac:dyDescent="0.45">
      <c r="B186" s="29" t="str">
        <f t="shared" si="7"/>
        <v/>
      </c>
      <c r="C186" s="25" t="str">
        <f t="shared" si="8"/>
        <v/>
      </c>
    </row>
    <row r="187" spans="2:3" ht="15.75" customHeight="1" x14ac:dyDescent="0.45">
      <c r="B187" s="29" t="str">
        <f t="shared" si="7"/>
        <v/>
      </c>
      <c r="C187" s="25" t="str">
        <f t="shared" si="8"/>
        <v/>
      </c>
    </row>
    <row r="188" spans="2:3" ht="15.75" customHeight="1" x14ac:dyDescent="0.45">
      <c r="B188" s="29" t="str">
        <f t="shared" si="7"/>
        <v/>
      </c>
      <c r="C188" s="25" t="str">
        <f t="shared" si="8"/>
        <v/>
      </c>
    </row>
    <row r="189" spans="2:3" ht="15.75" customHeight="1" x14ac:dyDescent="0.45">
      <c r="B189" s="29" t="str">
        <f t="shared" si="7"/>
        <v/>
      </c>
      <c r="C189" s="25" t="str">
        <f t="shared" si="8"/>
        <v/>
      </c>
    </row>
    <row r="190" spans="2:3" ht="15.75" customHeight="1" x14ac:dyDescent="0.45">
      <c r="B190" s="29" t="str">
        <f t="shared" si="7"/>
        <v/>
      </c>
      <c r="C190" s="25" t="str">
        <f t="shared" si="8"/>
        <v/>
      </c>
    </row>
    <row r="191" spans="2:3" ht="15.75" customHeight="1" x14ac:dyDescent="0.45">
      <c r="B191" s="29" t="str">
        <f t="shared" si="7"/>
        <v/>
      </c>
      <c r="C191" s="25" t="str">
        <f t="shared" si="8"/>
        <v/>
      </c>
    </row>
    <row r="192" spans="2:3" ht="15.75" customHeight="1" x14ac:dyDescent="0.45">
      <c r="B192" s="29" t="str">
        <f t="shared" si="7"/>
        <v/>
      </c>
      <c r="C192" s="25" t="str">
        <f t="shared" si="8"/>
        <v/>
      </c>
    </row>
    <row r="193" spans="2:3" ht="15.75" customHeight="1" x14ac:dyDescent="0.45">
      <c r="B193" s="29" t="str">
        <f t="shared" si="7"/>
        <v/>
      </c>
      <c r="C193" s="25" t="str">
        <f t="shared" si="8"/>
        <v/>
      </c>
    </row>
    <row r="194" spans="2:3" ht="15.75" customHeight="1" x14ac:dyDescent="0.45">
      <c r="B194" s="29" t="str">
        <f t="shared" si="7"/>
        <v/>
      </c>
      <c r="C194" s="25" t="str">
        <f t="shared" si="8"/>
        <v/>
      </c>
    </row>
    <row r="195" spans="2:3" ht="15.75" customHeight="1" x14ac:dyDescent="0.45">
      <c r="B195" s="29" t="str">
        <f t="shared" si="7"/>
        <v/>
      </c>
      <c r="C195" s="25" t="str">
        <f t="shared" si="8"/>
        <v/>
      </c>
    </row>
    <row r="196" spans="2:3" ht="15.75" customHeight="1" x14ac:dyDescent="0.45">
      <c r="B196" s="29" t="str">
        <f t="shared" si="7"/>
        <v/>
      </c>
      <c r="C196" s="25" t="str">
        <f t="shared" si="8"/>
        <v/>
      </c>
    </row>
    <row r="197" spans="2:3" ht="15.75" customHeight="1" x14ac:dyDescent="0.45">
      <c r="B197" s="29" t="str">
        <f t="shared" si="7"/>
        <v/>
      </c>
      <c r="C197" s="25" t="str">
        <f t="shared" si="8"/>
        <v/>
      </c>
    </row>
    <row r="198" spans="2:3" ht="15.75" customHeight="1" x14ac:dyDescent="0.45">
      <c r="B198" s="29" t="str">
        <f t="shared" si="7"/>
        <v/>
      </c>
      <c r="C198" s="25" t="str">
        <f t="shared" si="8"/>
        <v/>
      </c>
    </row>
    <row r="199" spans="2:3" ht="15.75" customHeight="1" x14ac:dyDescent="0.45">
      <c r="B199" s="29" t="str">
        <f t="shared" si="7"/>
        <v/>
      </c>
      <c r="C199" s="25" t="str">
        <f t="shared" si="8"/>
        <v/>
      </c>
    </row>
    <row r="200" spans="2:3" ht="15.75" customHeight="1" x14ac:dyDescent="0.45">
      <c r="B200" s="29" t="str">
        <f t="shared" si="7"/>
        <v/>
      </c>
      <c r="C200" s="25" t="str">
        <f t="shared" si="8"/>
        <v/>
      </c>
    </row>
    <row r="201" spans="2:3" ht="15.75" customHeight="1" x14ac:dyDescent="0.45">
      <c r="B201" s="29" t="str">
        <f t="shared" si="7"/>
        <v/>
      </c>
      <c r="C201" s="25" t="str">
        <f t="shared" si="8"/>
        <v/>
      </c>
    </row>
    <row r="202" spans="2:3" ht="15.75" customHeight="1" x14ac:dyDescent="0.45">
      <c r="B202" s="29" t="str">
        <f t="shared" si="7"/>
        <v/>
      </c>
      <c r="C202" s="25" t="str">
        <f t="shared" si="8"/>
        <v/>
      </c>
    </row>
    <row r="203" spans="2:3" ht="15.75" customHeight="1" x14ac:dyDescent="0.45">
      <c r="B203" s="29" t="str">
        <f t="shared" si="7"/>
        <v/>
      </c>
      <c r="C203" s="25" t="str">
        <f t="shared" si="8"/>
        <v/>
      </c>
    </row>
    <row r="204" spans="2:3" ht="15.75" customHeight="1" x14ac:dyDescent="0.45">
      <c r="B204" s="29" t="str">
        <f t="shared" si="7"/>
        <v/>
      </c>
      <c r="C204" s="25" t="str">
        <f t="shared" si="8"/>
        <v/>
      </c>
    </row>
    <row r="205" spans="2:3" ht="15.75" customHeight="1" x14ac:dyDescent="0.45">
      <c r="B205" s="29" t="str">
        <f t="shared" si="7"/>
        <v/>
      </c>
      <c r="C205" s="25" t="str">
        <f t="shared" si="8"/>
        <v/>
      </c>
    </row>
    <row r="206" spans="2:3" ht="15.75" customHeight="1" x14ac:dyDescent="0.45">
      <c r="B206" s="29" t="str">
        <f t="shared" si="7"/>
        <v/>
      </c>
      <c r="C206" s="25" t="str">
        <f t="shared" si="8"/>
        <v/>
      </c>
    </row>
    <row r="207" spans="2:3" ht="15.75" customHeight="1" x14ac:dyDescent="0.45">
      <c r="B207" s="29" t="str">
        <f t="shared" si="7"/>
        <v/>
      </c>
      <c r="C207" s="25" t="str">
        <f t="shared" si="8"/>
        <v/>
      </c>
    </row>
    <row r="208" spans="2:3" ht="15.75" customHeight="1" x14ac:dyDescent="0.45">
      <c r="B208" s="29" t="str">
        <f t="shared" si="7"/>
        <v/>
      </c>
      <c r="C208" s="25" t="str">
        <f t="shared" si="8"/>
        <v/>
      </c>
    </row>
    <row r="209" spans="2:3" ht="15.75" customHeight="1" x14ac:dyDescent="0.45">
      <c r="B209" s="29" t="str">
        <f t="shared" si="7"/>
        <v/>
      </c>
      <c r="C209" s="25" t="str">
        <f t="shared" si="8"/>
        <v/>
      </c>
    </row>
    <row r="210" spans="2:3" ht="15.75" customHeight="1" x14ac:dyDescent="0.45">
      <c r="B210" s="29" t="str">
        <f t="shared" si="7"/>
        <v/>
      </c>
      <c r="C210" s="25" t="str">
        <f t="shared" si="8"/>
        <v/>
      </c>
    </row>
    <row r="211" spans="2:3" ht="15.75" customHeight="1" x14ac:dyDescent="0.45">
      <c r="B211" s="29" t="str">
        <f t="shared" si="7"/>
        <v/>
      </c>
      <c r="C211" s="25" t="str">
        <f t="shared" si="8"/>
        <v/>
      </c>
    </row>
    <row r="212" spans="2:3" ht="15.75" customHeight="1" x14ac:dyDescent="0.45">
      <c r="B212" s="29" t="str">
        <f t="shared" si="7"/>
        <v/>
      </c>
      <c r="C212" s="25" t="str">
        <f t="shared" si="8"/>
        <v/>
      </c>
    </row>
    <row r="213" spans="2:3" ht="15.75" customHeight="1" x14ac:dyDescent="0.45">
      <c r="B213" s="29" t="str">
        <f t="shared" si="7"/>
        <v/>
      </c>
      <c r="C213" s="25" t="str">
        <f t="shared" si="8"/>
        <v/>
      </c>
    </row>
    <row r="214" spans="2:3" ht="15.75" customHeight="1" x14ac:dyDescent="0.45">
      <c r="B214" s="29" t="str">
        <f t="shared" si="7"/>
        <v/>
      </c>
      <c r="C214" s="25" t="str">
        <f t="shared" si="8"/>
        <v/>
      </c>
    </row>
    <row r="215" spans="2:3" ht="15.75" customHeight="1" x14ac:dyDescent="0.45">
      <c r="B215" s="29" t="str">
        <f t="shared" ref="B215:B278" si="9">IF(B214="","",IF(B214+$C$9&lt;=$C$5,B214+$C$9,""))</f>
        <v/>
      </c>
      <c r="C215" s="25" t="str">
        <f t="shared" ref="C215:C278" si="10">IF(B215&lt;&gt;"",C214-$C$2/COUNT($B$17:$B$510),"")</f>
        <v/>
      </c>
    </row>
    <row r="216" spans="2:3" ht="15.75" customHeight="1" x14ac:dyDescent="0.45">
      <c r="B216" s="29" t="str">
        <f t="shared" si="9"/>
        <v/>
      </c>
      <c r="C216" s="25" t="str">
        <f t="shared" si="10"/>
        <v/>
      </c>
    </row>
    <row r="217" spans="2:3" ht="15.75" customHeight="1" x14ac:dyDescent="0.45">
      <c r="B217" s="29" t="str">
        <f t="shared" si="9"/>
        <v/>
      </c>
      <c r="C217" s="25" t="str">
        <f t="shared" si="10"/>
        <v/>
      </c>
    </row>
    <row r="218" spans="2:3" ht="15.75" customHeight="1" x14ac:dyDescent="0.45">
      <c r="B218" s="29" t="str">
        <f t="shared" si="9"/>
        <v/>
      </c>
      <c r="C218" s="25" t="str">
        <f t="shared" si="10"/>
        <v/>
      </c>
    </row>
    <row r="219" spans="2:3" ht="15.75" customHeight="1" x14ac:dyDescent="0.45">
      <c r="B219" s="29" t="str">
        <f t="shared" si="9"/>
        <v/>
      </c>
      <c r="C219" s="25" t="str">
        <f t="shared" si="10"/>
        <v/>
      </c>
    </row>
    <row r="220" spans="2:3" ht="15.75" customHeight="1" x14ac:dyDescent="0.45">
      <c r="B220" s="29" t="str">
        <f t="shared" si="9"/>
        <v/>
      </c>
      <c r="C220" s="25" t="str">
        <f t="shared" si="10"/>
        <v/>
      </c>
    </row>
    <row r="221" spans="2:3" ht="15.75" customHeight="1" x14ac:dyDescent="0.45">
      <c r="B221" s="29" t="str">
        <f t="shared" si="9"/>
        <v/>
      </c>
      <c r="C221" s="25" t="str">
        <f t="shared" si="10"/>
        <v/>
      </c>
    </row>
    <row r="222" spans="2:3" ht="15.75" customHeight="1" x14ac:dyDescent="0.45">
      <c r="B222" s="29" t="str">
        <f t="shared" si="9"/>
        <v/>
      </c>
      <c r="C222" s="25" t="str">
        <f t="shared" si="10"/>
        <v/>
      </c>
    </row>
    <row r="223" spans="2:3" ht="15.75" customHeight="1" x14ac:dyDescent="0.45">
      <c r="B223" s="29" t="str">
        <f t="shared" si="9"/>
        <v/>
      </c>
      <c r="C223" s="25" t="str">
        <f t="shared" si="10"/>
        <v/>
      </c>
    </row>
    <row r="224" spans="2:3" ht="15.75" customHeight="1" x14ac:dyDescent="0.45">
      <c r="B224" s="29" t="str">
        <f t="shared" si="9"/>
        <v/>
      </c>
      <c r="C224" s="25" t="str">
        <f t="shared" si="10"/>
        <v/>
      </c>
    </row>
    <row r="225" spans="2:3" ht="15.75" customHeight="1" x14ac:dyDescent="0.45">
      <c r="B225" s="29" t="str">
        <f t="shared" si="9"/>
        <v/>
      </c>
      <c r="C225" s="25" t="str">
        <f t="shared" si="10"/>
        <v/>
      </c>
    </row>
    <row r="226" spans="2:3" ht="15.75" customHeight="1" x14ac:dyDescent="0.45">
      <c r="B226" s="29" t="str">
        <f t="shared" si="9"/>
        <v/>
      </c>
      <c r="C226" s="25" t="str">
        <f t="shared" si="10"/>
        <v/>
      </c>
    </row>
    <row r="227" spans="2:3" ht="15.75" customHeight="1" x14ac:dyDescent="0.45">
      <c r="B227" s="29" t="str">
        <f t="shared" si="9"/>
        <v/>
      </c>
      <c r="C227" s="25" t="str">
        <f t="shared" si="10"/>
        <v/>
      </c>
    </row>
    <row r="228" spans="2:3" ht="15.75" customHeight="1" x14ac:dyDescent="0.45">
      <c r="B228" s="29" t="str">
        <f t="shared" si="9"/>
        <v/>
      </c>
      <c r="C228" s="25" t="str">
        <f t="shared" si="10"/>
        <v/>
      </c>
    </row>
    <row r="229" spans="2:3" ht="15.75" customHeight="1" x14ac:dyDescent="0.45">
      <c r="B229" s="29" t="str">
        <f t="shared" si="9"/>
        <v/>
      </c>
      <c r="C229" s="25" t="str">
        <f t="shared" si="10"/>
        <v/>
      </c>
    </row>
    <row r="230" spans="2:3" ht="15.75" customHeight="1" x14ac:dyDescent="0.45">
      <c r="B230" s="29" t="str">
        <f t="shared" si="9"/>
        <v/>
      </c>
      <c r="C230" s="25" t="str">
        <f t="shared" si="10"/>
        <v/>
      </c>
    </row>
    <row r="231" spans="2:3" ht="15.75" customHeight="1" x14ac:dyDescent="0.45">
      <c r="B231" s="29" t="str">
        <f t="shared" si="9"/>
        <v/>
      </c>
      <c r="C231" s="25" t="str">
        <f t="shared" si="10"/>
        <v/>
      </c>
    </row>
    <row r="232" spans="2:3" ht="15.75" customHeight="1" x14ac:dyDescent="0.45">
      <c r="B232" s="29" t="str">
        <f t="shared" si="9"/>
        <v/>
      </c>
      <c r="C232" s="25" t="str">
        <f t="shared" si="10"/>
        <v/>
      </c>
    </row>
    <row r="233" spans="2:3" ht="15.75" customHeight="1" x14ac:dyDescent="0.45">
      <c r="B233" s="29" t="str">
        <f t="shared" si="9"/>
        <v/>
      </c>
      <c r="C233" s="25" t="str">
        <f t="shared" si="10"/>
        <v/>
      </c>
    </row>
    <row r="234" spans="2:3" ht="15.75" customHeight="1" x14ac:dyDescent="0.45">
      <c r="B234" s="29" t="str">
        <f t="shared" si="9"/>
        <v/>
      </c>
      <c r="C234" s="25" t="str">
        <f t="shared" si="10"/>
        <v/>
      </c>
    </row>
    <row r="235" spans="2:3" ht="15.75" customHeight="1" x14ac:dyDescent="0.45">
      <c r="B235" s="29" t="str">
        <f t="shared" si="9"/>
        <v/>
      </c>
      <c r="C235" s="25" t="str">
        <f t="shared" si="10"/>
        <v/>
      </c>
    </row>
    <row r="236" spans="2:3" ht="15.75" customHeight="1" x14ac:dyDescent="0.45">
      <c r="B236" s="29" t="str">
        <f t="shared" si="9"/>
        <v/>
      </c>
      <c r="C236" s="25" t="str">
        <f t="shared" si="10"/>
        <v/>
      </c>
    </row>
    <row r="237" spans="2:3" ht="15.75" customHeight="1" x14ac:dyDescent="0.45">
      <c r="B237" s="29" t="str">
        <f t="shared" si="9"/>
        <v/>
      </c>
      <c r="C237" s="25" t="str">
        <f t="shared" si="10"/>
        <v/>
      </c>
    </row>
    <row r="238" spans="2:3" ht="15.75" customHeight="1" x14ac:dyDescent="0.45">
      <c r="B238" s="29" t="str">
        <f t="shared" si="9"/>
        <v/>
      </c>
      <c r="C238" s="25" t="str">
        <f t="shared" si="10"/>
        <v/>
      </c>
    </row>
    <row r="239" spans="2:3" ht="15.75" customHeight="1" x14ac:dyDescent="0.45">
      <c r="B239" s="29" t="str">
        <f t="shared" si="9"/>
        <v/>
      </c>
      <c r="C239" s="25" t="str">
        <f t="shared" si="10"/>
        <v/>
      </c>
    </row>
    <row r="240" spans="2:3" ht="15.75" customHeight="1" x14ac:dyDescent="0.45">
      <c r="B240" s="29" t="str">
        <f t="shared" si="9"/>
        <v/>
      </c>
      <c r="C240" s="25" t="str">
        <f t="shared" si="10"/>
        <v/>
      </c>
    </row>
    <row r="241" spans="2:3" ht="15.75" customHeight="1" x14ac:dyDescent="0.45">
      <c r="B241" s="29" t="str">
        <f t="shared" si="9"/>
        <v/>
      </c>
      <c r="C241" s="25" t="str">
        <f t="shared" si="10"/>
        <v/>
      </c>
    </row>
    <row r="242" spans="2:3" ht="15.75" customHeight="1" x14ac:dyDescent="0.45">
      <c r="B242" s="29" t="str">
        <f t="shared" si="9"/>
        <v/>
      </c>
      <c r="C242" s="25" t="str">
        <f t="shared" si="10"/>
        <v/>
      </c>
    </row>
    <row r="243" spans="2:3" ht="15.75" customHeight="1" x14ac:dyDescent="0.45">
      <c r="B243" s="29" t="str">
        <f t="shared" si="9"/>
        <v/>
      </c>
      <c r="C243" s="25" t="str">
        <f t="shared" si="10"/>
        <v/>
      </c>
    </row>
    <row r="244" spans="2:3" ht="15.75" customHeight="1" x14ac:dyDescent="0.45">
      <c r="B244" s="29" t="str">
        <f t="shared" si="9"/>
        <v/>
      </c>
      <c r="C244" s="25" t="str">
        <f t="shared" si="10"/>
        <v/>
      </c>
    </row>
    <row r="245" spans="2:3" ht="15.75" customHeight="1" x14ac:dyDescent="0.45">
      <c r="B245" s="29" t="str">
        <f t="shared" si="9"/>
        <v/>
      </c>
      <c r="C245" s="25" t="str">
        <f t="shared" si="10"/>
        <v/>
      </c>
    </row>
    <row r="246" spans="2:3" ht="15.75" customHeight="1" x14ac:dyDescent="0.45">
      <c r="B246" s="29" t="str">
        <f t="shared" si="9"/>
        <v/>
      </c>
      <c r="C246" s="25" t="str">
        <f t="shared" si="10"/>
        <v/>
      </c>
    </row>
    <row r="247" spans="2:3" ht="15.75" customHeight="1" x14ac:dyDescent="0.45">
      <c r="B247" s="29" t="str">
        <f t="shared" si="9"/>
        <v/>
      </c>
      <c r="C247" s="25" t="str">
        <f t="shared" si="10"/>
        <v/>
      </c>
    </row>
    <row r="248" spans="2:3" ht="15.75" customHeight="1" x14ac:dyDescent="0.45">
      <c r="B248" s="29" t="str">
        <f t="shared" si="9"/>
        <v/>
      </c>
      <c r="C248" s="25" t="str">
        <f t="shared" si="10"/>
        <v/>
      </c>
    </row>
    <row r="249" spans="2:3" ht="15.75" customHeight="1" x14ac:dyDescent="0.45">
      <c r="B249" s="29" t="str">
        <f t="shared" si="9"/>
        <v/>
      </c>
      <c r="C249" s="25" t="str">
        <f t="shared" si="10"/>
        <v/>
      </c>
    </row>
    <row r="250" spans="2:3" ht="15.75" customHeight="1" x14ac:dyDescent="0.45">
      <c r="B250" s="29" t="str">
        <f t="shared" si="9"/>
        <v/>
      </c>
      <c r="C250" s="25" t="str">
        <f t="shared" si="10"/>
        <v/>
      </c>
    </row>
    <row r="251" spans="2:3" ht="15.75" customHeight="1" x14ac:dyDescent="0.45">
      <c r="B251" s="29" t="str">
        <f t="shared" si="9"/>
        <v/>
      </c>
      <c r="C251" s="25" t="str">
        <f t="shared" si="10"/>
        <v/>
      </c>
    </row>
    <row r="252" spans="2:3" ht="15.75" customHeight="1" x14ac:dyDescent="0.45">
      <c r="B252" s="29" t="str">
        <f t="shared" si="9"/>
        <v/>
      </c>
      <c r="C252" s="25" t="str">
        <f t="shared" si="10"/>
        <v/>
      </c>
    </row>
    <row r="253" spans="2:3" ht="15.75" customHeight="1" x14ac:dyDescent="0.45">
      <c r="B253" s="29" t="str">
        <f t="shared" si="9"/>
        <v/>
      </c>
      <c r="C253" s="25" t="str">
        <f t="shared" si="10"/>
        <v/>
      </c>
    </row>
    <row r="254" spans="2:3" ht="15.75" customHeight="1" x14ac:dyDescent="0.45">
      <c r="B254" s="29" t="str">
        <f t="shared" si="9"/>
        <v/>
      </c>
      <c r="C254" s="25" t="str">
        <f t="shared" si="10"/>
        <v/>
      </c>
    </row>
    <row r="255" spans="2:3" ht="15.75" customHeight="1" x14ac:dyDescent="0.45">
      <c r="B255" s="29" t="str">
        <f t="shared" si="9"/>
        <v/>
      </c>
      <c r="C255" s="25" t="str">
        <f t="shared" si="10"/>
        <v/>
      </c>
    </row>
    <row r="256" spans="2:3" ht="15.75" customHeight="1" x14ac:dyDescent="0.45">
      <c r="B256" s="29" t="str">
        <f t="shared" si="9"/>
        <v/>
      </c>
      <c r="C256" s="25" t="str">
        <f t="shared" si="10"/>
        <v/>
      </c>
    </row>
    <row r="257" spans="2:3" ht="15.75" customHeight="1" x14ac:dyDescent="0.45">
      <c r="B257" s="29" t="str">
        <f t="shared" si="9"/>
        <v/>
      </c>
      <c r="C257" s="25" t="str">
        <f t="shared" si="10"/>
        <v/>
      </c>
    </row>
    <row r="258" spans="2:3" ht="15.75" customHeight="1" x14ac:dyDescent="0.45">
      <c r="B258" s="29" t="str">
        <f t="shared" si="9"/>
        <v/>
      </c>
      <c r="C258" s="25" t="str">
        <f t="shared" si="10"/>
        <v/>
      </c>
    </row>
    <row r="259" spans="2:3" ht="15.75" customHeight="1" x14ac:dyDescent="0.45">
      <c r="B259" s="29" t="str">
        <f t="shared" si="9"/>
        <v/>
      </c>
      <c r="C259" s="25" t="str">
        <f t="shared" si="10"/>
        <v/>
      </c>
    </row>
    <row r="260" spans="2:3" ht="15.75" customHeight="1" x14ac:dyDescent="0.45">
      <c r="B260" s="29" t="str">
        <f t="shared" si="9"/>
        <v/>
      </c>
      <c r="C260" s="25" t="str">
        <f t="shared" si="10"/>
        <v/>
      </c>
    </row>
    <row r="261" spans="2:3" ht="15.75" customHeight="1" x14ac:dyDescent="0.45">
      <c r="B261" s="29" t="str">
        <f t="shared" si="9"/>
        <v/>
      </c>
      <c r="C261" s="25" t="str">
        <f t="shared" si="10"/>
        <v/>
      </c>
    </row>
    <row r="262" spans="2:3" ht="15.75" customHeight="1" x14ac:dyDescent="0.45">
      <c r="B262" s="29" t="str">
        <f t="shared" si="9"/>
        <v/>
      </c>
      <c r="C262" s="25" t="str">
        <f t="shared" si="10"/>
        <v/>
      </c>
    </row>
    <row r="263" spans="2:3" ht="15.75" customHeight="1" x14ac:dyDescent="0.45">
      <c r="B263" s="29" t="str">
        <f t="shared" si="9"/>
        <v/>
      </c>
      <c r="C263" s="25" t="str">
        <f t="shared" si="10"/>
        <v/>
      </c>
    </row>
    <row r="264" spans="2:3" ht="15.75" customHeight="1" x14ac:dyDescent="0.45">
      <c r="B264" s="29" t="str">
        <f t="shared" si="9"/>
        <v/>
      </c>
      <c r="C264" s="25" t="str">
        <f t="shared" si="10"/>
        <v/>
      </c>
    </row>
    <row r="265" spans="2:3" ht="15.75" customHeight="1" x14ac:dyDescent="0.45">
      <c r="B265" s="29" t="str">
        <f t="shared" si="9"/>
        <v/>
      </c>
      <c r="C265" s="25" t="str">
        <f t="shared" si="10"/>
        <v/>
      </c>
    </row>
    <row r="266" spans="2:3" ht="15.75" customHeight="1" x14ac:dyDescent="0.45">
      <c r="B266" s="29" t="str">
        <f t="shared" si="9"/>
        <v/>
      </c>
      <c r="C266" s="25" t="str">
        <f t="shared" si="10"/>
        <v/>
      </c>
    </row>
    <row r="267" spans="2:3" ht="15.75" customHeight="1" x14ac:dyDescent="0.45">
      <c r="B267" s="29" t="str">
        <f t="shared" si="9"/>
        <v/>
      </c>
      <c r="C267" s="25" t="str">
        <f t="shared" si="10"/>
        <v/>
      </c>
    </row>
    <row r="268" spans="2:3" ht="15.75" customHeight="1" x14ac:dyDescent="0.45">
      <c r="B268" s="29" t="str">
        <f t="shared" si="9"/>
        <v/>
      </c>
      <c r="C268" s="25" t="str">
        <f t="shared" si="10"/>
        <v/>
      </c>
    </row>
    <row r="269" spans="2:3" ht="15.75" customHeight="1" x14ac:dyDescent="0.45">
      <c r="B269" s="29" t="str">
        <f t="shared" si="9"/>
        <v/>
      </c>
      <c r="C269" s="25" t="str">
        <f t="shared" si="10"/>
        <v/>
      </c>
    </row>
    <row r="270" spans="2:3" ht="15.75" customHeight="1" x14ac:dyDescent="0.45">
      <c r="B270" s="29" t="str">
        <f t="shared" si="9"/>
        <v/>
      </c>
      <c r="C270" s="25" t="str">
        <f t="shared" si="10"/>
        <v/>
      </c>
    </row>
    <row r="271" spans="2:3" ht="15.75" customHeight="1" x14ac:dyDescent="0.45">
      <c r="B271" s="29" t="str">
        <f t="shared" si="9"/>
        <v/>
      </c>
      <c r="C271" s="25" t="str">
        <f t="shared" si="10"/>
        <v/>
      </c>
    </row>
    <row r="272" spans="2:3" ht="15.75" customHeight="1" x14ac:dyDescent="0.45">
      <c r="B272" s="29" t="str">
        <f t="shared" si="9"/>
        <v/>
      </c>
      <c r="C272" s="25" t="str">
        <f t="shared" si="10"/>
        <v/>
      </c>
    </row>
    <row r="273" spans="2:3" ht="15.75" customHeight="1" x14ac:dyDescent="0.45">
      <c r="B273" s="29" t="str">
        <f t="shared" si="9"/>
        <v/>
      </c>
      <c r="C273" s="25" t="str">
        <f t="shared" si="10"/>
        <v/>
      </c>
    </row>
    <row r="274" spans="2:3" ht="15.75" customHeight="1" x14ac:dyDescent="0.45">
      <c r="B274" s="29" t="str">
        <f t="shared" si="9"/>
        <v/>
      </c>
      <c r="C274" s="25" t="str">
        <f t="shared" si="10"/>
        <v/>
      </c>
    </row>
    <row r="275" spans="2:3" ht="15.75" customHeight="1" x14ac:dyDescent="0.45">
      <c r="B275" s="29" t="str">
        <f t="shared" si="9"/>
        <v/>
      </c>
      <c r="C275" s="25" t="str">
        <f t="shared" si="10"/>
        <v/>
      </c>
    </row>
    <row r="276" spans="2:3" ht="15.75" customHeight="1" x14ac:dyDescent="0.45">
      <c r="B276" s="29" t="str">
        <f t="shared" si="9"/>
        <v/>
      </c>
      <c r="C276" s="25" t="str">
        <f t="shared" si="10"/>
        <v/>
      </c>
    </row>
    <row r="277" spans="2:3" ht="15.75" customHeight="1" x14ac:dyDescent="0.45">
      <c r="B277" s="29" t="str">
        <f t="shared" si="9"/>
        <v/>
      </c>
      <c r="C277" s="25" t="str">
        <f t="shared" si="10"/>
        <v/>
      </c>
    </row>
    <row r="278" spans="2:3" ht="15.75" customHeight="1" x14ac:dyDescent="0.45">
      <c r="B278" s="29" t="str">
        <f t="shared" si="9"/>
        <v/>
      </c>
      <c r="C278" s="25" t="str">
        <f t="shared" si="10"/>
        <v/>
      </c>
    </row>
    <row r="279" spans="2:3" ht="15.75" customHeight="1" x14ac:dyDescent="0.45">
      <c r="B279" s="29" t="str">
        <f t="shared" ref="B279:B342" si="11">IF(B278="","",IF(B278+$C$9&lt;=$C$5,B278+$C$9,""))</f>
        <v/>
      </c>
      <c r="C279" s="25" t="str">
        <f t="shared" ref="C279:C342" si="12">IF(B279&lt;&gt;"",C278-$C$2/COUNT($B$17:$B$510),"")</f>
        <v/>
      </c>
    </row>
    <row r="280" spans="2:3" ht="15.75" customHeight="1" x14ac:dyDescent="0.45">
      <c r="B280" s="29" t="str">
        <f t="shared" si="11"/>
        <v/>
      </c>
      <c r="C280" s="25" t="str">
        <f t="shared" si="12"/>
        <v/>
      </c>
    </row>
    <row r="281" spans="2:3" ht="15.75" customHeight="1" x14ac:dyDescent="0.45">
      <c r="B281" s="29" t="str">
        <f t="shared" si="11"/>
        <v/>
      </c>
      <c r="C281" s="25" t="str">
        <f t="shared" si="12"/>
        <v/>
      </c>
    </row>
    <row r="282" spans="2:3" ht="15.75" customHeight="1" x14ac:dyDescent="0.45">
      <c r="B282" s="29" t="str">
        <f t="shared" si="11"/>
        <v/>
      </c>
      <c r="C282" s="25" t="str">
        <f t="shared" si="12"/>
        <v/>
      </c>
    </row>
    <row r="283" spans="2:3" ht="15.75" customHeight="1" x14ac:dyDescent="0.45">
      <c r="B283" s="29" t="str">
        <f t="shared" si="11"/>
        <v/>
      </c>
      <c r="C283" s="25" t="str">
        <f t="shared" si="12"/>
        <v/>
      </c>
    </row>
    <row r="284" spans="2:3" ht="15.75" customHeight="1" x14ac:dyDescent="0.45">
      <c r="B284" s="29" t="str">
        <f t="shared" si="11"/>
        <v/>
      </c>
      <c r="C284" s="25" t="str">
        <f t="shared" si="12"/>
        <v/>
      </c>
    </row>
    <row r="285" spans="2:3" ht="15.75" customHeight="1" x14ac:dyDescent="0.45">
      <c r="B285" s="29" t="str">
        <f t="shared" si="11"/>
        <v/>
      </c>
      <c r="C285" s="25" t="str">
        <f t="shared" si="12"/>
        <v/>
      </c>
    </row>
    <row r="286" spans="2:3" ht="15.75" customHeight="1" x14ac:dyDescent="0.45">
      <c r="B286" s="29" t="str">
        <f t="shared" si="11"/>
        <v/>
      </c>
      <c r="C286" s="25" t="str">
        <f t="shared" si="12"/>
        <v/>
      </c>
    </row>
    <row r="287" spans="2:3" ht="15.75" customHeight="1" x14ac:dyDescent="0.45">
      <c r="B287" s="29" t="str">
        <f t="shared" si="11"/>
        <v/>
      </c>
      <c r="C287" s="25" t="str">
        <f t="shared" si="12"/>
        <v/>
      </c>
    </row>
    <row r="288" spans="2:3" ht="15.75" customHeight="1" x14ac:dyDescent="0.45">
      <c r="B288" s="29" t="str">
        <f t="shared" si="11"/>
        <v/>
      </c>
      <c r="C288" s="25" t="str">
        <f t="shared" si="12"/>
        <v/>
      </c>
    </row>
    <row r="289" spans="2:3" ht="15.75" customHeight="1" x14ac:dyDescent="0.45">
      <c r="B289" s="29" t="str">
        <f t="shared" si="11"/>
        <v/>
      </c>
      <c r="C289" s="25" t="str">
        <f t="shared" si="12"/>
        <v/>
      </c>
    </row>
    <row r="290" spans="2:3" ht="15.75" customHeight="1" x14ac:dyDescent="0.45">
      <c r="B290" s="29" t="str">
        <f t="shared" si="11"/>
        <v/>
      </c>
      <c r="C290" s="25" t="str">
        <f t="shared" si="12"/>
        <v/>
      </c>
    </row>
    <row r="291" spans="2:3" ht="15.75" customHeight="1" x14ac:dyDescent="0.45">
      <c r="B291" s="29" t="str">
        <f t="shared" si="11"/>
        <v/>
      </c>
      <c r="C291" s="25" t="str">
        <f t="shared" si="12"/>
        <v/>
      </c>
    </row>
    <row r="292" spans="2:3" ht="15.75" customHeight="1" x14ac:dyDescent="0.45">
      <c r="B292" s="29" t="str">
        <f t="shared" si="11"/>
        <v/>
      </c>
      <c r="C292" s="25" t="str">
        <f t="shared" si="12"/>
        <v/>
      </c>
    </row>
    <row r="293" spans="2:3" ht="15.75" customHeight="1" x14ac:dyDescent="0.45">
      <c r="B293" s="29" t="str">
        <f t="shared" si="11"/>
        <v/>
      </c>
      <c r="C293" s="25" t="str">
        <f t="shared" si="12"/>
        <v/>
      </c>
    </row>
    <row r="294" spans="2:3" ht="15.75" customHeight="1" x14ac:dyDescent="0.45">
      <c r="B294" s="29" t="str">
        <f t="shared" si="11"/>
        <v/>
      </c>
      <c r="C294" s="25" t="str">
        <f t="shared" si="12"/>
        <v/>
      </c>
    </row>
    <row r="295" spans="2:3" ht="15.75" customHeight="1" x14ac:dyDescent="0.45">
      <c r="B295" s="29" t="str">
        <f t="shared" si="11"/>
        <v/>
      </c>
      <c r="C295" s="25" t="str">
        <f t="shared" si="12"/>
        <v/>
      </c>
    </row>
    <row r="296" spans="2:3" ht="15.75" customHeight="1" x14ac:dyDescent="0.45">
      <c r="B296" s="29" t="str">
        <f t="shared" si="11"/>
        <v/>
      </c>
      <c r="C296" s="25" t="str">
        <f t="shared" si="12"/>
        <v/>
      </c>
    </row>
    <row r="297" spans="2:3" ht="15.75" customHeight="1" x14ac:dyDescent="0.45">
      <c r="B297" s="29" t="str">
        <f t="shared" si="11"/>
        <v/>
      </c>
      <c r="C297" s="25" t="str">
        <f t="shared" si="12"/>
        <v/>
      </c>
    </row>
    <row r="298" spans="2:3" ht="15.75" customHeight="1" x14ac:dyDescent="0.45">
      <c r="B298" s="29" t="str">
        <f t="shared" si="11"/>
        <v/>
      </c>
      <c r="C298" s="25" t="str">
        <f t="shared" si="12"/>
        <v/>
      </c>
    </row>
    <row r="299" spans="2:3" ht="15.75" customHeight="1" x14ac:dyDescent="0.45">
      <c r="B299" s="29" t="str">
        <f t="shared" si="11"/>
        <v/>
      </c>
      <c r="C299" s="25" t="str">
        <f t="shared" si="12"/>
        <v/>
      </c>
    </row>
    <row r="300" spans="2:3" ht="15.75" customHeight="1" x14ac:dyDescent="0.45">
      <c r="B300" s="29" t="str">
        <f t="shared" si="11"/>
        <v/>
      </c>
      <c r="C300" s="25" t="str">
        <f t="shared" si="12"/>
        <v/>
      </c>
    </row>
    <row r="301" spans="2:3" ht="15.75" customHeight="1" x14ac:dyDescent="0.45">
      <c r="B301" s="29" t="str">
        <f t="shared" si="11"/>
        <v/>
      </c>
      <c r="C301" s="25" t="str">
        <f t="shared" si="12"/>
        <v/>
      </c>
    </row>
    <row r="302" spans="2:3" ht="15.75" customHeight="1" x14ac:dyDescent="0.45">
      <c r="B302" s="29" t="str">
        <f t="shared" si="11"/>
        <v/>
      </c>
      <c r="C302" s="25" t="str">
        <f t="shared" si="12"/>
        <v/>
      </c>
    </row>
    <row r="303" spans="2:3" ht="15.75" customHeight="1" x14ac:dyDescent="0.45">
      <c r="B303" s="29" t="str">
        <f t="shared" si="11"/>
        <v/>
      </c>
      <c r="C303" s="25" t="str">
        <f t="shared" si="12"/>
        <v/>
      </c>
    </row>
    <row r="304" spans="2:3" ht="15.75" customHeight="1" x14ac:dyDescent="0.45">
      <c r="B304" s="29" t="str">
        <f t="shared" si="11"/>
        <v/>
      </c>
      <c r="C304" s="25" t="str">
        <f t="shared" si="12"/>
        <v/>
      </c>
    </row>
    <row r="305" spans="2:3" ht="15.75" customHeight="1" x14ac:dyDescent="0.45">
      <c r="B305" s="29" t="str">
        <f t="shared" si="11"/>
        <v/>
      </c>
      <c r="C305" s="25" t="str">
        <f t="shared" si="12"/>
        <v/>
      </c>
    </row>
    <row r="306" spans="2:3" ht="15.75" customHeight="1" x14ac:dyDescent="0.45">
      <c r="B306" s="29" t="str">
        <f t="shared" si="11"/>
        <v/>
      </c>
      <c r="C306" s="25" t="str">
        <f t="shared" si="12"/>
        <v/>
      </c>
    </row>
    <row r="307" spans="2:3" ht="15.75" customHeight="1" x14ac:dyDescent="0.45">
      <c r="B307" s="29" t="str">
        <f t="shared" si="11"/>
        <v/>
      </c>
      <c r="C307" s="25" t="str">
        <f t="shared" si="12"/>
        <v/>
      </c>
    </row>
    <row r="308" spans="2:3" ht="15.75" customHeight="1" x14ac:dyDescent="0.45">
      <c r="B308" s="29" t="str">
        <f t="shared" si="11"/>
        <v/>
      </c>
      <c r="C308" s="25" t="str">
        <f t="shared" si="12"/>
        <v/>
      </c>
    </row>
    <row r="309" spans="2:3" ht="15.75" customHeight="1" x14ac:dyDescent="0.45">
      <c r="B309" s="29" t="str">
        <f t="shared" si="11"/>
        <v/>
      </c>
      <c r="C309" s="25" t="str">
        <f t="shared" si="12"/>
        <v/>
      </c>
    </row>
    <row r="310" spans="2:3" ht="15.75" customHeight="1" x14ac:dyDescent="0.45">
      <c r="B310" s="29" t="str">
        <f t="shared" si="11"/>
        <v/>
      </c>
      <c r="C310" s="25" t="str">
        <f t="shared" si="12"/>
        <v/>
      </c>
    </row>
    <row r="311" spans="2:3" ht="15.75" customHeight="1" x14ac:dyDescent="0.45">
      <c r="B311" s="29" t="str">
        <f t="shared" si="11"/>
        <v/>
      </c>
      <c r="C311" s="25" t="str">
        <f t="shared" si="12"/>
        <v/>
      </c>
    </row>
    <row r="312" spans="2:3" ht="15.75" customHeight="1" x14ac:dyDescent="0.45">
      <c r="B312" s="29" t="str">
        <f t="shared" si="11"/>
        <v/>
      </c>
      <c r="C312" s="25" t="str">
        <f t="shared" si="12"/>
        <v/>
      </c>
    </row>
    <row r="313" spans="2:3" ht="15.75" customHeight="1" x14ac:dyDescent="0.45">
      <c r="B313" s="29" t="str">
        <f t="shared" si="11"/>
        <v/>
      </c>
      <c r="C313" s="25" t="str">
        <f t="shared" si="12"/>
        <v/>
      </c>
    </row>
    <row r="314" spans="2:3" ht="15.75" customHeight="1" x14ac:dyDescent="0.45">
      <c r="B314" s="29" t="str">
        <f t="shared" si="11"/>
        <v/>
      </c>
      <c r="C314" s="25" t="str">
        <f t="shared" si="12"/>
        <v/>
      </c>
    </row>
    <row r="315" spans="2:3" ht="15.75" customHeight="1" x14ac:dyDescent="0.45">
      <c r="B315" s="29" t="str">
        <f t="shared" si="11"/>
        <v/>
      </c>
      <c r="C315" s="25" t="str">
        <f t="shared" si="12"/>
        <v/>
      </c>
    </row>
    <row r="316" spans="2:3" ht="15.75" customHeight="1" x14ac:dyDescent="0.45">
      <c r="B316" s="29" t="str">
        <f t="shared" si="11"/>
        <v/>
      </c>
      <c r="C316" s="25" t="str">
        <f t="shared" si="12"/>
        <v/>
      </c>
    </row>
    <row r="317" spans="2:3" ht="15.75" customHeight="1" x14ac:dyDescent="0.45">
      <c r="B317" s="29" t="str">
        <f t="shared" si="11"/>
        <v/>
      </c>
      <c r="C317" s="25" t="str">
        <f t="shared" si="12"/>
        <v/>
      </c>
    </row>
    <row r="318" spans="2:3" ht="15.75" customHeight="1" x14ac:dyDescent="0.45">
      <c r="B318" s="29" t="str">
        <f t="shared" si="11"/>
        <v/>
      </c>
      <c r="C318" s="25" t="str">
        <f t="shared" si="12"/>
        <v/>
      </c>
    </row>
    <row r="319" spans="2:3" ht="15.75" customHeight="1" x14ac:dyDescent="0.45">
      <c r="B319" s="29" t="str">
        <f t="shared" si="11"/>
        <v/>
      </c>
      <c r="C319" s="25" t="str">
        <f t="shared" si="12"/>
        <v/>
      </c>
    </row>
    <row r="320" spans="2:3" ht="15.75" customHeight="1" x14ac:dyDescent="0.45">
      <c r="B320" s="29" t="str">
        <f t="shared" si="11"/>
        <v/>
      </c>
      <c r="C320" s="25" t="str">
        <f t="shared" si="12"/>
        <v/>
      </c>
    </row>
    <row r="321" spans="2:3" ht="15.75" customHeight="1" x14ac:dyDescent="0.45">
      <c r="B321" s="29" t="str">
        <f t="shared" si="11"/>
        <v/>
      </c>
      <c r="C321" s="25" t="str">
        <f t="shared" si="12"/>
        <v/>
      </c>
    </row>
    <row r="322" spans="2:3" ht="15.75" customHeight="1" x14ac:dyDescent="0.45">
      <c r="B322" s="29" t="str">
        <f t="shared" si="11"/>
        <v/>
      </c>
      <c r="C322" s="25" t="str">
        <f t="shared" si="12"/>
        <v/>
      </c>
    </row>
    <row r="323" spans="2:3" ht="15.75" customHeight="1" x14ac:dyDescent="0.45">
      <c r="B323" s="29" t="str">
        <f t="shared" si="11"/>
        <v/>
      </c>
      <c r="C323" s="25" t="str">
        <f t="shared" si="12"/>
        <v/>
      </c>
    </row>
    <row r="324" spans="2:3" ht="15.75" customHeight="1" x14ac:dyDescent="0.45">
      <c r="B324" s="29" t="str">
        <f t="shared" si="11"/>
        <v/>
      </c>
      <c r="C324" s="25" t="str">
        <f t="shared" si="12"/>
        <v/>
      </c>
    </row>
    <row r="325" spans="2:3" ht="15.75" customHeight="1" x14ac:dyDescent="0.45">
      <c r="B325" s="29" t="str">
        <f t="shared" si="11"/>
        <v/>
      </c>
      <c r="C325" s="25" t="str">
        <f t="shared" si="12"/>
        <v/>
      </c>
    </row>
    <row r="326" spans="2:3" ht="15.75" customHeight="1" x14ac:dyDescent="0.45">
      <c r="B326" s="29" t="str">
        <f t="shared" si="11"/>
        <v/>
      </c>
      <c r="C326" s="25" t="str">
        <f t="shared" si="12"/>
        <v/>
      </c>
    </row>
    <row r="327" spans="2:3" ht="15.75" customHeight="1" x14ac:dyDescent="0.45">
      <c r="B327" s="29" t="str">
        <f t="shared" si="11"/>
        <v/>
      </c>
      <c r="C327" s="25" t="str">
        <f t="shared" si="12"/>
        <v/>
      </c>
    </row>
    <row r="328" spans="2:3" ht="15.75" customHeight="1" x14ac:dyDescent="0.45">
      <c r="B328" s="29" t="str">
        <f t="shared" si="11"/>
        <v/>
      </c>
      <c r="C328" s="25" t="str">
        <f t="shared" si="12"/>
        <v/>
      </c>
    </row>
    <row r="329" spans="2:3" ht="15.75" customHeight="1" x14ac:dyDescent="0.45">
      <c r="B329" s="29" t="str">
        <f t="shared" si="11"/>
        <v/>
      </c>
      <c r="C329" s="25" t="str">
        <f t="shared" si="12"/>
        <v/>
      </c>
    </row>
    <row r="330" spans="2:3" ht="15.75" customHeight="1" x14ac:dyDescent="0.45">
      <c r="B330" s="29" t="str">
        <f t="shared" si="11"/>
        <v/>
      </c>
      <c r="C330" s="25" t="str">
        <f t="shared" si="12"/>
        <v/>
      </c>
    </row>
    <row r="331" spans="2:3" ht="15.75" customHeight="1" x14ac:dyDescent="0.45">
      <c r="B331" s="29" t="str">
        <f t="shared" si="11"/>
        <v/>
      </c>
      <c r="C331" s="25" t="str">
        <f t="shared" si="12"/>
        <v/>
      </c>
    </row>
    <row r="332" spans="2:3" ht="15.75" customHeight="1" x14ac:dyDescent="0.45">
      <c r="B332" s="29" t="str">
        <f t="shared" si="11"/>
        <v/>
      </c>
      <c r="C332" s="25" t="str">
        <f t="shared" si="12"/>
        <v/>
      </c>
    </row>
    <row r="333" spans="2:3" ht="15.75" customHeight="1" x14ac:dyDescent="0.45">
      <c r="B333" s="29" t="str">
        <f t="shared" si="11"/>
        <v/>
      </c>
      <c r="C333" s="25" t="str">
        <f t="shared" si="12"/>
        <v/>
      </c>
    </row>
    <row r="334" spans="2:3" ht="15.75" customHeight="1" x14ac:dyDescent="0.45">
      <c r="B334" s="29" t="str">
        <f t="shared" si="11"/>
        <v/>
      </c>
      <c r="C334" s="25" t="str">
        <f t="shared" si="12"/>
        <v/>
      </c>
    </row>
    <row r="335" spans="2:3" ht="15.75" customHeight="1" x14ac:dyDescent="0.45">
      <c r="B335" s="29" t="str">
        <f t="shared" si="11"/>
        <v/>
      </c>
      <c r="C335" s="25" t="str">
        <f t="shared" si="12"/>
        <v/>
      </c>
    </row>
    <row r="336" spans="2:3" ht="15.75" customHeight="1" x14ac:dyDescent="0.45">
      <c r="B336" s="29" t="str">
        <f t="shared" si="11"/>
        <v/>
      </c>
      <c r="C336" s="25" t="str">
        <f t="shared" si="12"/>
        <v/>
      </c>
    </row>
    <row r="337" spans="2:3" ht="15.75" customHeight="1" x14ac:dyDescent="0.45">
      <c r="B337" s="29" t="str">
        <f t="shared" si="11"/>
        <v/>
      </c>
      <c r="C337" s="25" t="str">
        <f t="shared" si="12"/>
        <v/>
      </c>
    </row>
    <row r="338" spans="2:3" ht="15.75" customHeight="1" x14ac:dyDescent="0.45">
      <c r="B338" s="29" t="str">
        <f t="shared" si="11"/>
        <v/>
      </c>
      <c r="C338" s="25" t="str">
        <f t="shared" si="12"/>
        <v/>
      </c>
    </row>
    <row r="339" spans="2:3" ht="15.75" customHeight="1" x14ac:dyDescent="0.45">
      <c r="B339" s="29" t="str">
        <f t="shared" si="11"/>
        <v/>
      </c>
      <c r="C339" s="25" t="str">
        <f t="shared" si="12"/>
        <v/>
      </c>
    </row>
    <row r="340" spans="2:3" ht="15.75" customHeight="1" x14ac:dyDescent="0.45">
      <c r="B340" s="29" t="str">
        <f t="shared" si="11"/>
        <v/>
      </c>
      <c r="C340" s="25" t="str">
        <f t="shared" si="12"/>
        <v/>
      </c>
    </row>
    <row r="341" spans="2:3" ht="15.75" customHeight="1" x14ac:dyDescent="0.45">
      <c r="B341" s="29" t="str">
        <f t="shared" si="11"/>
        <v/>
      </c>
      <c r="C341" s="25" t="str">
        <f t="shared" si="12"/>
        <v/>
      </c>
    </row>
    <row r="342" spans="2:3" ht="15.75" customHeight="1" x14ac:dyDescent="0.45">
      <c r="B342" s="29" t="str">
        <f t="shared" si="11"/>
        <v/>
      </c>
      <c r="C342" s="25" t="str">
        <f t="shared" si="12"/>
        <v/>
      </c>
    </row>
    <row r="343" spans="2:3" ht="15.75" customHeight="1" x14ac:dyDescent="0.45">
      <c r="B343" s="29" t="str">
        <f t="shared" ref="B343:B406" si="13">IF(B342="","",IF(B342+$C$9&lt;=$C$5,B342+$C$9,""))</f>
        <v/>
      </c>
      <c r="C343" s="25" t="str">
        <f t="shared" ref="C343:C406" si="14">IF(B343&lt;&gt;"",C342-$C$2/COUNT($B$17:$B$510),"")</f>
        <v/>
      </c>
    </row>
    <row r="344" spans="2:3" ht="15.75" customHeight="1" x14ac:dyDescent="0.45">
      <c r="B344" s="29" t="str">
        <f t="shared" si="13"/>
        <v/>
      </c>
      <c r="C344" s="25" t="str">
        <f t="shared" si="14"/>
        <v/>
      </c>
    </row>
    <row r="345" spans="2:3" ht="15.75" customHeight="1" x14ac:dyDescent="0.45">
      <c r="B345" s="29" t="str">
        <f t="shared" si="13"/>
        <v/>
      </c>
      <c r="C345" s="25" t="str">
        <f t="shared" si="14"/>
        <v/>
      </c>
    </row>
    <row r="346" spans="2:3" ht="15.75" customHeight="1" x14ac:dyDescent="0.45">
      <c r="B346" s="29" t="str">
        <f t="shared" si="13"/>
        <v/>
      </c>
      <c r="C346" s="25" t="str">
        <f t="shared" si="14"/>
        <v/>
      </c>
    </row>
    <row r="347" spans="2:3" ht="15.75" customHeight="1" x14ac:dyDescent="0.45">
      <c r="B347" s="29" t="str">
        <f t="shared" si="13"/>
        <v/>
      </c>
      <c r="C347" s="25" t="str">
        <f t="shared" si="14"/>
        <v/>
      </c>
    </row>
    <row r="348" spans="2:3" ht="15.75" customHeight="1" x14ac:dyDescent="0.45">
      <c r="B348" s="29" t="str">
        <f t="shared" si="13"/>
        <v/>
      </c>
      <c r="C348" s="25" t="str">
        <f t="shared" si="14"/>
        <v/>
      </c>
    </row>
    <row r="349" spans="2:3" ht="15.75" customHeight="1" x14ac:dyDescent="0.45">
      <c r="B349" s="29" t="str">
        <f t="shared" si="13"/>
        <v/>
      </c>
      <c r="C349" s="25" t="str">
        <f t="shared" si="14"/>
        <v/>
      </c>
    </row>
    <row r="350" spans="2:3" ht="15.75" customHeight="1" x14ac:dyDescent="0.45">
      <c r="B350" s="29" t="str">
        <f t="shared" si="13"/>
        <v/>
      </c>
      <c r="C350" s="25" t="str">
        <f t="shared" si="14"/>
        <v/>
      </c>
    </row>
    <row r="351" spans="2:3" ht="15.75" customHeight="1" x14ac:dyDescent="0.45">
      <c r="B351" s="29" t="str">
        <f t="shared" si="13"/>
        <v/>
      </c>
      <c r="C351" s="25" t="str">
        <f t="shared" si="14"/>
        <v/>
      </c>
    </row>
    <row r="352" spans="2:3" ht="15.75" customHeight="1" x14ac:dyDescent="0.45">
      <c r="B352" s="29" t="str">
        <f t="shared" si="13"/>
        <v/>
      </c>
      <c r="C352" s="25" t="str">
        <f t="shared" si="14"/>
        <v/>
      </c>
    </row>
    <row r="353" spans="2:3" ht="15.75" customHeight="1" x14ac:dyDescent="0.45">
      <c r="B353" s="29" t="str">
        <f t="shared" si="13"/>
        <v/>
      </c>
      <c r="C353" s="25" t="str">
        <f t="shared" si="14"/>
        <v/>
      </c>
    </row>
    <row r="354" spans="2:3" ht="15.75" customHeight="1" x14ac:dyDescent="0.45">
      <c r="B354" s="29" t="str">
        <f t="shared" si="13"/>
        <v/>
      </c>
      <c r="C354" s="25" t="str">
        <f t="shared" si="14"/>
        <v/>
      </c>
    </row>
    <row r="355" spans="2:3" ht="15.75" customHeight="1" x14ac:dyDescent="0.45">
      <c r="B355" s="29" t="str">
        <f t="shared" si="13"/>
        <v/>
      </c>
      <c r="C355" s="25" t="str">
        <f t="shared" si="14"/>
        <v/>
      </c>
    </row>
    <row r="356" spans="2:3" ht="15.75" customHeight="1" x14ac:dyDescent="0.45">
      <c r="B356" s="29" t="str">
        <f t="shared" si="13"/>
        <v/>
      </c>
      <c r="C356" s="25" t="str">
        <f t="shared" si="14"/>
        <v/>
      </c>
    </row>
    <row r="357" spans="2:3" ht="15.75" customHeight="1" x14ac:dyDescent="0.45">
      <c r="B357" s="29" t="str">
        <f t="shared" si="13"/>
        <v/>
      </c>
      <c r="C357" s="25" t="str">
        <f t="shared" si="14"/>
        <v/>
      </c>
    </row>
    <row r="358" spans="2:3" ht="15.75" customHeight="1" x14ac:dyDescent="0.45">
      <c r="B358" s="29" t="str">
        <f t="shared" si="13"/>
        <v/>
      </c>
      <c r="C358" s="25" t="str">
        <f t="shared" si="14"/>
        <v/>
      </c>
    </row>
    <row r="359" spans="2:3" ht="15.75" customHeight="1" x14ac:dyDescent="0.45">
      <c r="B359" s="29" t="str">
        <f t="shared" si="13"/>
        <v/>
      </c>
      <c r="C359" s="25" t="str">
        <f t="shared" si="14"/>
        <v/>
      </c>
    </row>
    <row r="360" spans="2:3" ht="15.75" customHeight="1" x14ac:dyDescent="0.45">
      <c r="B360" s="29" t="str">
        <f t="shared" si="13"/>
        <v/>
      </c>
      <c r="C360" s="25" t="str">
        <f t="shared" si="14"/>
        <v/>
      </c>
    </row>
    <row r="361" spans="2:3" ht="15.75" customHeight="1" x14ac:dyDescent="0.45">
      <c r="B361" s="29" t="str">
        <f t="shared" si="13"/>
        <v/>
      </c>
      <c r="C361" s="25" t="str">
        <f t="shared" si="14"/>
        <v/>
      </c>
    </row>
    <row r="362" spans="2:3" ht="15.75" customHeight="1" x14ac:dyDescent="0.45">
      <c r="B362" s="29" t="str">
        <f t="shared" si="13"/>
        <v/>
      </c>
      <c r="C362" s="25" t="str">
        <f t="shared" si="14"/>
        <v/>
      </c>
    </row>
    <row r="363" spans="2:3" ht="15.75" customHeight="1" x14ac:dyDescent="0.45">
      <c r="B363" s="29" t="str">
        <f t="shared" si="13"/>
        <v/>
      </c>
      <c r="C363" s="25" t="str">
        <f t="shared" si="14"/>
        <v/>
      </c>
    </row>
    <row r="364" spans="2:3" ht="15.75" customHeight="1" x14ac:dyDescent="0.45">
      <c r="B364" s="29" t="str">
        <f t="shared" si="13"/>
        <v/>
      </c>
      <c r="C364" s="25" t="str">
        <f t="shared" si="14"/>
        <v/>
      </c>
    </row>
    <row r="365" spans="2:3" ht="15.75" customHeight="1" x14ac:dyDescent="0.45">
      <c r="B365" s="29" t="str">
        <f t="shared" si="13"/>
        <v/>
      </c>
      <c r="C365" s="25" t="str">
        <f t="shared" si="14"/>
        <v/>
      </c>
    </row>
    <row r="366" spans="2:3" ht="15.75" customHeight="1" x14ac:dyDescent="0.45">
      <c r="B366" s="29" t="str">
        <f t="shared" si="13"/>
        <v/>
      </c>
      <c r="C366" s="25" t="str">
        <f t="shared" si="14"/>
        <v/>
      </c>
    </row>
    <row r="367" spans="2:3" ht="15.75" customHeight="1" x14ac:dyDescent="0.45">
      <c r="B367" s="29" t="str">
        <f t="shared" si="13"/>
        <v/>
      </c>
      <c r="C367" s="25" t="str">
        <f t="shared" si="14"/>
        <v/>
      </c>
    </row>
    <row r="368" spans="2:3" ht="15.75" customHeight="1" x14ac:dyDescent="0.45">
      <c r="B368" s="29" t="str">
        <f t="shared" si="13"/>
        <v/>
      </c>
      <c r="C368" s="25" t="str">
        <f t="shared" si="14"/>
        <v/>
      </c>
    </row>
    <row r="369" spans="2:3" ht="15.75" customHeight="1" x14ac:dyDescent="0.45">
      <c r="B369" s="29" t="str">
        <f t="shared" si="13"/>
        <v/>
      </c>
      <c r="C369" s="25" t="str">
        <f t="shared" si="14"/>
        <v/>
      </c>
    </row>
    <row r="370" spans="2:3" ht="15.75" customHeight="1" x14ac:dyDescent="0.45">
      <c r="B370" s="29" t="str">
        <f t="shared" si="13"/>
        <v/>
      </c>
      <c r="C370" s="25" t="str">
        <f t="shared" si="14"/>
        <v/>
      </c>
    </row>
    <row r="371" spans="2:3" ht="15.75" customHeight="1" x14ac:dyDescent="0.45">
      <c r="B371" s="29" t="str">
        <f t="shared" si="13"/>
        <v/>
      </c>
      <c r="C371" s="25" t="str">
        <f t="shared" si="14"/>
        <v/>
      </c>
    </row>
    <row r="372" spans="2:3" ht="15.75" customHeight="1" x14ac:dyDescent="0.45">
      <c r="B372" s="29" t="str">
        <f t="shared" si="13"/>
        <v/>
      </c>
      <c r="C372" s="25" t="str">
        <f t="shared" si="14"/>
        <v/>
      </c>
    </row>
    <row r="373" spans="2:3" ht="15.75" customHeight="1" x14ac:dyDescent="0.45">
      <c r="B373" s="29" t="str">
        <f t="shared" si="13"/>
        <v/>
      </c>
      <c r="C373" s="25" t="str">
        <f t="shared" si="14"/>
        <v/>
      </c>
    </row>
    <row r="374" spans="2:3" ht="15.75" customHeight="1" x14ac:dyDescent="0.45">
      <c r="B374" s="29" t="str">
        <f t="shared" si="13"/>
        <v/>
      </c>
      <c r="C374" s="25" t="str">
        <f t="shared" si="14"/>
        <v/>
      </c>
    </row>
    <row r="375" spans="2:3" ht="15.75" customHeight="1" x14ac:dyDescent="0.45">
      <c r="B375" s="29" t="str">
        <f t="shared" si="13"/>
        <v/>
      </c>
      <c r="C375" s="25" t="str">
        <f t="shared" si="14"/>
        <v/>
      </c>
    </row>
    <row r="376" spans="2:3" ht="15.75" customHeight="1" x14ac:dyDescent="0.45">
      <c r="B376" s="29" t="str">
        <f t="shared" si="13"/>
        <v/>
      </c>
      <c r="C376" s="25" t="str">
        <f t="shared" si="14"/>
        <v/>
      </c>
    </row>
    <row r="377" spans="2:3" ht="15.75" customHeight="1" x14ac:dyDescent="0.45">
      <c r="B377" s="29" t="str">
        <f t="shared" si="13"/>
        <v/>
      </c>
      <c r="C377" s="25" t="str">
        <f t="shared" si="14"/>
        <v/>
      </c>
    </row>
    <row r="378" spans="2:3" ht="15.75" customHeight="1" x14ac:dyDescent="0.45">
      <c r="B378" s="29" t="str">
        <f t="shared" si="13"/>
        <v/>
      </c>
      <c r="C378" s="25" t="str">
        <f t="shared" si="14"/>
        <v/>
      </c>
    </row>
    <row r="379" spans="2:3" ht="15.75" customHeight="1" x14ac:dyDescent="0.45">
      <c r="B379" s="29" t="str">
        <f t="shared" si="13"/>
        <v/>
      </c>
      <c r="C379" s="25" t="str">
        <f t="shared" si="14"/>
        <v/>
      </c>
    </row>
    <row r="380" spans="2:3" ht="15.75" customHeight="1" x14ac:dyDescent="0.45">
      <c r="B380" s="29" t="str">
        <f t="shared" si="13"/>
        <v/>
      </c>
      <c r="C380" s="25" t="str">
        <f t="shared" si="14"/>
        <v/>
      </c>
    </row>
    <row r="381" spans="2:3" ht="15.75" customHeight="1" x14ac:dyDescent="0.45">
      <c r="B381" s="29" t="str">
        <f t="shared" si="13"/>
        <v/>
      </c>
      <c r="C381" s="25" t="str">
        <f t="shared" si="14"/>
        <v/>
      </c>
    </row>
    <row r="382" spans="2:3" ht="15.75" customHeight="1" x14ac:dyDescent="0.45">
      <c r="B382" s="29" t="str">
        <f t="shared" si="13"/>
        <v/>
      </c>
      <c r="C382" s="25" t="str">
        <f t="shared" si="14"/>
        <v/>
      </c>
    </row>
    <row r="383" spans="2:3" ht="15.75" customHeight="1" x14ac:dyDescent="0.45">
      <c r="B383" s="29" t="str">
        <f t="shared" si="13"/>
        <v/>
      </c>
      <c r="C383" s="25" t="str">
        <f t="shared" si="14"/>
        <v/>
      </c>
    </row>
    <row r="384" spans="2:3" ht="15.75" customHeight="1" x14ac:dyDescent="0.45">
      <c r="B384" s="29" t="str">
        <f t="shared" si="13"/>
        <v/>
      </c>
      <c r="C384" s="25" t="str">
        <f t="shared" si="14"/>
        <v/>
      </c>
    </row>
    <row r="385" spans="2:3" ht="15.75" customHeight="1" x14ac:dyDescent="0.45">
      <c r="B385" s="29" t="str">
        <f t="shared" si="13"/>
        <v/>
      </c>
      <c r="C385" s="25" t="str">
        <f t="shared" si="14"/>
        <v/>
      </c>
    </row>
    <row r="386" spans="2:3" ht="15.75" customHeight="1" x14ac:dyDescent="0.45">
      <c r="B386" s="29" t="str">
        <f t="shared" si="13"/>
        <v/>
      </c>
      <c r="C386" s="25" t="str">
        <f t="shared" si="14"/>
        <v/>
      </c>
    </row>
    <row r="387" spans="2:3" ht="15.75" customHeight="1" x14ac:dyDescent="0.45">
      <c r="B387" s="29" t="str">
        <f t="shared" si="13"/>
        <v/>
      </c>
      <c r="C387" s="25" t="str">
        <f t="shared" si="14"/>
        <v/>
      </c>
    </row>
    <row r="388" spans="2:3" ht="15.75" customHeight="1" x14ac:dyDescent="0.45">
      <c r="B388" s="29" t="str">
        <f t="shared" si="13"/>
        <v/>
      </c>
      <c r="C388" s="25" t="str">
        <f t="shared" si="14"/>
        <v/>
      </c>
    </row>
    <row r="389" spans="2:3" ht="15.75" customHeight="1" x14ac:dyDescent="0.45">
      <c r="B389" s="29" t="str">
        <f t="shared" si="13"/>
        <v/>
      </c>
      <c r="C389" s="25" t="str">
        <f t="shared" si="14"/>
        <v/>
      </c>
    </row>
    <row r="390" spans="2:3" ht="15.75" customHeight="1" x14ac:dyDescent="0.45">
      <c r="B390" s="29" t="str">
        <f t="shared" si="13"/>
        <v/>
      </c>
      <c r="C390" s="25" t="str">
        <f t="shared" si="14"/>
        <v/>
      </c>
    </row>
    <row r="391" spans="2:3" ht="15.75" customHeight="1" x14ac:dyDescent="0.45">
      <c r="B391" s="29" t="str">
        <f t="shared" si="13"/>
        <v/>
      </c>
      <c r="C391" s="25" t="str">
        <f t="shared" si="14"/>
        <v/>
      </c>
    </row>
    <row r="392" spans="2:3" ht="15.75" customHeight="1" x14ac:dyDescent="0.45">
      <c r="B392" s="29" t="str">
        <f t="shared" si="13"/>
        <v/>
      </c>
      <c r="C392" s="25" t="str">
        <f t="shared" si="14"/>
        <v/>
      </c>
    </row>
    <row r="393" spans="2:3" ht="15.75" customHeight="1" x14ac:dyDescent="0.45">
      <c r="B393" s="29" t="str">
        <f t="shared" si="13"/>
        <v/>
      </c>
      <c r="C393" s="25" t="str">
        <f t="shared" si="14"/>
        <v/>
      </c>
    </row>
    <row r="394" spans="2:3" ht="15.75" customHeight="1" x14ac:dyDescent="0.45">
      <c r="B394" s="29" t="str">
        <f t="shared" si="13"/>
        <v/>
      </c>
      <c r="C394" s="25" t="str">
        <f t="shared" si="14"/>
        <v/>
      </c>
    </row>
    <row r="395" spans="2:3" ht="15.75" customHeight="1" x14ac:dyDescent="0.45">
      <c r="B395" s="29" t="str">
        <f t="shared" si="13"/>
        <v/>
      </c>
      <c r="C395" s="25" t="str">
        <f t="shared" si="14"/>
        <v/>
      </c>
    </row>
    <row r="396" spans="2:3" ht="15.75" customHeight="1" x14ac:dyDescent="0.45">
      <c r="B396" s="29" t="str">
        <f t="shared" si="13"/>
        <v/>
      </c>
      <c r="C396" s="25" t="str">
        <f t="shared" si="14"/>
        <v/>
      </c>
    </row>
    <row r="397" spans="2:3" ht="15.75" customHeight="1" x14ac:dyDescent="0.45">
      <c r="B397" s="29" t="str">
        <f t="shared" si="13"/>
        <v/>
      </c>
      <c r="C397" s="25" t="str">
        <f t="shared" si="14"/>
        <v/>
      </c>
    </row>
    <row r="398" spans="2:3" ht="15.75" customHeight="1" x14ac:dyDescent="0.45">
      <c r="B398" s="29" t="str">
        <f t="shared" si="13"/>
        <v/>
      </c>
      <c r="C398" s="25" t="str">
        <f t="shared" si="14"/>
        <v/>
      </c>
    </row>
    <row r="399" spans="2:3" ht="15.75" customHeight="1" x14ac:dyDescent="0.45">
      <c r="B399" s="29" t="str">
        <f t="shared" si="13"/>
        <v/>
      </c>
      <c r="C399" s="25" t="str">
        <f t="shared" si="14"/>
        <v/>
      </c>
    </row>
    <row r="400" spans="2:3" ht="15.75" customHeight="1" x14ac:dyDescent="0.45">
      <c r="B400" s="29" t="str">
        <f t="shared" si="13"/>
        <v/>
      </c>
      <c r="C400" s="25" t="str">
        <f t="shared" si="14"/>
        <v/>
      </c>
    </row>
    <row r="401" spans="2:3" ht="15.75" customHeight="1" x14ac:dyDescent="0.45">
      <c r="B401" s="29" t="str">
        <f t="shared" si="13"/>
        <v/>
      </c>
      <c r="C401" s="25" t="str">
        <f t="shared" si="14"/>
        <v/>
      </c>
    </row>
    <row r="402" spans="2:3" ht="15.75" customHeight="1" x14ac:dyDescent="0.45">
      <c r="B402" s="29" t="str">
        <f t="shared" si="13"/>
        <v/>
      </c>
      <c r="C402" s="25" t="str">
        <f t="shared" si="14"/>
        <v/>
      </c>
    </row>
    <row r="403" spans="2:3" ht="15.75" customHeight="1" x14ac:dyDescent="0.45">
      <c r="B403" s="29" t="str">
        <f t="shared" si="13"/>
        <v/>
      </c>
      <c r="C403" s="25" t="str">
        <f t="shared" si="14"/>
        <v/>
      </c>
    </row>
    <row r="404" spans="2:3" ht="15.75" customHeight="1" x14ac:dyDescent="0.45">
      <c r="B404" s="29" t="str">
        <f t="shared" si="13"/>
        <v/>
      </c>
      <c r="C404" s="25" t="str">
        <f t="shared" si="14"/>
        <v/>
      </c>
    </row>
    <row r="405" spans="2:3" ht="15.75" customHeight="1" x14ac:dyDescent="0.45">
      <c r="B405" s="29" t="str">
        <f t="shared" si="13"/>
        <v/>
      </c>
      <c r="C405" s="25" t="str">
        <f t="shared" si="14"/>
        <v/>
      </c>
    </row>
    <row r="406" spans="2:3" ht="15.75" customHeight="1" x14ac:dyDescent="0.45">
      <c r="B406" s="29" t="str">
        <f t="shared" si="13"/>
        <v/>
      </c>
      <c r="C406" s="25" t="str">
        <f t="shared" si="14"/>
        <v/>
      </c>
    </row>
    <row r="407" spans="2:3" ht="15.75" customHeight="1" x14ac:dyDescent="0.45">
      <c r="B407" s="29" t="str">
        <f t="shared" ref="B407:B470" si="15">IF(B406="","",IF(B406+$C$9&lt;=$C$5,B406+$C$9,""))</f>
        <v/>
      </c>
      <c r="C407" s="25" t="str">
        <f t="shared" ref="C407:C470" si="16">IF(B407&lt;&gt;"",C406-$C$2/COUNT($B$17:$B$510),"")</f>
        <v/>
      </c>
    </row>
    <row r="408" spans="2:3" ht="15.75" customHeight="1" x14ac:dyDescent="0.45">
      <c r="B408" s="29" t="str">
        <f t="shared" si="15"/>
        <v/>
      </c>
      <c r="C408" s="25" t="str">
        <f t="shared" si="16"/>
        <v/>
      </c>
    </row>
    <row r="409" spans="2:3" ht="15.75" customHeight="1" x14ac:dyDescent="0.45">
      <c r="B409" s="29" t="str">
        <f t="shared" si="15"/>
        <v/>
      </c>
      <c r="C409" s="25" t="str">
        <f t="shared" si="16"/>
        <v/>
      </c>
    </row>
    <row r="410" spans="2:3" ht="15.75" customHeight="1" x14ac:dyDescent="0.45">
      <c r="B410" s="29" t="str">
        <f t="shared" si="15"/>
        <v/>
      </c>
      <c r="C410" s="25" t="str">
        <f t="shared" si="16"/>
        <v/>
      </c>
    </row>
    <row r="411" spans="2:3" ht="15.75" customHeight="1" x14ac:dyDescent="0.45">
      <c r="B411" s="29" t="str">
        <f t="shared" si="15"/>
        <v/>
      </c>
      <c r="C411" s="25" t="str">
        <f t="shared" si="16"/>
        <v/>
      </c>
    </row>
    <row r="412" spans="2:3" ht="15.75" customHeight="1" x14ac:dyDescent="0.45">
      <c r="B412" s="29" t="str">
        <f t="shared" si="15"/>
        <v/>
      </c>
      <c r="C412" s="25" t="str">
        <f t="shared" si="16"/>
        <v/>
      </c>
    </row>
    <row r="413" spans="2:3" ht="15.75" customHeight="1" x14ac:dyDescent="0.45">
      <c r="B413" s="29" t="str">
        <f t="shared" si="15"/>
        <v/>
      </c>
      <c r="C413" s="25" t="str">
        <f t="shared" si="16"/>
        <v/>
      </c>
    </row>
    <row r="414" spans="2:3" ht="15.75" customHeight="1" x14ac:dyDescent="0.45">
      <c r="B414" s="29" t="str">
        <f t="shared" si="15"/>
        <v/>
      </c>
      <c r="C414" s="25" t="str">
        <f t="shared" si="16"/>
        <v/>
      </c>
    </row>
    <row r="415" spans="2:3" ht="15.75" customHeight="1" x14ac:dyDescent="0.45">
      <c r="B415" s="29" t="str">
        <f t="shared" si="15"/>
        <v/>
      </c>
      <c r="C415" s="25" t="str">
        <f t="shared" si="16"/>
        <v/>
      </c>
    </row>
    <row r="416" spans="2:3" ht="15.75" customHeight="1" x14ac:dyDescent="0.45">
      <c r="B416" s="29" t="str">
        <f t="shared" si="15"/>
        <v/>
      </c>
      <c r="C416" s="25" t="str">
        <f t="shared" si="16"/>
        <v/>
      </c>
    </row>
    <row r="417" spans="2:3" ht="15.75" customHeight="1" x14ac:dyDescent="0.45">
      <c r="B417" s="29" t="str">
        <f t="shared" si="15"/>
        <v/>
      </c>
      <c r="C417" s="25" t="str">
        <f t="shared" si="16"/>
        <v/>
      </c>
    </row>
    <row r="418" spans="2:3" ht="15.75" customHeight="1" x14ac:dyDescent="0.45">
      <c r="B418" s="29" t="str">
        <f t="shared" si="15"/>
        <v/>
      </c>
      <c r="C418" s="25" t="str">
        <f t="shared" si="16"/>
        <v/>
      </c>
    </row>
    <row r="419" spans="2:3" ht="15.75" customHeight="1" x14ac:dyDescent="0.45">
      <c r="B419" s="29" t="str">
        <f t="shared" si="15"/>
        <v/>
      </c>
      <c r="C419" s="25" t="str">
        <f t="shared" si="16"/>
        <v/>
      </c>
    </row>
    <row r="420" spans="2:3" ht="15.75" customHeight="1" x14ac:dyDescent="0.45">
      <c r="B420" s="29" t="str">
        <f t="shared" si="15"/>
        <v/>
      </c>
      <c r="C420" s="25" t="str">
        <f t="shared" si="16"/>
        <v/>
      </c>
    </row>
    <row r="421" spans="2:3" ht="15.75" customHeight="1" x14ac:dyDescent="0.45">
      <c r="B421" s="29" t="str">
        <f t="shared" si="15"/>
        <v/>
      </c>
      <c r="C421" s="25" t="str">
        <f t="shared" si="16"/>
        <v/>
      </c>
    </row>
    <row r="422" spans="2:3" ht="15.75" customHeight="1" x14ac:dyDescent="0.45">
      <c r="B422" s="29" t="str">
        <f t="shared" si="15"/>
        <v/>
      </c>
      <c r="C422" s="25" t="str">
        <f t="shared" si="16"/>
        <v/>
      </c>
    </row>
    <row r="423" spans="2:3" ht="15.75" customHeight="1" x14ac:dyDescent="0.45">
      <c r="B423" s="29" t="str">
        <f t="shared" si="15"/>
        <v/>
      </c>
      <c r="C423" s="25" t="str">
        <f t="shared" si="16"/>
        <v/>
      </c>
    </row>
    <row r="424" spans="2:3" ht="15.75" customHeight="1" x14ac:dyDescent="0.45">
      <c r="B424" s="29" t="str">
        <f t="shared" si="15"/>
        <v/>
      </c>
      <c r="C424" s="25" t="str">
        <f t="shared" si="16"/>
        <v/>
      </c>
    </row>
    <row r="425" spans="2:3" ht="15.75" customHeight="1" x14ac:dyDescent="0.45">
      <c r="B425" s="29" t="str">
        <f t="shared" si="15"/>
        <v/>
      </c>
      <c r="C425" s="25" t="str">
        <f t="shared" si="16"/>
        <v/>
      </c>
    </row>
    <row r="426" spans="2:3" ht="15.75" customHeight="1" x14ac:dyDescent="0.45">
      <c r="B426" s="29" t="str">
        <f t="shared" si="15"/>
        <v/>
      </c>
      <c r="C426" s="25" t="str">
        <f t="shared" si="16"/>
        <v/>
      </c>
    </row>
    <row r="427" spans="2:3" ht="15.75" customHeight="1" x14ac:dyDescent="0.45">
      <c r="B427" s="29" t="str">
        <f t="shared" si="15"/>
        <v/>
      </c>
      <c r="C427" s="25" t="str">
        <f t="shared" si="16"/>
        <v/>
      </c>
    </row>
    <row r="428" spans="2:3" ht="15.75" customHeight="1" x14ac:dyDescent="0.45">
      <c r="B428" s="29" t="str">
        <f t="shared" si="15"/>
        <v/>
      </c>
      <c r="C428" s="25" t="str">
        <f t="shared" si="16"/>
        <v/>
      </c>
    </row>
    <row r="429" spans="2:3" ht="15.75" customHeight="1" x14ac:dyDescent="0.45">
      <c r="B429" s="29" t="str">
        <f t="shared" si="15"/>
        <v/>
      </c>
      <c r="C429" s="25" t="str">
        <f t="shared" si="16"/>
        <v/>
      </c>
    </row>
    <row r="430" spans="2:3" ht="15.75" customHeight="1" x14ac:dyDescent="0.45">
      <c r="B430" s="29" t="str">
        <f t="shared" si="15"/>
        <v/>
      </c>
      <c r="C430" s="25" t="str">
        <f t="shared" si="16"/>
        <v/>
      </c>
    </row>
    <row r="431" spans="2:3" ht="15.75" customHeight="1" x14ac:dyDescent="0.45">
      <c r="B431" s="29" t="str">
        <f t="shared" si="15"/>
        <v/>
      </c>
      <c r="C431" s="25" t="str">
        <f t="shared" si="16"/>
        <v/>
      </c>
    </row>
    <row r="432" spans="2:3" ht="15.75" customHeight="1" x14ac:dyDescent="0.45">
      <c r="B432" s="29" t="str">
        <f t="shared" si="15"/>
        <v/>
      </c>
      <c r="C432" s="25" t="str">
        <f t="shared" si="16"/>
        <v/>
      </c>
    </row>
    <row r="433" spans="2:3" ht="15.75" customHeight="1" x14ac:dyDescent="0.45">
      <c r="B433" s="29" t="str">
        <f t="shared" si="15"/>
        <v/>
      </c>
      <c r="C433" s="25" t="str">
        <f t="shared" si="16"/>
        <v/>
      </c>
    </row>
    <row r="434" spans="2:3" ht="15.75" customHeight="1" x14ac:dyDescent="0.45">
      <c r="B434" s="29" t="str">
        <f t="shared" si="15"/>
        <v/>
      </c>
      <c r="C434" s="25" t="str">
        <f t="shared" si="16"/>
        <v/>
      </c>
    </row>
    <row r="435" spans="2:3" ht="15.75" customHeight="1" x14ac:dyDescent="0.45">
      <c r="B435" s="29" t="str">
        <f t="shared" si="15"/>
        <v/>
      </c>
      <c r="C435" s="25" t="str">
        <f t="shared" si="16"/>
        <v/>
      </c>
    </row>
    <row r="436" spans="2:3" ht="15.75" customHeight="1" x14ac:dyDescent="0.45">
      <c r="B436" s="29" t="str">
        <f t="shared" si="15"/>
        <v/>
      </c>
      <c r="C436" s="25" t="str">
        <f t="shared" si="16"/>
        <v/>
      </c>
    </row>
    <row r="437" spans="2:3" ht="15.75" customHeight="1" x14ac:dyDescent="0.45">
      <c r="B437" s="29" t="str">
        <f t="shared" si="15"/>
        <v/>
      </c>
      <c r="C437" s="25" t="str">
        <f t="shared" si="16"/>
        <v/>
      </c>
    </row>
    <row r="438" spans="2:3" ht="15.75" customHeight="1" x14ac:dyDescent="0.45">
      <c r="B438" s="29" t="str">
        <f t="shared" si="15"/>
        <v/>
      </c>
      <c r="C438" s="25" t="str">
        <f t="shared" si="16"/>
        <v/>
      </c>
    </row>
    <row r="439" spans="2:3" ht="15.75" customHeight="1" x14ac:dyDescent="0.45">
      <c r="B439" s="29" t="str">
        <f t="shared" si="15"/>
        <v/>
      </c>
      <c r="C439" s="25" t="str">
        <f t="shared" si="16"/>
        <v/>
      </c>
    </row>
    <row r="440" spans="2:3" ht="15.75" customHeight="1" x14ac:dyDescent="0.45">
      <c r="B440" s="29" t="str">
        <f t="shared" si="15"/>
        <v/>
      </c>
      <c r="C440" s="25" t="str">
        <f t="shared" si="16"/>
        <v/>
      </c>
    </row>
    <row r="441" spans="2:3" ht="15.75" customHeight="1" x14ac:dyDescent="0.45">
      <c r="B441" s="29" t="str">
        <f t="shared" si="15"/>
        <v/>
      </c>
      <c r="C441" s="25" t="str">
        <f t="shared" si="16"/>
        <v/>
      </c>
    </row>
    <row r="442" spans="2:3" ht="15.75" customHeight="1" x14ac:dyDescent="0.45">
      <c r="B442" s="29" t="str">
        <f t="shared" si="15"/>
        <v/>
      </c>
      <c r="C442" s="25" t="str">
        <f t="shared" si="16"/>
        <v/>
      </c>
    </row>
    <row r="443" spans="2:3" ht="15.75" customHeight="1" x14ac:dyDescent="0.45">
      <c r="B443" s="29" t="str">
        <f t="shared" si="15"/>
        <v/>
      </c>
      <c r="C443" s="25" t="str">
        <f t="shared" si="16"/>
        <v/>
      </c>
    </row>
    <row r="444" spans="2:3" ht="15.75" customHeight="1" x14ac:dyDescent="0.45">
      <c r="B444" s="29" t="str">
        <f t="shared" si="15"/>
        <v/>
      </c>
      <c r="C444" s="25" t="str">
        <f t="shared" si="16"/>
        <v/>
      </c>
    </row>
    <row r="445" spans="2:3" ht="15.75" customHeight="1" x14ac:dyDescent="0.45">
      <c r="B445" s="29" t="str">
        <f t="shared" si="15"/>
        <v/>
      </c>
      <c r="C445" s="25" t="str">
        <f t="shared" si="16"/>
        <v/>
      </c>
    </row>
    <row r="446" spans="2:3" ht="15.75" customHeight="1" x14ac:dyDescent="0.45">
      <c r="B446" s="29" t="str">
        <f t="shared" si="15"/>
        <v/>
      </c>
      <c r="C446" s="25" t="str">
        <f t="shared" si="16"/>
        <v/>
      </c>
    </row>
    <row r="447" spans="2:3" ht="15.75" customHeight="1" x14ac:dyDescent="0.45">
      <c r="B447" s="29" t="str">
        <f t="shared" si="15"/>
        <v/>
      </c>
      <c r="C447" s="25" t="str">
        <f t="shared" si="16"/>
        <v/>
      </c>
    </row>
    <row r="448" spans="2:3" ht="15.75" customHeight="1" x14ac:dyDescent="0.45">
      <c r="B448" s="29" t="str">
        <f t="shared" si="15"/>
        <v/>
      </c>
      <c r="C448" s="25" t="str">
        <f t="shared" si="16"/>
        <v/>
      </c>
    </row>
    <row r="449" spans="2:3" ht="15.75" customHeight="1" x14ac:dyDescent="0.45">
      <c r="B449" s="29" t="str">
        <f t="shared" si="15"/>
        <v/>
      </c>
      <c r="C449" s="25" t="str">
        <f t="shared" si="16"/>
        <v/>
      </c>
    </row>
    <row r="450" spans="2:3" ht="15.75" customHeight="1" x14ac:dyDescent="0.45">
      <c r="B450" s="29" t="str">
        <f t="shared" si="15"/>
        <v/>
      </c>
      <c r="C450" s="25" t="str">
        <f t="shared" si="16"/>
        <v/>
      </c>
    </row>
    <row r="451" spans="2:3" ht="15.75" customHeight="1" x14ac:dyDescent="0.45">
      <c r="B451" s="29" t="str">
        <f t="shared" si="15"/>
        <v/>
      </c>
      <c r="C451" s="25" t="str">
        <f t="shared" si="16"/>
        <v/>
      </c>
    </row>
    <row r="452" spans="2:3" ht="15.75" customHeight="1" x14ac:dyDescent="0.45">
      <c r="B452" s="29" t="str">
        <f t="shared" si="15"/>
        <v/>
      </c>
      <c r="C452" s="25" t="str">
        <f t="shared" si="16"/>
        <v/>
      </c>
    </row>
    <row r="453" spans="2:3" ht="15.75" customHeight="1" x14ac:dyDescent="0.45">
      <c r="B453" s="29" t="str">
        <f t="shared" si="15"/>
        <v/>
      </c>
      <c r="C453" s="25" t="str">
        <f t="shared" si="16"/>
        <v/>
      </c>
    </row>
    <row r="454" spans="2:3" ht="15.75" customHeight="1" x14ac:dyDescent="0.45">
      <c r="B454" s="29" t="str">
        <f t="shared" si="15"/>
        <v/>
      </c>
      <c r="C454" s="25" t="str">
        <f t="shared" si="16"/>
        <v/>
      </c>
    </row>
    <row r="455" spans="2:3" ht="15.75" customHeight="1" x14ac:dyDescent="0.45">
      <c r="B455" s="29" t="str">
        <f t="shared" si="15"/>
        <v/>
      </c>
      <c r="C455" s="25" t="str">
        <f t="shared" si="16"/>
        <v/>
      </c>
    </row>
    <row r="456" spans="2:3" ht="15.75" customHeight="1" x14ac:dyDescent="0.45">
      <c r="B456" s="29" t="str">
        <f t="shared" si="15"/>
        <v/>
      </c>
      <c r="C456" s="25" t="str">
        <f t="shared" si="16"/>
        <v/>
      </c>
    </row>
    <row r="457" spans="2:3" ht="15.75" customHeight="1" x14ac:dyDescent="0.45">
      <c r="B457" s="29" t="str">
        <f t="shared" si="15"/>
        <v/>
      </c>
      <c r="C457" s="25" t="str">
        <f t="shared" si="16"/>
        <v/>
      </c>
    </row>
    <row r="458" spans="2:3" ht="15.75" customHeight="1" x14ac:dyDescent="0.45">
      <c r="B458" s="29" t="str">
        <f t="shared" si="15"/>
        <v/>
      </c>
      <c r="C458" s="25" t="str">
        <f t="shared" si="16"/>
        <v/>
      </c>
    </row>
    <row r="459" spans="2:3" ht="15.75" customHeight="1" x14ac:dyDescent="0.45">
      <c r="B459" s="29" t="str">
        <f t="shared" si="15"/>
        <v/>
      </c>
      <c r="C459" s="25" t="str">
        <f t="shared" si="16"/>
        <v/>
      </c>
    </row>
    <row r="460" spans="2:3" ht="15.75" customHeight="1" x14ac:dyDescent="0.45">
      <c r="B460" s="29" t="str">
        <f t="shared" si="15"/>
        <v/>
      </c>
      <c r="C460" s="25" t="str">
        <f t="shared" si="16"/>
        <v/>
      </c>
    </row>
    <row r="461" spans="2:3" ht="15.75" customHeight="1" x14ac:dyDescent="0.45">
      <c r="B461" s="29" t="str">
        <f t="shared" si="15"/>
        <v/>
      </c>
      <c r="C461" s="25" t="str">
        <f t="shared" si="16"/>
        <v/>
      </c>
    </row>
    <row r="462" spans="2:3" ht="15.75" customHeight="1" x14ac:dyDescent="0.45">
      <c r="B462" s="29" t="str">
        <f t="shared" si="15"/>
        <v/>
      </c>
      <c r="C462" s="25" t="str">
        <f t="shared" si="16"/>
        <v/>
      </c>
    </row>
    <row r="463" spans="2:3" ht="15.75" customHeight="1" x14ac:dyDescent="0.45">
      <c r="B463" s="29" t="str">
        <f t="shared" si="15"/>
        <v/>
      </c>
      <c r="C463" s="25" t="str">
        <f t="shared" si="16"/>
        <v/>
      </c>
    </row>
    <row r="464" spans="2:3" ht="15.75" customHeight="1" x14ac:dyDescent="0.45">
      <c r="B464" s="29" t="str">
        <f t="shared" si="15"/>
        <v/>
      </c>
      <c r="C464" s="25" t="str">
        <f t="shared" si="16"/>
        <v/>
      </c>
    </row>
    <row r="465" spans="2:3" ht="15.75" customHeight="1" x14ac:dyDescent="0.45">
      <c r="B465" s="29" t="str">
        <f t="shared" si="15"/>
        <v/>
      </c>
      <c r="C465" s="25" t="str">
        <f t="shared" si="16"/>
        <v/>
      </c>
    </row>
    <row r="466" spans="2:3" ht="15.75" customHeight="1" x14ac:dyDescent="0.45">
      <c r="B466" s="29" t="str">
        <f t="shared" si="15"/>
        <v/>
      </c>
      <c r="C466" s="25" t="str">
        <f t="shared" si="16"/>
        <v/>
      </c>
    </row>
    <row r="467" spans="2:3" ht="15.75" customHeight="1" x14ac:dyDescent="0.45">
      <c r="B467" s="29" t="str">
        <f t="shared" si="15"/>
        <v/>
      </c>
      <c r="C467" s="25" t="str">
        <f t="shared" si="16"/>
        <v/>
      </c>
    </row>
    <row r="468" spans="2:3" ht="15.75" customHeight="1" x14ac:dyDescent="0.45">
      <c r="B468" s="29" t="str">
        <f t="shared" si="15"/>
        <v/>
      </c>
      <c r="C468" s="25" t="str">
        <f t="shared" si="16"/>
        <v/>
      </c>
    </row>
    <row r="469" spans="2:3" ht="15.75" customHeight="1" x14ac:dyDescent="0.45">
      <c r="B469" s="29" t="str">
        <f t="shared" si="15"/>
        <v/>
      </c>
      <c r="C469" s="25" t="str">
        <f t="shared" si="16"/>
        <v/>
      </c>
    </row>
    <row r="470" spans="2:3" ht="15.75" customHeight="1" x14ac:dyDescent="0.45">
      <c r="B470" s="29" t="str">
        <f t="shared" si="15"/>
        <v/>
      </c>
      <c r="C470" s="25" t="str">
        <f t="shared" si="16"/>
        <v/>
      </c>
    </row>
    <row r="471" spans="2:3" ht="15.75" customHeight="1" x14ac:dyDescent="0.45">
      <c r="B471" s="29" t="str">
        <f t="shared" ref="B471:B511" si="17">IF(B470="","",IF(B470+$C$9&lt;=$C$5,B470+$C$9,""))</f>
        <v/>
      </c>
      <c r="C471" s="25" t="str">
        <f t="shared" ref="C471:C511" si="18">IF(B471&lt;&gt;"",C470-$C$2/COUNT($B$17:$B$510),"")</f>
        <v/>
      </c>
    </row>
    <row r="472" spans="2:3" ht="15.75" customHeight="1" x14ac:dyDescent="0.45">
      <c r="B472" s="29" t="str">
        <f t="shared" si="17"/>
        <v/>
      </c>
      <c r="C472" s="25" t="str">
        <f t="shared" si="18"/>
        <v/>
      </c>
    </row>
    <row r="473" spans="2:3" ht="15.75" customHeight="1" x14ac:dyDescent="0.45">
      <c r="B473" s="29" t="str">
        <f t="shared" si="17"/>
        <v/>
      </c>
      <c r="C473" s="25" t="str">
        <f t="shared" si="18"/>
        <v/>
      </c>
    </row>
    <row r="474" spans="2:3" ht="15.75" customHeight="1" x14ac:dyDescent="0.45">
      <c r="B474" s="29" t="str">
        <f t="shared" si="17"/>
        <v/>
      </c>
      <c r="C474" s="25" t="str">
        <f t="shared" si="18"/>
        <v/>
      </c>
    </row>
    <row r="475" spans="2:3" ht="15.75" customHeight="1" x14ac:dyDescent="0.45">
      <c r="B475" s="29" t="str">
        <f t="shared" si="17"/>
        <v/>
      </c>
      <c r="C475" s="25" t="str">
        <f t="shared" si="18"/>
        <v/>
      </c>
    </row>
    <row r="476" spans="2:3" ht="15.75" customHeight="1" x14ac:dyDescent="0.45">
      <c r="B476" s="29" t="str">
        <f t="shared" si="17"/>
        <v/>
      </c>
      <c r="C476" s="25" t="str">
        <f t="shared" si="18"/>
        <v/>
      </c>
    </row>
    <row r="477" spans="2:3" ht="15.75" customHeight="1" x14ac:dyDescent="0.45">
      <c r="B477" s="29" t="str">
        <f t="shared" si="17"/>
        <v/>
      </c>
      <c r="C477" s="25" t="str">
        <f t="shared" si="18"/>
        <v/>
      </c>
    </row>
    <row r="478" spans="2:3" ht="15.75" customHeight="1" x14ac:dyDescent="0.45">
      <c r="B478" s="29" t="str">
        <f t="shared" si="17"/>
        <v/>
      </c>
      <c r="C478" s="25" t="str">
        <f t="shared" si="18"/>
        <v/>
      </c>
    </row>
    <row r="479" spans="2:3" ht="15.75" customHeight="1" x14ac:dyDescent="0.45">
      <c r="B479" s="29" t="str">
        <f t="shared" si="17"/>
        <v/>
      </c>
      <c r="C479" s="25" t="str">
        <f t="shared" si="18"/>
        <v/>
      </c>
    </row>
    <row r="480" spans="2:3" ht="15.75" customHeight="1" x14ac:dyDescent="0.45">
      <c r="B480" s="29" t="str">
        <f t="shared" si="17"/>
        <v/>
      </c>
      <c r="C480" s="25" t="str">
        <f t="shared" si="18"/>
        <v/>
      </c>
    </row>
    <row r="481" spans="2:3" ht="15.75" customHeight="1" x14ac:dyDescent="0.45">
      <c r="B481" s="29" t="str">
        <f t="shared" si="17"/>
        <v/>
      </c>
      <c r="C481" s="25" t="str">
        <f t="shared" si="18"/>
        <v/>
      </c>
    </row>
    <row r="482" spans="2:3" ht="15.75" customHeight="1" x14ac:dyDescent="0.45">
      <c r="B482" s="29" t="str">
        <f t="shared" si="17"/>
        <v/>
      </c>
      <c r="C482" s="25" t="str">
        <f t="shared" si="18"/>
        <v/>
      </c>
    </row>
    <row r="483" spans="2:3" ht="15.75" customHeight="1" x14ac:dyDescent="0.45">
      <c r="B483" s="29" t="str">
        <f t="shared" si="17"/>
        <v/>
      </c>
      <c r="C483" s="25" t="str">
        <f t="shared" si="18"/>
        <v/>
      </c>
    </row>
    <row r="484" spans="2:3" ht="15.75" customHeight="1" x14ac:dyDescent="0.45">
      <c r="B484" s="29" t="str">
        <f t="shared" si="17"/>
        <v/>
      </c>
      <c r="C484" s="25" t="str">
        <f t="shared" si="18"/>
        <v/>
      </c>
    </row>
    <row r="485" spans="2:3" ht="15.75" customHeight="1" x14ac:dyDescent="0.45">
      <c r="B485" s="29" t="str">
        <f t="shared" si="17"/>
        <v/>
      </c>
      <c r="C485" s="25" t="str">
        <f t="shared" si="18"/>
        <v/>
      </c>
    </row>
    <row r="486" spans="2:3" ht="15.75" customHeight="1" x14ac:dyDescent="0.45">
      <c r="B486" s="29" t="str">
        <f t="shared" si="17"/>
        <v/>
      </c>
      <c r="C486" s="25" t="str">
        <f t="shared" si="18"/>
        <v/>
      </c>
    </row>
    <row r="487" spans="2:3" ht="15.75" customHeight="1" x14ac:dyDescent="0.45">
      <c r="B487" s="29" t="str">
        <f t="shared" si="17"/>
        <v/>
      </c>
      <c r="C487" s="25" t="str">
        <f t="shared" si="18"/>
        <v/>
      </c>
    </row>
    <row r="488" spans="2:3" ht="15.75" customHeight="1" x14ac:dyDescent="0.45">
      <c r="B488" s="29" t="str">
        <f t="shared" si="17"/>
        <v/>
      </c>
      <c r="C488" s="25" t="str">
        <f t="shared" si="18"/>
        <v/>
      </c>
    </row>
    <row r="489" spans="2:3" ht="15.75" customHeight="1" x14ac:dyDescent="0.45">
      <c r="B489" s="29" t="str">
        <f t="shared" si="17"/>
        <v/>
      </c>
      <c r="C489" s="25" t="str">
        <f t="shared" si="18"/>
        <v/>
      </c>
    </row>
    <row r="490" spans="2:3" ht="15.75" customHeight="1" x14ac:dyDescent="0.45">
      <c r="B490" s="29" t="str">
        <f t="shared" si="17"/>
        <v/>
      </c>
      <c r="C490" s="25" t="str">
        <f t="shared" si="18"/>
        <v/>
      </c>
    </row>
    <row r="491" spans="2:3" ht="15.75" customHeight="1" x14ac:dyDescent="0.45">
      <c r="B491" s="29" t="str">
        <f t="shared" si="17"/>
        <v/>
      </c>
      <c r="C491" s="25" t="str">
        <f t="shared" si="18"/>
        <v/>
      </c>
    </row>
    <row r="492" spans="2:3" ht="15.75" customHeight="1" x14ac:dyDescent="0.45">
      <c r="B492" s="29" t="str">
        <f t="shared" si="17"/>
        <v/>
      </c>
      <c r="C492" s="25" t="str">
        <f t="shared" si="18"/>
        <v/>
      </c>
    </row>
    <row r="493" spans="2:3" ht="15.75" customHeight="1" x14ac:dyDescent="0.45">
      <c r="B493" s="29" t="str">
        <f t="shared" si="17"/>
        <v/>
      </c>
      <c r="C493" s="25" t="str">
        <f t="shared" si="18"/>
        <v/>
      </c>
    </row>
    <row r="494" spans="2:3" ht="15.75" customHeight="1" x14ac:dyDescent="0.45">
      <c r="B494" s="29" t="str">
        <f t="shared" si="17"/>
        <v/>
      </c>
      <c r="C494" s="25" t="str">
        <f t="shared" si="18"/>
        <v/>
      </c>
    </row>
    <row r="495" spans="2:3" ht="15.75" customHeight="1" x14ac:dyDescent="0.45">
      <c r="B495" s="29" t="str">
        <f t="shared" si="17"/>
        <v/>
      </c>
      <c r="C495" s="25" t="str">
        <f t="shared" si="18"/>
        <v/>
      </c>
    </row>
    <row r="496" spans="2:3" ht="15.75" customHeight="1" x14ac:dyDescent="0.45">
      <c r="B496" s="29" t="str">
        <f t="shared" si="17"/>
        <v/>
      </c>
      <c r="C496" s="25" t="str">
        <f t="shared" si="18"/>
        <v/>
      </c>
    </row>
    <row r="497" spans="2:3" ht="15.75" customHeight="1" x14ac:dyDescent="0.45">
      <c r="B497" s="29" t="str">
        <f t="shared" si="17"/>
        <v/>
      </c>
      <c r="C497" s="25" t="str">
        <f t="shared" si="18"/>
        <v/>
      </c>
    </row>
    <row r="498" spans="2:3" ht="15.75" customHeight="1" x14ac:dyDescent="0.45">
      <c r="B498" s="29" t="str">
        <f t="shared" si="17"/>
        <v/>
      </c>
      <c r="C498" s="25" t="str">
        <f t="shared" si="18"/>
        <v/>
      </c>
    </row>
    <row r="499" spans="2:3" ht="15.75" customHeight="1" x14ac:dyDescent="0.45">
      <c r="B499" s="29" t="str">
        <f t="shared" si="17"/>
        <v/>
      </c>
      <c r="C499" s="25" t="str">
        <f t="shared" si="18"/>
        <v/>
      </c>
    </row>
    <row r="500" spans="2:3" ht="15.75" customHeight="1" x14ac:dyDescent="0.45">
      <c r="B500" s="29" t="str">
        <f t="shared" si="17"/>
        <v/>
      </c>
      <c r="C500" s="25" t="str">
        <f t="shared" si="18"/>
        <v/>
      </c>
    </row>
    <row r="501" spans="2:3" ht="15.75" customHeight="1" x14ac:dyDescent="0.45">
      <c r="B501" s="29" t="str">
        <f t="shared" si="17"/>
        <v/>
      </c>
      <c r="C501" s="25" t="str">
        <f t="shared" si="18"/>
        <v/>
      </c>
    </row>
    <row r="502" spans="2:3" ht="15.75" customHeight="1" x14ac:dyDescent="0.45">
      <c r="B502" s="29" t="str">
        <f t="shared" si="17"/>
        <v/>
      </c>
      <c r="C502" s="25" t="str">
        <f t="shared" si="18"/>
        <v/>
      </c>
    </row>
    <row r="503" spans="2:3" ht="15.75" customHeight="1" x14ac:dyDescent="0.45">
      <c r="B503" s="29" t="str">
        <f t="shared" si="17"/>
        <v/>
      </c>
      <c r="C503" s="25" t="str">
        <f t="shared" si="18"/>
        <v/>
      </c>
    </row>
    <row r="504" spans="2:3" ht="15.75" customHeight="1" x14ac:dyDescent="0.45">
      <c r="B504" s="29" t="str">
        <f t="shared" si="17"/>
        <v/>
      </c>
      <c r="C504" s="25" t="str">
        <f t="shared" si="18"/>
        <v/>
      </c>
    </row>
    <row r="505" spans="2:3" ht="15.75" customHeight="1" x14ac:dyDescent="0.45">
      <c r="B505" s="29" t="str">
        <f t="shared" si="17"/>
        <v/>
      </c>
      <c r="C505" s="25" t="str">
        <f t="shared" si="18"/>
        <v/>
      </c>
    </row>
    <row r="506" spans="2:3" ht="15.75" customHeight="1" x14ac:dyDescent="0.45">
      <c r="B506" s="29" t="str">
        <f t="shared" si="17"/>
        <v/>
      </c>
      <c r="C506" s="25" t="str">
        <f t="shared" si="18"/>
        <v/>
      </c>
    </row>
    <row r="507" spans="2:3" ht="15.75" customHeight="1" x14ac:dyDescent="0.45">
      <c r="B507" s="29" t="str">
        <f t="shared" si="17"/>
        <v/>
      </c>
      <c r="C507" s="25" t="str">
        <f t="shared" si="18"/>
        <v/>
      </c>
    </row>
    <row r="508" spans="2:3" ht="15.75" customHeight="1" x14ac:dyDescent="0.45">
      <c r="B508" s="29" t="str">
        <f t="shared" si="17"/>
        <v/>
      </c>
      <c r="C508" s="25" t="str">
        <f t="shared" si="18"/>
        <v/>
      </c>
    </row>
    <row r="509" spans="2:3" ht="15.75" customHeight="1" x14ac:dyDescent="0.45">
      <c r="B509" s="29" t="str">
        <f t="shared" si="17"/>
        <v/>
      </c>
      <c r="C509" s="25" t="str">
        <f t="shared" si="18"/>
        <v/>
      </c>
    </row>
    <row r="510" spans="2:3" ht="15.75" customHeight="1" x14ac:dyDescent="0.45">
      <c r="B510" s="29" t="str">
        <f t="shared" si="17"/>
        <v/>
      </c>
      <c r="C510" s="25" t="str">
        <f t="shared" si="18"/>
        <v/>
      </c>
    </row>
    <row r="511" spans="2:3" ht="15.75" customHeight="1" x14ac:dyDescent="0.45">
      <c r="B511" s="29" t="str">
        <f t="shared" si="17"/>
        <v/>
      </c>
      <c r="C511" s="25" t="str">
        <f t="shared" si="18"/>
        <v/>
      </c>
    </row>
  </sheetData>
  <mergeCells count="3">
    <mergeCell ref="A1:K1"/>
    <mergeCell ref="B12:F12"/>
    <mergeCell ref="G12:L12"/>
  </mergeCells>
  <conditionalFormatting sqref="A14:F14">
    <cfRule type="expression" dxfId="111" priority="5">
      <formula>AND(TODAY()&gt;=$B$14,TODAY()&lt;$B$15)</formula>
    </cfRule>
  </conditionalFormatting>
  <conditionalFormatting sqref="A15:F16 A17:L54">
    <cfRule type="expression" dxfId="110" priority="4">
      <formula>AND(TODAY()&gt;=$B15,TODAY()&lt;$B16)</formula>
    </cfRule>
  </conditionalFormatting>
  <conditionalFormatting sqref="B14:B54">
    <cfRule type="cellIs" dxfId="109" priority="3" operator="greaterThan">
      <formula>$C$5</formula>
    </cfRule>
  </conditionalFormatting>
  <conditionalFormatting sqref="G14:L14">
    <cfRule type="expression" dxfId="108" priority="2">
      <formula>AND(TODAY()&gt;=$B$14,TODAY()&lt;$B$15)</formula>
    </cfRule>
  </conditionalFormatting>
  <conditionalFormatting sqref="G15:L16">
    <cfRule type="expression" dxfId="107" priority="1">
      <formula>AND(TODAY()&gt;=$B15,TODAY()&lt;$B16)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F4B2-6DCA-45D3-B597-0556A6892913}">
  <sheetPr>
    <tabColor theme="9" tint="-0.499984740745262"/>
  </sheetPr>
  <dimension ref="A1:L511"/>
  <sheetViews>
    <sheetView workbookViewId="0">
      <selection activeCell="C3" sqref="C3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7" width="12.625" style="59" customWidth="1"/>
    <col min="8" max="8" width="25.125" style="59" customWidth="1"/>
    <col min="9" max="9" width="12.625" style="59" customWidth="1"/>
    <col min="10" max="10" width="11.875" style="59" customWidth="1"/>
    <col min="11" max="11" width="26.875" style="59" customWidth="1"/>
    <col min="12" max="12" width="22.25" style="59" customWidth="1"/>
    <col min="13" max="13" width="34.375" style="59" customWidth="1"/>
    <col min="14" max="16384" width="12.625" style="59"/>
  </cols>
  <sheetData>
    <row r="1" spans="1:12" ht="19.5" x14ac:dyDescent="0.25">
      <c r="A1" s="154" t="s">
        <v>20</v>
      </c>
      <c r="B1" s="167"/>
      <c r="C1" s="167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25">
      <c r="A2" s="68"/>
      <c r="B2" s="119" t="s">
        <v>2542</v>
      </c>
      <c r="C2" s="120" t="s">
        <v>79</v>
      </c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19.5" x14ac:dyDescent="0.25">
      <c r="B3" s="121" t="s">
        <v>2494</v>
      </c>
      <c r="C3" s="110" t="e">
        <f>COUNTIF(#REF!,C2)</f>
        <v>#REF!</v>
      </c>
      <c r="D3" s="70" t="s">
        <v>25</v>
      </c>
      <c r="E3" s="71" t="s">
        <v>26</v>
      </c>
      <c r="F3" s="71"/>
      <c r="G3" s="65"/>
      <c r="H3" s="65"/>
      <c r="I3" s="65"/>
      <c r="J3" s="65"/>
      <c r="K3" s="65"/>
      <c r="L3" s="65"/>
    </row>
    <row r="4" spans="1:12" ht="15.75" customHeight="1" x14ac:dyDescent="0.25">
      <c r="B4" s="122" t="s">
        <v>27</v>
      </c>
      <c r="C4" s="107">
        <v>45987</v>
      </c>
      <c r="D4" s="70" t="s">
        <v>28</v>
      </c>
      <c r="E4" s="65"/>
      <c r="F4" s="65"/>
      <c r="G4" s="65"/>
      <c r="H4" s="65"/>
      <c r="I4" s="65"/>
      <c r="J4" s="65"/>
      <c r="K4" s="65"/>
      <c r="L4" s="65"/>
    </row>
    <row r="5" spans="1:12" ht="15.75" customHeight="1" x14ac:dyDescent="0.25">
      <c r="B5" s="122" t="s">
        <v>29</v>
      </c>
      <c r="C5" s="107">
        <v>46113</v>
      </c>
      <c r="D5" s="70" t="s">
        <v>30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119" t="s">
        <v>31</v>
      </c>
      <c r="C6" s="106" t="e" cm="1">
        <f t="array" ref="C6">MAX(INDEX(J:J, LARGE(IF(J:J&lt;&gt;"", ROW(J:J)), {1;2;3;4})))</f>
        <v>#REF!</v>
      </c>
      <c r="D6" s="70" t="s">
        <v>32</v>
      </c>
      <c r="E6" s="71" t="s">
        <v>33</v>
      </c>
      <c r="F6" s="71"/>
      <c r="G6" s="65"/>
      <c r="H6" s="65"/>
      <c r="I6" s="65"/>
      <c r="J6" s="65"/>
      <c r="K6" s="65"/>
      <c r="L6" s="65"/>
    </row>
    <row r="7" spans="1:12" ht="15.75" customHeight="1" x14ac:dyDescent="0.25">
      <c r="B7" s="119" t="s">
        <v>34</v>
      </c>
      <c r="C7" s="106" t="e" cm="1">
        <f t="array" ref="C7">IF(MIN(INDEX(J:J, LARGE(IF(J:J&lt;&gt;"", ROW(J:J)), {1;2;3;4})))=0,
  1,
  MIN(INDEX(J:J, LARGE(IF(J:J&lt;&gt;"", ROW(J:J)), {1;2;3;4}))))</f>
        <v>#REF!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122" t="s">
        <v>35</v>
      </c>
      <c r="C8" s="108">
        <v>2</v>
      </c>
      <c r="D8" s="70" t="s">
        <v>32</v>
      </c>
      <c r="E8" s="65"/>
      <c r="F8" s="65"/>
      <c r="G8" s="65"/>
      <c r="H8" s="65"/>
      <c r="I8" s="65"/>
      <c r="J8" s="65"/>
      <c r="K8" s="65"/>
      <c r="L8" s="65"/>
    </row>
    <row r="9" spans="1:12" ht="15.75" customHeight="1" x14ac:dyDescent="0.25">
      <c r="B9" s="122" t="s">
        <v>36</v>
      </c>
      <c r="C9" s="109">
        <v>7</v>
      </c>
      <c r="D9" s="70" t="s">
        <v>37</v>
      </c>
      <c r="E9" s="65"/>
      <c r="F9" s="65"/>
      <c r="G9" s="65"/>
      <c r="H9" s="65"/>
      <c r="I9" s="65"/>
      <c r="J9" s="65"/>
      <c r="K9" s="65"/>
      <c r="L9" s="65"/>
    </row>
    <row r="10" spans="1:12" ht="15.75" hidden="1" customHeight="1" x14ac:dyDescent="0.25">
      <c r="B10" s="112"/>
      <c r="C10" s="65"/>
      <c r="D10" s="113"/>
      <c r="E10" s="65"/>
      <c r="F10" s="65"/>
      <c r="G10" s="65"/>
      <c r="H10" s="65"/>
      <c r="I10" s="65"/>
      <c r="J10" s="65"/>
      <c r="K10" s="65"/>
      <c r="L10" s="65"/>
    </row>
    <row r="11" spans="1:12" s="39" customFormat="1" ht="40.5" customHeight="1" x14ac:dyDescent="0.45">
      <c r="A11" s="103"/>
      <c r="B11" s="61" t="s">
        <v>38</v>
      </c>
      <c r="C11" s="60" t="s">
        <v>39</v>
      </c>
      <c r="D11" s="60" t="s">
        <v>40</v>
      </c>
      <c r="E11" s="60" t="s">
        <v>41</v>
      </c>
      <c r="F11" s="60" t="s">
        <v>42</v>
      </c>
      <c r="G11" s="60" t="s">
        <v>43</v>
      </c>
      <c r="H11" s="60" t="s">
        <v>44</v>
      </c>
      <c r="I11" s="60" t="s">
        <v>45</v>
      </c>
      <c r="J11" s="60" t="s">
        <v>46</v>
      </c>
      <c r="K11" s="60" t="s">
        <v>47</v>
      </c>
      <c r="L11" s="60" t="s">
        <v>48</v>
      </c>
    </row>
    <row r="12" spans="1:12" ht="19.5" customHeight="1" x14ac:dyDescent="0.25">
      <c r="A12" s="91"/>
      <c r="B12" s="162" t="s">
        <v>49</v>
      </c>
      <c r="C12" s="163"/>
      <c r="D12" s="163"/>
      <c r="E12" s="163"/>
      <c r="F12" s="164"/>
      <c r="G12" s="165" t="s">
        <v>50</v>
      </c>
      <c r="H12" s="166"/>
      <c r="I12" s="166"/>
      <c r="J12" s="166"/>
      <c r="K12" s="166"/>
      <c r="L12" s="166"/>
    </row>
    <row r="13" spans="1:12" ht="31.5" customHeight="1" x14ac:dyDescent="0.25">
      <c r="A13" s="44" t="s">
        <v>51</v>
      </c>
      <c r="B13" s="45" t="s">
        <v>52</v>
      </c>
      <c r="C13" s="46" t="s">
        <v>2495</v>
      </c>
      <c r="D13" s="46" t="s">
        <v>2496</v>
      </c>
      <c r="E13" s="46" t="s">
        <v>55</v>
      </c>
      <c r="F13" s="58" t="s">
        <v>56</v>
      </c>
      <c r="G13" s="47" t="s">
        <v>57</v>
      </c>
      <c r="H13" s="47" t="s">
        <v>58</v>
      </c>
      <c r="I13" s="48" t="s">
        <v>59</v>
      </c>
      <c r="J13" s="54" t="s">
        <v>60</v>
      </c>
      <c r="K13" s="87" t="s">
        <v>61</v>
      </c>
      <c r="L13" s="77" t="s">
        <v>62</v>
      </c>
    </row>
    <row r="14" spans="1:12" ht="15.75" customHeight="1" x14ac:dyDescent="0.25">
      <c r="A14" s="73" t="s">
        <v>2543</v>
      </c>
      <c r="B14" s="66">
        <f>C4</f>
        <v>45987</v>
      </c>
      <c r="C14" s="79" t="e">
        <f>$C$3</f>
        <v>#REF!</v>
      </c>
      <c r="D14" s="79" t="e">
        <f>$C$3</f>
        <v>#REF!</v>
      </c>
      <c r="E14" s="79" t="e">
        <f>$C$3</f>
        <v>#REF!</v>
      </c>
      <c r="F14" s="80"/>
      <c r="G14" s="118" t="e">
        <f>COUNTIFS(#REF!, "&gt;=" &amp; INT(B14),#REF!,
 "&lt;"  &amp; INT(B14)+6,#REF!,
 $C$2,#REF!,
 "&lt;&gt;BUG")</f>
        <v>#REF!</v>
      </c>
      <c r="H14" s="81" t="e">
        <f>COUNTIFS(#REF!, "&gt;=" &amp;(INT(B14)+1),#REF!,
 "&lt;"  &amp;(INT(B14)+6),#REF!,
 $C$2,#REF!,
 "&lt;&gt;BUG")</f>
        <v>#REF!</v>
      </c>
      <c r="I14" s="82" t="e">
        <f>COUNTIFS(#REF!, $C$2,#REF!,
 "BUG",#REF!,
 "&gt;=" &amp; INT(B14),#REF!,
 "&lt;"  &amp; INT(B14)+7)</f>
        <v>#REF!</v>
      </c>
      <c r="J14" s="83" t="e">
        <f>COUNTIFS(#REF!, $C$2,#REF!,
 "&lt;&gt;" &amp; "",#REF!,
 "&gt;=" &amp; INT(B14),#REF!,
 "&lt;"  &amp; INT(B14)+7)</f>
        <v>#REF!</v>
      </c>
      <c r="K14" s="84" t="e">
        <f>-COUNTIFS(#REF!, "&gt;=" &amp; INT(B14),#REF!, "&lt;"  &amp; INT(B14)+7,#REF!, "Descartado",#REF!,$C$2)</f>
        <v>#REF!</v>
      </c>
      <c r="L14" s="86"/>
    </row>
    <row r="15" spans="1:12" ht="15.75" customHeight="1" x14ac:dyDescent="0.25">
      <c r="A15" s="73" t="s">
        <v>2544</v>
      </c>
      <c r="B15" s="66">
        <f t="shared" ref="B15:B24" si="0">B14+$C$9</f>
        <v>45994</v>
      </c>
      <c r="C15" s="79" t="e">
        <f>IF(OR(C14="",C14=0),"",IF(ISBLANK($J14),IF(C14+$K14+$I14-$C$6&lt;=0,IF(AND(C14&gt;0,C14&lt;&gt;""),0,""),C14+$K14+$I14-$C$6),IF((C14-$J14)+$K14+$I14&lt;=0,IF(AND(C14&gt;0,C14&lt;&gt;""),0,""),(C14-$J14)+$K14+$I14)))</f>
        <v>#REF!</v>
      </c>
      <c r="D15" s="79" t="e">
        <f t="shared" ref="D15:D54" si="1">IF(OR(D14="",D14=0),"",IF(ISBLANK($J14),IF(D14+$K14+$I14-$C$7&lt;=0,IF(AND(D14&gt;0,D14&lt;&gt;""),0,""),D14+$K14+$I14-$C$7),IF((D14-$J14)+$K14+$I14&lt;=0,IF(AND(D14&gt;0,D14&lt;&gt;""),0,""),(D14-$J14)+$K14+$I14)))</f>
        <v>#REF!</v>
      </c>
      <c r="E15" s="79" t="e">
        <f t="shared" ref="E15:E54" si="2">IF(OR(E14="",E14=0),"",IF(ISBLANK($J14),IF(E14+$K14+$I14-$C$8&lt;=0,IF(AND(E14&gt;0,E14&lt;&gt;""),0,""),E14+$K14+$I14-$C$8),IF((E14-$J14)+$K14+$I14&lt;=0,IF(AND(E14&gt;0,E14&lt;&gt;""),0,""),(E14-$J14)+$K14+$I14)))</f>
        <v>#REF!</v>
      </c>
      <c r="F15" s="80" t="e">
        <f t="shared" ref="F15:F23" si="3">IF(J14="","",IF(G14+F14+H14+I14-J14&lt;0,0,G14+F14+H14+I14-J14))</f>
        <v>#REF!</v>
      </c>
      <c r="G15" s="118" t="e">
        <f>COUNTIFS(#REF!, "&gt;=" &amp; INT(B15),#REF!,
 "&lt;"  &amp; INT(B15)+6,#REF!,
 $C$2,#REF!,
 "&lt;&gt;BUG")</f>
        <v>#REF!</v>
      </c>
      <c r="H15" s="81" t="e">
        <f>COUNTIFS(#REF!, "&gt;=" &amp;(INT(B15)+1),#REF!,
 "&lt;"  &amp;(INT(B15)+6),#REF!,
 $C$2,#REF!,
 "&lt;&gt;BUG")</f>
        <v>#REF!</v>
      </c>
      <c r="I15" s="82" t="e">
        <f>COUNTIFS(#REF!, $C$2,#REF!,
 "BUG",#REF!,
 "&gt;=" &amp; INT(B15),#REF!,
 "&lt;"  &amp; INT(B15)+7)</f>
        <v>#REF!</v>
      </c>
      <c r="J15" s="83" t="e">
        <f>COUNTIFS(#REF!, $C$2,#REF!,
 "&lt;&gt;" &amp; "",#REF!,
 "&gt;=" &amp; INT(B15),#REF!,
 "&lt;"  &amp; INT(B15)+7)</f>
        <v>#REF!</v>
      </c>
      <c r="K15" s="84" t="e">
        <f>-COUNTIFS(#REF!, "&gt;=" &amp; INT(B15),#REF!, "&lt;"  &amp; INT(B15)+7,#REF!, "Descartado",#REF!,$C$2)</f>
        <v>#REF!</v>
      </c>
      <c r="L15" s="86"/>
    </row>
    <row r="16" spans="1:12" ht="15.75" customHeight="1" x14ac:dyDescent="0.25">
      <c r="A16" s="73" t="s">
        <v>2545</v>
      </c>
      <c r="B16" s="66">
        <f t="shared" si="0"/>
        <v>46001</v>
      </c>
      <c r="C16" s="85" t="e">
        <f t="shared" ref="C16:C54" si="4">IF(OR(C15="",C15=0),"",IF(ISBLANK(J15),IF(C15+K15+I15-$C$6&lt;=0,IF(AND(C15&gt;0,C15&lt;&gt;""),0,""),C15+K15+I15-$C$6),IF((C15-J15)+K15+I15&lt;=0,IF(AND(C15&gt;0,C15&lt;&gt;""),0,""),(C15-J15)+K15+I15)))</f>
        <v>#REF!</v>
      </c>
      <c r="D16" s="85" t="e">
        <f t="shared" si="1"/>
        <v>#REF!</v>
      </c>
      <c r="E16" s="85" t="e">
        <f t="shared" si="2"/>
        <v>#REF!</v>
      </c>
      <c r="F16" s="80" t="e">
        <f t="shared" si="3"/>
        <v>#REF!</v>
      </c>
      <c r="G16" s="118" t="e">
        <f>COUNTIFS(#REF!, "&gt;=" &amp; INT(B16),#REF!,
 "&lt;"  &amp; INT(B16)+6,#REF!,
 $C$2,#REF!,
 "&lt;&gt;BUG")</f>
        <v>#REF!</v>
      </c>
      <c r="H16" s="81" t="e">
        <f>COUNTIFS(#REF!, "&gt;=" &amp;(INT(B16)+1),#REF!,
 "&lt;"  &amp;(INT(B16)+6),#REF!,
 $C$2,#REF!,
 "&lt;&gt;BUG")</f>
        <v>#REF!</v>
      </c>
      <c r="I16" s="82" t="e">
        <f>COUNTIFS(#REF!, $C$2,#REF!,
 "BUG",#REF!,
 "&gt;=" &amp; INT(B16),#REF!,
 "&lt;"  &amp; INT(B16)+7)</f>
        <v>#REF!</v>
      </c>
      <c r="J16" s="83" t="e">
        <f>COUNTIFS(#REF!, $C$2,#REF!,
 "&lt;&gt;" &amp; "",#REF!,
 "&gt;=" &amp; INT(B16),#REF!,
 "&lt;"  &amp; INT(B16)+7)</f>
        <v>#REF!</v>
      </c>
      <c r="K16" s="84" t="e">
        <f>-COUNTIFS(#REF!, "&gt;=" &amp; INT(B16),#REF!, "&lt;"  &amp; INT(B16)+7,#REF!, "Descartado",#REF!,$C$2)</f>
        <v>#REF!</v>
      </c>
      <c r="L16" s="86"/>
    </row>
    <row r="17" spans="1:12" ht="23.25" customHeight="1" x14ac:dyDescent="0.25">
      <c r="A17" s="73" t="s">
        <v>2546</v>
      </c>
      <c r="B17" s="66">
        <f t="shared" si="0"/>
        <v>46008</v>
      </c>
      <c r="C17" s="85" t="e">
        <f t="shared" si="4"/>
        <v>#REF!</v>
      </c>
      <c r="D17" s="85" t="e">
        <f t="shared" si="1"/>
        <v>#REF!</v>
      </c>
      <c r="E17" s="85" t="e">
        <f t="shared" si="2"/>
        <v>#REF!</v>
      </c>
      <c r="F17" s="80" t="e">
        <f t="shared" si="3"/>
        <v>#REF!</v>
      </c>
      <c r="G17" s="118" t="e">
        <f>COUNTIFS(#REF!, "&gt;=" &amp; INT(B17),#REF!,
 "&lt;"  &amp; INT(B17)+6,#REF!,
 $C$2,#REF!,
 "&lt;&gt;BUG")</f>
        <v>#REF!</v>
      </c>
      <c r="H17" s="81" t="e">
        <f>COUNTIFS(#REF!, "&gt;=" &amp;(INT(B17)+1),#REF!,
 "&lt;"  &amp;(INT(B17)+6),#REF!,
 $C$2,#REF!,
 "&lt;&gt;BUG")</f>
        <v>#REF!</v>
      </c>
      <c r="I17" s="82" t="e">
        <f>COUNTIFS(#REF!, $C$2,#REF!,
 "BUG",#REF!,
 "&gt;=" &amp; INT(B17),#REF!,
 "&lt;"  &amp; INT(B17)+7)</f>
        <v>#REF!</v>
      </c>
      <c r="J17" s="83" t="e">
        <f>COUNTIFS(#REF!, $C$2,#REF!,
 "&lt;&gt;" &amp; "",#REF!,
 "&gt;=" &amp; INT(B17),#REF!,
 "&lt;"  &amp; INT(B17)+7)</f>
        <v>#REF!</v>
      </c>
      <c r="K17" s="84" t="e">
        <f>-COUNTIFS(#REF!, "&gt;=" &amp; INT(B17),#REF!, "&lt;"  &amp; INT(B17)+7,#REF!, "Descartado",#REF!,$C$2)</f>
        <v>#REF!</v>
      </c>
      <c r="L17" s="111"/>
    </row>
    <row r="18" spans="1:12" ht="15.75" customHeight="1" x14ac:dyDescent="0.25">
      <c r="A18" s="73" t="s">
        <v>2547</v>
      </c>
      <c r="B18" s="66">
        <f t="shared" si="0"/>
        <v>46015</v>
      </c>
      <c r="C18" s="85" t="e">
        <f t="shared" si="4"/>
        <v>#REF!</v>
      </c>
      <c r="D18" s="85" t="e">
        <f t="shared" si="1"/>
        <v>#REF!</v>
      </c>
      <c r="E18" s="85" t="e">
        <f t="shared" si="2"/>
        <v>#REF!</v>
      </c>
      <c r="F18" s="80" t="e">
        <f t="shared" si="3"/>
        <v>#REF!</v>
      </c>
      <c r="G18" s="118" t="e">
        <f>COUNTIFS(#REF!, "&gt;=" &amp; INT(B18),#REF!,
 "&lt;"  &amp; INT(B18)+6,#REF!,
 $C$2,#REF!,
 "&lt;&gt;BUG")</f>
        <v>#REF!</v>
      </c>
      <c r="H18" s="81" t="e">
        <f>COUNTIFS(#REF!, "&gt;=" &amp;(INT(B18)+1),#REF!,
 "&lt;"  &amp;(INT(B18)+6),#REF!,
 $C$2,#REF!,
 "&lt;&gt;BUG")</f>
        <v>#REF!</v>
      </c>
      <c r="I18" s="82" t="e">
        <f>COUNTIFS(#REF!, $C$2,#REF!,
 "BUG",#REF!,
 "&gt;=" &amp; INT(B18),#REF!,
 "&lt;"  &amp; INT(B18)+7)</f>
        <v>#REF!</v>
      </c>
      <c r="J18" s="83" t="e">
        <f>COUNTIFS(#REF!, $C$2,#REF!,
 "&lt;&gt;" &amp; "",#REF!,
 "&gt;=" &amp; INT(B18),#REF!,
 "&lt;"  &amp; INT(B18)+7)</f>
        <v>#REF!</v>
      </c>
      <c r="K18" s="84" t="e">
        <f>-COUNTIFS(#REF!, "&gt;=" &amp; INT(B18),#REF!, "&lt;"  &amp; INT(B18)+7,#REF!, "Descartado",#REF!,$C$2)</f>
        <v>#REF!</v>
      </c>
      <c r="L18" s="86"/>
    </row>
    <row r="19" spans="1:12" ht="15.75" customHeight="1" x14ac:dyDescent="0.25">
      <c r="A19" s="73" t="s">
        <v>2548</v>
      </c>
      <c r="B19" s="66">
        <f t="shared" si="0"/>
        <v>46022</v>
      </c>
      <c r="C19" s="85" t="e">
        <f t="shared" si="4"/>
        <v>#REF!</v>
      </c>
      <c r="D19" s="85" t="e">
        <f t="shared" si="1"/>
        <v>#REF!</v>
      </c>
      <c r="E19" s="85" t="e">
        <f t="shared" si="2"/>
        <v>#REF!</v>
      </c>
      <c r="F19" s="80" t="e">
        <f t="shared" si="3"/>
        <v>#REF!</v>
      </c>
      <c r="G19" s="118" t="e">
        <f>COUNTIFS(#REF!, "&gt;=" &amp; INT(B19),#REF!,
 "&lt;"  &amp; INT(B19)+6,#REF!,
 $C$2,#REF!,
 "&lt;&gt;BUG")</f>
        <v>#REF!</v>
      </c>
      <c r="H19" s="81" t="e">
        <f>COUNTIFS(#REF!, "&gt;=" &amp;(INT(B19)+1),#REF!,
 "&lt;"  &amp;(INT(B19)+6),#REF!,
 $C$2,#REF!,
 "&lt;&gt;BUG")</f>
        <v>#REF!</v>
      </c>
      <c r="I19" s="82" t="e">
        <f>COUNTIFS(#REF!, $C$2,#REF!,
 "BUG",#REF!,
 "&gt;=" &amp; INT(B19),#REF!,
 "&lt;"  &amp; INT(B19)+7)</f>
        <v>#REF!</v>
      </c>
      <c r="J19" s="83" t="e">
        <f>COUNTIFS(#REF!, $C$2,#REF!,
 "&lt;&gt;" &amp; "",#REF!,
 "&gt;=" &amp; INT(B19),#REF!,
 "&lt;"  &amp; INT(B19)+7)</f>
        <v>#REF!</v>
      </c>
      <c r="K19" s="84" t="e">
        <f>-COUNTIFS(#REF!, "&gt;=" &amp; INT(B19),#REF!, "&lt;"  &amp; INT(B19)+7,#REF!, "Descartado",#REF!,$C$2)</f>
        <v>#REF!</v>
      </c>
      <c r="L19" s="86"/>
    </row>
    <row r="20" spans="1:12" ht="15.75" customHeight="1" x14ac:dyDescent="0.25">
      <c r="A20" s="73" t="s">
        <v>2549</v>
      </c>
      <c r="B20" s="66">
        <f t="shared" si="0"/>
        <v>46029</v>
      </c>
      <c r="C20" s="85" t="e">
        <f t="shared" si="4"/>
        <v>#REF!</v>
      </c>
      <c r="D20" s="85" t="e">
        <f t="shared" si="1"/>
        <v>#REF!</v>
      </c>
      <c r="E20" s="85" t="e">
        <f t="shared" si="2"/>
        <v>#REF!</v>
      </c>
      <c r="F20" s="80" t="e">
        <f t="shared" si="3"/>
        <v>#REF!</v>
      </c>
      <c r="G20" s="118" t="e">
        <f>COUNTIFS(#REF!, "&gt;=" &amp; INT(B20),#REF!,
 "&lt;"  &amp; INT(B20)+6,#REF!,
 $C$2,#REF!,
 "&lt;&gt;BUG")</f>
        <v>#REF!</v>
      </c>
      <c r="H20" s="81" t="e">
        <f>COUNTIFS(#REF!, "&gt;=" &amp;(INT(B20)+1),#REF!,
 "&lt;"  &amp;(INT(B20)+6),#REF!,
 $C$2,#REF!,
 "&lt;&gt;BUG")</f>
        <v>#REF!</v>
      </c>
      <c r="I20" s="82" t="e">
        <f>COUNTIFS(#REF!, $C$2,#REF!,
 "BUG",#REF!,
 "&gt;=" &amp; INT(B20),#REF!,
 "&lt;"  &amp; INT(B20)+7)</f>
        <v>#REF!</v>
      </c>
      <c r="J20" s="83" t="e">
        <f>COUNTIFS(#REF!, $C$2,#REF!,
 "&lt;&gt;" &amp; "",#REF!,
 "&gt;=" &amp; INT(B20),#REF!,
 "&lt;"  &amp; INT(B20)+7)</f>
        <v>#REF!</v>
      </c>
      <c r="K20" s="84" t="e">
        <f>-COUNTIFS(#REF!, "&gt;=" &amp; INT(B20),#REF!, "&lt;"  &amp; INT(B20)+7,#REF!, "Descartado",#REF!,$C$2)</f>
        <v>#REF!</v>
      </c>
      <c r="L20" s="86"/>
    </row>
    <row r="21" spans="1:12" ht="15.75" customHeight="1" x14ac:dyDescent="0.25">
      <c r="A21" s="73" t="s">
        <v>2550</v>
      </c>
      <c r="B21" s="66">
        <f t="shared" si="0"/>
        <v>46036</v>
      </c>
      <c r="C21" s="85" t="e">
        <f t="shared" si="4"/>
        <v>#REF!</v>
      </c>
      <c r="D21" s="85" t="e">
        <f t="shared" si="1"/>
        <v>#REF!</v>
      </c>
      <c r="E21" s="85" t="e">
        <f t="shared" si="2"/>
        <v>#REF!</v>
      </c>
      <c r="F21" s="80" t="e">
        <f t="shared" si="3"/>
        <v>#REF!</v>
      </c>
      <c r="G21" s="118" t="e">
        <f>COUNTIFS(#REF!, "&gt;=" &amp; INT(B21),#REF!,
 "&lt;"  &amp; INT(B21)+6,#REF!,
 $C$2,#REF!,
 "&lt;&gt;BUG")</f>
        <v>#REF!</v>
      </c>
      <c r="H21" s="81" t="e">
        <f>COUNTIFS(#REF!, "&gt;=" &amp;(INT(B21)+1),#REF!,
 "&lt;"  &amp;(INT(B21)+6),#REF!,
 $C$2,#REF!,
 "&lt;&gt;BUG")</f>
        <v>#REF!</v>
      </c>
      <c r="I21" s="82" t="e">
        <f>COUNTIFS(#REF!, $C$2,#REF!,
 "BUG",#REF!,
 "&gt;=" &amp; INT(B21),#REF!,
 "&lt;"  &amp; INT(B21)+7)</f>
        <v>#REF!</v>
      </c>
      <c r="J21" s="83" t="e">
        <f>COUNTIFS(#REF!, $C$2,#REF!,
 "&lt;&gt;" &amp; "",#REF!,
 "&gt;=" &amp; INT(B21),#REF!,
 "&lt;"  &amp; INT(B21)+7)</f>
        <v>#REF!</v>
      </c>
      <c r="K21" s="84" t="e">
        <f>-COUNTIFS(#REF!, "&gt;=" &amp; INT(B21),#REF!, "&lt;"  &amp; INT(B21)+7,#REF!, "Descartado",#REF!,$C$2)</f>
        <v>#REF!</v>
      </c>
      <c r="L21" s="86"/>
    </row>
    <row r="22" spans="1:12" ht="15.75" customHeight="1" x14ac:dyDescent="0.25">
      <c r="A22" s="73" t="s">
        <v>2551</v>
      </c>
      <c r="B22" s="66">
        <f t="shared" si="0"/>
        <v>46043</v>
      </c>
      <c r="C22" s="85" t="e">
        <f t="shared" si="4"/>
        <v>#REF!</v>
      </c>
      <c r="D22" s="85" t="e">
        <f t="shared" si="1"/>
        <v>#REF!</v>
      </c>
      <c r="E22" s="85" t="e">
        <f t="shared" si="2"/>
        <v>#REF!</v>
      </c>
      <c r="F22" s="80" t="e">
        <f t="shared" si="3"/>
        <v>#REF!</v>
      </c>
      <c r="G22" s="118" t="e">
        <f>COUNTIFS(#REF!, "&gt;=" &amp; INT(B22),#REF!,
 "&lt;"  &amp; INT(B22)+6,#REF!,
 $C$2,#REF!,
 "&lt;&gt;BUG")</f>
        <v>#REF!</v>
      </c>
      <c r="H22" s="81" t="e">
        <f>COUNTIFS(#REF!, "&gt;=" &amp;(INT(B22)+1),#REF!,
 "&lt;"  &amp;(INT(B22)+6),#REF!,
 $C$2,#REF!,
 "&lt;&gt;BUG")</f>
        <v>#REF!</v>
      </c>
      <c r="I22" s="82" t="e">
        <f>COUNTIFS(#REF!, $C$2,#REF!,
 "BUG",#REF!,
 "&gt;=" &amp; INT(B22),#REF!,
 "&lt;"  &amp; INT(B22)+7)</f>
        <v>#REF!</v>
      </c>
      <c r="J22" s="83" t="e">
        <f>COUNTIFS(#REF!, $C$2,#REF!,
 "&lt;&gt;" &amp; "",#REF!,
 "&gt;=" &amp; INT(B22),#REF!,
 "&lt;"  &amp; INT(B22)+7)</f>
        <v>#REF!</v>
      </c>
      <c r="K22" s="84" t="e">
        <f>-COUNTIFS(#REF!, "&gt;=" &amp; INT(B22),#REF!, "&lt;"  &amp; INT(B22)+7,#REF!, "Descartado",#REF!,$C$2)</f>
        <v>#REF!</v>
      </c>
      <c r="L22" s="86"/>
    </row>
    <row r="23" spans="1:12" ht="15.75" customHeight="1" x14ac:dyDescent="0.25">
      <c r="A23" s="73" t="s">
        <v>2552</v>
      </c>
      <c r="B23" s="66">
        <f t="shared" si="0"/>
        <v>46050</v>
      </c>
      <c r="C23" s="85" t="e">
        <f t="shared" si="4"/>
        <v>#REF!</v>
      </c>
      <c r="D23" s="85" t="e">
        <f t="shared" si="1"/>
        <v>#REF!</v>
      </c>
      <c r="E23" s="85" t="e">
        <f t="shared" si="2"/>
        <v>#REF!</v>
      </c>
      <c r="F23" s="80" t="e">
        <f t="shared" si="3"/>
        <v>#REF!</v>
      </c>
      <c r="G23" s="118" t="e">
        <f>COUNTIFS(#REF!, "&gt;=" &amp; INT(B23),#REF!,
 "&lt;"  &amp; INT(B23)+6,#REF!,
 $C$2,#REF!,
 "&lt;&gt;BUG")</f>
        <v>#REF!</v>
      </c>
      <c r="H23" s="81" t="e">
        <f>COUNTIFS(#REF!, "&gt;=" &amp;(INT(B23)+1),#REF!,
 "&lt;"  &amp;(INT(B23)+6),#REF!,
 $C$2,#REF!,
 "&lt;&gt;BUG")</f>
        <v>#REF!</v>
      </c>
      <c r="I23" s="82" t="e">
        <f>COUNTIFS(#REF!, $C$2,#REF!,
 "BUG",#REF!,
 "&gt;=" &amp; INT(B23),#REF!,
 "&lt;"  &amp; INT(B23)+7)</f>
        <v>#REF!</v>
      </c>
      <c r="J23" s="83" t="e">
        <f>COUNTIFS(#REF!, $C$2,#REF!,
 "&lt;&gt;" &amp; "",#REF!,
 "&gt;=" &amp; INT(B23),#REF!,
 "&lt;"  &amp; INT(B23)+7)</f>
        <v>#REF!</v>
      </c>
      <c r="K23" s="84" t="e">
        <f>-COUNTIFS(#REF!, "&gt;=" &amp; INT(B23),#REF!, "&lt;"  &amp; INT(B23)+7,#REF!, "Descartado",#REF!,$C$2)</f>
        <v>#REF!</v>
      </c>
      <c r="L23" s="86"/>
    </row>
    <row r="24" spans="1:12" ht="15.75" customHeight="1" x14ac:dyDescent="0.25">
      <c r="A24" s="73" t="s">
        <v>2553</v>
      </c>
      <c r="B24" s="66">
        <f t="shared" si="0"/>
        <v>46057</v>
      </c>
      <c r="C24" s="85" t="e">
        <f t="shared" si="4"/>
        <v>#REF!</v>
      </c>
      <c r="D24" s="85" t="e">
        <f t="shared" si="1"/>
        <v>#REF!</v>
      </c>
      <c r="E24" s="85" t="e">
        <f t="shared" si="2"/>
        <v>#REF!</v>
      </c>
      <c r="F24" s="80" t="e">
        <f t="shared" ref="F24:F32" si="5">IF(J23="","",IF(G23+F23+H23+I23-J23&lt;0,0,G23+F23+H23+I23-J23))</f>
        <v>#REF!</v>
      </c>
      <c r="G24" s="118" t="e">
        <f>COUNTIFS(#REF!, "&gt;=" &amp; INT(B24),#REF!,
 "&lt;"  &amp; INT(B24)+6,#REF!,
 $C$2,#REF!,
 "&lt;&gt;BUG")</f>
        <v>#REF!</v>
      </c>
      <c r="H24" s="81" t="e">
        <f>COUNTIFS(#REF!, "&gt;=" &amp;(INT(B24)+1),#REF!,
 "&lt;"  &amp;(INT(B24)+6),#REF!,
 $C$2,#REF!,
 "&lt;&gt;BUG")</f>
        <v>#REF!</v>
      </c>
      <c r="I24" s="82" t="e">
        <f>COUNTIFS(#REF!, $C$2,#REF!,
 "BUG",#REF!,
 "&gt;=" &amp; INT(B24),#REF!,
 "&lt;"  &amp; INT(B24)+7)</f>
        <v>#REF!</v>
      </c>
      <c r="J24" s="83" t="e">
        <f>COUNTIFS(#REF!, $C$2,#REF!,
 "&lt;&gt;" &amp; "",#REF!,
 "&gt;=" &amp; INT(B24),#REF!,
 "&lt;"  &amp; INT(B24)+7)</f>
        <v>#REF!</v>
      </c>
      <c r="K24" s="84" t="e">
        <f>-COUNTIFS(#REF!, "&gt;=" &amp; INT(B24),#REF!, "&lt;"  &amp; INT(B24)+7,#REF!, "Descartado",#REF!,$C$2)</f>
        <v>#REF!</v>
      </c>
      <c r="L24" s="86"/>
    </row>
    <row r="25" spans="1:12" ht="15.75" customHeight="1" x14ac:dyDescent="0.25">
      <c r="A25" s="73" t="s">
        <v>2554</v>
      </c>
      <c r="B25" s="66">
        <f t="shared" ref="B25:B28" si="6">B24+$C$9</f>
        <v>46064</v>
      </c>
      <c r="C25" s="85" t="e">
        <f t="shared" si="4"/>
        <v>#REF!</v>
      </c>
      <c r="D25" s="85" t="e">
        <f t="shared" si="1"/>
        <v>#REF!</v>
      </c>
      <c r="E25" s="85" t="e">
        <f t="shared" si="2"/>
        <v>#REF!</v>
      </c>
      <c r="F25" s="80" t="e">
        <f t="shared" si="5"/>
        <v>#REF!</v>
      </c>
      <c r="G25" s="118" t="e">
        <f>COUNTIFS(#REF!, "&gt;=" &amp; INT(B25),#REF!,
 "&lt;"  &amp; INT(B25)+6,#REF!,
 $C$2,#REF!,
 "&lt;&gt;BUG")</f>
        <v>#REF!</v>
      </c>
      <c r="H25" s="81" t="e">
        <f>COUNTIFS(#REF!, "&gt;=" &amp;(INT(B25)+1),#REF!,
 "&lt;"  &amp;(INT(B25)+6),#REF!,
 $C$2,#REF!,
 "&lt;&gt;BUG")</f>
        <v>#REF!</v>
      </c>
      <c r="I25" s="82" t="e">
        <f>COUNTIFS(#REF!, $C$2,#REF!,
 "BUG",#REF!,
 "&gt;=" &amp; INT(B25),#REF!,
 "&lt;"  &amp; INT(B25)+7)</f>
        <v>#REF!</v>
      </c>
      <c r="J25" s="83" t="e">
        <f>COUNTIFS(#REF!, $C$2,#REF!,
 "&lt;&gt;" &amp; "",#REF!,
 "&gt;=" &amp; INT(B25),#REF!,
 "&lt;"  &amp; INT(B25)+7)</f>
        <v>#REF!</v>
      </c>
      <c r="K25" s="84" t="e">
        <f>-COUNTIFS(#REF!, "&gt;=" &amp; INT(B25),#REF!, "&lt;"  &amp; INT(B25)+7,#REF!, "Descartado",#REF!,$C$2)</f>
        <v>#REF!</v>
      </c>
      <c r="L25" s="86"/>
    </row>
    <row r="26" spans="1:12" ht="15.75" customHeight="1" x14ac:dyDescent="0.25">
      <c r="A26" s="73" t="s">
        <v>2555</v>
      </c>
      <c r="B26" s="66">
        <f t="shared" si="6"/>
        <v>46071</v>
      </c>
      <c r="C26" s="85" t="e">
        <f t="shared" si="4"/>
        <v>#REF!</v>
      </c>
      <c r="D26" s="85" t="e">
        <f t="shared" si="1"/>
        <v>#REF!</v>
      </c>
      <c r="E26" s="85" t="e">
        <f t="shared" si="2"/>
        <v>#REF!</v>
      </c>
      <c r="F26" s="80" t="e">
        <f t="shared" si="5"/>
        <v>#REF!</v>
      </c>
      <c r="G26" s="118"/>
      <c r="H26" s="81" t="e">
        <f>COUNTIFS(#REF!, "&gt;=" &amp;(INT(B26)+1),#REF!,
 "&lt;"  &amp;(INT(B26)+6),#REF!,
 $C$2,#REF!,
 "&lt;&gt;BUG")</f>
        <v>#REF!</v>
      </c>
      <c r="I26" s="82"/>
      <c r="J26" s="83"/>
      <c r="K26" s="84"/>
      <c r="L26" s="86"/>
    </row>
    <row r="27" spans="1:12" ht="15.75" customHeight="1" x14ac:dyDescent="0.25">
      <c r="A27" s="73" t="s">
        <v>2556</v>
      </c>
      <c r="B27" s="66">
        <f t="shared" si="6"/>
        <v>46078</v>
      </c>
      <c r="C27" s="85" t="e">
        <f t="shared" si="4"/>
        <v>#REF!</v>
      </c>
      <c r="D27" s="85" t="e">
        <f t="shared" si="1"/>
        <v>#REF!</v>
      </c>
      <c r="E27" s="85" t="e">
        <f t="shared" si="2"/>
        <v>#REF!</v>
      </c>
      <c r="F27" s="80" t="str">
        <f t="shared" si="5"/>
        <v/>
      </c>
      <c r="G27" s="81"/>
      <c r="H27" s="81" t="e">
        <f>COUNTIFS(#REF!, "&gt;=" &amp;(INT(B27)+1),#REF!,
 "&lt;"  &amp;(INT(B27)+6),#REF!,
 $C$2,#REF!,
 "&lt;&gt;BUG")</f>
        <v>#REF!</v>
      </c>
      <c r="I27" s="82"/>
      <c r="J27" s="83"/>
      <c r="K27" s="84"/>
      <c r="L27" s="86"/>
    </row>
    <row r="28" spans="1:12" ht="15.75" customHeight="1" x14ac:dyDescent="0.25">
      <c r="A28" s="73" t="s">
        <v>2557</v>
      </c>
      <c r="B28" s="66">
        <f t="shared" si="6"/>
        <v>46085</v>
      </c>
      <c r="C28" s="85" t="e">
        <f t="shared" si="4"/>
        <v>#REF!</v>
      </c>
      <c r="D28" s="85" t="e">
        <f t="shared" si="1"/>
        <v>#REF!</v>
      </c>
      <c r="E28" s="85" t="e">
        <f t="shared" si="2"/>
        <v>#REF!</v>
      </c>
      <c r="F28" s="80" t="str">
        <f t="shared" si="5"/>
        <v/>
      </c>
      <c r="G28" s="81"/>
      <c r="H28" s="81" t="e">
        <f>COUNTIFS(#REF!, "&gt;=" &amp;(INT(B28)+1),#REF!,
 "&lt;"  &amp;(INT(B28)+6),#REF!,
 $C$2,#REF!,
 "&lt;&gt;BUG")</f>
        <v>#REF!</v>
      </c>
      <c r="I28" s="82"/>
      <c r="J28" s="83"/>
      <c r="K28" s="84"/>
      <c r="L28" s="86"/>
    </row>
    <row r="29" spans="1:12" ht="15.75" customHeight="1" x14ac:dyDescent="0.25">
      <c r="A29" s="73" t="s">
        <v>2558</v>
      </c>
      <c r="B29" s="66">
        <f t="shared" ref="B29:B54" si="7">B28+$C$9</f>
        <v>46092</v>
      </c>
      <c r="C29" s="85" t="e">
        <f t="shared" si="4"/>
        <v>#REF!</v>
      </c>
      <c r="D29" s="85" t="e">
        <f t="shared" si="1"/>
        <v>#REF!</v>
      </c>
      <c r="E29" s="85" t="e">
        <f t="shared" si="2"/>
        <v>#REF!</v>
      </c>
      <c r="F29" s="80" t="str">
        <f t="shared" si="5"/>
        <v/>
      </c>
      <c r="G29" s="81"/>
      <c r="H29" s="81" t="e">
        <f>COUNTIFS(#REF!, "&gt;=" &amp;(INT(B29)+1),#REF!,
 "&lt;"  &amp;(INT(B29)+6),#REF!,
 $C$2,#REF!,
 "&lt;&gt;BUG")</f>
        <v>#REF!</v>
      </c>
      <c r="I29" s="82"/>
      <c r="J29" s="83"/>
      <c r="K29" s="84"/>
      <c r="L29" s="86"/>
    </row>
    <row r="30" spans="1:12" ht="15.75" customHeight="1" x14ac:dyDescent="0.25">
      <c r="A30" s="73" t="s">
        <v>2559</v>
      </c>
      <c r="B30" s="66">
        <f t="shared" si="7"/>
        <v>46099</v>
      </c>
      <c r="C30" s="85" t="e">
        <f t="shared" si="4"/>
        <v>#REF!</v>
      </c>
      <c r="D30" s="85" t="e">
        <f t="shared" si="1"/>
        <v>#REF!</v>
      </c>
      <c r="E30" s="85" t="e">
        <f t="shared" si="2"/>
        <v>#REF!</v>
      </c>
      <c r="F30" s="80" t="str">
        <f t="shared" si="5"/>
        <v/>
      </c>
      <c r="G30" s="81"/>
      <c r="H30" s="81" t="e">
        <f>COUNTIFS(#REF!, "&gt;=" &amp;(INT(B30)+1),#REF!,
 "&lt;"  &amp;(INT(B30)+6),#REF!,
 $C$2,#REF!,
 "&lt;&gt;BUG")</f>
        <v>#REF!</v>
      </c>
      <c r="I30" s="82"/>
      <c r="J30" s="83"/>
      <c r="K30" s="84"/>
      <c r="L30" s="86"/>
    </row>
    <row r="31" spans="1:12" ht="15.75" customHeight="1" x14ac:dyDescent="0.25">
      <c r="A31" s="73" t="s">
        <v>2560</v>
      </c>
      <c r="B31" s="66">
        <f t="shared" si="7"/>
        <v>46106</v>
      </c>
      <c r="C31" s="85" t="e">
        <f t="shared" si="4"/>
        <v>#REF!</v>
      </c>
      <c r="D31" s="85" t="e">
        <f t="shared" si="1"/>
        <v>#REF!</v>
      </c>
      <c r="E31" s="85" t="e">
        <f t="shared" si="2"/>
        <v>#REF!</v>
      </c>
      <c r="F31" s="80" t="str">
        <f t="shared" si="5"/>
        <v/>
      </c>
      <c r="G31" s="81"/>
      <c r="H31" s="81" t="e">
        <f>COUNTIFS(#REF!, "&gt;=" &amp;(INT(B31)+1),#REF!,
 "&lt;"  &amp;(INT(B31)+6),#REF!,
 $C$2,#REF!,
 "&lt;&gt;BUG")</f>
        <v>#REF!</v>
      </c>
      <c r="I31" s="82"/>
      <c r="J31" s="83"/>
      <c r="K31" s="84"/>
      <c r="L31" s="86"/>
    </row>
    <row r="32" spans="1:12" ht="15.75" customHeight="1" x14ac:dyDescent="0.25">
      <c r="A32" s="73"/>
      <c r="B32" s="66">
        <f t="shared" si="7"/>
        <v>46113</v>
      </c>
      <c r="C32" s="85" t="e">
        <f t="shared" si="4"/>
        <v>#REF!</v>
      </c>
      <c r="D32" s="85" t="e">
        <f t="shared" si="1"/>
        <v>#REF!</v>
      </c>
      <c r="E32" s="85" t="e">
        <f t="shared" si="2"/>
        <v>#REF!</v>
      </c>
      <c r="F32" s="80" t="str">
        <f t="shared" si="5"/>
        <v/>
      </c>
      <c r="G32" s="81"/>
      <c r="H32" s="81" t="e">
        <f>COUNTIFS(#REF!, "&gt;=" &amp;(INT(B32)+1),#REF!,
 "&lt;"  &amp;(INT(B32)+6),#REF!,
 $C$2,#REF!,
 "&lt;&gt;BUG")</f>
        <v>#REF!</v>
      </c>
      <c r="I32" s="82"/>
      <c r="J32" s="83"/>
      <c r="K32" s="84"/>
      <c r="L32" s="86"/>
    </row>
    <row r="33" spans="1:12" ht="15.75" customHeight="1" x14ac:dyDescent="0.25">
      <c r="A33" s="73"/>
      <c r="B33" s="66">
        <f t="shared" si="7"/>
        <v>46120</v>
      </c>
      <c r="C33" s="85" t="e">
        <f t="shared" si="4"/>
        <v>#REF!</v>
      </c>
      <c r="D33" s="85" t="e">
        <f t="shared" si="1"/>
        <v>#REF!</v>
      </c>
      <c r="E33" s="85" t="e">
        <f t="shared" si="2"/>
        <v>#REF!</v>
      </c>
      <c r="F33" s="80" t="str">
        <f t="shared" ref="F33:F54" si="8">IF(J32="","",IF(G32+F32+H32+I32-J32&lt;0,0,G32+F32+H32+I32-J32))</f>
        <v/>
      </c>
      <c r="G33" s="81"/>
      <c r="H33" s="81"/>
      <c r="I33" s="82"/>
      <c r="J33" s="83"/>
      <c r="K33" s="84"/>
      <c r="L33" s="86"/>
    </row>
    <row r="34" spans="1:12" ht="15.75" customHeight="1" x14ac:dyDescent="0.25">
      <c r="A34" s="73"/>
      <c r="B34" s="66">
        <f t="shared" si="7"/>
        <v>46127</v>
      </c>
      <c r="C34" s="85" t="e">
        <f t="shared" si="4"/>
        <v>#REF!</v>
      </c>
      <c r="D34" s="85" t="e">
        <f t="shared" si="1"/>
        <v>#REF!</v>
      </c>
      <c r="E34" s="85" t="e">
        <f t="shared" si="2"/>
        <v>#REF!</v>
      </c>
      <c r="F34" s="80" t="str">
        <f t="shared" si="8"/>
        <v/>
      </c>
      <c r="G34" s="81"/>
      <c r="H34" s="81"/>
      <c r="I34" s="82"/>
      <c r="J34" s="83"/>
      <c r="K34" s="84"/>
      <c r="L34" s="86"/>
    </row>
    <row r="35" spans="1:12" ht="15.75" customHeight="1" x14ac:dyDescent="0.25">
      <c r="A35" s="73"/>
      <c r="B35" s="66">
        <f t="shared" si="7"/>
        <v>46134</v>
      </c>
      <c r="C35" s="85" t="e">
        <f t="shared" si="4"/>
        <v>#REF!</v>
      </c>
      <c r="D35" s="85" t="e">
        <f t="shared" si="1"/>
        <v>#REF!</v>
      </c>
      <c r="E35" s="85" t="e">
        <f t="shared" si="2"/>
        <v>#REF!</v>
      </c>
      <c r="F35" s="80" t="str">
        <f t="shared" si="8"/>
        <v/>
      </c>
      <c r="G35" s="81"/>
      <c r="H35" s="81"/>
      <c r="I35" s="82"/>
      <c r="J35" s="83"/>
      <c r="K35" s="84"/>
      <c r="L35" s="86"/>
    </row>
    <row r="36" spans="1:12" ht="15.75" customHeight="1" x14ac:dyDescent="0.25">
      <c r="A36" s="73"/>
      <c r="B36" s="66">
        <f t="shared" si="7"/>
        <v>46141</v>
      </c>
      <c r="C36" s="85" t="e">
        <f t="shared" si="4"/>
        <v>#REF!</v>
      </c>
      <c r="D36" s="85" t="e">
        <f t="shared" si="1"/>
        <v>#REF!</v>
      </c>
      <c r="E36" s="85" t="e">
        <f t="shared" si="2"/>
        <v>#REF!</v>
      </c>
      <c r="F36" s="80" t="str">
        <f t="shared" si="8"/>
        <v/>
      </c>
      <c r="G36" s="81"/>
      <c r="H36" s="81"/>
      <c r="I36" s="82"/>
      <c r="J36" s="83"/>
      <c r="K36" s="84"/>
      <c r="L36" s="86"/>
    </row>
    <row r="37" spans="1:12" ht="15.75" customHeight="1" x14ac:dyDescent="0.25">
      <c r="A37" s="73"/>
      <c r="B37" s="66">
        <f t="shared" si="7"/>
        <v>46148</v>
      </c>
      <c r="C37" s="85" t="e">
        <f t="shared" si="4"/>
        <v>#REF!</v>
      </c>
      <c r="D37" s="85" t="e">
        <f t="shared" si="1"/>
        <v>#REF!</v>
      </c>
      <c r="E37" s="85" t="e">
        <f t="shared" si="2"/>
        <v>#REF!</v>
      </c>
      <c r="F37" s="80" t="str">
        <f t="shared" si="8"/>
        <v/>
      </c>
      <c r="G37" s="81"/>
      <c r="H37" s="81"/>
      <c r="I37" s="82"/>
      <c r="J37" s="83"/>
      <c r="K37" s="84"/>
      <c r="L37" s="86"/>
    </row>
    <row r="38" spans="1:12" ht="15.75" customHeight="1" x14ac:dyDescent="0.25">
      <c r="A38" s="73"/>
      <c r="B38" s="66">
        <f t="shared" si="7"/>
        <v>46155</v>
      </c>
      <c r="C38" s="85" t="e">
        <f t="shared" si="4"/>
        <v>#REF!</v>
      </c>
      <c r="D38" s="85" t="e">
        <f t="shared" si="1"/>
        <v>#REF!</v>
      </c>
      <c r="E38" s="85" t="e">
        <f t="shared" si="2"/>
        <v>#REF!</v>
      </c>
      <c r="F38" s="80" t="str">
        <f t="shared" si="8"/>
        <v/>
      </c>
      <c r="G38" s="81"/>
      <c r="H38" s="81"/>
      <c r="I38" s="82"/>
      <c r="J38" s="83"/>
      <c r="K38" s="84"/>
      <c r="L38" s="86"/>
    </row>
    <row r="39" spans="1:12" ht="15.75" customHeight="1" x14ac:dyDescent="0.25">
      <c r="A39" s="73"/>
      <c r="B39" s="66">
        <f t="shared" si="7"/>
        <v>46162</v>
      </c>
      <c r="C39" s="85" t="e">
        <f t="shared" si="4"/>
        <v>#REF!</v>
      </c>
      <c r="D39" s="85" t="e">
        <f t="shared" si="1"/>
        <v>#REF!</v>
      </c>
      <c r="E39" s="85" t="e">
        <f t="shared" si="2"/>
        <v>#REF!</v>
      </c>
      <c r="F39" s="80" t="str">
        <f t="shared" si="8"/>
        <v/>
      </c>
      <c r="G39" s="81"/>
      <c r="H39" s="81"/>
      <c r="I39" s="82"/>
      <c r="J39" s="83"/>
      <c r="K39" s="84"/>
      <c r="L39" s="86"/>
    </row>
    <row r="40" spans="1:12" ht="15.75" customHeight="1" x14ac:dyDescent="0.25">
      <c r="A40" s="73"/>
      <c r="B40" s="66">
        <f t="shared" si="7"/>
        <v>46169</v>
      </c>
      <c r="C40" s="85" t="e">
        <f t="shared" si="4"/>
        <v>#REF!</v>
      </c>
      <c r="D40" s="85" t="e">
        <f t="shared" si="1"/>
        <v>#REF!</v>
      </c>
      <c r="E40" s="85" t="e">
        <f t="shared" si="2"/>
        <v>#REF!</v>
      </c>
      <c r="F40" s="80" t="str">
        <f t="shared" si="8"/>
        <v/>
      </c>
      <c r="G40" s="81"/>
      <c r="H40" s="81"/>
      <c r="I40" s="82"/>
      <c r="J40" s="83"/>
      <c r="K40" s="84"/>
      <c r="L40" s="86"/>
    </row>
    <row r="41" spans="1:12" ht="15.75" customHeight="1" x14ac:dyDescent="0.25">
      <c r="A41" s="73"/>
      <c r="B41" s="66">
        <f t="shared" si="7"/>
        <v>46176</v>
      </c>
      <c r="C41" s="85" t="e">
        <f t="shared" si="4"/>
        <v>#REF!</v>
      </c>
      <c r="D41" s="85" t="e">
        <f t="shared" si="1"/>
        <v>#REF!</v>
      </c>
      <c r="E41" s="85" t="e">
        <f t="shared" si="2"/>
        <v>#REF!</v>
      </c>
      <c r="F41" s="80" t="str">
        <f t="shared" si="8"/>
        <v/>
      </c>
      <c r="G41" s="81"/>
      <c r="H41" s="81"/>
      <c r="I41" s="82"/>
      <c r="J41" s="83"/>
      <c r="K41" s="84"/>
      <c r="L41" s="86"/>
    </row>
    <row r="42" spans="1:12" ht="15.75" customHeight="1" x14ac:dyDescent="0.25">
      <c r="A42" s="73"/>
      <c r="B42" s="66">
        <f t="shared" si="7"/>
        <v>46183</v>
      </c>
      <c r="C42" s="85" t="e">
        <f t="shared" si="4"/>
        <v>#REF!</v>
      </c>
      <c r="D42" s="85" t="e">
        <f t="shared" si="1"/>
        <v>#REF!</v>
      </c>
      <c r="E42" s="85" t="e">
        <f t="shared" si="2"/>
        <v>#REF!</v>
      </c>
      <c r="F42" s="80" t="str">
        <f t="shared" si="8"/>
        <v/>
      </c>
      <c r="G42" s="81"/>
      <c r="H42" s="81"/>
      <c r="I42" s="82"/>
      <c r="J42" s="83"/>
      <c r="K42" s="84"/>
      <c r="L42" s="86"/>
    </row>
    <row r="43" spans="1:12" ht="15.75" customHeight="1" x14ac:dyDescent="0.25">
      <c r="A43" s="73"/>
      <c r="B43" s="66">
        <f t="shared" si="7"/>
        <v>46190</v>
      </c>
      <c r="C43" s="85" t="e">
        <f t="shared" si="4"/>
        <v>#REF!</v>
      </c>
      <c r="D43" s="85" t="e">
        <f t="shared" si="1"/>
        <v>#REF!</v>
      </c>
      <c r="E43" s="85" t="e">
        <f t="shared" si="2"/>
        <v>#REF!</v>
      </c>
      <c r="F43" s="80" t="str">
        <f t="shared" si="8"/>
        <v/>
      </c>
      <c r="G43" s="81"/>
      <c r="H43" s="81"/>
      <c r="I43" s="82"/>
      <c r="J43" s="83"/>
      <c r="K43" s="84"/>
      <c r="L43" s="86"/>
    </row>
    <row r="44" spans="1:12" ht="15.75" customHeight="1" x14ac:dyDescent="0.25">
      <c r="A44" s="73"/>
      <c r="B44" s="66">
        <f t="shared" si="7"/>
        <v>46197</v>
      </c>
      <c r="C44" s="85" t="e">
        <f t="shared" si="4"/>
        <v>#REF!</v>
      </c>
      <c r="D44" s="85" t="e">
        <f t="shared" si="1"/>
        <v>#REF!</v>
      </c>
      <c r="E44" s="85" t="e">
        <f t="shared" si="2"/>
        <v>#REF!</v>
      </c>
      <c r="F44" s="80" t="str">
        <f t="shared" si="8"/>
        <v/>
      </c>
      <c r="G44" s="81"/>
      <c r="H44" s="81"/>
      <c r="I44" s="82"/>
      <c r="J44" s="83"/>
      <c r="K44" s="84"/>
      <c r="L44" s="86"/>
    </row>
    <row r="45" spans="1:12" ht="15.75" customHeight="1" x14ac:dyDescent="0.25">
      <c r="A45" s="73"/>
      <c r="B45" s="66">
        <f t="shared" si="7"/>
        <v>46204</v>
      </c>
      <c r="C45" s="85" t="e">
        <f t="shared" si="4"/>
        <v>#REF!</v>
      </c>
      <c r="D45" s="85" t="e">
        <f t="shared" si="1"/>
        <v>#REF!</v>
      </c>
      <c r="E45" s="85" t="e">
        <f t="shared" si="2"/>
        <v>#REF!</v>
      </c>
      <c r="F45" s="80" t="str">
        <f t="shared" si="8"/>
        <v/>
      </c>
      <c r="G45" s="81"/>
      <c r="H45" s="81"/>
      <c r="I45" s="82"/>
      <c r="J45" s="83"/>
      <c r="K45" s="84"/>
      <c r="L45" s="86"/>
    </row>
    <row r="46" spans="1:12" ht="15.75" customHeight="1" x14ac:dyDescent="0.25">
      <c r="A46" s="73"/>
      <c r="B46" s="66">
        <f t="shared" si="7"/>
        <v>46211</v>
      </c>
      <c r="C46" s="85" t="e">
        <f t="shared" si="4"/>
        <v>#REF!</v>
      </c>
      <c r="D46" s="85" t="e">
        <f t="shared" si="1"/>
        <v>#REF!</v>
      </c>
      <c r="E46" s="85" t="e">
        <f t="shared" si="2"/>
        <v>#REF!</v>
      </c>
      <c r="F46" s="80" t="str">
        <f t="shared" si="8"/>
        <v/>
      </c>
      <c r="G46" s="81"/>
      <c r="H46" s="81"/>
      <c r="I46" s="82"/>
      <c r="J46" s="83"/>
      <c r="K46" s="84"/>
      <c r="L46" s="86"/>
    </row>
    <row r="47" spans="1:12" ht="15.75" customHeight="1" x14ac:dyDescent="0.25">
      <c r="A47" s="73"/>
      <c r="B47" s="66">
        <f t="shared" si="7"/>
        <v>46218</v>
      </c>
      <c r="C47" s="85" t="e">
        <f t="shared" si="4"/>
        <v>#REF!</v>
      </c>
      <c r="D47" s="85" t="e">
        <f t="shared" si="1"/>
        <v>#REF!</v>
      </c>
      <c r="E47" s="85" t="e">
        <f t="shared" si="2"/>
        <v>#REF!</v>
      </c>
      <c r="F47" s="80" t="str">
        <f t="shared" si="8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/>
      <c r="B48" s="66">
        <f t="shared" si="7"/>
        <v>46225</v>
      </c>
      <c r="C48" s="85" t="e">
        <f t="shared" si="4"/>
        <v>#REF!</v>
      </c>
      <c r="D48" s="85" t="e">
        <f t="shared" si="1"/>
        <v>#REF!</v>
      </c>
      <c r="E48" s="85" t="e">
        <f t="shared" si="2"/>
        <v>#REF!</v>
      </c>
      <c r="F48" s="80" t="str">
        <f t="shared" si="8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7"/>
        <v>46232</v>
      </c>
      <c r="C49" s="85" t="e">
        <f t="shared" si="4"/>
        <v>#REF!</v>
      </c>
      <c r="D49" s="85" t="e">
        <f t="shared" si="1"/>
        <v>#REF!</v>
      </c>
      <c r="E49" s="85" t="e">
        <f t="shared" si="2"/>
        <v>#REF!</v>
      </c>
      <c r="F49" s="80" t="str">
        <f t="shared" si="8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7"/>
        <v>46239</v>
      </c>
      <c r="C50" s="85" t="e">
        <f t="shared" si="4"/>
        <v>#REF!</v>
      </c>
      <c r="D50" s="85" t="e">
        <f t="shared" si="1"/>
        <v>#REF!</v>
      </c>
      <c r="E50" s="85" t="e">
        <f t="shared" si="2"/>
        <v>#REF!</v>
      </c>
      <c r="F50" s="80" t="str">
        <f t="shared" si="8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7"/>
        <v>46246</v>
      </c>
      <c r="C51" s="85" t="e">
        <f t="shared" si="4"/>
        <v>#REF!</v>
      </c>
      <c r="D51" s="85" t="e">
        <f t="shared" si="1"/>
        <v>#REF!</v>
      </c>
      <c r="E51" s="85" t="e">
        <f t="shared" si="2"/>
        <v>#REF!</v>
      </c>
      <c r="F51" s="80" t="str">
        <f t="shared" si="8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7"/>
        <v>46253</v>
      </c>
      <c r="C52" s="85" t="e">
        <f t="shared" si="4"/>
        <v>#REF!</v>
      </c>
      <c r="D52" s="85" t="e">
        <f t="shared" si="1"/>
        <v>#REF!</v>
      </c>
      <c r="E52" s="85" t="e">
        <f t="shared" si="2"/>
        <v>#REF!</v>
      </c>
      <c r="F52" s="80" t="str">
        <f t="shared" si="8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7"/>
        <v>46260</v>
      </c>
      <c r="C53" s="85" t="e">
        <f t="shared" si="4"/>
        <v>#REF!</v>
      </c>
      <c r="D53" s="85" t="e">
        <f t="shared" si="1"/>
        <v>#REF!</v>
      </c>
      <c r="E53" s="85" t="e">
        <f t="shared" si="2"/>
        <v>#REF!</v>
      </c>
      <c r="F53" s="80" t="str">
        <f t="shared" si="8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7"/>
        <v>46267</v>
      </c>
      <c r="C54" s="85" t="e">
        <f t="shared" si="4"/>
        <v>#REF!</v>
      </c>
      <c r="D54" s="85" t="e">
        <f t="shared" si="1"/>
        <v>#REF!</v>
      </c>
      <c r="E54" s="85" t="e">
        <f t="shared" si="2"/>
        <v>#REF!</v>
      </c>
      <c r="F54" s="80" t="str">
        <f t="shared" si="8"/>
        <v/>
      </c>
      <c r="G54" s="81"/>
      <c r="H54" s="81"/>
      <c r="I54" s="82"/>
      <c r="J54" s="83"/>
      <c r="K54" s="84"/>
      <c r="L54" s="86"/>
    </row>
    <row r="92" spans="2:3" ht="15.75" customHeight="1" x14ac:dyDescent="0.25">
      <c r="B92" s="67" t="e">
        <f>IF(#REF!="","",IF(#REF!+$C$9&lt;=$C$5,#REF!+$C$9,""))</f>
        <v>#REF!</v>
      </c>
      <c r="C92" s="76" t="e">
        <f>IF(B92&lt;&gt;"",#REF!-$C$2/COUNT($B$17:$B$510),"")</f>
        <v>#REF!</v>
      </c>
    </row>
    <row r="93" spans="2:3" ht="15.75" customHeight="1" x14ac:dyDescent="0.25">
      <c r="B93" s="67" t="e">
        <f t="shared" ref="B93:B156" si="9">IF(B92="","",IF(B92+$C$9&lt;=$C$5,B92+$C$9,""))</f>
        <v>#REF!</v>
      </c>
      <c r="C93" s="76" t="e">
        <f t="shared" ref="C93:C156" si="10">IF(B93&lt;&gt;"",C92-$C$2/COUNT($B$17:$B$510),"")</f>
        <v>#REF!</v>
      </c>
    </row>
    <row r="94" spans="2:3" ht="15.75" customHeight="1" x14ac:dyDescent="0.25">
      <c r="B94" s="67" t="e">
        <f t="shared" si="9"/>
        <v>#REF!</v>
      </c>
      <c r="C94" s="76" t="e">
        <f t="shared" si="10"/>
        <v>#REF!</v>
      </c>
    </row>
    <row r="95" spans="2:3" ht="15.75" customHeight="1" x14ac:dyDescent="0.25">
      <c r="B95" s="67" t="e">
        <f t="shared" si="9"/>
        <v>#REF!</v>
      </c>
      <c r="C95" s="76" t="e">
        <f t="shared" si="10"/>
        <v>#REF!</v>
      </c>
    </row>
    <row r="96" spans="2:3" ht="15.75" customHeight="1" x14ac:dyDescent="0.25">
      <c r="B96" s="67" t="e">
        <f t="shared" si="9"/>
        <v>#REF!</v>
      </c>
      <c r="C96" s="76" t="e">
        <f t="shared" si="10"/>
        <v>#REF!</v>
      </c>
    </row>
    <row r="97" spans="2:3" ht="15.75" customHeight="1" x14ac:dyDescent="0.25">
      <c r="B97" s="67" t="e">
        <f t="shared" si="9"/>
        <v>#REF!</v>
      </c>
      <c r="C97" s="76" t="e">
        <f t="shared" si="10"/>
        <v>#REF!</v>
      </c>
    </row>
    <row r="98" spans="2:3" ht="15.75" customHeight="1" x14ac:dyDescent="0.25">
      <c r="B98" s="67" t="e">
        <f t="shared" si="9"/>
        <v>#REF!</v>
      </c>
      <c r="C98" s="76" t="e">
        <f t="shared" si="10"/>
        <v>#REF!</v>
      </c>
    </row>
    <row r="99" spans="2:3" ht="15.75" customHeight="1" x14ac:dyDescent="0.25">
      <c r="B99" s="67" t="e">
        <f t="shared" si="9"/>
        <v>#REF!</v>
      </c>
      <c r="C99" s="76" t="e">
        <f t="shared" si="10"/>
        <v>#REF!</v>
      </c>
    </row>
    <row r="100" spans="2:3" ht="15.75" customHeight="1" x14ac:dyDescent="0.25">
      <c r="B100" s="67" t="e">
        <f t="shared" si="9"/>
        <v>#REF!</v>
      </c>
      <c r="C100" s="76" t="e">
        <f t="shared" si="10"/>
        <v>#REF!</v>
      </c>
    </row>
    <row r="101" spans="2:3" ht="15.75" customHeight="1" x14ac:dyDescent="0.25">
      <c r="B101" s="67" t="e">
        <f t="shared" si="9"/>
        <v>#REF!</v>
      </c>
      <c r="C101" s="76" t="e">
        <f t="shared" si="10"/>
        <v>#REF!</v>
      </c>
    </row>
    <row r="102" spans="2:3" ht="15.75" customHeight="1" x14ac:dyDescent="0.25">
      <c r="B102" s="67" t="e">
        <f t="shared" si="9"/>
        <v>#REF!</v>
      </c>
      <c r="C102" s="76" t="e">
        <f t="shared" si="10"/>
        <v>#REF!</v>
      </c>
    </row>
    <row r="103" spans="2:3" ht="15.75" customHeight="1" x14ac:dyDescent="0.25">
      <c r="B103" s="67" t="e">
        <f t="shared" si="9"/>
        <v>#REF!</v>
      </c>
      <c r="C103" s="76" t="e">
        <f t="shared" si="10"/>
        <v>#REF!</v>
      </c>
    </row>
    <row r="104" spans="2:3" ht="15.75" customHeight="1" x14ac:dyDescent="0.25">
      <c r="B104" s="67" t="e">
        <f t="shared" si="9"/>
        <v>#REF!</v>
      </c>
      <c r="C104" s="76" t="e">
        <f t="shared" si="10"/>
        <v>#REF!</v>
      </c>
    </row>
    <row r="105" spans="2:3" ht="15.75" customHeight="1" x14ac:dyDescent="0.25">
      <c r="B105" s="67" t="e">
        <f t="shared" si="9"/>
        <v>#REF!</v>
      </c>
      <c r="C105" s="76" t="e">
        <f t="shared" si="10"/>
        <v>#REF!</v>
      </c>
    </row>
    <row r="106" spans="2:3" ht="15.75" customHeight="1" x14ac:dyDescent="0.25">
      <c r="B106" s="67" t="e">
        <f t="shared" si="9"/>
        <v>#REF!</v>
      </c>
      <c r="C106" s="76" t="e">
        <f t="shared" si="10"/>
        <v>#REF!</v>
      </c>
    </row>
    <row r="107" spans="2:3" ht="15.75" customHeight="1" x14ac:dyDescent="0.25">
      <c r="B107" s="67" t="e">
        <f t="shared" si="9"/>
        <v>#REF!</v>
      </c>
      <c r="C107" s="76" t="e">
        <f t="shared" si="10"/>
        <v>#REF!</v>
      </c>
    </row>
    <row r="108" spans="2:3" ht="15.75" customHeight="1" x14ac:dyDescent="0.25">
      <c r="B108" s="67" t="e">
        <f t="shared" si="9"/>
        <v>#REF!</v>
      </c>
      <c r="C108" s="76" t="e">
        <f t="shared" si="10"/>
        <v>#REF!</v>
      </c>
    </row>
    <row r="109" spans="2:3" ht="15.75" customHeight="1" x14ac:dyDescent="0.25">
      <c r="B109" s="67" t="e">
        <f t="shared" si="9"/>
        <v>#REF!</v>
      </c>
      <c r="C109" s="76" t="e">
        <f t="shared" si="10"/>
        <v>#REF!</v>
      </c>
    </row>
    <row r="110" spans="2:3" ht="15.75" customHeight="1" x14ac:dyDescent="0.25">
      <c r="B110" s="67" t="e">
        <f t="shared" si="9"/>
        <v>#REF!</v>
      </c>
      <c r="C110" s="76" t="e">
        <f t="shared" si="10"/>
        <v>#REF!</v>
      </c>
    </row>
    <row r="111" spans="2:3" ht="15.75" customHeight="1" x14ac:dyDescent="0.25">
      <c r="B111" s="67" t="e">
        <f t="shared" si="9"/>
        <v>#REF!</v>
      </c>
      <c r="C111" s="76" t="e">
        <f t="shared" si="10"/>
        <v>#REF!</v>
      </c>
    </row>
    <row r="112" spans="2:3" ht="15.75" customHeight="1" x14ac:dyDescent="0.25">
      <c r="B112" s="67" t="e">
        <f t="shared" si="9"/>
        <v>#REF!</v>
      </c>
      <c r="C112" s="76" t="e">
        <f t="shared" si="10"/>
        <v>#REF!</v>
      </c>
    </row>
    <row r="113" spans="2:3" ht="15.75" customHeight="1" x14ac:dyDescent="0.25">
      <c r="B113" s="67" t="e">
        <f t="shared" si="9"/>
        <v>#REF!</v>
      </c>
      <c r="C113" s="76" t="e">
        <f t="shared" si="10"/>
        <v>#REF!</v>
      </c>
    </row>
    <row r="114" spans="2:3" ht="15.75" customHeight="1" x14ac:dyDescent="0.25">
      <c r="B114" s="67" t="e">
        <f t="shared" si="9"/>
        <v>#REF!</v>
      </c>
      <c r="C114" s="76" t="e">
        <f t="shared" si="10"/>
        <v>#REF!</v>
      </c>
    </row>
    <row r="115" spans="2:3" ht="15.75" customHeight="1" x14ac:dyDescent="0.25">
      <c r="B115" s="67" t="e">
        <f t="shared" si="9"/>
        <v>#REF!</v>
      </c>
      <c r="C115" s="76" t="e">
        <f t="shared" si="10"/>
        <v>#REF!</v>
      </c>
    </row>
    <row r="116" spans="2:3" ht="15.75" customHeight="1" x14ac:dyDescent="0.25">
      <c r="B116" s="67" t="e">
        <f t="shared" si="9"/>
        <v>#REF!</v>
      </c>
      <c r="C116" s="76" t="e">
        <f t="shared" si="10"/>
        <v>#REF!</v>
      </c>
    </row>
    <row r="117" spans="2:3" ht="15.75" customHeight="1" x14ac:dyDescent="0.25">
      <c r="B117" s="67" t="e">
        <f t="shared" si="9"/>
        <v>#REF!</v>
      </c>
      <c r="C117" s="76" t="e">
        <f t="shared" si="10"/>
        <v>#REF!</v>
      </c>
    </row>
    <row r="118" spans="2:3" ht="15.75" customHeight="1" x14ac:dyDescent="0.25">
      <c r="B118" s="67" t="e">
        <f t="shared" si="9"/>
        <v>#REF!</v>
      </c>
      <c r="C118" s="76" t="e">
        <f t="shared" si="10"/>
        <v>#REF!</v>
      </c>
    </row>
    <row r="119" spans="2:3" ht="15.75" customHeight="1" x14ac:dyDescent="0.25">
      <c r="B119" s="67" t="e">
        <f t="shared" si="9"/>
        <v>#REF!</v>
      </c>
      <c r="C119" s="76" t="e">
        <f t="shared" si="10"/>
        <v>#REF!</v>
      </c>
    </row>
    <row r="120" spans="2:3" ht="15.75" customHeight="1" x14ac:dyDescent="0.25">
      <c r="B120" s="67" t="e">
        <f t="shared" si="9"/>
        <v>#REF!</v>
      </c>
      <c r="C120" s="76" t="e">
        <f t="shared" si="10"/>
        <v>#REF!</v>
      </c>
    </row>
    <row r="121" spans="2:3" ht="15.75" customHeight="1" x14ac:dyDescent="0.25">
      <c r="B121" s="67" t="e">
        <f t="shared" si="9"/>
        <v>#REF!</v>
      </c>
      <c r="C121" s="76" t="e">
        <f t="shared" si="10"/>
        <v>#REF!</v>
      </c>
    </row>
    <row r="122" spans="2:3" ht="15.75" customHeight="1" x14ac:dyDescent="0.25">
      <c r="B122" s="67" t="e">
        <f t="shared" si="9"/>
        <v>#REF!</v>
      </c>
      <c r="C122" s="76" t="e">
        <f t="shared" si="10"/>
        <v>#REF!</v>
      </c>
    </row>
    <row r="123" spans="2:3" ht="15.75" customHeight="1" x14ac:dyDescent="0.25">
      <c r="B123" s="67" t="e">
        <f t="shared" si="9"/>
        <v>#REF!</v>
      </c>
      <c r="C123" s="76" t="e">
        <f t="shared" si="10"/>
        <v>#REF!</v>
      </c>
    </row>
    <row r="124" spans="2:3" ht="15.75" customHeight="1" x14ac:dyDescent="0.25">
      <c r="B124" s="67" t="e">
        <f t="shared" si="9"/>
        <v>#REF!</v>
      </c>
      <c r="C124" s="76" t="e">
        <f t="shared" si="10"/>
        <v>#REF!</v>
      </c>
    </row>
    <row r="125" spans="2:3" ht="15.75" customHeight="1" x14ac:dyDescent="0.25">
      <c r="B125" s="67" t="e">
        <f t="shared" si="9"/>
        <v>#REF!</v>
      </c>
      <c r="C125" s="76" t="e">
        <f t="shared" si="10"/>
        <v>#REF!</v>
      </c>
    </row>
    <row r="126" spans="2:3" ht="15.75" customHeight="1" x14ac:dyDescent="0.25">
      <c r="B126" s="67" t="e">
        <f t="shared" si="9"/>
        <v>#REF!</v>
      </c>
      <c r="C126" s="76" t="e">
        <f t="shared" si="10"/>
        <v>#REF!</v>
      </c>
    </row>
    <row r="127" spans="2:3" ht="15.75" customHeight="1" x14ac:dyDescent="0.25">
      <c r="B127" s="67" t="e">
        <f t="shared" si="9"/>
        <v>#REF!</v>
      </c>
      <c r="C127" s="76" t="e">
        <f t="shared" si="10"/>
        <v>#REF!</v>
      </c>
    </row>
    <row r="128" spans="2:3" ht="15.75" customHeight="1" x14ac:dyDescent="0.25">
      <c r="B128" s="67" t="e">
        <f t="shared" si="9"/>
        <v>#REF!</v>
      </c>
      <c r="C128" s="76" t="e">
        <f t="shared" si="10"/>
        <v>#REF!</v>
      </c>
    </row>
    <row r="129" spans="2:3" ht="15.75" customHeight="1" x14ac:dyDescent="0.25">
      <c r="B129" s="67" t="e">
        <f t="shared" si="9"/>
        <v>#REF!</v>
      </c>
      <c r="C129" s="76" t="e">
        <f t="shared" si="10"/>
        <v>#REF!</v>
      </c>
    </row>
    <row r="130" spans="2:3" ht="15.75" customHeight="1" x14ac:dyDescent="0.25">
      <c r="B130" s="67" t="e">
        <f t="shared" si="9"/>
        <v>#REF!</v>
      </c>
      <c r="C130" s="76" t="e">
        <f t="shared" si="10"/>
        <v>#REF!</v>
      </c>
    </row>
    <row r="131" spans="2:3" ht="15.75" customHeight="1" x14ac:dyDescent="0.25">
      <c r="B131" s="67" t="e">
        <f t="shared" si="9"/>
        <v>#REF!</v>
      </c>
      <c r="C131" s="76" t="e">
        <f t="shared" si="10"/>
        <v>#REF!</v>
      </c>
    </row>
    <row r="132" spans="2:3" ht="15.75" customHeight="1" x14ac:dyDescent="0.25">
      <c r="B132" s="67" t="e">
        <f t="shared" si="9"/>
        <v>#REF!</v>
      </c>
      <c r="C132" s="76" t="e">
        <f t="shared" si="10"/>
        <v>#REF!</v>
      </c>
    </row>
    <row r="133" spans="2:3" ht="15.75" customHeight="1" x14ac:dyDescent="0.25">
      <c r="B133" s="67" t="e">
        <f t="shared" si="9"/>
        <v>#REF!</v>
      </c>
      <c r="C133" s="76" t="e">
        <f t="shared" si="10"/>
        <v>#REF!</v>
      </c>
    </row>
    <row r="134" spans="2:3" ht="15.75" customHeight="1" x14ac:dyDescent="0.25">
      <c r="B134" s="67" t="e">
        <f t="shared" si="9"/>
        <v>#REF!</v>
      </c>
      <c r="C134" s="76" t="e">
        <f t="shared" si="10"/>
        <v>#REF!</v>
      </c>
    </row>
    <row r="135" spans="2:3" ht="15.75" customHeight="1" x14ac:dyDescent="0.25">
      <c r="B135" s="67" t="e">
        <f t="shared" si="9"/>
        <v>#REF!</v>
      </c>
      <c r="C135" s="76" t="e">
        <f t="shared" si="10"/>
        <v>#REF!</v>
      </c>
    </row>
    <row r="136" spans="2:3" ht="15.75" customHeight="1" x14ac:dyDescent="0.25">
      <c r="B136" s="67" t="e">
        <f t="shared" si="9"/>
        <v>#REF!</v>
      </c>
      <c r="C136" s="76" t="e">
        <f t="shared" si="10"/>
        <v>#REF!</v>
      </c>
    </row>
    <row r="137" spans="2:3" ht="15.75" customHeight="1" x14ac:dyDescent="0.25">
      <c r="B137" s="67" t="e">
        <f t="shared" si="9"/>
        <v>#REF!</v>
      </c>
      <c r="C137" s="76" t="e">
        <f t="shared" si="10"/>
        <v>#REF!</v>
      </c>
    </row>
    <row r="138" spans="2:3" ht="15.75" customHeight="1" x14ac:dyDescent="0.25">
      <c r="B138" s="67" t="e">
        <f t="shared" si="9"/>
        <v>#REF!</v>
      </c>
      <c r="C138" s="76" t="e">
        <f t="shared" si="10"/>
        <v>#REF!</v>
      </c>
    </row>
    <row r="139" spans="2:3" ht="15.75" customHeight="1" x14ac:dyDescent="0.25">
      <c r="B139" s="67" t="e">
        <f t="shared" si="9"/>
        <v>#REF!</v>
      </c>
      <c r="C139" s="76" t="e">
        <f t="shared" si="10"/>
        <v>#REF!</v>
      </c>
    </row>
    <row r="140" spans="2:3" ht="15.75" customHeight="1" x14ac:dyDescent="0.25">
      <c r="B140" s="67" t="e">
        <f t="shared" si="9"/>
        <v>#REF!</v>
      </c>
      <c r="C140" s="76" t="e">
        <f t="shared" si="10"/>
        <v>#REF!</v>
      </c>
    </row>
    <row r="141" spans="2:3" ht="15.75" customHeight="1" x14ac:dyDescent="0.25">
      <c r="B141" s="67" t="e">
        <f t="shared" si="9"/>
        <v>#REF!</v>
      </c>
      <c r="C141" s="76" t="e">
        <f t="shared" si="10"/>
        <v>#REF!</v>
      </c>
    </row>
    <row r="142" spans="2:3" ht="15.75" customHeight="1" x14ac:dyDescent="0.25">
      <c r="B142" s="67" t="e">
        <f t="shared" si="9"/>
        <v>#REF!</v>
      </c>
      <c r="C142" s="76" t="e">
        <f t="shared" si="10"/>
        <v>#REF!</v>
      </c>
    </row>
    <row r="143" spans="2:3" ht="15.75" customHeight="1" x14ac:dyDescent="0.25">
      <c r="B143" s="67" t="e">
        <f t="shared" si="9"/>
        <v>#REF!</v>
      </c>
      <c r="C143" s="76" t="e">
        <f t="shared" si="10"/>
        <v>#REF!</v>
      </c>
    </row>
    <row r="144" spans="2:3" ht="15.75" customHeight="1" x14ac:dyDescent="0.25">
      <c r="B144" s="67" t="e">
        <f t="shared" si="9"/>
        <v>#REF!</v>
      </c>
      <c r="C144" s="76" t="e">
        <f t="shared" si="10"/>
        <v>#REF!</v>
      </c>
    </row>
    <row r="145" spans="2:3" ht="15.75" customHeight="1" x14ac:dyDescent="0.25">
      <c r="B145" s="67" t="e">
        <f t="shared" si="9"/>
        <v>#REF!</v>
      </c>
      <c r="C145" s="76" t="e">
        <f t="shared" si="10"/>
        <v>#REF!</v>
      </c>
    </row>
    <row r="146" spans="2:3" ht="15.75" customHeight="1" x14ac:dyDescent="0.25">
      <c r="B146" s="67" t="e">
        <f t="shared" si="9"/>
        <v>#REF!</v>
      </c>
      <c r="C146" s="76" t="e">
        <f t="shared" si="10"/>
        <v>#REF!</v>
      </c>
    </row>
    <row r="147" spans="2:3" ht="15.75" customHeight="1" x14ac:dyDescent="0.25">
      <c r="B147" s="67" t="e">
        <f t="shared" si="9"/>
        <v>#REF!</v>
      </c>
      <c r="C147" s="76" t="e">
        <f t="shared" si="10"/>
        <v>#REF!</v>
      </c>
    </row>
    <row r="148" spans="2:3" ht="15.75" customHeight="1" x14ac:dyDescent="0.25">
      <c r="B148" s="67" t="e">
        <f t="shared" si="9"/>
        <v>#REF!</v>
      </c>
      <c r="C148" s="76" t="e">
        <f t="shared" si="10"/>
        <v>#REF!</v>
      </c>
    </row>
    <row r="149" spans="2:3" ht="15.75" customHeight="1" x14ac:dyDescent="0.25">
      <c r="B149" s="67" t="e">
        <f t="shared" si="9"/>
        <v>#REF!</v>
      </c>
      <c r="C149" s="76" t="e">
        <f t="shared" si="10"/>
        <v>#REF!</v>
      </c>
    </row>
    <row r="150" spans="2:3" ht="15.75" customHeight="1" x14ac:dyDescent="0.25">
      <c r="B150" s="67" t="e">
        <f t="shared" si="9"/>
        <v>#REF!</v>
      </c>
      <c r="C150" s="76" t="e">
        <f t="shared" si="10"/>
        <v>#REF!</v>
      </c>
    </row>
    <row r="151" spans="2:3" ht="15.75" customHeight="1" x14ac:dyDescent="0.25">
      <c r="B151" s="67" t="e">
        <f t="shared" si="9"/>
        <v>#REF!</v>
      </c>
      <c r="C151" s="76" t="e">
        <f t="shared" si="10"/>
        <v>#REF!</v>
      </c>
    </row>
    <row r="152" spans="2:3" ht="15.75" customHeight="1" x14ac:dyDescent="0.25">
      <c r="B152" s="67" t="e">
        <f t="shared" si="9"/>
        <v>#REF!</v>
      </c>
      <c r="C152" s="76" t="e">
        <f t="shared" si="10"/>
        <v>#REF!</v>
      </c>
    </row>
    <row r="153" spans="2:3" ht="15.75" customHeight="1" x14ac:dyDescent="0.25">
      <c r="B153" s="67" t="e">
        <f t="shared" si="9"/>
        <v>#REF!</v>
      </c>
      <c r="C153" s="76" t="e">
        <f t="shared" si="10"/>
        <v>#REF!</v>
      </c>
    </row>
    <row r="154" spans="2:3" ht="15.75" customHeight="1" x14ac:dyDescent="0.25">
      <c r="B154" s="67" t="e">
        <f t="shared" si="9"/>
        <v>#REF!</v>
      </c>
      <c r="C154" s="76" t="e">
        <f t="shared" si="10"/>
        <v>#REF!</v>
      </c>
    </row>
    <row r="155" spans="2:3" ht="15.75" customHeight="1" x14ac:dyDescent="0.25">
      <c r="B155" s="67" t="e">
        <f t="shared" si="9"/>
        <v>#REF!</v>
      </c>
      <c r="C155" s="76" t="e">
        <f t="shared" si="10"/>
        <v>#REF!</v>
      </c>
    </row>
    <row r="156" spans="2:3" ht="15.75" customHeight="1" x14ac:dyDescent="0.25">
      <c r="B156" s="67" t="e">
        <f t="shared" si="9"/>
        <v>#REF!</v>
      </c>
      <c r="C156" s="76" t="e">
        <f t="shared" si="10"/>
        <v>#REF!</v>
      </c>
    </row>
    <row r="157" spans="2:3" ht="15.75" customHeight="1" x14ac:dyDescent="0.25">
      <c r="B157" s="67" t="e">
        <f t="shared" ref="B157:B220" si="11">IF(B156="","",IF(B156+$C$9&lt;=$C$5,B156+$C$9,""))</f>
        <v>#REF!</v>
      </c>
      <c r="C157" s="76" t="e">
        <f t="shared" ref="C157:C220" si="12">IF(B157&lt;&gt;"",C156-$C$2/COUNT($B$17:$B$510),"")</f>
        <v>#REF!</v>
      </c>
    </row>
    <row r="158" spans="2:3" ht="15.75" customHeight="1" x14ac:dyDescent="0.25">
      <c r="B158" s="67" t="e">
        <f t="shared" si="11"/>
        <v>#REF!</v>
      </c>
      <c r="C158" s="76" t="e">
        <f t="shared" si="12"/>
        <v>#REF!</v>
      </c>
    </row>
    <row r="159" spans="2:3" ht="15.75" customHeight="1" x14ac:dyDescent="0.25">
      <c r="B159" s="67" t="e">
        <f t="shared" si="11"/>
        <v>#REF!</v>
      </c>
      <c r="C159" s="76" t="e">
        <f t="shared" si="12"/>
        <v>#REF!</v>
      </c>
    </row>
    <row r="160" spans="2:3" ht="15.75" customHeight="1" x14ac:dyDescent="0.25">
      <c r="B160" s="67" t="e">
        <f t="shared" si="11"/>
        <v>#REF!</v>
      </c>
      <c r="C160" s="76" t="e">
        <f t="shared" si="12"/>
        <v>#REF!</v>
      </c>
    </row>
    <row r="161" spans="2:3" ht="15.75" customHeight="1" x14ac:dyDescent="0.25">
      <c r="B161" s="67" t="e">
        <f t="shared" si="11"/>
        <v>#REF!</v>
      </c>
      <c r="C161" s="76" t="e">
        <f t="shared" si="12"/>
        <v>#REF!</v>
      </c>
    </row>
    <row r="162" spans="2:3" ht="15.75" customHeight="1" x14ac:dyDescent="0.25">
      <c r="B162" s="67" t="e">
        <f t="shared" si="11"/>
        <v>#REF!</v>
      </c>
      <c r="C162" s="76" t="e">
        <f t="shared" si="12"/>
        <v>#REF!</v>
      </c>
    </row>
    <row r="163" spans="2:3" ht="15.75" customHeight="1" x14ac:dyDescent="0.25">
      <c r="B163" s="67" t="e">
        <f t="shared" si="11"/>
        <v>#REF!</v>
      </c>
      <c r="C163" s="76" t="e">
        <f t="shared" si="12"/>
        <v>#REF!</v>
      </c>
    </row>
    <row r="164" spans="2:3" ht="15.75" customHeight="1" x14ac:dyDescent="0.25">
      <c r="B164" s="67" t="e">
        <f t="shared" si="11"/>
        <v>#REF!</v>
      </c>
      <c r="C164" s="76" t="e">
        <f t="shared" si="12"/>
        <v>#REF!</v>
      </c>
    </row>
    <row r="165" spans="2:3" ht="15.75" customHeight="1" x14ac:dyDescent="0.25">
      <c r="B165" s="67" t="e">
        <f t="shared" si="11"/>
        <v>#REF!</v>
      </c>
      <c r="C165" s="76" t="e">
        <f t="shared" si="12"/>
        <v>#REF!</v>
      </c>
    </row>
    <row r="166" spans="2:3" ht="15.75" customHeight="1" x14ac:dyDescent="0.25">
      <c r="B166" s="67" t="e">
        <f t="shared" si="11"/>
        <v>#REF!</v>
      </c>
      <c r="C166" s="76" t="e">
        <f t="shared" si="12"/>
        <v>#REF!</v>
      </c>
    </row>
    <row r="167" spans="2:3" ht="15.75" customHeight="1" x14ac:dyDescent="0.25">
      <c r="B167" s="67" t="e">
        <f t="shared" si="11"/>
        <v>#REF!</v>
      </c>
      <c r="C167" s="76" t="e">
        <f t="shared" si="12"/>
        <v>#REF!</v>
      </c>
    </row>
    <row r="168" spans="2:3" ht="15.75" customHeight="1" x14ac:dyDescent="0.25">
      <c r="B168" s="67" t="e">
        <f t="shared" si="11"/>
        <v>#REF!</v>
      </c>
      <c r="C168" s="76" t="e">
        <f t="shared" si="12"/>
        <v>#REF!</v>
      </c>
    </row>
    <row r="169" spans="2:3" ht="15.75" customHeight="1" x14ac:dyDescent="0.25">
      <c r="B169" s="67" t="e">
        <f t="shared" si="11"/>
        <v>#REF!</v>
      </c>
      <c r="C169" s="76" t="e">
        <f t="shared" si="12"/>
        <v>#REF!</v>
      </c>
    </row>
    <row r="170" spans="2:3" ht="15.75" customHeight="1" x14ac:dyDescent="0.25">
      <c r="B170" s="67" t="e">
        <f t="shared" si="11"/>
        <v>#REF!</v>
      </c>
      <c r="C170" s="76" t="e">
        <f t="shared" si="12"/>
        <v>#REF!</v>
      </c>
    </row>
    <row r="171" spans="2:3" ht="15.75" customHeight="1" x14ac:dyDescent="0.25">
      <c r="B171" s="67" t="e">
        <f t="shared" si="11"/>
        <v>#REF!</v>
      </c>
      <c r="C171" s="76" t="e">
        <f t="shared" si="12"/>
        <v>#REF!</v>
      </c>
    </row>
    <row r="172" spans="2:3" ht="15.75" customHeight="1" x14ac:dyDescent="0.25">
      <c r="B172" s="67" t="e">
        <f t="shared" si="11"/>
        <v>#REF!</v>
      </c>
      <c r="C172" s="76" t="e">
        <f t="shared" si="12"/>
        <v>#REF!</v>
      </c>
    </row>
    <row r="173" spans="2:3" ht="15.75" customHeight="1" x14ac:dyDescent="0.25">
      <c r="B173" s="67" t="e">
        <f t="shared" si="11"/>
        <v>#REF!</v>
      </c>
      <c r="C173" s="76" t="e">
        <f t="shared" si="12"/>
        <v>#REF!</v>
      </c>
    </row>
    <row r="174" spans="2:3" ht="15.75" customHeight="1" x14ac:dyDescent="0.25">
      <c r="B174" s="67" t="e">
        <f t="shared" si="11"/>
        <v>#REF!</v>
      </c>
      <c r="C174" s="76" t="e">
        <f t="shared" si="12"/>
        <v>#REF!</v>
      </c>
    </row>
    <row r="175" spans="2:3" ht="15.75" customHeight="1" x14ac:dyDescent="0.25">
      <c r="B175" s="67" t="e">
        <f t="shared" si="11"/>
        <v>#REF!</v>
      </c>
      <c r="C175" s="76" t="e">
        <f t="shared" si="12"/>
        <v>#REF!</v>
      </c>
    </row>
    <row r="176" spans="2:3" ht="15.75" customHeight="1" x14ac:dyDescent="0.25">
      <c r="B176" s="67" t="e">
        <f t="shared" si="11"/>
        <v>#REF!</v>
      </c>
      <c r="C176" s="76" t="e">
        <f t="shared" si="12"/>
        <v>#REF!</v>
      </c>
    </row>
    <row r="177" spans="2:3" ht="15.75" customHeight="1" x14ac:dyDescent="0.25">
      <c r="B177" s="67" t="e">
        <f t="shared" si="11"/>
        <v>#REF!</v>
      </c>
      <c r="C177" s="76" t="e">
        <f t="shared" si="12"/>
        <v>#REF!</v>
      </c>
    </row>
    <row r="178" spans="2:3" ht="15.75" customHeight="1" x14ac:dyDescent="0.25">
      <c r="B178" s="67" t="e">
        <f t="shared" si="11"/>
        <v>#REF!</v>
      </c>
      <c r="C178" s="76" t="e">
        <f t="shared" si="12"/>
        <v>#REF!</v>
      </c>
    </row>
    <row r="179" spans="2:3" ht="15.75" customHeight="1" x14ac:dyDescent="0.25">
      <c r="B179" s="67" t="e">
        <f t="shared" si="11"/>
        <v>#REF!</v>
      </c>
      <c r="C179" s="76" t="e">
        <f t="shared" si="12"/>
        <v>#REF!</v>
      </c>
    </row>
    <row r="180" spans="2:3" ht="15.75" customHeight="1" x14ac:dyDescent="0.25">
      <c r="B180" s="67" t="e">
        <f t="shared" si="11"/>
        <v>#REF!</v>
      </c>
      <c r="C180" s="76" t="e">
        <f t="shared" si="12"/>
        <v>#REF!</v>
      </c>
    </row>
    <row r="181" spans="2:3" ht="15.75" customHeight="1" x14ac:dyDescent="0.25">
      <c r="B181" s="67" t="e">
        <f t="shared" si="11"/>
        <v>#REF!</v>
      </c>
      <c r="C181" s="76" t="e">
        <f t="shared" si="12"/>
        <v>#REF!</v>
      </c>
    </row>
    <row r="182" spans="2:3" ht="15.75" customHeight="1" x14ac:dyDescent="0.25">
      <c r="B182" s="67" t="e">
        <f t="shared" si="11"/>
        <v>#REF!</v>
      </c>
      <c r="C182" s="76" t="e">
        <f t="shared" si="12"/>
        <v>#REF!</v>
      </c>
    </row>
    <row r="183" spans="2:3" ht="15.75" customHeight="1" x14ac:dyDescent="0.25">
      <c r="B183" s="67" t="e">
        <f t="shared" si="11"/>
        <v>#REF!</v>
      </c>
      <c r="C183" s="76" t="e">
        <f t="shared" si="12"/>
        <v>#REF!</v>
      </c>
    </row>
    <row r="184" spans="2:3" ht="15.75" customHeight="1" x14ac:dyDescent="0.25">
      <c r="B184" s="67" t="e">
        <f t="shared" si="11"/>
        <v>#REF!</v>
      </c>
      <c r="C184" s="76" t="e">
        <f t="shared" si="12"/>
        <v>#REF!</v>
      </c>
    </row>
    <row r="185" spans="2:3" ht="15.75" customHeight="1" x14ac:dyDescent="0.25">
      <c r="B185" s="67" t="e">
        <f t="shared" si="11"/>
        <v>#REF!</v>
      </c>
      <c r="C185" s="76" t="e">
        <f t="shared" si="12"/>
        <v>#REF!</v>
      </c>
    </row>
    <row r="186" spans="2:3" ht="15.75" customHeight="1" x14ac:dyDescent="0.25">
      <c r="B186" s="67" t="e">
        <f t="shared" si="11"/>
        <v>#REF!</v>
      </c>
      <c r="C186" s="76" t="e">
        <f t="shared" si="12"/>
        <v>#REF!</v>
      </c>
    </row>
    <row r="187" spans="2:3" ht="15.75" customHeight="1" x14ac:dyDescent="0.25">
      <c r="B187" s="67" t="e">
        <f t="shared" si="11"/>
        <v>#REF!</v>
      </c>
      <c r="C187" s="76" t="e">
        <f t="shared" si="12"/>
        <v>#REF!</v>
      </c>
    </row>
    <row r="188" spans="2:3" ht="15.75" customHeight="1" x14ac:dyDescent="0.25">
      <c r="B188" s="67" t="e">
        <f t="shared" si="11"/>
        <v>#REF!</v>
      </c>
      <c r="C188" s="76" t="e">
        <f t="shared" si="12"/>
        <v>#REF!</v>
      </c>
    </row>
    <row r="189" spans="2:3" ht="15.75" customHeight="1" x14ac:dyDescent="0.25">
      <c r="B189" s="67" t="e">
        <f t="shared" si="11"/>
        <v>#REF!</v>
      </c>
      <c r="C189" s="76" t="e">
        <f t="shared" si="12"/>
        <v>#REF!</v>
      </c>
    </row>
    <row r="190" spans="2:3" ht="15.75" customHeight="1" x14ac:dyDescent="0.25">
      <c r="B190" s="67" t="e">
        <f t="shared" si="11"/>
        <v>#REF!</v>
      </c>
      <c r="C190" s="76" t="e">
        <f t="shared" si="12"/>
        <v>#REF!</v>
      </c>
    </row>
    <row r="191" spans="2:3" ht="15.75" customHeight="1" x14ac:dyDescent="0.25">
      <c r="B191" s="67" t="e">
        <f t="shared" si="11"/>
        <v>#REF!</v>
      </c>
      <c r="C191" s="76" t="e">
        <f t="shared" si="12"/>
        <v>#REF!</v>
      </c>
    </row>
    <row r="192" spans="2:3" ht="15.75" customHeight="1" x14ac:dyDescent="0.25">
      <c r="B192" s="67" t="e">
        <f t="shared" si="11"/>
        <v>#REF!</v>
      </c>
      <c r="C192" s="76" t="e">
        <f t="shared" si="12"/>
        <v>#REF!</v>
      </c>
    </row>
    <row r="193" spans="2:3" ht="15.75" customHeight="1" x14ac:dyDescent="0.25">
      <c r="B193" s="67" t="e">
        <f t="shared" si="11"/>
        <v>#REF!</v>
      </c>
      <c r="C193" s="76" t="e">
        <f t="shared" si="12"/>
        <v>#REF!</v>
      </c>
    </row>
    <row r="194" spans="2:3" ht="15.75" customHeight="1" x14ac:dyDescent="0.25">
      <c r="B194" s="67" t="e">
        <f t="shared" si="11"/>
        <v>#REF!</v>
      </c>
      <c r="C194" s="76" t="e">
        <f t="shared" si="12"/>
        <v>#REF!</v>
      </c>
    </row>
    <row r="195" spans="2:3" ht="15.75" customHeight="1" x14ac:dyDescent="0.25">
      <c r="B195" s="67" t="e">
        <f t="shared" si="11"/>
        <v>#REF!</v>
      </c>
      <c r="C195" s="76" t="e">
        <f t="shared" si="12"/>
        <v>#REF!</v>
      </c>
    </row>
    <row r="196" spans="2:3" ht="15.75" customHeight="1" x14ac:dyDescent="0.25">
      <c r="B196" s="67" t="e">
        <f t="shared" si="11"/>
        <v>#REF!</v>
      </c>
      <c r="C196" s="76" t="e">
        <f t="shared" si="12"/>
        <v>#REF!</v>
      </c>
    </row>
    <row r="197" spans="2:3" ht="15.75" customHeight="1" x14ac:dyDescent="0.25">
      <c r="B197" s="67" t="e">
        <f t="shared" si="11"/>
        <v>#REF!</v>
      </c>
      <c r="C197" s="76" t="e">
        <f t="shared" si="12"/>
        <v>#REF!</v>
      </c>
    </row>
    <row r="198" spans="2:3" ht="15.75" customHeight="1" x14ac:dyDescent="0.25">
      <c r="B198" s="67" t="e">
        <f t="shared" si="11"/>
        <v>#REF!</v>
      </c>
      <c r="C198" s="76" t="e">
        <f t="shared" si="12"/>
        <v>#REF!</v>
      </c>
    </row>
    <row r="199" spans="2:3" ht="15.75" customHeight="1" x14ac:dyDescent="0.25">
      <c r="B199" s="67" t="e">
        <f t="shared" si="11"/>
        <v>#REF!</v>
      </c>
      <c r="C199" s="76" t="e">
        <f t="shared" si="12"/>
        <v>#REF!</v>
      </c>
    </row>
    <row r="200" spans="2:3" ht="15.75" customHeight="1" x14ac:dyDescent="0.25">
      <c r="B200" s="67" t="e">
        <f t="shared" si="11"/>
        <v>#REF!</v>
      </c>
      <c r="C200" s="76" t="e">
        <f t="shared" si="12"/>
        <v>#REF!</v>
      </c>
    </row>
    <row r="201" spans="2:3" ht="15.75" customHeight="1" x14ac:dyDescent="0.25">
      <c r="B201" s="67" t="e">
        <f t="shared" si="11"/>
        <v>#REF!</v>
      </c>
      <c r="C201" s="76" t="e">
        <f t="shared" si="12"/>
        <v>#REF!</v>
      </c>
    </row>
    <row r="202" spans="2:3" ht="15.75" customHeight="1" x14ac:dyDescent="0.25">
      <c r="B202" s="67" t="e">
        <f t="shared" si="11"/>
        <v>#REF!</v>
      </c>
      <c r="C202" s="76" t="e">
        <f t="shared" si="12"/>
        <v>#REF!</v>
      </c>
    </row>
    <row r="203" spans="2:3" ht="15.75" customHeight="1" x14ac:dyDescent="0.25">
      <c r="B203" s="67" t="e">
        <f t="shared" si="11"/>
        <v>#REF!</v>
      </c>
      <c r="C203" s="76" t="e">
        <f t="shared" si="12"/>
        <v>#REF!</v>
      </c>
    </row>
    <row r="204" spans="2:3" ht="15.75" customHeight="1" x14ac:dyDescent="0.25">
      <c r="B204" s="67" t="e">
        <f t="shared" si="11"/>
        <v>#REF!</v>
      </c>
      <c r="C204" s="76" t="e">
        <f t="shared" si="12"/>
        <v>#REF!</v>
      </c>
    </row>
    <row r="205" spans="2:3" ht="15.75" customHeight="1" x14ac:dyDescent="0.25">
      <c r="B205" s="67" t="e">
        <f t="shared" si="11"/>
        <v>#REF!</v>
      </c>
      <c r="C205" s="76" t="e">
        <f t="shared" si="12"/>
        <v>#REF!</v>
      </c>
    </row>
    <row r="206" spans="2:3" ht="15.75" customHeight="1" x14ac:dyDescent="0.25">
      <c r="B206" s="67" t="e">
        <f t="shared" si="11"/>
        <v>#REF!</v>
      </c>
      <c r="C206" s="76" t="e">
        <f t="shared" si="12"/>
        <v>#REF!</v>
      </c>
    </row>
    <row r="207" spans="2:3" ht="15.75" customHeight="1" x14ac:dyDescent="0.25">
      <c r="B207" s="67" t="e">
        <f t="shared" si="11"/>
        <v>#REF!</v>
      </c>
      <c r="C207" s="76" t="e">
        <f t="shared" si="12"/>
        <v>#REF!</v>
      </c>
    </row>
    <row r="208" spans="2:3" ht="15.75" customHeight="1" x14ac:dyDescent="0.25">
      <c r="B208" s="67" t="e">
        <f t="shared" si="11"/>
        <v>#REF!</v>
      </c>
      <c r="C208" s="76" t="e">
        <f t="shared" si="12"/>
        <v>#REF!</v>
      </c>
    </row>
    <row r="209" spans="2:3" ht="15.75" customHeight="1" x14ac:dyDescent="0.25">
      <c r="B209" s="67" t="e">
        <f t="shared" si="11"/>
        <v>#REF!</v>
      </c>
      <c r="C209" s="76" t="e">
        <f t="shared" si="12"/>
        <v>#REF!</v>
      </c>
    </row>
    <row r="210" spans="2:3" ht="15.75" customHeight="1" x14ac:dyDescent="0.25">
      <c r="B210" s="67" t="e">
        <f t="shared" si="11"/>
        <v>#REF!</v>
      </c>
      <c r="C210" s="76" t="e">
        <f t="shared" si="12"/>
        <v>#REF!</v>
      </c>
    </row>
    <row r="211" spans="2:3" ht="15.75" customHeight="1" x14ac:dyDescent="0.25">
      <c r="B211" s="67" t="e">
        <f t="shared" si="11"/>
        <v>#REF!</v>
      </c>
      <c r="C211" s="76" t="e">
        <f t="shared" si="12"/>
        <v>#REF!</v>
      </c>
    </row>
    <row r="212" spans="2:3" ht="15.75" customHeight="1" x14ac:dyDescent="0.25">
      <c r="B212" s="67" t="e">
        <f t="shared" si="11"/>
        <v>#REF!</v>
      </c>
      <c r="C212" s="76" t="e">
        <f t="shared" si="12"/>
        <v>#REF!</v>
      </c>
    </row>
    <row r="213" spans="2:3" ht="15.75" customHeight="1" x14ac:dyDescent="0.25">
      <c r="B213" s="67" t="e">
        <f t="shared" si="11"/>
        <v>#REF!</v>
      </c>
      <c r="C213" s="76" t="e">
        <f t="shared" si="12"/>
        <v>#REF!</v>
      </c>
    </row>
    <row r="214" spans="2:3" ht="15.75" customHeight="1" x14ac:dyDescent="0.25">
      <c r="B214" s="67" t="e">
        <f t="shared" si="11"/>
        <v>#REF!</v>
      </c>
      <c r="C214" s="76" t="e">
        <f t="shared" si="12"/>
        <v>#REF!</v>
      </c>
    </row>
    <row r="215" spans="2:3" ht="15.75" customHeight="1" x14ac:dyDescent="0.25">
      <c r="B215" s="67" t="e">
        <f t="shared" si="11"/>
        <v>#REF!</v>
      </c>
      <c r="C215" s="76" t="e">
        <f t="shared" si="12"/>
        <v>#REF!</v>
      </c>
    </row>
    <row r="216" spans="2:3" ht="15.75" customHeight="1" x14ac:dyDescent="0.25">
      <c r="B216" s="67" t="e">
        <f t="shared" si="11"/>
        <v>#REF!</v>
      </c>
      <c r="C216" s="76" t="e">
        <f t="shared" si="12"/>
        <v>#REF!</v>
      </c>
    </row>
    <row r="217" spans="2:3" ht="15.75" customHeight="1" x14ac:dyDescent="0.25">
      <c r="B217" s="67" t="e">
        <f t="shared" si="11"/>
        <v>#REF!</v>
      </c>
      <c r="C217" s="76" t="e">
        <f t="shared" si="12"/>
        <v>#REF!</v>
      </c>
    </row>
    <row r="218" spans="2:3" ht="15.75" customHeight="1" x14ac:dyDescent="0.25">
      <c r="B218" s="67" t="e">
        <f t="shared" si="11"/>
        <v>#REF!</v>
      </c>
      <c r="C218" s="76" t="e">
        <f t="shared" si="12"/>
        <v>#REF!</v>
      </c>
    </row>
    <row r="219" spans="2:3" ht="15.75" customHeight="1" x14ac:dyDescent="0.25">
      <c r="B219" s="67" t="e">
        <f t="shared" si="11"/>
        <v>#REF!</v>
      </c>
      <c r="C219" s="76" t="e">
        <f t="shared" si="12"/>
        <v>#REF!</v>
      </c>
    </row>
    <row r="220" spans="2:3" ht="15.75" customHeight="1" x14ac:dyDescent="0.25">
      <c r="B220" s="67" t="e">
        <f t="shared" si="11"/>
        <v>#REF!</v>
      </c>
      <c r="C220" s="76" t="e">
        <f t="shared" si="12"/>
        <v>#REF!</v>
      </c>
    </row>
    <row r="221" spans="2:3" ht="15.75" customHeight="1" x14ac:dyDescent="0.25">
      <c r="B221" s="67" t="e">
        <f t="shared" ref="B221:B284" si="13">IF(B220="","",IF(B220+$C$9&lt;=$C$5,B220+$C$9,""))</f>
        <v>#REF!</v>
      </c>
      <c r="C221" s="76" t="e">
        <f t="shared" ref="C221:C284" si="14">IF(B221&lt;&gt;"",C220-$C$2/COUNT($B$17:$B$510),"")</f>
        <v>#REF!</v>
      </c>
    </row>
    <row r="222" spans="2:3" ht="15.75" customHeight="1" x14ac:dyDescent="0.25">
      <c r="B222" s="67" t="e">
        <f t="shared" si="13"/>
        <v>#REF!</v>
      </c>
      <c r="C222" s="76" t="e">
        <f t="shared" si="14"/>
        <v>#REF!</v>
      </c>
    </row>
    <row r="223" spans="2:3" ht="15.75" customHeight="1" x14ac:dyDescent="0.25">
      <c r="B223" s="67" t="e">
        <f t="shared" si="13"/>
        <v>#REF!</v>
      </c>
      <c r="C223" s="76" t="e">
        <f t="shared" si="14"/>
        <v>#REF!</v>
      </c>
    </row>
    <row r="224" spans="2:3" ht="15.75" customHeight="1" x14ac:dyDescent="0.25">
      <c r="B224" s="67" t="e">
        <f t="shared" si="13"/>
        <v>#REF!</v>
      </c>
      <c r="C224" s="76" t="e">
        <f t="shared" si="14"/>
        <v>#REF!</v>
      </c>
    </row>
    <row r="225" spans="2:3" ht="15.75" customHeight="1" x14ac:dyDescent="0.25">
      <c r="B225" s="67" t="e">
        <f t="shared" si="13"/>
        <v>#REF!</v>
      </c>
      <c r="C225" s="76" t="e">
        <f t="shared" si="14"/>
        <v>#REF!</v>
      </c>
    </row>
    <row r="226" spans="2:3" ht="15.75" customHeight="1" x14ac:dyDescent="0.25">
      <c r="B226" s="67" t="e">
        <f t="shared" si="13"/>
        <v>#REF!</v>
      </c>
      <c r="C226" s="76" t="e">
        <f t="shared" si="14"/>
        <v>#REF!</v>
      </c>
    </row>
    <row r="227" spans="2:3" ht="15.75" customHeight="1" x14ac:dyDescent="0.25">
      <c r="B227" s="67" t="e">
        <f t="shared" si="13"/>
        <v>#REF!</v>
      </c>
      <c r="C227" s="76" t="e">
        <f t="shared" si="14"/>
        <v>#REF!</v>
      </c>
    </row>
    <row r="228" spans="2:3" ht="15.75" customHeight="1" x14ac:dyDescent="0.25">
      <c r="B228" s="67" t="e">
        <f t="shared" si="13"/>
        <v>#REF!</v>
      </c>
      <c r="C228" s="76" t="e">
        <f t="shared" si="14"/>
        <v>#REF!</v>
      </c>
    </row>
    <row r="229" spans="2:3" ht="15.75" customHeight="1" x14ac:dyDescent="0.25">
      <c r="B229" s="67" t="e">
        <f t="shared" si="13"/>
        <v>#REF!</v>
      </c>
      <c r="C229" s="76" t="e">
        <f t="shared" si="14"/>
        <v>#REF!</v>
      </c>
    </row>
    <row r="230" spans="2:3" ht="15.75" customHeight="1" x14ac:dyDescent="0.25">
      <c r="B230" s="67" t="e">
        <f t="shared" si="13"/>
        <v>#REF!</v>
      </c>
      <c r="C230" s="76" t="e">
        <f t="shared" si="14"/>
        <v>#REF!</v>
      </c>
    </row>
    <row r="231" spans="2:3" ht="15.75" customHeight="1" x14ac:dyDescent="0.25">
      <c r="B231" s="67" t="e">
        <f t="shared" si="13"/>
        <v>#REF!</v>
      </c>
      <c r="C231" s="76" t="e">
        <f t="shared" si="14"/>
        <v>#REF!</v>
      </c>
    </row>
    <row r="232" spans="2:3" ht="15.75" customHeight="1" x14ac:dyDescent="0.25">
      <c r="B232" s="67" t="e">
        <f t="shared" si="13"/>
        <v>#REF!</v>
      </c>
      <c r="C232" s="76" t="e">
        <f t="shared" si="14"/>
        <v>#REF!</v>
      </c>
    </row>
    <row r="233" spans="2:3" ht="15.75" customHeight="1" x14ac:dyDescent="0.25">
      <c r="B233" s="67" t="e">
        <f t="shared" si="13"/>
        <v>#REF!</v>
      </c>
      <c r="C233" s="76" t="e">
        <f t="shared" si="14"/>
        <v>#REF!</v>
      </c>
    </row>
    <row r="234" spans="2:3" ht="15.75" customHeight="1" x14ac:dyDescent="0.25">
      <c r="B234" s="67" t="e">
        <f t="shared" si="13"/>
        <v>#REF!</v>
      </c>
      <c r="C234" s="76" t="e">
        <f t="shared" si="14"/>
        <v>#REF!</v>
      </c>
    </row>
    <row r="235" spans="2:3" ht="15.75" customHeight="1" x14ac:dyDescent="0.25">
      <c r="B235" s="67" t="e">
        <f t="shared" si="13"/>
        <v>#REF!</v>
      </c>
      <c r="C235" s="76" t="e">
        <f t="shared" si="14"/>
        <v>#REF!</v>
      </c>
    </row>
    <row r="236" spans="2:3" ht="15.75" customHeight="1" x14ac:dyDescent="0.25">
      <c r="B236" s="67" t="e">
        <f t="shared" si="13"/>
        <v>#REF!</v>
      </c>
      <c r="C236" s="76" t="e">
        <f t="shared" si="14"/>
        <v>#REF!</v>
      </c>
    </row>
    <row r="237" spans="2:3" ht="15.75" customHeight="1" x14ac:dyDescent="0.25">
      <c r="B237" s="67" t="e">
        <f t="shared" si="13"/>
        <v>#REF!</v>
      </c>
      <c r="C237" s="76" t="e">
        <f t="shared" si="14"/>
        <v>#REF!</v>
      </c>
    </row>
    <row r="238" spans="2:3" ht="15.75" customHeight="1" x14ac:dyDescent="0.25">
      <c r="B238" s="67" t="e">
        <f t="shared" si="13"/>
        <v>#REF!</v>
      </c>
      <c r="C238" s="76" t="e">
        <f t="shared" si="14"/>
        <v>#REF!</v>
      </c>
    </row>
    <row r="239" spans="2:3" ht="15.75" customHeight="1" x14ac:dyDescent="0.25">
      <c r="B239" s="67" t="e">
        <f t="shared" si="13"/>
        <v>#REF!</v>
      </c>
      <c r="C239" s="76" t="e">
        <f t="shared" si="14"/>
        <v>#REF!</v>
      </c>
    </row>
    <row r="240" spans="2:3" ht="15.75" customHeight="1" x14ac:dyDescent="0.25">
      <c r="B240" s="67" t="e">
        <f t="shared" si="13"/>
        <v>#REF!</v>
      </c>
      <c r="C240" s="76" t="e">
        <f t="shared" si="14"/>
        <v>#REF!</v>
      </c>
    </row>
    <row r="241" spans="2:3" ht="15.75" customHeight="1" x14ac:dyDescent="0.25">
      <c r="B241" s="67" t="e">
        <f t="shared" si="13"/>
        <v>#REF!</v>
      </c>
      <c r="C241" s="76" t="e">
        <f t="shared" si="14"/>
        <v>#REF!</v>
      </c>
    </row>
    <row r="242" spans="2:3" ht="15.75" customHeight="1" x14ac:dyDescent="0.25">
      <c r="B242" s="67" t="e">
        <f t="shared" si="13"/>
        <v>#REF!</v>
      </c>
      <c r="C242" s="76" t="e">
        <f t="shared" si="14"/>
        <v>#REF!</v>
      </c>
    </row>
    <row r="243" spans="2:3" ht="15.75" customHeight="1" x14ac:dyDescent="0.25">
      <c r="B243" s="67" t="e">
        <f t="shared" si="13"/>
        <v>#REF!</v>
      </c>
      <c r="C243" s="76" t="e">
        <f t="shared" si="14"/>
        <v>#REF!</v>
      </c>
    </row>
    <row r="244" spans="2:3" ht="15.75" customHeight="1" x14ac:dyDescent="0.25">
      <c r="B244" s="67" t="e">
        <f t="shared" si="13"/>
        <v>#REF!</v>
      </c>
      <c r="C244" s="76" t="e">
        <f t="shared" si="14"/>
        <v>#REF!</v>
      </c>
    </row>
    <row r="245" spans="2:3" ht="15.75" customHeight="1" x14ac:dyDescent="0.25">
      <c r="B245" s="67" t="e">
        <f t="shared" si="13"/>
        <v>#REF!</v>
      </c>
      <c r="C245" s="76" t="e">
        <f t="shared" si="14"/>
        <v>#REF!</v>
      </c>
    </row>
    <row r="246" spans="2:3" ht="15.75" customHeight="1" x14ac:dyDescent="0.25">
      <c r="B246" s="67" t="e">
        <f t="shared" si="13"/>
        <v>#REF!</v>
      </c>
      <c r="C246" s="76" t="e">
        <f t="shared" si="14"/>
        <v>#REF!</v>
      </c>
    </row>
    <row r="247" spans="2:3" ht="15.75" customHeight="1" x14ac:dyDescent="0.25">
      <c r="B247" s="67" t="e">
        <f t="shared" si="13"/>
        <v>#REF!</v>
      </c>
      <c r="C247" s="76" t="e">
        <f t="shared" si="14"/>
        <v>#REF!</v>
      </c>
    </row>
    <row r="248" spans="2:3" ht="15.75" customHeight="1" x14ac:dyDescent="0.25">
      <c r="B248" s="67" t="e">
        <f t="shared" si="13"/>
        <v>#REF!</v>
      </c>
      <c r="C248" s="76" t="e">
        <f t="shared" si="14"/>
        <v>#REF!</v>
      </c>
    </row>
    <row r="249" spans="2:3" ht="15.75" customHeight="1" x14ac:dyDescent="0.25">
      <c r="B249" s="67" t="e">
        <f t="shared" si="13"/>
        <v>#REF!</v>
      </c>
      <c r="C249" s="76" t="e">
        <f t="shared" si="14"/>
        <v>#REF!</v>
      </c>
    </row>
    <row r="250" spans="2:3" ht="15.75" customHeight="1" x14ac:dyDescent="0.25">
      <c r="B250" s="67" t="e">
        <f t="shared" si="13"/>
        <v>#REF!</v>
      </c>
      <c r="C250" s="76" t="e">
        <f t="shared" si="14"/>
        <v>#REF!</v>
      </c>
    </row>
    <row r="251" spans="2:3" ht="15.75" customHeight="1" x14ac:dyDescent="0.25">
      <c r="B251" s="67" t="e">
        <f t="shared" si="13"/>
        <v>#REF!</v>
      </c>
      <c r="C251" s="76" t="e">
        <f t="shared" si="14"/>
        <v>#REF!</v>
      </c>
    </row>
    <row r="252" spans="2:3" ht="15.75" customHeight="1" x14ac:dyDescent="0.25">
      <c r="B252" s="67" t="e">
        <f t="shared" si="13"/>
        <v>#REF!</v>
      </c>
      <c r="C252" s="76" t="e">
        <f t="shared" si="14"/>
        <v>#REF!</v>
      </c>
    </row>
    <row r="253" spans="2:3" ht="15.75" customHeight="1" x14ac:dyDescent="0.25">
      <c r="B253" s="67" t="e">
        <f t="shared" si="13"/>
        <v>#REF!</v>
      </c>
      <c r="C253" s="76" t="e">
        <f t="shared" si="14"/>
        <v>#REF!</v>
      </c>
    </row>
    <row r="254" spans="2:3" ht="15.75" customHeight="1" x14ac:dyDescent="0.25">
      <c r="B254" s="67" t="e">
        <f t="shared" si="13"/>
        <v>#REF!</v>
      </c>
      <c r="C254" s="76" t="e">
        <f t="shared" si="14"/>
        <v>#REF!</v>
      </c>
    </row>
    <row r="255" spans="2:3" ht="15.75" customHeight="1" x14ac:dyDescent="0.25">
      <c r="B255" s="67" t="e">
        <f t="shared" si="13"/>
        <v>#REF!</v>
      </c>
      <c r="C255" s="76" t="e">
        <f t="shared" si="14"/>
        <v>#REF!</v>
      </c>
    </row>
    <row r="256" spans="2:3" ht="15.75" customHeight="1" x14ac:dyDescent="0.25">
      <c r="B256" s="67" t="e">
        <f t="shared" si="13"/>
        <v>#REF!</v>
      </c>
      <c r="C256" s="76" t="e">
        <f t="shared" si="14"/>
        <v>#REF!</v>
      </c>
    </row>
    <row r="257" spans="2:3" ht="15.75" customHeight="1" x14ac:dyDescent="0.25">
      <c r="B257" s="67" t="e">
        <f t="shared" si="13"/>
        <v>#REF!</v>
      </c>
      <c r="C257" s="76" t="e">
        <f t="shared" si="14"/>
        <v>#REF!</v>
      </c>
    </row>
    <row r="258" spans="2:3" ht="15.75" customHeight="1" x14ac:dyDescent="0.25">
      <c r="B258" s="67" t="e">
        <f t="shared" si="13"/>
        <v>#REF!</v>
      </c>
      <c r="C258" s="76" t="e">
        <f t="shared" si="14"/>
        <v>#REF!</v>
      </c>
    </row>
    <row r="259" spans="2:3" ht="15.75" customHeight="1" x14ac:dyDescent="0.25">
      <c r="B259" s="67" t="e">
        <f t="shared" si="13"/>
        <v>#REF!</v>
      </c>
      <c r="C259" s="76" t="e">
        <f t="shared" si="14"/>
        <v>#REF!</v>
      </c>
    </row>
    <row r="260" spans="2:3" ht="15.75" customHeight="1" x14ac:dyDescent="0.25">
      <c r="B260" s="67" t="e">
        <f t="shared" si="13"/>
        <v>#REF!</v>
      </c>
      <c r="C260" s="76" t="e">
        <f t="shared" si="14"/>
        <v>#REF!</v>
      </c>
    </row>
    <row r="261" spans="2:3" ht="15.75" customHeight="1" x14ac:dyDescent="0.25">
      <c r="B261" s="67" t="e">
        <f t="shared" si="13"/>
        <v>#REF!</v>
      </c>
      <c r="C261" s="76" t="e">
        <f t="shared" si="14"/>
        <v>#REF!</v>
      </c>
    </row>
    <row r="262" spans="2:3" ht="15.75" customHeight="1" x14ac:dyDescent="0.25">
      <c r="B262" s="67" t="e">
        <f t="shared" si="13"/>
        <v>#REF!</v>
      </c>
      <c r="C262" s="76" t="e">
        <f t="shared" si="14"/>
        <v>#REF!</v>
      </c>
    </row>
    <row r="263" spans="2:3" ht="15.75" customHeight="1" x14ac:dyDescent="0.25">
      <c r="B263" s="67" t="e">
        <f t="shared" si="13"/>
        <v>#REF!</v>
      </c>
      <c r="C263" s="76" t="e">
        <f t="shared" si="14"/>
        <v>#REF!</v>
      </c>
    </row>
    <row r="264" spans="2:3" ht="15.75" customHeight="1" x14ac:dyDescent="0.25">
      <c r="B264" s="67" t="e">
        <f t="shared" si="13"/>
        <v>#REF!</v>
      </c>
      <c r="C264" s="76" t="e">
        <f t="shared" si="14"/>
        <v>#REF!</v>
      </c>
    </row>
    <row r="265" spans="2:3" ht="15.75" customHeight="1" x14ac:dyDescent="0.25">
      <c r="B265" s="67" t="e">
        <f t="shared" si="13"/>
        <v>#REF!</v>
      </c>
      <c r="C265" s="76" t="e">
        <f t="shared" si="14"/>
        <v>#REF!</v>
      </c>
    </row>
    <row r="266" spans="2:3" ht="15.75" customHeight="1" x14ac:dyDescent="0.25">
      <c r="B266" s="67" t="e">
        <f t="shared" si="13"/>
        <v>#REF!</v>
      </c>
      <c r="C266" s="76" t="e">
        <f t="shared" si="14"/>
        <v>#REF!</v>
      </c>
    </row>
    <row r="267" spans="2:3" ht="15.75" customHeight="1" x14ac:dyDescent="0.25">
      <c r="B267" s="67" t="e">
        <f t="shared" si="13"/>
        <v>#REF!</v>
      </c>
      <c r="C267" s="76" t="e">
        <f t="shared" si="14"/>
        <v>#REF!</v>
      </c>
    </row>
    <row r="268" spans="2:3" ht="15.75" customHeight="1" x14ac:dyDescent="0.25">
      <c r="B268" s="67" t="e">
        <f t="shared" si="13"/>
        <v>#REF!</v>
      </c>
      <c r="C268" s="76" t="e">
        <f t="shared" si="14"/>
        <v>#REF!</v>
      </c>
    </row>
    <row r="269" spans="2:3" ht="15.75" customHeight="1" x14ac:dyDescent="0.25">
      <c r="B269" s="67" t="e">
        <f t="shared" si="13"/>
        <v>#REF!</v>
      </c>
      <c r="C269" s="76" t="e">
        <f t="shared" si="14"/>
        <v>#REF!</v>
      </c>
    </row>
    <row r="270" spans="2:3" ht="15.75" customHeight="1" x14ac:dyDescent="0.25">
      <c r="B270" s="67" t="e">
        <f t="shared" si="13"/>
        <v>#REF!</v>
      </c>
      <c r="C270" s="76" t="e">
        <f t="shared" si="14"/>
        <v>#REF!</v>
      </c>
    </row>
    <row r="271" spans="2:3" ht="15.75" customHeight="1" x14ac:dyDescent="0.25">
      <c r="B271" s="67" t="e">
        <f t="shared" si="13"/>
        <v>#REF!</v>
      </c>
      <c r="C271" s="76" t="e">
        <f t="shared" si="14"/>
        <v>#REF!</v>
      </c>
    </row>
    <row r="272" spans="2:3" ht="15.75" customHeight="1" x14ac:dyDescent="0.25">
      <c r="B272" s="67" t="e">
        <f t="shared" si="13"/>
        <v>#REF!</v>
      </c>
      <c r="C272" s="76" t="e">
        <f t="shared" si="14"/>
        <v>#REF!</v>
      </c>
    </row>
    <row r="273" spans="2:3" ht="15.75" customHeight="1" x14ac:dyDescent="0.25">
      <c r="B273" s="67" t="e">
        <f t="shared" si="13"/>
        <v>#REF!</v>
      </c>
      <c r="C273" s="76" t="e">
        <f t="shared" si="14"/>
        <v>#REF!</v>
      </c>
    </row>
    <row r="274" spans="2:3" ht="15.75" customHeight="1" x14ac:dyDescent="0.25">
      <c r="B274" s="67" t="e">
        <f t="shared" si="13"/>
        <v>#REF!</v>
      </c>
      <c r="C274" s="76" t="e">
        <f t="shared" si="14"/>
        <v>#REF!</v>
      </c>
    </row>
    <row r="275" spans="2:3" ht="15.75" customHeight="1" x14ac:dyDescent="0.25">
      <c r="B275" s="67" t="e">
        <f t="shared" si="13"/>
        <v>#REF!</v>
      </c>
      <c r="C275" s="76" t="e">
        <f t="shared" si="14"/>
        <v>#REF!</v>
      </c>
    </row>
    <row r="276" spans="2:3" ht="15.75" customHeight="1" x14ac:dyDescent="0.25">
      <c r="B276" s="67" t="e">
        <f t="shared" si="13"/>
        <v>#REF!</v>
      </c>
      <c r="C276" s="76" t="e">
        <f t="shared" si="14"/>
        <v>#REF!</v>
      </c>
    </row>
    <row r="277" spans="2:3" ht="15.75" customHeight="1" x14ac:dyDescent="0.25">
      <c r="B277" s="67" t="e">
        <f t="shared" si="13"/>
        <v>#REF!</v>
      </c>
      <c r="C277" s="76" t="e">
        <f t="shared" si="14"/>
        <v>#REF!</v>
      </c>
    </row>
    <row r="278" spans="2:3" ht="15.75" customHeight="1" x14ac:dyDescent="0.25">
      <c r="B278" s="67" t="e">
        <f t="shared" si="13"/>
        <v>#REF!</v>
      </c>
      <c r="C278" s="76" t="e">
        <f t="shared" si="14"/>
        <v>#REF!</v>
      </c>
    </row>
    <row r="279" spans="2:3" ht="15.75" customHeight="1" x14ac:dyDescent="0.25">
      <c r="B279" s="67" t="e">
        <f t="shared" si="13"/>
        <v>#REF!</v>
      </c>
      <c r="C279" s="76" t="e">
        <f t="shared" si="14"/>
        <v>#REF!</v>
      </c>
    </row>
    <row r="280" spans="2:3" ht="15.75" customHeight="1" x14ac:dyDescent="0.25">
      <c r="B280" s="67" t="e">
        <f t="shared" si="13"/>
        <v>#REF!</v>
      </c>
      <c r="C280" s="76" t="e">
        <f t="shared" si="14"/>
        <v>#REF!</v>
      </c>
    </row>
    <row r="281" spans="2:3" ht="15.75" customHeight="1" x14ac:dyDescent="0.25">
      <c r="B281" s="67" t="e">
        <f t="shared" si="13"/>
        <v>#REF!</v>
      </c>
      <c r="C281" s="76" t="e">
        <f t="shared" si="14"/>
        <v>#REF!</v>
      </c>
    </row>
    <row r="282" spans="2:3" ht="15.75" customHeight="1" x14ac:dyDescent="0.25">
      <c r="B282" s="67" t="e">
        <f t="shared" si="13"/>
        <v>#REF!</v>
      </c>
      <c r="C282" s="76" t="e">
        <f t="shared" si="14"/>
        <v>#REF!</v>
      </c>
    </row>
    <row r="283" spans="2:3" ht="15.75" customHeight="1" x14ac:dyDescent="0.25">
      <c r="B283" s="67" t="e">
        <f t="shared" si="13"/>
        <v>#REF!</v>
      </c>
      <c r="C283" s="76" t="e">
        <f t="shared" si="14"/>
        <v>#REF!</v>
      </c>
    </row>
    <row r="284" spans="2:3" ht="15.75" customHeight="1" x14ac:dyDescent="0.25">
      <c r="B284" s="67" t="e">
        <f t="shared" si="13"/>
        <v>#REF!</v>
      </c>
      <c r="C284" s="76" t="e">
        <f t="shared" si="14"/>
        <v>#REF!</v>
      </c>
    </row>
    <row r="285" spans="2:3" ht="15.75" customHeight="1" x14ac:dyDescent="0.25">
      <c r="B285" s="67" t="e">
        <f t="shared" ref="B285:B348" si="15">IF(B284="","",IF(B284+$C$9&lt;=$C$5,B284+$C$9,""))</f>
        <v>#REF!</v>
      </c>
      <c r="C285" s="76" t="e">
        <f t="shared" ref="C285:C348" si="16">IF(B285&lt;&gt;"",C284-$C$2/COUNT($B$17:$B$510),"")</f>
        <v>#REF!</v>
      </c>
    </row>
    <row r="286" spans="2:3" ht="15.75" customHeight="1" x14ac:dyDescent="0.25">
      <c r="B286" s="67" t="e">
        <f t="shared" si="15"/>
        <v>#REF!</v>
      </c>
      <c r="C286" s="76" t="e">
        <f t="shared" si="16"/>
        <v>#REF!</v>
      </c>
    </row>
    <row r="287" spans="2:3" ht="15.75" customHeight="1" x14ac:dyDescent="0.25">
      <c r="B287" s="67" t="e">
        <f t="shared" si="15"/>
        <v>#REF!</v>
      </c>
      <c r="C287" s="76" t="e">
        <f t="shared" si="16"/>
        <v>#REF!</v>
      </c>
    </row>
    <row r="288" spans="2:3" ht="15.75" customHeight="1" x14ac:dyDescent="0.25">
      <c r="B288" s="67" t="e">
        <f t="shared" si="15"/>
        <v>#REF!</v>
      </c>
      <c r="C288" s="76" t="e">
        <f t="shared" si="16"/>
        <v>#REF!</v>
      </c>
    </row>
    <row r="289" spans="2:3" ht="15.75" customHeight="1" x14ac:dyDescent="0.25">
      <c r="B289" s="67" t="e">
        <f t="shared" si="15"/>
        <v>#REF!</v>
      </c>
      <c r="C289" s="76" t="e">
        <f t="shared" si="16"/>
        <v>#REF!</v>
      </c>
    </row>
    <row r="290" spans="2:3" ht="15.75" customHeight="1" x14ac:dyDescent="0.25">
      <c r="B290" s="67" t="e">
        <f t="shared" si="15"/>
        <v>#REF!</v>
      </c>
      <c r="C290" s="76" t="e">
        <f t="shared" si="16"/>
        <v>#REF!</v>
      </c>
    </row>
    <row r="291" spans="2:3" ht="15.75" customHeight="1" x14ac:dyDescent="0.25">
      <c r="B291" s="67" t="e">
        <f t="shared" si="15"/>
        <v>#REF!</v>
      </c>
      <c r="C291" s="76" t="e">
        <f t="shared" si="16"/>
        <v>#REF!</v>
      </c>
    </row>
    <row r="292" spans="2:3" ht="15.75" customHeight="1" x14ac:dyDescent="0.25">
      <c r="B292" s="67" t="e">
        <f t="shared" si="15"/>
        <v>#REF!</v>
      </c>
      <c r="C292" s="76" t="e">
        <f t="shared" si="16"/>
        <v>#REF!</v>
      </c>
    </row>
    <row r="293" spans="2:3" ht="15.75" customHeight="1" x14ac:dyDescent="0.25">
      <c r="B293" s="67" t="e">
        <f t="shared" si="15"/>
        <v>#REF!</v>
      </c>
      <c r="C293" s="76" t="e">
        <f t="shared" si="16"/>
        <v>#REF!</v>
      </c>
    </row>
    <row r="294" spans="2:3" ht="15.75" customHeight="1" x14ac:dyDescent="0.25">
      <c r="B294" s="67" t="e">
        <f t="shared" si="15"/>
        <v>#REF!</v>
      </c>
      <c r="C294" s="76" t="e">
        <f t="shared" si="16"/>
        <v>#REF!</v>
      </c>
    </row>
    <row r="295" spans="2:3" ht="15.75" customHeight="1" x14ac:dyDescent="0.25">
      <c r="B295" s="67" t="e">
        <f t="shared" si="15"/>
        <v>#REF!</v>
      </c>
      <c r="C295" s="76" t="e">
        <f t="shared" si="16"/>
        <v>#REF!</v>
      </c>
    </row>
    <row r="296" spans="2:3" ht="15.75" customHeight="1" x14ac:dyDescent="0.25">
      <c r="B296" s="67" t="e">
        <f t="shared" si="15"/>
        <v>#REF!</v>
      </c>
      <c r="C296" s="76" t="e">
        <f t="shared" si="16"/>
        <v>#REF!</v>
      </c>
    </row>
    <row r="297" spans="2:3" ht="15.75" customHeight="1" x14ac:dyDescent="0.25">
      <c r="B297" s="67" t="e">
        <f t="shared" si="15"/>
        <v>#REF!</v>
      </c>
      <c r="C297" s="76" t="e">
        <f t="shared" si="16"/>
        <v>#REF!</v>
      </c>
    </row>
    <row r="298" spans="2:3" ht="15.75" customHeight="1" x14ac:dyDescent="0.25">
      <c r="B298" s="67" t="e">
        <f t="shared" si="15"/>
        <v>#REF!</v>
      </c>
      <c r="C298" s="76" t="e">
        <f t="shared" si="16"/>
        <v>#REF!</v>
      </c>
    </row>
    <row r="299" spans="2:3" ht="15.75" customHeight="1" x14ac:dyDescent="0.25">
      <c r="B299" s="67" t="e">
        <f t="shared" si="15"/>
        <v>#REF!</v>
      </c>
      <c r="C299" s="76" t="e">
        <f t="shared" si="16"/>
        <v>#REF!</v>
      </c>
    </row>
    <row r="300" spans="2:3" ht="15.75" customHeight="1" x14ac:dyDescent="0.25">
      <c r="B300" s="67" t="e">
        <f t="shared" si="15"/>
        <v>#REF!</v>
      </c>
      <c r="C300" s="76" t="e">
        <f t="shared" si="16"/>
        <v>#REF!</v>
      </c>
    </row>
    <row r="301" spans="2:3" ht="15.75" customHeight="1" x14ac:dyDescent="0.25">
      <c r="B301" s="67" t="e">
        <f t="shared" si="15"/>
        <v>#REF!</v>
      </c>
      <c r="C301" s="76" t="e">
        <f t="shared" si="16"/>
        <v>#REF!</v>
      </c>
    </row>
    <row r="302" spans="2:3" ht="15.75" customHeight="1" x14ac:dyDescent="0.25">
      <c r="B302" s="67" t="e">
        <f t="shared" si="15"/>
        <v>#REF!</v>
      </c>
      <c r="C302" s="76" t="e">
        <f t="shared" si="16"/>
        <v>#REF!</v>
      </c>
    </row>
    <row r="303" spans="2:3" ht="15.75" customHeight="1" x14ac:dyDescent="0.25">
      <c r="B303" s="67" t="e">
        <f t="shared" si="15"/>
        <v>#REF!</v>
      </c>
      <c r="C303" s="76" t="e">
        <f t="shared" si="16"/>
        <v>#REF!</v>
      </c>
    </row>
    <row r="304" spans="2:3" ht="15.75" customHeight="1" x14ac:dyDescent="0.25">
      <c r="B304" s="67" t="e">
        <f t="shared" si="15"/>
        <v>#REF!</v>
      </c>
      <c r="C304" s="76" t="e">
        <f t="shared" si="16"/>
        <v>#REF!</v>
      </c>
    </row>
    <row r="305" spans="2:3" ht="15.75" customHeight="1" x14ac:dyDescent="0.25">
      <c r="B305" s="67" t="e">
        <f t="shared" si="15"/>
        <v>#REF!</v>
      </c>
      <c r="C305" s="76" t="e">
        <f t="shared" si="16"/>
        <v>#REF!</v>
      </c>
    </row>
    <row r="306" spans="2:3" ht="15.75" customHeight="1" x14ac:dyDescent="0.25">
      <c r="B306" s="67" t="e">
        <f t="shared" si="15"/>
        <v>#REF!</v>
      </c>
      <c r="C306" s="76" t="e">
        <f t="shared" si="16"/>
        <v>#REF!</v>
      </c>
    </row>
    <row r="307" spans="2:3" ht="15.75" customHeight="1" x14ac:dyDescent="0.25">
      <c r="B307" s="67" t="e">
        <f t="shared" si="15"/>
        <v>#REF!</v>
      </c>
      <c r="C307" s="76" t="e">
        <f t="shared" si="16"/>
        <v>#REF!</v>
      </c>
    </row>
    <row r="308" spans="2:3" ht="15.75" customHeight="1" x14ac:dyDescent="0.25">
      <c r="B308" s="67" t="e">
        <f t="shared" si="15"/>
        <v>#REF!</v>
      </c>
      <c r="C308" s="76" t="e">
        <f t="shared" si="16"/>
        <v>#REF!</v>
      </c>
    </row>
    <row r="309" spans="2:3" ht="15.75" customHeight="1" x14ac:dyDescent="0.25">
      <c r="B309" s="67" t="e">
        <f t="shared" si="15"/>
        <v>#REF!</v>
      </c>
      <c r="C309" s="76" t="e">
        <f t="shared" si="16"/>
        <v>#REF!</v>
      </c>
    </row>
    <row r="310" spans="2:3" ht="15.75" customHeight="1" x14ac:dyDescent="0.25">
      <c r="B310" s="67" t="e">
        <f t="shared" si="15"/>
        <v>#REF!</v>
      </c>
      <c r="C310" s="76" t="e">
        <f t="shared" si="16"/>
        <v>#REF!</v>
      </c>
    </row>
    <row r="311" spans="2:3" ht="15.75" customHeight="1" x14ac:dyDescent="0.25">
      <c r="B311" s="67" t="e">
        <f t="shared" si="15"/>
        <v>#REF!</v>
      </c>
      <c r="C311" s="76" t="e">
        <f t="shared" si="16"/>
        <v>#REF!</v>
      </c>
    </row>
    <row r="312" spans="2:3" ht="15.75" customHeight="1" x14ac:dyDescent="0.25">
      <c r="B312" s="67" t="e">
        <f t="shared" si="15"/>
        <v>#REF!</v>
      </c>
      <c r="C312" s="76" t="e">
        <f t="shared" si="16"/>
        <v>#REF!</v>
      </c>
    </row>
    <row r="313" spans="2:3" ht="15.75" customHeight="1" x14ac:dyDescent="0.25">
      <c r="B313" s="67" t="e">
        <f t="shared" si="15"/>
        <v>#REF!</v>
      </c>
      <c r="C313" s="76" t="e">
        <f t="shared" si="16"/>
        <v>#REF!</v>
      </c>
    </row>
    <row r="314" spans="2:3" ht="15.75" customHeight="1" x14ac:dyDescent="0.25">
      <c r="B314" s="67" t="e">
        <f t="shared" si="15"/>
        <v>#REF!</v>
      </c>
      <c r="C314" s="76" t="e">
        <f t="shared" si="16"/>
        <v>#REF!</v>
      </c>
    </row>
    <row r="315" spans="2:3" ht="15.75" customHeight="1" x14ac:dyDescent="0.25">
      <c r="B315" s="67" t="e">
        <f t="shared" si="15"/>
        <v>#REF!</v>
      </c>
      <c r="C315" s="76" t="e">
        <f t="shared" si="16"/>
        <v>#REF!</v>
      </c>
    </row>
    <row r="316" spans="2:3" ht="15.75" customHeight="1" x14ac:dyDescent="0.25">
      <c r="B316" s="67" t="e">
        <f t="shared" si="15"/>
        <v>#REF!</v>
      </c>
      <c r="C316" s="76" t="e">
        <f t="shared" si="16"/>
        <v>#REF!</v>
      </c>
    </row>
    <row r="317" spans="2:3" ht="15.75" customHeight="1" x14ac:dyDescent="0.25">
      <c r="B317" s="67" t="e">
        <f t="shared" si="15"/>
        <v>#REF!</v>
      </c>
      <c r="C317" s="76" t="e">
        <f t="shared" si="16"/>
        <v>#REF!</v>
      </c>
    </row>
    <row r="318" spans="2:3" ht="15.75" customHeight="1" x14ac:dyDescent="0.25">
      <c r="B318" s="67" t="e">
        <f t="shared" si="15"/>
        <v>#REF!</v>
      </c>
      <c r="C318" s="76" t="e">
        <f t="shared" si="16"/>
        <v>#REF!</v>
      </c>
    </row>
    <row r="319" spans="2:3" ht="15.75" customHeight="1" x14ac:dyDescent="0.25">
      <c r="B319" s="67" t="e">
        <f t="shared" si="15"/>
        <v>#REF!</v>
      </c>
      <c r="C319" s="76" t="e">
        <f t="shared" si="16"/>
        <v>#REF!</v>
      </c>
    </row>
    <row r="320" spans="2:3" ht="15.75" customHeight="1" x14ac:dyDescent="0.25">
      <c r="B320" s="67" t="e">
        <f t="shared" si="15"/>
        <v>#REF!</v>
      </c>
      <c r="C320" s="76" t="e">
        <f t="shared" si="16"/>
        <v>#REF!</v>
      </c>
    </row>
    <row r="321" spans="2:3" ht="15.75" customHeight="1" x14ac:dyDescent="0.25">
      <c r="B321" s="67" t="e">
        <f t="shared" si="15"/>
        <v>#REF!</v>
      </c>
      <c r="C321" s="76" t="e">
        <f t="shared" si="16"/>
        <v>#REF!</v>
      </c>
    </row>
    <row r="322" spans="2:3" ht="15.75" customHeight="1" x14ac:dyDescent="0.25">
      <c r="B322" s="67" t="e">
        <f t="shared" si="15"/>
        <v>#REF!</v>
      </c>
      <c r="C322" s="76" t="e">
        <f t="shared" si="16"/>
        <v>#REF!</v>
      </c>
    </row>
    <row r="323" spans="2:3" ht="15.75" customHeight="1" x14ac:dyDescent="0.25">
      <c r="B323" s="67" t="e">
        <f t="shared" si="15"/>
        <v>#REF!</v>
      </c>
      <c r="C323" s="76" t="e">
        <f t="shared" si="16"/>
        <v>#REF!</v>
      </c>
    </row>
    <row r="324" spans="2:3" ht="15.75" customHeight="1" x14ac:dyDescent="0.25">
      <c r="B324" s="67" t="e">
        <f t="shared" si="15"/>
        <v>#REF!</v>
      </c>
      <c r="C324" s="76" t="e">
        <f t="shared" si="16"/>
        <v>#REF!</v>
      </c>
    </row>
    <row r="325" spans="2:3" ht="15.75" customHeight="1" x14ac:dyDescent="0.25">
      <c r="B325" s="67" t="e">
        <f t="shared" si="15"/>
        <v>#REF!</v>
      </c>
      <c r="C325" s="76" t="e">
        <f t="shared" si="16"/>
        <v>#REF!</v>
      </c>
    </row>
    <row r="326" spans="2:3" ht="15.75" customHeight="1" x14ac:dyDescent="0.25">
      <c r="B326" s="67" t="e">
        <f t="shared" si="15"/>
        <v>#REF!</v>
      </c>
      <c r="C326" s="76" t="e">
        <f t="shared" si="16"/>
        <v>#REF!</v>
      </c>
    </row>
    <row r="327" spans="2:3" ht="15.75" customHeight="1" x14ac:dyDescent="0.25">
      <c r="B327" s="67" t="e">
        <f t="shared" si="15"/>
        <v>#REF!</v>
      </c>
      <c r="C327" s="76" t="e">
        <f t="shared" si="16"/>
        <v>#REF!</v>
      </c>
    </row>
    <row r="328" spans="2:3" ht="15.75" customHeight="1" x14ac:dyDescent="0.25">
      <c r="B328" s="67" t="e">
        <f t="shared" si="15"/>
        <v>#REF!</v>
      </c>
      <c r="C328" s="76" t="e">
        <f t="shared" si="16"/>
        <v>#REF!</v>
      </c>
    </row>
    <row r="329" spans="2:3" ht="15.75" customHeight="1" x14ac:dyDescent="0.25">
      <c r="B329" s="67" t="e">
        <f t="shared" si="15"/>
        <v>#REF!</v>
      </c>
      <c r="C329" s="76" t="e">
        <f t="shared" si="16"/>
        <v>#REF!</v>
      </c>
    </row>
    <row r="330" spans="2:3" ht="15.75" customHeight="1" x14ac:dyDescent="0.25">
      <c r="B330" s="67" t="e">
        <f t="shared" si="15"/>
        <v>#REF!</v>
      </c>
      <c r="C330" s="76" t="e">
        <f t="shared" si="16"/>
        <v>#REF!</v>
      </c>
    </row>
    <row r="331" spans="2:3" ht="15.75" customHeight="1" x14ac:dyDescent="0.25">
      <c r="B331" s="67" t="e">
        <f t="shared" si="15"/>
        <v>#REF!</v>
      </c>
      <c r="C331" s="76" t="e">
        <f t="shared" si="16"/>
        <v>#REF!</v>
      </c>
    </row>
    <row r="332" spans="2:3" ht="15.75" customHeight="1" x14ac:dyDescent="0.25">
      <c r="B332" s="67" t="e">
        <f t="shared" si="15"/>
        <v>#REF!</v>
      </c>
      <c r="C332" s="76" t="e">
        <f t="shared" si="16"/>
        <v>#REF!</v>
      </c>
    </row>
    <row r="333" spans="2:3" ht="15.75" customHeight="1" x14ac:dyDescent="0.25">
      <c r="B333" s="67" t="e">
        <f t="shared" si="15"/>
        <v>#REF!</v>
      </c>
      <c r="C333" s="76" t="e">
        <f t="shared" si="16"/>
        <v>#REF!</v>
      </c>
    </row>
    <row r="334" spans="2:3" ht="15.75" customHeight="1" x14ac:dyDescent="0.25">
      <c r="B334" s="67" t="e">
        <f t="shared" si="15"/>
        <v>#REF!</v>
      </c>
      <c r="C334" s="76" t="e">
        <f t="shared" si="16"/>
        <v>#REF!</v>
      </c>
    </row>
    <row r="335" spans="2:3" ht="15.75" customHeight="1" x14ac:dyDescent="0.25">
      <c r="B335" s="67" t="e">
        <f t="shared" si="15"/>
        <v>#REF!</v>
      </c>
      <c r="C335" s="76" t="e">
        <f t="shared" si="16"/>
        <v>#REF!</v>
      </c>
    </row>
    <row r="336" spans="2:3" ht="15.75" customHeight="1" x14ac:dyDescent="0.25">
      <c r="B336" s="67" t="e">
        <f t="shared" si="15"/>
        <v>#REF!</v>
      </c>
      <c r="C336" s="76" t="e">
        <f t="shared" si="16"/>
        <v>#REF!</v>
      </c>
    </row>
    <row r="337" spans="2:3" ht="15.75" customHeight="1" x14ac:dyDescent="0.25">
      <c r="B337" s="67" t="e">
        <f t="shared" si="15"/>
        <v>#REF!</v>
      </c>
      <c r="C337" s="76" t="e">
        <f t="shared" si="16"/>
        <v>#REF!</v>
      </c>
    </row>
    <row r="338" spans="2:3" ht="15.75" customHeight="1" x14ac:dyDescent="0.25">
      <c r="B338" s="67" t="e">
        <f t="shared" si="15"/>
        <v>#REF!</v>
      </c>
      <c r="C338" s="76" t="e">
        <f t="shared" si="16"/>
        <v>#REF!</v>
      </c>
    </row>
    <row r="339" spans="2:3" ht="15.75" customHeight="1" x14ac:dyDescent="0.25">
      <c r="B339" s="67" t="e">
        <f t="shared" si="15"/>
        <v>#REF!</v>
      </c>
      <c r="C339" s="76" t="e">
        <f t="shared" si="16"/>
        <v>#REF!</v>
      </c>
    </row>
    <row r="340" spans="2:3" ht="15.75" customHeight="1" x14ac:dyDescent="0.25">
      <c r="B340" s="67" t="e">
        <f t="shared" si="15"/>
        <v>#REF!</v>
      </c>
      <c r="C340" s="76" t="e">
        <f t="shared" si="16"/>
        <v>#REF!</v>
      </c>
    </row>
    <row r="341" spans="2:3" ht="15.75" customHeight="1" x14ac:dyDescent="0.25">
      <c r="B341" s="67" t="e">
        <f t="shared" si="15"/>
        <v>#REF!</v>
      </c>
      <c r="C341" s="76" t="e">
        <f t="shared" si="16"/>
        <v>#REF!</v>
      </c>
    </row>
    <row r="342" spans="2:3" ht="15.75" customHeight="1" x14ac:dyDescent="0.25">
      <c r="B342" s="67" t="e">
        <f t="shared" si="15"/>
        <v>#REF!</v>
      </c>
      <c r="C342" s="76" t="e">
        <f t="shared" si="16"/>
        <v>#REF!</v>
      </c>
    </row>
    <row r="343" spans="2:3" ht="15.75" customHeight="1" x14ac:dyDescent="0.25">
      <c r="B343" s="67" t="e">
        <f t="shared" si="15"/>
        <v>#REF!</v>
      </c>
      <c r="C343" s="76" t="e">
        <f t="shared" si="16"/>
        <v>#REF!</v>
      </c>
    </row>
    <row r="344" spans="2:3" ht="15.75" customHeight="1" x14ac:dyDescent="0.25">
      <c r="B344" s="67" t="e">
        <f t="shared" si="15"/>
        <v>#REF!</v>
      </c>
      <c r="C344" s="76" t="e">
        <f t="shared" si="16"/>
        <v>#REF!</v>
      </c>
    </row>
    <row r="345" spans="2:3" ht="15.75" customHeight="1" x14ac:dyDescent="0.25">
      <c r="B345" s="67" t="e">
        <f t="shared" si="15"/>
        <v>#REF!</v>
      </c>
      <c r="C345" s="76" t="e">
        <f t="shared" si="16"/>
        <v>#REF!</v>
      </c>
    </row>
    <row r="346" spans="2:3" ht="15.75" customHeight="1" x14ac:dyDescent="0.25">
      <c r="B346" s="67" t="e">
        <f t="shared" si="15"/>
        <v>#REF!</v>
      </c>
      <c r="C346" s="76" t="e">
        <f t="shared" si="16"/>
        <v>#REF!</v>
      </c>
    </row>
    <row r="347" spans="2:3" ht="15.75" customHeight="1" x14ac:dyDescent="0.25">
      <c r="B347" s="67" t="e">
        <f t="shared" si="15"/>
        <v>#REF!</v>
      </c>
      <c r="C347" s="76" t="e">
        <f t="shared" si="16"/>
        <v>#REF!</v>
      </c>
    </row>
    <row r="348" spans="2:3" ht="15.75" customHeight="1" x14ac:dyDescent="0.25">
      <c r="B348" s="67" t="e">
        <f t="shared" si="15"/>
        <v>#REF!</v>
      </c>
      <c r="C348" s="76" t="e">
        <f t="shared" si="16"/>
        <v>#REF!</v>
      </c>
    </row>
    <row r="349" spans="2:3" ht="15.75" customHeight="1" x14ac:dyDescent="0.25">
      <c r="B349" s="67" t="e">
        <f t="shared" ref="B349:B412" si="17">IF(B348="","",IF(B348+$C$9&lt;=$C$5,B348+$C$9,""))</f>
        <v>#REF!</v>
      </c>
      <c r="C349" s="76" t="e">
        <f t="shared" ref="C349:C412" si="18">IF(B349&lt;&gt;"",C348-$C$2/COUNT($B$17:$B$510),"")</f>
        <v>#REF!</v>
      </c>
    </row>
    <row r="350" spans="2:3" ht="15.75" customHeight="1" x14ac:dyDescent="0.25">
      <c r="B350" s="67" t="e">
        <f t="shared" si="17"/>
        <v>#REF!</v>
      </c>
      <c r="C350" s="76" t="e">
        <f t="shared" si="18"/>
        <v>#REF!</v>
      </c>
    </row>
    <row r="351" spans="2:3" ht="15.75" customHeight="1" x14ac:dyDescent="0.25">
      <c r="B351" s="67" t="e">
        <f t="shared" si="17"/>
        <v>#REF!</v>
      </c>
      <c r="C351" s="76" t="e">
        <f t="shared" si="18"/>
        <v>#REF!</v>
      </c>
    </row>
    <row r="352" spans="2:3" ht="15.75" customHeight="1" x14ac:dyDescent="0.25">
      <c r="B352" s="67" t="e">
        <f t="shared" si="17"/>
        <v>#REF!</v>
      </c>
      <c r="C352" s="76" t="e">
        <f t="shared" si="18"/>
        <v>#REF!</v>
      </c>
    </row>
    <row r="353" spans="2:3" ht="15.75" customHeight="1" x14ac:dyDescent="0.25">
      <c r="B353" s="67" t="e">
        <f t="shared" si="17"/>
        <v>#REF!</v>
      </c>
      <c r="C353" s="76" t="e">
        <f t="shared" si="18"/>
        <v>#REF!</v>
      </c>
    </row>
    <row r="354" spans="2:3" ht="15.75" customHeight="1" x14ac:dyDescent="0.25">
      <c r="B354" s="67" t="e">
        <f t="shared" si="17"/>
        <v>#REF!</v>
      </c>
      <c r="C354" s="76" t="e">
        <f t="shared" si="18"/>
        <v>#REF!</v>
      </c>
    </row>
    <row r="355" spans="2:3" ht="15.75" customHeight="1" x14ac:dyDescent="0.25">
      <c r="B355" s="67" t="e">
        <f t="shared" si="17"/>
        <v>#REF!</v>
      </c>
      <c r="C355" s="76" t="e">
        <f t="shared" si="18"/>
        <v>#REF!</v>
      </c>
    </row>
    <row r="356" spans="2:3" ht="15.75" customHeight="1" x14ac:dyDescent="0.25">
      <c r="B356" s="67" t="e">
        <f t="shared" si="17"/>
        <v>#REF!</v>
      </c>
      <c r="C356" s="76" t="e">
        <f t="shared" si="18"/>
        <v>#REF!</v>
      </c>
    </row>
    <row r="357" spans="2:3" ht="15.75" customHeight="1" x14ac:dyDescent="0.25">
      <c r="B357" s="67" t="e">
        <f t="shared" si="17"/>
        <v>#REF!</v>
      </c>
      <c r="C357" s="76" t="e">
        <f t="shared" si="18"/>
        <v>#REF!</v>
      </c>
    </row>
    <row r="358" spans="2:3" ht="15.75" customHeight="1" x14ac:dyDescent="0.25">
      <c r="B358" s="67" t="e">
        <f t="shared" si="17"/>
        <v>#REF!</v>
      </c>
      <c r="C358" s="76" t="e">
        <f t="shared" si="18"/>
        <v>#REF!</v>
      </c>
    </row>
    <row r="359" spans="2:3" ht="15.75" customHeight="1" x14ac:dyDescent="0.25">
      <c r="B359" s="67" t="e">
        <f t="shared" si="17"/>
        <v>#REF!</v>
      </c>
      <c r="C359" s="76" t="e">
        <f t="shared" si="18"/>
        <v>#REF!</v>
      </c>
    </row>
    <row r="360" spans="2:3" ht="15.75" customHeight="1" x14ac:dyDescent="0.25">
      <c r="B360" s="67" t="e">
        <f t="shared" si="17"/>
        <v>#REF!</v>
      </c>
      <c r="C360" s="76" t="e">
        <f t="shared" si="18"/>
        <v>#REF!</v>
      </c>
    </row>
    <row r="361" spans="2:3" ht="15.75" customHeight="1" x14ac:dyDescent="0.25">
      <c r="B361" s="67" t="e">
        <f t="shared" si="17"/>
        <v>#REF!</v>
      </c>
      <c r="C361" s="76" t="e">
        <f t="shared" si="18"/>
        <v>#REF!</v>
      </c>
    </row>
    <row r="362" spans="2:3" ht="15.75" customHeight="1" x14ac:dyDescent="0.25">
      <c r="B362" s="67" t="e">
        <f t="shared" si="17"/>
        <v>#REF!</v>
      </c>
      <c r="C362" s="76" t="e">
        <f t="shared" si="18"/>
        <v>#REF!</v>
      </c>
    </row>
    <row r="363" spans="2:3" ht="15.75" customHeight="1" x14ac:dyDescent="0.25">
      <c r="B363" s="67" t="e">
        <f t="shared" si="17"/>
        <v>#REF!</v>
      </c>
      <c r="C363" s="76" t="e">
        <f t="shared" si="18"/>
        <v>#REF!</v>
      </c>
    </row>
    <row r="364" spans="2:3" ht="15.75" customHeight="1" x14ac:dyDescent="0.25">
      <c r="B364" s="67" t="e">
        <f t="shared" si="17"/>
        <v>#REF!</v>
      </c>
      <c r="C364" s="76" t="e">
        <f t="shared" si="18"/>
        <v>#REF!</v>
      </c>
    </row>
    <row r="365" spans="2:3" ht="15.75" customHeight="1" x14ac:dyDescent="0.25">
      <c r="B365" s="67" t="e">
        <f t="shared" si="17"/>
        <v>#REF!</v>
      </c>
      <c r="C365" s="76" t="e">
        <f t="shared" si="18"/>
        <v>#REF!</v>
      </c>
    </row>
    <row r="366" spans="2:3" ht="15.75" customHeight="1" x14ac:dyDescent="0.25">
      <c r="B366" s="67" t="e">
        <f t="shared" si="17"/>
        <v>#REF!</v>
      </c>
      <c r="C366" s="76" t="e">
        <f t="shared" si="18"/>
        <v>#REF!</v>
      </c>
    </row>
    <row r="367" spans="2:3" ht="15.75" customHeight="1" x14ac:dyDescent="0.25">
      <c r="B367" s="67" t="e">
        <f t="shared" si="17"/>
        <v>#REF!</v>
      </c>
      <c r="C367" s="76" t="e">
        <f t="shared" si="18"/>
        <v>#REF!</v>
      </c>
    </row>
    <row r="368" spans="2:3" ht="15.75" customHeight="1" x14ac:dyDescent="0.25">
      <c r="B368" s="67" t="e">
        <f t="shared" si="17"/>
        <v>#REF!</v>
      </c>
      <c r="C368" s="76" t="e">
        <f t="shared" si="18"/>
        <v>#REF!</v>
      </c>
    </row>
    <row r="369" spans="2:3" ht="15.75" customHeight="1" x14ac:dyDescent="0.25">
      <c r="B369" s="67" t="e">
        <f t="shared" si="17"/>
        <v>#REF!</v>
      </c>
      <c r="C369" s="76" t="e">
        <f t="shared" si="18"/>
        <v>#REF!</v>
      </c>
    </row>
    <row r="370" spans="2:3" ht="15.75" customHeight="1" x14ac:dyDescent="0.25">
      <c r="B370" s="67" t="e">
        <f t="shared" si="17"/>
        <v>#REF!</v>
      </c>
      <c r="C370" s="76" t="e">
        <f t="shared" si="18"/>
        <v>#REF!</v>
      </c>
    </row>
    <row r="371" spans="2:3" ht="15.75" customHeight="1" x14ac:dyDescent="0.25">
      <c r="B371" s="67" t="e">
        <f t="shared" si="17"/>
        <v>#REF!</v>
      </c>
      <c r="C371" s="76" t="e">
        <f t="shared" si="18"/>
        <v>#REF!</v>
      </c>
    </row>
    <row r="372" spans="2:3" ht="15.75" customHeight="1" x14ac:dyDescent="0.25">
      <c r="B372" s="67" t="e">
        <f t="shared" si="17"/>
        <v>#REF!</v>
      </c>
      <c r="C372" s="76" t="e">
        <f t="shared" si="18"/>
        <v>#REF!</v>
      </c>
    </row>
    <row r="373" spans="2:3" ht="15.75" customHeight="1" x14ac:dyDescent="0.25">
      <c r="B373" s="67" t="e">
        <f t="shared" si="17"/>
        <v>#REF!</v>
      </c>
      <c r="C373" s="76" t="e">
        <f t="shared" si="18"/>
        <v>#REF!</v>
      </c>
    </row>
    <row r="374" spans="2:3" ht="15.75" customHeight="1" x14ac:dyDescent="0.25">
      <c r="B374" s="67" t="e">
        <f t="shared" si="17"/>
        <v>#REF!</v>
      </c>
      <c r="C374" s="76" t="e">
        <f t="shared" si="18"/>
        <v>#REF!</v>
      </c>
    </row>
    <row r="375" spans="2:3" ht="15.75" customHeight="1" x14ac:dyDescent="0.25">
      <c r="B375" s="67" t="e">
        <f t="shared" si="17"/>
        <v>#REF!</v>
      </c>
      <c r="C375" s="76" t="e">
        <f t="shared" si="18"/>
        <v>#REF!</v>
      </c>
    </row>
    <row r="376" spans="2:3" ht="15.75" customHeight="1" x14ac:dyDescent="0.25">
      <c r="B376" s="67" t="e">
        <f t="shared" si="17"/>
        <v>#REF!</v>
      </c>
      <c r="C376" s="76" t="e">
        <f t="shared" si="18"/>
        <v>#REF!</v>
      </c>
    </row>
    <row r="377" spans="2:3" ht="15.75" customHeight="1" x14ac:dyDescent="0.25">
      <c r="B377" s="67" t="e">
        <f t="shared" si="17"/>
        <v>#REF!</v>
      </c>
      <c r="C377" s="76" t="e">
        <f t="shared" si="18"/>
        <v>#REF!</v>
      </c>
    </row>
    <row r="378" spans="2:3" ht="15.75" customHeight="1" x14ac:dyDescent="0.25">
      <c r="B378" s="67" t="e">
        <f t="shared" si="17"/>
        <v>#REF!</v>
      </c>
      <c r="C378" s="76" t="e">
        <f t="shared" si="18"/>
        <v>#REF!</v>
      </c>
    </row>
    <row r="379" spans="2:3" ht="15.75" customHeight="1" x14ac:dyDescent="0.25">
      <c r="B379" s="67" t="e">
        <f t="shared" si="17"/>
        <v>#REF!</v>
      </c>
      <c r="C379" s="76" t="e">
        <f t="shared" si="18"/>
        <v>#REF!</v>
      </c>
    </row>
    <row r="380" spans="2:3" ht="15.75" customHeight="1" x14ac:dyDescent="0.25">
      <c r="B380" s="67" t="e">
        <f t="shared" si="17"/>
        <v>#REF!</v>
      </c>
      <c r="C380" s="76" t="e">
        <f t="shared" si="18"/>
        <v>#REF!</v>
      </c>
    </row>
    <row r="381" spans="2:3" ht="15.75" customHeight="1" x14ac:dyDescent="0.25">
      <c r="B381" s="67" t="e">
        <f t="shared" si="17"/>
        <v>#REF!</v>
      </c>
      <c r="C381" s="76" t="e">
        <f t="shared" si="18"/>
        <v>#REF!</v>
      </c>
    </row>
    <row r="382" spans="2:3" ht="15.75" customHeight="1" x14ac:dyDescent="0.25">
      <c r="B382" s="67" t="e">
        <f t="shared" si="17"/>
        <v>#REF!</v>
      </c>
      <c r="C382" s="76" t="e">
        <f t="shared" si="18"/>
        <v>#REF!</v>
      </c>
    </row>
    <row r="383" spans="2:3" ht="15.75" customHeight="1" x14ac:dyDescent="0.25">
      <c r="B383" s="67" t="e">
        <f t="shared" si="17"/>
        <v>#REF!</v>
      </c>
      <c r="C383" s="76" t="e">
        <f t="shared" si="18"/>
        <v>#REF!</v>
      </c>
    </row>
    <row r="384" spans="2:3" ht="15.75" customHeight="1" x14ac:dyDescent="0.25">
      <c r="B384" s="67" t="e">
        <f t="shared" si="17"/>
        <v>#REF!</v>
      </c>
      <c r="C384" s="76" t="e">
        <f t="shared" si="18"/>
        <v>#REF!</v>
      </c>
    </row>
    <row r="385" spans="2:3" ht="15.75" customHeight="1" x14ac:dyDescent="0.25">
      <c r="B385" s="67" t="e">
        <f t="shared" si="17"/>
        <v>#REF!</v>
      </c>
      <c r="C385" s="76" t="e">
        <f t="shared" si="18"/>
        <v>#REF!</v>
      </c>
    </row>
    <row r="386" spans="2:3" ht="15.75" customHeight="1" x14ac:dyDescent="0.25">
      <c r="B386" s="67" t="e">
        <f t="shared" si="17"/>
        <v>#REF!</v>
      </c>
      <c r="C386" s="76" t="e">
        <f t="shared" si="18"/>
        <v>#REF!</v>
      </c>
    </row>
    <row r="387" spans="2:3" ht="15.75" customHeight="1" x14ac:dyDescent="0.25">
      <c r="B387" s="67" t="e">
        <f t="shared" si="17"/>
        <v>#REF!</v>
      </c>
      <c r="C387" s="76" t="e">
        <f t="shared" si="18"/>
        <v>#REF!</v>
      </c>
    </row>
    <row r="388" spans="2:3" ht="15.75" customHeight="1" x14ac:dyDescent="0.25">
      <c r="B388" s="67" t="e">
        <f t="shared" si="17"/>
        <v>#REF!</v>
      </c>
      <c r="C388" s="76" t="e">
        <f t="shared" si="18"/>
        <v>#REF!</v>
      </c>
    </row>
    <row r="389" spans="2:3" ht="15.75" customHeight="1" x14ac:dyDescent="0.25">
      <c r="B389" s="67" t="e">
        <f t="shared" si="17"/>
        <v>#REF!</v>
      </c>
      <c r="C389" s="76" t="e">
        <f t="shared" si="18"/>
        <v>#REF!</v>
      </c>
    </row>
    <row r="390" spans="2:3" ht="15.75" customHeight="1" x14ac:dyDescent="0.25">
      <c r="B390" s="67" t="e">
        <f t="shared" si="17"/>
        <v>#REF!</v>
      </c>
      <c r="C390" s="76" t="e">
        <f t="shared" si="18"/>
        <v>#REF!</v>
      </c>
    </row>
    <row r="391" spans="2:3" ht="15.75" customHeight="1" x14ac:dyDescent="0.25">
      <c r="B391" s="67" t="e">
        <f t="shared" si="17"/>
        <v>#REF!</v>
      </c>
      <c r="C391" s="76" t="e">
        <f t="shared" si="18"/>
        <v>#REF!</v>
      </c>
    </row>
    <row r="392" spans="2:3" ht="15.75" customHeight="1" x14ac:dyDescent="0.25">
      <c r="B392" s="67" t="e">
        <f t="shared" si="17"/>
        <v>#REF!</v>
      </c>
      <c r="C392" s="76" t="e">
        <f t="shared" si="18"/>
        <v>#REF!</v>
      </c>
    </row>
    <row r="393" spans="2:3" ht="15.75" customHeight="1" x14ac:dyDescent="0.25">
      <c r="B393" s="67" t="e">
        <f t="shared" si="17"/>
        <v>#REF!</v>
      </c>
      <c r="C393" s="76" t="e">
        <f t="shared" si="18"/>
        <v>#REF!</v>
      </c>
    </row>
    <row r="394" spans="2:3" ht="15.75" customHeight="1" x14ac:dyDescent="0.25">
      <c r="B394" s="67" t="e">
        <f t="shared" si="17"/>
        <v>#REF!</v>
      </c>
      <c r="C394" s="76" t="e">
        <f t="shared" si="18"/>
        <v>#REF!</v>
      </c>
    </row>
    <row r="395" spans="2:3" ht="15.75" customHeight="1" x14ac:dyDescent="0.25">
      <c r="B395" s="67" t="e">
        <f t="shared" si="17"/>
        <v>#REF!</v>
      </c>
      <c r="C395" s="76" t="e">
        <f t="shared" si="18"/>
        <v>#REF!</v>
      </c>
    </row>
    <row r="396" spans="2:3" ht="15.75" customHeight="1" x14ac:dyDescent="0.25">
      <c r="B396" s="67" t="e">
        <f t="shared" si="17"/>
        <v>#REF!</v>
      </c>
      <c r="C396" s="76" t="e">
        <f t="shared" si="18"/>
        <v>#REF!</v>
      </c>
    </row>
    <row r="397" spans="2:3" ht="15.75" customHeight="1" x14ac:dyDescent="0.25">
      <c r="B397" s="67" t="e">
        <f t="shared" si="17"/>
        <v>#REF!</v>
      </c>
      <c r="C397" s="76" t="e">
        <f t="shared" si="18"/>
        <v>#REF!</v>
      </c>
    </row>
    <row r="398" spans="2:3" ht="15.75" customHeight="1" x14ac:dyDescent="0.25">
      <c r="B398" s="67" t="e">
        <f t="shared" si="17"/>
        <v>#REF!</v>
      </c>
      <c r="C398" s="76" t="e">
        <f t="shared" si="18"/>
        <v>#REF!</v>
      </c>
    </row>
    <row r="399" spans="2:3" ht="15.75" customHeight="1" x14ac:dyDescent="0.25">
      <c r="B399" s="67" t="e">
        <f t="shared" si="17"/>
        <v>#REF!</v>
      </c>
      <c r="C399" s="76" t="e">
        <f t="shared" si="18"/>
        <v>#REF!</v>
      </c>
    </row>
    <row r="400" spans="2:3" ht="15.75" customHeight="1" x14ac:dyDescent="0.25">
      <c r="B400" s="67" t="e">
        <f t="shared" si="17"/>
        <v>#REF!</v>
      </c>
      <c r="C400" s="76" t="e">
        <f t="shared" si="18"/>
        <v>#REF!</v>
      </c>
    </row>
    <row r="401" spans="2:3" ht="15.75" customHeight="1" x14ac:dyDescent="0.25">
      <c r="B401" s="67" t="e">
        <f t="shared" si="17"/>
        <v>#REF!</v>
      </c>
      <c r="C401" s="76" t="e">
        <f t="shared" si="18"/>
        <v>#REF!</v>
      </c>
    </row>
    <row r="402" spans="2:3" ht="15.75" customHeight="1" x14ac:dyDescent="0.25">
      <c r="B402" s="67" t="e">
        <f t="shared" si="17"/>
        <v>#REF!</v>
      </c>
      <c r="C402" s="76" t="e">
        <f t="shared" si="18"/>
        <v>#REF!</v>
      </c>
    </row>
    <row r="403" spans="2:3" ht="15.75" customHeight="1" x14ac:dyDescent="0.25">
      <c r="B403" s="67" t="e">
        <f t="shared" si="17"/>
        <v>#REF!</v>
      </c>
      <c r="C403" s="76" t="e">
        <f t="shared" si="18"/>
        <v>#REF!</v>
      </c>
    </row>
    <row r="404" spans="2:3" ht="15.75" customHeight="1" x14ac:dyDescent="0.25">
      <c r="B404" s="67" t="e">
        <f t="shared" si="17"/>
        <v>#REF!</v>
      </c>
      <c r="C404" s="76" t="e">
        <f t="shared" si="18"/>
        <v>#REF!</v>
      </c>
    </row>
    <row r="405" spans="2:3" ht="15.75" customHeight="1" x14ac:dyDescent="0.25">
      <c r="B405" s="67" t="e">
        <f t="shared" si="17"/>
        <v>#REF!</v>
      </c>
      <c r="C405" s="76" t="e">
        <f t="shared" si="18"/>
        <v>#REF!</v>
      </c>
    </row>
    <row r="406" spans="2:3" ht="15.75" customHeight="1" x14ac:dyDescent="0.25">
      <c r="B406" s="67" t="e">
        <f t="shared" si="17"/>
        <v>#REF!</v>
      </c>
      <c r="C406" s="76" t="e">
        <f t="shared" si="18"/>
        <v>#REF!</v>
      </c>
    </row>
    <row r="407" spans="2:3" ht="15.75" customHeight="1" x14ac:dyDescent="0.25">
      <c r="B407" s="67" t="e">
        <f t="shared" si="17"/>
        <v>#REF!</v>
      </c>
      <c r="C407" s="76" t="e">
        <f t="shared" si="18"/>
        <v>#REF!</v>
      </c>
    </row>
    <row r="408" spans="2:3" ht="15.75" customHeight="1" x14ac:dyDescent="0.25">
      <c r="B408" s="67" t="e">
        <f t="shared" si="17"/>
        <v>#REF!</v>
      </c>
      <c r="C408" s="76" t="e">
        <f t="shared" si="18"/>
        <v>#REF!</v>
      </c>
    </row>
    <row r="409" spans="2:3" ht="15.75" customHeight="1" x14ac:dyDescent="0.25">
      <c r="B409" s="67" t="e">
        <f t="shared" si="17"/>
        <v>#REF!</v>
      </c>
      <c r="C409" s="76" t="e">
        <f t="shared" si="18"/>
        <v>#REF!</v>
      </c>
    </row>
    <row r="410" spans="2:3" ht="15.75" customHeight="1" x14ac:dyDescent="0.25">
      <c r="B410" s="67" t="e">
        <f t="shared" si="17"/>
        <v>#REF!</v>
      </c>
      <c r="C410" s="76" t="e">
        <f t="shared" si="18"/>
        <v>#REF!</v>
      </c>
    </row>
    <row r="411" spans="2:3" ht="15.75" customHeight="1" x14ac:dyDescent="0.25">
      <c r="B411" s="67" t="e">
        <f t="shared" si="17"/>
        <v>#REF!</v>
      </c>
      <c r="C411" s="76" t="e">
        <f t="shared" si="18"/>
        <v>#REF!</v>
      </c>
    </row>
    <row r="412" spans="2:3" ht="15.75" customHeight="1" x14ac:dyDescent="0.25">
      <c r="B412" s="67" t="e">
        <f t="shared" si="17"/>
        <v>#REF!</v>
      </c>
      <c r="C412" s="76" t="e">
        <f t="shared" si="18"/>
        <v>#REF!</v>
      </c>
    </row>
    <row r="413" spans="2:3" ht="15.75" customHeight="1" x14ac:dyDescent="0.25">
      <c r="B413" s="67" t="e">
        <f t="shared" ref="B413:B476" si="19">IF(B412="","",IF(B412+$C$9&lt;=$C$5,B412+$C$9,""))</f>
        <v>#REF!</v>
      </c>
      <c r="C413" s="76" t="e">
        <f t="shared" ref="C413:C476" si="20">IF(B413&lt;&gt;"",C412-$C$2/COUNT($B$17:$B$510),"")</f>
        <v>#REF!</v>
      </c>
    </row>
    <row r="414" spans="2:3" ht="15.75" customHeight="1" x14ac:dyDescent="0.25">
      <c r="B414" s="67" t="e">
        <f t="shared" si="19"/>
        <v>#REF!</v>
      </c>
      <c r="C414" s="76" t="e">
        <f t="shared" si="20"/>
        <v>#REF!</v>
      </c>
    </row>
    <row r="415" spans="2:3" ht="15.75" customHeight="1" x14ac:dyDescent="0.25">
      <c r="B415" s="67" t="e">
        <f t="shared" si="19"/>
        <v>#REF!</v>
      </c>
      <c r="C415" s="76" t="e">
        <f t="shared" si="20"/>
        <v>#REF!</v>
      </c>
    </row>
    <row r="416" spans="2:3" ht="15.75" customHeight="1" x14ac:dyDescent="0.25">
      <c r="B416" s="67" t="e">
        <f t="shared" si="19"/>
        <v>#REF!</v>
      </c>
      <c r="C416" s="76" t="e">
        <f t="shared" si="20"/>
        <v>#REF!</v>
      </c>
    </row>
    <row r="417" spans="2:3" ht="15.75" customHeight="1" x14ac:dyDescent="0.25">
      <c r="B417" s="67" t="e">
        <f t="shared" si="19"/>
        <v>#REF!</v>
      </c>
      <c r="C417" s="76" t="e">
        <f t="shared" si="20"/>
        <v>#REF!</v>
      </c>
    </row>
    <row r="418" spans="2:3" ht="15.75" customHeight="1" x14ac:dyDescent="0.25">
      <c r="B418" s="67" t="e">
        <f t="shared" si="19"/>
        <v>#REF!</v>
      </c>
      <c r="C418" s="76" t="e">
        <f t="shared" si="20"/>
        <v>#REF!</v>
      </c>
    </row>
    <row r="419" spans="2:3" ht="15.75" customHeight="1" x14ac:dyDescent="0.25">
      <c r="B419" s="67" t="e">
        <f t="shared" si="19"/>
        <v>#REF!</v>
      </c>
      <c r="C419" s="76" t="e">
        <f t="shared" si="20"/>
        <v>#REF!</v>
      </c>
    </row>
    <row r="420" spans="2:3" ht="15.75" customHeight="1" x14ac:dyDescent="0.25">
      <c r="B420" s="67" t="e">
        <f t="shared" si="19"/>
        <v>#REF!</v>
      </c>
      <c r="C420" s="76" t="e">
        <f t="shared" si="20"/>
        <v>#REF!</v>
      </c>
    </row>
    <row r="421" spans="2:3" ht="15.75" customHeight="1" x14ac:dyDescent="0.25">
      <c r="B421" s="67" t="e">
        <f t="shared" si="19"/>
        <v>#REF!</v>
      </c>
      <c r="C421" s="76" t="e">
        <f t="shared" si="20"/>
        <v>#REF!</v>
      </c>
    </row>
    <row r="422" spans="2:3" ht="15.75" customHeight="1" x14ac:dyDescent="0.25">
      <c r="B422" s="67" t="e">
        <f t="shared" si="19"/>
        <v>#REF!</v>
      </c>
      <c r="C422" s="76" t="e">
        <f t="shared" si="20"/>
        <v>#REF!</v>
      </c>
    </row>
    <row r="423" spans="2:3" ht="15.75" customHeight="1" x14ac:dyDescent="0.25">
      <c r="B423" s="67" t="e">
        <f t="shared" si="19"/>
        <v>#REF!</v>
      </c>
      <c r="C423" s="76" t="e">
        <f t="shared" si="20"/>
        <v>#REF!</v>
      </c>
    </row>
    <row r="424" spans="2:3" ht="15.75" customHeight="1" x14ac:dyDescent="0.25">
      <c r="B424" s="67" t="e">
        <f t="shared" si="19"/>
        <v>#REF!</v>
      </c>
      <c r="C424" s="76" t="e">
        <f t="shared" si="20"/>
        <v>#REF!</v>
      </c>
    </row>
    <row r="425" spans="2:3" ht="15.75" customHeight="1" x14ac:dyDescent="0.25">
      <c r="B425" s="67" t="e">
        <f t="shared" si="19"/>
        <v>#REF!</v>
      </c>
      <c r="C425" s="76" t="e">
        <f t="shared" si="20"/>
        <v>#REF!</v>
      </c>
    </row>
    <row r="426" spans="2:3" ht="15.75" customHeight="1" x14ac:dyDescent="0.25">
      <c r="B426" s="67" t="e">
        <f t="shared" si="19"/>
        <v>#REF!</v>
      </c>
      <c r="C426" s="76" t="e">
        <f t="shared" si="20"/>
        <v>#REF!</v>
      </c>
    </row>
    <row r="427" spans="2:3" ht="15.75" customHeight="1" x14ac:dyDescent="0.25">
      <c r="B427" s="67" t="e">
        <f t="shared" si="19"/>
        <v>#REF!</v>
      </c>
      <c r="C427" s="76" t="e">
        <f t="shared" si="20"/>
        <v>#REF!</v>
      </c>
    </row>
    <row r="428" spans="2:3" ht="15.75" customHeight="1" x14ac:dyDescent="0.25">
      <c r="B428" s="67" t="e">
        <f t="shared" si="19"/>
        <v>#REF!</v>
      </c>
      <c r="C428" s="76" t="e">
        <f t="shared" si="20"/>
        <v>#REF!</v>
      </c>
    </row>
    <row r="429" spans="2:3" ht="15.75" customHeight="1" x14ac:dyDescent="0.25">
      <c r="B429" s="67" t="e">
        <f t="shared" si="19"/>
        <v>#REF!</v>
      </c>
      <c r="C429" s="76" t="e">
        <f t="shared" si="20"/>
        <v>#REF!</v>
      </c>
    </row>
    <row r="430" spans="2:3" ht="15.75" customHeight="1" x14ac:dyDescent="0.25">
      <c r="B430" s="67" t="e">
        <f t="shared" si="19"/>
        <v>#REF!</v>
      </c>
      <c r="C430" s="76" t="e">
        <f t="shared" si="20"/>
        <v>#REF!</v>
      </c>
    </row>
    <row r="431" spans="2:3" ht="15.75" customHeight="1" x14ac:dyDescent="0.25">
      <c r="B431" s="67" t="e">
        <f t="shared" si="19"/>
        <v>#REF!</v>
      </c>
      <c r="C431" s="76" t="e">
        <f t="shared" si="20"/>
        <v>#REF!</v>
      </c>
    </row>
    <row r="432" spans="2:3" ht="15.75" customHeight="1" x14ac:dyDescent="0.25">
      <c r="B432" s="67" t="e">
        <f t="shared" si="19"/>
        <v>#REF!</v>
      </c>
      <c r="C432" s="76" t="e">
        <f t="shared" si="20"/>
        <v>#REF!</v>
      </c>
    </row>
    <row r="433" spans="2:3" ht="15.75" customHeight="1" x14ac:dyDescent="0.25">
      <c r="B433" s="67" t="e">
        <f t="shared" si="19"/>
        <v>#REF!</v>
      </c>
      <c r="C433" s="76" t="e">
        <f t="shared" si="20"/>
        <v>#REF!</v>
      </c>
    </row>
    <row r="434" spans="2:3" ht="15.75" customHeight="1" x14ac:dyDescent="0.25">
      <c r="B434" s="67" t="e">
        <f t="shared" si="19"/>
        <v>#REF!</v>
      </c>
      <c r="C434" s="76" t="e">
        <f t="shared" si="20"/>
        <v>#REF!</v>
      </c>
    </row>
    <row r="435" spans="2:3" ht="15.75" customHeight="1" x14ac:dyDescent="0.25">
      <c r="B435" s="67" t="e">
        <f t="shared" si="19"/>
        <v>#REF!</v>
      </c>
      <c r="C435" s="76" t="e">
        <f t="shared" si="20"/>
        <v>#REF!</v>
      </c>
    </row>
    <row r="436" spans="2:3" ht="15.75" customHeight="1" x14ac:dyDescent="0.25">
      <c r="B436" s="67" t="e">
        <f t="shared" si="19"/>
        <v>#REF!</v>
      </c>
      <c r="C436" s="76" t="e">
        <f t="shared" si="20"/>
        <v>#REF!</v>
      </c>
    </row>
    <row r="437" spans="2:3" ht="15.75" customHeight="1" x14ac:dyDescent="0.25">
      <c r="B437" s="67" t="e">
        <f t="shared" si="19"/>
        <v>#REF!</v>
      </c>
      <c r="C437" s="76" t="e">
        <f t="shared" si="20"/>
        <v>#REF!</v>
      </c>
    </row>
    <row r="438" spans="2:3" ht="15.75" customHeight="1" x14ac:dyDescent="0.25">
      <c r="B438" s="67" t="e">
        <f t="shared" si="19"/>
        <v>#REF!</v>
      </c>
      <c r="C438" s="76" t="e">
        <f t="shared" si="20"/>
        <v>#REF!</v>
      </c>
    </row>
    <row r="439" spans="2:3" ht="15.75" customHeight="1" x14ac:dyDescent="0.25">
      <c r="B439" s="67" t="e">
        <f t="shared" si="19"/>
        <v>#REF!</v>
      </c>
      <c r="C439" s="76" t="e">
        <f t="shared" si="20"/>
        <v>#REF!</v>
      </c>
    </row>
    <row r="440" spans="2:3" ht="15.75" customHeight="1" x14ac:dyDescent="0.25">
      <c r="B440" s="67" t="e">
        <f t="shared" si="19"/>
        <v>#REF!</v>
      </c>
      <c r="C440" s="76" t="e">
        <f t="shared" si="20"/>
        <v>#REF!</v>
      </c>
    </row>
    <row r="441" spans="2:3" ht="15.75" customHeight="1" x14ac:dyDescent="0.25">
      <c r="B441" s="67" t="e">
        <f t="shared" si="19"/>
        <v>#REF!</v>
      </c>
      <c r="C441" s="76" t="e">
        <f t="shared" si="20"/>
        <v>#REF!</v>
      </c>
    </row>
    <row r="442" spans="2:3" ht="15.75" customHeight="1" x14ac:dyDescent="0.25">
      <c r="B442" s="67" t="e">
        <f t="shared" si="19"/>
        <v>#REF!</v>
      </c>
      <c r="C442" s="76" t="e">
        <f t="shared" si="20"/>
        <v>#REF!</v>
      </c>
    </row>
    <row r="443" spans="2:3" ht="15.75" customHeight="1" x14ac:dyDescent="0.25">
      <c r="B443" s="67" t="e">
        <f t="shared" si="19"/>
        <v>#REF!</v>
      </c>
      <c r="C443" s="76" t="e">
        <f t="shared" si="20"/>
        <v>#REF!</v>
      </c>
    </row>
    <row r="444" spans="2:3" ht="15.75" customHeight="1" x14ac:dyDescent="0.25">
      <c r="B444" s="67" t="e">
        <f t="shared" si="19"/>
        <v>#REF!</v>
      </c>
      <c r="C444" s="76" t="e">
        <f t="shared" si="20"/>
        <v>#REF!</v>
      </c>
    </row>
    <row r="445" spans="2:3" ht="15.75" customHeight="1" x14ac:dyDescent="0.25">
      <c r="B445" s="67" t="e">
        <f t="shared" si="19"/>
        <v>#REF!</v>
      </c>
      <c r="C445" s="76" t="e">
        <f t="shared" si="20"/>
        <v>#REF!</v>
      </c>
    </row>
    <row r="446" spans="2:3" ht="15.75" customHeight="1" x14ac:dyDescent="0.25">
      <c r="B446" s="67" t="e">
        <f t="shared" si="19"/>
        <v>#REF!</v>
      </c>
      <c r="C446" s="76" t="e">
        <f t="shared" si="20"/>
        <v>#REF!</v>
      </c>
    </row>
    <row r="447" spans="2:3" ht="15.75" customHeight="1" x14ac:dyDescent="0.25">
      <c r="B447" s="67" t="e">
        <f t="shared" si="19"/>
        <v>#REF!</v>
      </c>
      <c r="C447" s="76" t="e">
        <f t="shared" si="20"/>
        <v>#REF!</v>
      </c>
    </row>
    <row r="448" spans="2:3" ht="15.75" customHeight="1" x14ac:dyDescent="0.25">
      <c r="B448" s="67" t="e">
        <f t="shared" si="19"/>
        <v>#REF!</v>
      </c>
      <c r="C448" s="76" t="e">
        <f t="shared" si="20"/>
        <v>#REF!</v>
      </c>
    </row>
    <row r="449" spans="2:3" ht="15.75" customHeight="1" x14ac:dyDescent="0.25">
      <c r="B449" s="67" t="e">
        <f t="shared" si="19"/>
        <v>#REF!</v>
      </c>
      <c r="C449" s="76" t="e">
        <f t="shared" si="20"/>
        <v>#REF!</v>
      </c>
    </row>
    <row r="450" spans="2:3" ht="15.75" customHeight="1" x14ac:dyDescent="0.25">
      <c r="B450" s="67" t="e">
        <f t="shared" si="19"/>
        <v>#REF!</v>
      </c>
      <c r="C450" s="76" t="e">
        <f t="shared" si="20"/>
        <v>#REF!</v>
      </c>
    </row>
    <row r="451" spans="2:3" ht="15.75" customHeight="1" x14ac:dyDescent="0.25">
      <c r="B451" s="67" t="e">
        <f t="shared" si="19"/>
        <v>#REF!</v>
      </c>
      <c r="C451" s="76" t="e">
        <f t="shared" si="20"/>
        <v>#REF!</v>
      </c>
    </row>
    <row r="452" spans="2:3" ht="15.75" customHeight="1" x14ac:dyDescent="0.25">
      <c r="B452" s="67" t="e">
        <f t="shared" si="19"/>
        <v>#REF!</v>
      </c>
      <c r="C452" s="76" t="e">
        <f t="shared" si="20"/>
        <v>#REF!</v>
      </c>
    </row>
    <row r="453" spans="2:3" ht="15.75" customHeight="1" x14ac:dyDescent="0.25">
      <c r="B453" s="67" t="e">
        <f t="shared" si="19"/>
        <v>#REF!</v>
      </c>
      <c r="C453" s="76" t="e">
        <f t="shared" si="20"/>
        <v>#REF!</v>
      </c>
    </row>
    <row r="454" spans="2:3" ht="15.75" customHeight="1" x14ac:dyDescent="0.25">
      <c r="B454" s="67" t="e">
        <f t="shared" si="19"/>
        <v>#REF!</v>
      </c>
      <c r="C454" s="76" t="e">
        <f t="shared" si="20"/>
        <v>#REF!</v>
      </c>
    </row>
    <row r="455" spans="2:3" ht="15.75" customHeight="1" x14ac:dyDescent="0.25">
      <c r="B455" s="67" t="e">
        <f t="shared" si="19"/>
        <v>#REF!</v>
      </c>
      <c r="C455" s="76" t="e">
        <f t="shared" si="20"/>
        <v>#REF!</v>
      </c>
    </row>
    <row r="456" spans="2:3" ht="15.75" customHeight="1" x14ac:dyDescent="0.25">
      <c r="B456" s="67" t="e">
        <f t="shared" si="19"/>
        <v>#REF!</v>
      </c>
      <c r="C456" s="76" t="e">
        <f t="shared" si="20"/>
        <v>#REF!</v>
      </c>
    </row>
    <row r="457" spans="2:3" ht="15.75" customHeight="1" x14ac:dyDescent="0.25">
      <c r="B457" s="67" t="e">
        <f t="shared" si="19"/>
        <v>#REF!</v>
      </c>
      <c r="C457" s="76" t="e">
        <f t="shared" si="20"/>
        <v>#REF!</v>
      </c>
    </row>
    <row r="458" spans="2:3" ht="15.75" customHeight="1" x14ac:dyDescent="0.25">
      <c r="B458" s="67" t="e">
        <f t="shared" si="19"/>
        <v>#REF!</v>
      </c>
      <c r="C458" s="76" t="e">
        <f t="shared" si="20"/>
        <v>#REF!</v>
      </c>
    </row>
    <row r="459" spans="2:3" ht="15.75" customHeight="1" x14ac:dyDescent="0.25">
      <c r="B459" s="67" t="e">
        <f t="shared" si="19"/>
        <v>#REF!</v>
      </c>
      <c r="C459" s="76" t="e">
        <f t="shared" si="20"/>
        <v>#REF!</v>
      </c>
    </row>
    <row r="460" spans="2:3" ht="15.75" customHeight="1" x14ac:dyDescent="0.25">
      <c r="B460" s="67" t="e">
        <f t="shared" si="19"/>
        <v>#REF!</v>
      </c>
      <c r="C460" s="76" t="e">
        <f t="shared" si="20"/>
        <v>#REF!</v>
      </c>
    </row>
    <row r="461" spans="2:3" ht="15.75" customHeight="1" x14ac:dyDescent="0.25">
      <c r="B461" s="67" t="e">
        <f t="shared" si="19"/>
        <v>#REF!</v>
      </c>
      <c r="C461" s="76" t="e">
        <f t="shared" si="20"/>
        <v>#REF!</v>
      </c>
    </row>
    <row r="462" spans="2:3" ht="15.75" customHeight="1" x14ac:dyDescent="0.25">
      <c r="B462" s="67" t="e">
        <f t="shared" si="19"/>
        <v>#REF!</v>
      </c>
      <c r="C462" s="76" t="e">
        <f t="shared" si="20"/>
        <v>#REF!</v>
      </c>
    </row>
    <row r="463" spans="2:3" ht="15.75" customHeight="1" x14ac:dyDescent="0.25">
      <c r="B463" s="67" t="e">
        <f t="shared" si="19"/>
        <v>#REF!</v>
      </c>
      <c r="C463" s="76" t="e">
        <f t="shared" si="20"/>
        <v>#REF!</v>
      </c>
    </row>
    <row r="464" spans="2:3" ht="15.75" customHeight="1" x14ac:dyDescent="0.25">
      <c r="B464" s="67" t="e">
        <f t="shared" si="19"/>
        <v>#REF!</v>
      </c>
      <c r="C464" s="76" t="e">
        <f t="shared" si="20"/>
        <v>#REF!</v>
      </c>
    </row>
    <row r="465" spans="2:3" ht="15.75" customHeight="1" x14ac:dyDescent="0.25">
      <c r="B465" s="67" t="e">
        <f t="shared" si="19"/>
        <v>#REF!</v>
      </c>
      <c r="C465" s="76" t="e">
        <f t="shared" si="20"/>
        <v>#REF!</v>
      </c>
    </row>
    <row r="466" spans="2:3" ht="15.75" customHeight="1" x14ac:dyDescent="0.25">
      <c r="B466" s="67" t="e">
        <f t="shared" si="19"/>
        <v>#REF!</v>
      </c>
      <c r="C466" s="76" t="e">
        <f t="shared" si="20"/>
        <v>#REF!</v>
      </c>
    </row>
    <row r="467" spans="2:3" ht="15.75" customHeight="1" x14ac:dyDescent="0.25">
      <c r="B467" s="67" t="e">
        <f t="shared" si="19"/>
        <v>#REF!</v>
      </c>
      <c r="C467" s="76" t="e">
        <f t="shared" si="20"/>
        <v>#REF!</v>
      </c>
    </row>
    <row r="468" spans="2:3" ht="15.75" customHeight="1" x14ac:dyDescent="0.25">
      <c r="B468" s="67" t="e">
        <f t="shared" si="19"/>
        <v>#REF!</v>
      </c>
      <c r="C468" s="76" t="e">
        <f t="shared" si="20"/>
        <v>#REF!</v>
      </c>
    </row>
    <row r="469" spans="2:3" ht="15.75" customHeight="1" x14ac:dyDescent="0.25">
      <c r="B469" s="67" t="e">
        <f t="shared" si="19"/>
        <v>#REF!</v>
      </c>
      <c r="C469" s="76" t="e">
        <f t="shared" si="20"/>
        <v>#REF!</v>
      </c>
    </row>
    <row r="470" spans="2:3" ht="15.75" customHeight="1" x14ac:dyDescent="0.25">
      <c r="B470" s="67" t="e">
        <f t="shared" si="19"/>
        <v>#REF!</v>
      </c>
      <c r="C470" s="76" t="e">
        <f t="shared" si="20"/>
        <v>#REF!</v>
      </c>
    </row>
    <row r="471" spans="2:3" ht="15.75" customHeight="1" x14ac:dyDescent="0.25">
      <c r="B471" s="67" t="e">
        <f t="shared" si="19"/>
        <v>#REF!</v>
      </c>
      <c r="C471" s="76" t="e">
        <f t="shared" si="20"/>
        <v>#REF!</v>
      </c>
    </row>
    <row r="472" spans="2:3" ht="15.75" customHeight="1" x14ac:dyDescent="0.25">
      <c r="B472" s="67" t="e">
        <f t="shared" si="19"/>
        <v>#REF!</v>
      </c>
      <c r="C472" s="76" t="e">
        <f t="shared" si="20"/>
        <v>#REF!</v>
      </c>
    </row>
    <row r="473" spans="2:3" ht="15.75" customHeight="1" x14ac:dyDescent="0.25">
      <c r="B473" s="67" t="e">
        <f t="shared" si="19"/>
        <v>#REF!</v>
      </c>
      <c r="C473" s="76" t="e">
        <f t="shared" si="20"/>
        <v>#REF!</v>
      </c>
    </row>
    <row r="474" spans="2:3" ht="15.75" customHeight="1" x14ac:dyDescent="0.25">
      <c r="B474" s="67" t="e">
        <f t="shared" si="19"/>
        <v>#REF!</v>
      </c>
      <c r="C474" s="76" t="e">
        <f t="shared" si="20"/>
        <v>#REF!</v>
      </c>
    </row>
    <row r="475" spans="2:3" ht="15.75" customHeight="1" x14ac:dyDescent="0.25">
      <c r="B475" s="67" t="e">
        <f t="shared" si="19"/>
        <v>#REF!</v>
      </c>
      <c r="C475" s="76" t="e">
        <f t="shared" si="20"/>
        <v>#REF!</v>
      </c>
    </row>
    <row r="476" spans="2:3" ht="15.75" customHeight="1" x14ac:dyDescent="0.25">
      <c r="B476" s="67" t="e">
        <f t="shared" si="19"/>
        <v>#REF!</v>
      </c>
      <c r="C476" s="76" t="e">
        <f t="shared" si="20"/>
        <v>#REF!</v>
      </c>
    </row>
    <row r="477" spans="2:3" ht="15.75" customHeight="1" x14ac:dyDescent="0.25">
      <c r="B477" s="67" t="e">
        <f t="shared" ref="B477:B511" si="21">IF(B476="","",IF(B476+$C$9&lt;=$C$5,B476+$C$9,""))</f>
        <v>#REF!</v>
      </c>
      <c r="C477" s="76" t="e">
        <f t="shared" ref="C477:C511" si="22">IF(B477&lt;&gt;"",C476-$C$2/COUNT($B$17:$B$510),"")</f>
        <v>#REF!</v>
      </c>
    </row>
    <row r="478" spans="2:3" ht="15.75" customHeight="1" x14ac:dyDescent="0.25">
      <c r="B478" s="67" t="e">
        <f t="shared" si="21"/>
        <v>#REF!</v>
      </c>
      <c r="C478" s="76" t="e">
        <f t="shared" si="22"/>
        <v>#REF!</v>
      </c>
    </row>
    <row r="479" spans="2:3" ht="15.75" customHeight="1" x14ac:dyDescent="0.25">
      <c r="B479" s="67" t="e">
        <f t="shared" si="21"/>
        <v>#REF!</v>
      </c>
      <c r="C479" s="76" t="e">
        <f t="shared" si="22"/>
        <v>#REF!</v>
      </c>
    </row>
    <row r="480" spans="2:3" ht="15.75" customHeight="1" x14ac:dyDescent="0.25">
      <c r="B480" s="67" t="e">
        <f t="shared" si="21"/>
        <v>#REF!</v>
      </c>
      <c r="C480" s="76" t="e">
        <f t="shared" si="22"/>
        <v>#REF!</v>
      </c>
    </row>
    <row r="481" spans="2:3" ht="15.75" customHeight="1" x14ac:dyDescent="0.25">
      <c r="B481" s="67" t="e">
        <f t="shared" si="21"/>
        <v>#REF!</v>
      </c>
      <c r="C481" s="76" t="e">
        <f t="shared" si="22"/>
        <v>#REF!</v>
      </c>
    </row>
    <row r="482" spans="2:3" ht="15.75" customHeight="1" x14ac:dyDescent="0.25">
      <c r="B482" s="67" t="e">
        <f t="shared" si="21"/>
        <v>#REF!</v>
      </c>
      <c r="C482" s="76" t="e">
        <f t="shared" si="22"/>
        <v>#REF!</v>
      </c>
    </row>
    <row r="483" spans="2:3" ht="15.75" customHeight="1" x14ac:dyDescent="0.25">
      <c r="B483" s="67" t="e">
        <f t="shared" si="21"/>
        <v>#REF!</v>
      </c>
      <c r="C483" s="76" t="e">
        <f t="shared" si="22"/>
        <v>#REF!</v>
      </c>
    </row>
    <row r="484" spans="2:3" ht="15.75" customHeight="1" x14ac:dyDescent="0.25">
      <c r="B484" s="67" t="e">
        <f t="shared" si="21"/>
        <v>#REF!</v>
      </c>
      <c r="C484" s="76" t="e">
        <f t="shared" si="22"/>
        <v>#REF!</v>
      </c>
    </row>
    <row r="485" spans="2:3" ht="15.75" customHeight="1" x14ac:dyDescent="0.25">
      <c r="B485" s="67" t="e">
        <f t="shared" si="21"/>
        <v>#REF!</v>
      </c>
      <c r="C485" s="76" t="e">
        <f t="shared" si="22"/>
        <v>#REF!</v>
      </c>
    </row>
    <row r="486" spans="2:3" ht="15.75" customHeight="1" x14ac:dyDescent="0.25">
      <c r="B486" s="67" t="e">
        <f t="shared" si="21"/>
        <v>#REF!</v>
      </c>
      <c r="C486" s="76" t="e">
        <f t="shared" si="22"/>
        <v>#REF!</v>
      </c>
    </row>
    <row r="487" spans="2:3" ht="15.75" customHeight="1" x14ac:dyDescent="0.25">
      <c r="B487" s="67" t="e">
        <f t="shared" si="21"/>
        <v>#REF!</v>
      </c>
      <c r="C487" s="76" t="e">
        <f t="shared" si="22"/>
        <v>#REF!</v>
      </c>
    </row>
    <row r="488" spans="2:3" ht="15.75" customHeight="1" x14ac:dyDescent="0.25">
      <c r="B488" s="67" t="e">
        <f t="shared" si="21"/>
        <v>#REF!</v>
      </c>
      <c r="C488" s="76" t="e">
        <f t="shared" si="22"/>
        <v>#REF!</v>
      </c>
    </row>
    <row r="489" spans="2:3" ht="15.75" customHeight="1" x14ac:dyDescent="0.25">
      <c r="B489" s="67" t="e">
        <f t="shared" si="21"/>
        <v>#REF!</v>
      </c>
      <c r="C489" s="76" t="e">
        <f t="shared" si="22"/>
        <v>#REF!</v>
      </c>
    </row>
    <row r="490" spans="2:3" ht="15.75" customHeight="1" x14ac:dyDescent="0.25">
      <c r="B490" s="67" t="e">
        <f t="shared" si="21"/>
        <v>#REF!</v>
      </c>
      <c r="C490" s="76" t="e">
        <f t="shared" si="22"/>
        <v>#REF!</v>
      </c>
    </row>
    <row r="491" spans="2:3" ht="15.75" customHeight="1" x14ac:dyDescent="0.25">
      <c r="B491" s="67" t="e">
        <f t="shared" si="21"/>
        <v>#REF!</v>
      </c>
      <c r="C491" s="76" t="e">
        <f t="shared" si="22"/>
        <v>#REF!</v>
      </c>
    </row>
    <row r="492" spans="2:3" ht="15.75" customHeight="1" x14ac:dyDescent="0.25">
      <c r="B492" s="67" t="e">
        <f t="shared" si="21"/>
        <v>#REF!</v>
      </c>
      <c r="C492" s="76" t="e">
        <f t="shared" si="22"/>
        <v>#REF!</v>
      </c>
    </row>
    <row r="493" spans="2:3" ht="15.75" customHeight="1" x14ac:dyDescent="0.25">
      <c r="B493" s="67" t="e">
        <f t="shared" si="21"/>
        <v>#REF!</v>
      </c>
      <c r="C493" s="76" t="e">
        <f t="shared" si="22"/>
        <v>#REF!</v>
      </c>
    </row>
    <row r="494" spans="2:3" ht="15.75" customHeight="1" x14ac:dyDescent="0.25">
      <c r="B494" s="67" t="e">
        <f t="shared" si="21"/>
        <v>#REF!</v>
      </c>
      <c r="C494" s="76" t="e">
        <f t="shared" si="22"/>
        <v>#REF!</v>
      </c>
    </row>
    <row r="495" spans="2:3" ht="15.75" customHeight="1" x14ac:dyDescent="0.25">
      <c r="B495" s="67" t="e">
        <f t="shared" si="21"/>
        <v>#REF!</v>
      </c>
      <c r="C495" s="76" t="e">
        <f t="shared" si="22"/>
        <v>#REF!</v>
      </c>
    </row>
    <row r="496" spans="2:3" ht="15.75" customHeight="1" x14ac:dyDescent="0.25">
      <c r="B496" s="67" t="e">
        <f t="shared" si="21"/>
        <v>#REF!</v>
      </c>
      <c r="C496" s="76" t="e">
        <f t="shared" si="22"/>
        <v>#REF!</v>
      </c>
    </row>
    <row r="497" spans="2:3" ht="15.75" customHeight="1" x14ac:dyDescent="0.25">
      <c r="B497" s="67" t="e">
        <f t="shared" si="21"/>
        <v>#REF!</v>
      </c>
      <c r="C497" s="76" t="e">
        <f t="shared" si="22"/>
        <v>#REF!</v>
      </c>
    </row>
    <row r="498" spans="2:3" ht="15.75" customHeight="1" x14ac:dyDescent="0.25">
      <c r="B498" s="67" t="e">
        <f t="shared" si="21"/>
        <v>#REF!</v>
      </c>
      <c r="C498" s="76" t="e">
        <f t="shared" si="22"/>
        <v>#REF!</v>
      </c>
    </row>
    <row r="499" spans="2:3" ht="15.75" customHeight="1" x14ac:dyDescent="0.25">
      <c r="B499" s="67" t="e">
        <f t="shared" si="21"/>
        <v>#REF!</v>
      </c>
      <c r="C499" s="76" t="e">
        <f t="shared" si="22"/>
        <v>#REF!</v>
      </c>
    </row>
    <row r="500" spans="2:3" ht="15.75" customHeight="1" x14ac:dyDescent="0.25">
      <c r="B500" s="67" t="e">
        <f t="shared" si="21"/>
        <v>#REF!</v>
      </c>
      <c r="C500" s="76" t="e">
        <f t="shared" si="22"/>
        <v>#REF!</v>
      </c>
    </row>
    <row r="501" spans="2:3" ht="15.75" customHeight="1" x14ac:dyDescent="0.25">
      <c r="B501" s="67" t="e">
        <f t="shared" si="21"/>
        <v>#REF!</v>
      </c>
      <c r="C501" s="76" t="e">
        <f t="shared" si="22"/>
        <v>#REF!</v>
      </c>
    </row>
    <row r="502" spans="2:3" ht="15.75" customHeight="1" x14ac:dyDescent="0.25">
      <c r="B502" s="67" t="e">
        <f t="shared" si="21"/>
        <v>#REF!</v>
      </c>
      <c r="C502" s="76" t="e">
        <f t="shared" si="22"/>
        <v>#REF!</v>
      </c>
    </row>
    <row r="503" spans="2:3" ht="15.75" customHeight="1" x14ac:dyDescent="0.25">
      <c r="B503" s="67" t="e">
        <f t="shared" si="21"/>
        <v>#REF!</v>
      </c>
      <c r="C503" s="76" t="e">
        <f t="shared" si="22"/>
        <v>#REF!</v>
      </c>
    </row>
    <row r="504" spans="2:3" ht="15.75" customHeight="1" x14ac:dyDescent="0.25">
      <c r="B504" s="67" t="e">
        <f t="shared" si="21"/>
        <v>#REF!</v>
      </c>
      <c r="C504" s="76" t="e">
        <f t="shared" si="22"/>
        <v>#REF!</v>
      </c>
    </row>
    <row r="505" spans="2:3" ht="15.75" customHeight="1" x14ac:dyDescent="0.25">
      <c r="B505" s="67" t="e">
        <f t="shared" si="21"/>
        <v>#REF!</v>
      </c>
      <c r="C505" s="76" t="e">
        <f t="shared" si="22"/>
        <v>#REF!</v>
      </c>
    </row>
    <row r="506" spans="2:3" ht="15.75" customHeight="1" x14ac:dyDescent="0.25">
      <c r="B506" s="67" t="e">
        <f t="shared" si="21"/>
        <v>#REF!</v>
      </c>
      <c r="C506" s="76" t="e">
        <f t="shared" si="22"/>
        <v>#REF!</v>
      </c>
    </row>
    <row r="507" spans="2:3" ht="15.75" customHeight="1" x14ac:dyDescent="0.25">
      <c r="B507" s="67" t="e">
        <f t="shared" si="21"/>
        <v>#REF!</v>
      </c>
      <c r="C507" s="76" t="e">
        <f t="shared" si="22"/>
        <v>#REF!</v>
      </c>
    </row>
    <row r="508" spans="2:3" ht="15.75" customHeight="1" x14ac:dyDescent="0.25">
      <c r="B508" s="67" t="e">
        <f t="shared" si="21"/>
        <v>#REF!</v>
      </c>
      <c r="C508" s="76" t="e">
        <f t="shared" si="22"/>
        <v>#REF!</v>
      </c>
    </row>
    <row r="509" spans="2:3" ht="15.75" customHeight="1" x14ac:dyDescent="0.25">
      <c r="B509" s="67" t="e">
        <f t="shared" si="21"/>
        <v>#REF!</v>
      </c>
      <c r="C509" s="76" t="e">
        <f t="shared" si="22"/>
        <v>#REF!</v>
      </c>
    </row>
    <row r="510" spans="2:3" ht="15.75" customHeight="1" x14ac:dyDescent="0.25">
      <c r="B510" s="67" t="e">
        <f t="shared" si="21"/>
        <v>#REF!</v>
      </c>
      <c r="C510" s="76" t="e">
        <f t="shared" si="22"/>
        <v>#REF!</v>
      </c>
    </row>
    <row r="511" spans="2:3" ht="15.75" customHeight="1" x14ac:dyDescent="0.25">
      <c r="B511" s="67" t="e">
        <f t="shared" si="21"/>
        <v>#REF!</v>
      </c>
      <c r="C511" s="76" t="e">
        <f t="shared" si="22"/>
        <v>#REF!</v>
      </c>
    </row>
  </sheetData>
  <mergeCells count="3">
    <mergeCell ref="A1:K1"/>
    <mergeCell ref="B12:F12"/>
    <mergeCell ref="G12:L12"/>
  </mergeCells>
  <conditionalFormatting sqref="A14:F14 L14 H14:H32 A15:A31">
    <cfRule type="expression" dxfId="106" priority="10">
      <formula>AND(TODAY()&gt;=$B$14,TODAY()&lt;$B$15)</formula>
    </cfRule>
  </conditionalFormatting>
  <conditionalFormatting sqref="B14:B20 B22:B54">
    <cfRule type="cellIs" dxfId="105" priority="7" operator="greaterThan">
      <formula>$C$5</formula>
    </cfRule>
  </conditionalFormatting>
  <conditionalFormatting sqref="B17:E20 B22:E31 A32:E32 A33:L54 I14:I27 G14:G32 I28:J28 I29:L32">
    <cfRule type="expression" dxfId="104" priority="8">
      <formula>AND(TODAY()&gt;=$B14,TODAY()&lt;$B15)</formula>
    </cfRule>
  </conditionalFormatting>
  <conditionalFormatting sqref="B15:F16">
    <cfRule type="expression" dxfId="103" priority="9">
      <formula>AND(TODAY()&gt;=$B15,TODAY()&lt;$B16)</formula>
    </cfRule>
  </conditionalFormatting>
  <conditionalFormatting sqref="C2">
    <cfRule type="expression" dxfId="102" priority="1">
      <formula>AND(TODAY()&gt;=$B$14,TODAY()&lt;$B$15)</formula>
    </cfRule>
  </conditionalFormatting>
  <conditionalFormatting sqref="J14:J27">
    <cfRule type="expression" dxfId="101" priority="2">
      <formula>AND(TODAY()&gt;=$B$14,TODAY()&lt;$B$15)</formula>
    </cfRule>
  </conditionalFormatting>
  <conditionalFormatting sqref="K14:K28">
    <cfRule type="expression" dxfId="100" priority="3">
      <formula>AND(TODAY()&gt;=$B$14,TODAY()&lt;$B$15)</formula>
    </cfRule>
  </conditionalFormatting>
  <conditionalFormatting sqref="L15:L20 F17:F20 L22:L28 F22:F32">
    <cfRule type="expression" dxfId="99" priority="6">
      <formula>AND(TODAY()&gt;=$B15,TODAY()&lt;$B16)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4AD380-A02B-4227-9A59-1CDAF4D8249D}">
          <x14:formula1>
            <xm:f>'LEIA-ME'!$A$2:$A$14</xm:f>
          </x14:formula1>
          <xm:sqref>C2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9003-6AF6-45DF-BC4E-460804B227B6}">
  <sheetPr>
    <tabColor theme="9" tint="-0.499984740745262"/>
  </sheetPr>
  <dimension ref="A1:L512"/>
  <sheetViews>
    <sheetView workbookViewId="0">
      <selection activeCell="C5" sqref="C5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6" width="12.625" style="59" customWidth="1"/>
    <col min="7" max="11" width="13.875" style="59" customWidth="1"/>
    <col min="12" max="12" width="22.25" style="59" customWidth="1"/>
    <col min="13" max="13" width="34.375" style="59" customWidth="1"/>
    <col min="14" max="16384" width="12.625" style="59"/>
  </cols>
  <sheetData>
    <row r="1" spans="1:12" ht="19.5" customHeight="1" thickBot="1" x14ac:dyDescent="0.3">
      <c r="A1" s="154" t="s">
        <v>20</v>
      </c>
      <c r="B1" s="167"/>
      <c r="C1" s="167"/>
      <c r="D1" s="155"/>
      <c r="E1" s="155"/>
      <c r="F1" s="155"/>
      <c r="G1" s="155"/>
      <c r="H1" s="155"/>
      <c r="I1" s="155"/>
      <c r="J1" s="155"/>
      <c r="K1" s="156"/>
    </row>
    <row r="2" spans="1:12" ht="33.75" customHeight="1" x14ac:dyDescent="0.25">
      <c r="A2" s="68"/>
      <c r="B2" s="119" t="s">
        <v>2542</v>
      </c>
      <c r="C2" s="124" t="s">
        <v>87</v>
      </c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15.75" customHeight="1" x14ac:dyDescent="0.25">
      <c r="A3" s="68"/>
      <c r="B3" s="119" t="s">
        <v>66</v>
      </c>
      <c r="C3" s="120" t="s">
        <v>69</v>
      </c>
      <c r="D3" s="70"/>
      <c r="E3" s="71"/>
      <c r="F3" s="71"/>
      <c r="G3" s="65"/>
      <c r="H3" s="65"/>
      <c r="I3" s="65"/>
      <c r="J3" s="65"/>
      <c r="K3" s="65"/>
      <c r="L3" s="65"/>
    </row>
    <row r="4" spans="1:12" ht="19.5" x14ac:dyDescent="0.25">
      <c r="B4" s="121" t="s">
        <v>2494</v>
      </c>
      <c r="C4" s="110">
        <f>COUNTIFS(jornada,"*" &amp; C2 &amp; "*",release,"*" &amp; C3&amp; "*")</f>
        <v>2</v>
      </c>
      <c r="D4" s="70" t="s">
        <v>25</v>
      </c>
      <c r="E4" s="71" t="s">
        <v>26</v>
      </c>
      <c r="F4" s="71"/>
      <c r="G4" s="65"/>
      <c r="H4" s="65"/>
      <c r="I4" s="65"/>
      <c r="J4" s="65"/>
      <c r="K4" s="65"/>
      <c r="L4" s="65"/>
    </row>
    <row r="5" spans="1:12" ht="15.75" customHeight="1" x14ac:dyDescent="0.25">
      <c r="B5" s="122" t="s">
        <v>27</v>
      </c>
      <c r="C5" s="107">
        <v>46027</v>
      </c>
      <c r="D5" s="70" t="s">
        <v>28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122" t="s">
        <v>29</v>
      </c>
      <c r="C6" s="107">
        <v>46113</v>
      </c>
      <c r="D6" s="70" t="s">
        <v>30</v>
      </c>
      <c r="E6" s="65"/>
      <c r="F6" s="65"/>
      <c r="G6" s="65"/>
      <c r="H6" s="65"/>
      <c r="I6" s="65"/>
      <c r="J6" s="65"/>
      <c r="K6" s="65"/>
      <c r="L6" s="65"/>
    </row>
    <row r="7" spans="1:12" ht="15.75" customHeight="1" x14ac:dyDescent="0.25">
      <c r="B7" s="119" t="s">
        <v>31</v>
      </c>
      <c r="C7" s="106" cm="1">
        <f t="array" ref="C7">IF(MAX(INDEX(J:J, LARGE(IF(J:J&lt;&gt;"", ROW(J:J)), {1;2;3;4})))=0,
  1,
  MAX(INDEX(J:J, LARGE(IF(J:J&lt;&gt;"", ROW(J:J)), {1;2;3;4}))))</f>
        <v>1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119" t="s">
        <v>34</v>
      </c>
      <c r="C8" s="106" cm="1">
        <f t="array" ref="C8">IF(MIN(INDEX(J:J, LARGE(IF(J:J&lt;&gt;"", ROW(J:J)), {1;2;3;4})))=0,
  1,
  MIN(INDEX(J:J, LARGE(IF(J:J&lt;&gt;"", ROW(J:J)), {1;2;3;4}))))</f>
        <v>1</v>
      </c>
      <c r="D8" s="70" t="s">
        <v>32</v>
      </c>
      <c r="E8" s="71" t="s">
        <v>33</v>
      </c>
      <c r="F8" s="71"/>
      <c r="G8" s="65"/>
      <c r="H8" s="65"/>
      <c r="I8" s="65"/>
      <c r="J8" s="65"/>
      <c r="K8" s="65"/>
      <c r="L8" s="65"/>
    </row>
    <row r="9" spans="1:12" ht="15.75" customHeight="1" x14ac:dyDescent="0.25">
      <c r="B9" s="122" t="s">
        <v>35</v>
      </c>
      <c r="C9" s="108">
        <v>20</v>
      </c>
      <c r="D9" s="70" t="s">
        <v>32</v>
      </c>
      <c r="E9" s="65"/>
      <c r="F9" s="65"/>
      <c r="G9" s="65"/>
      <c r="H9" s="65"/>
      <c r="I9" s="65"/>
      <c r="J9" s="65"/>
      <c r="K9" s="65"/>
      <c r="L9" s="65"/>
    </row>
    <row r="10" spans="1:12" ht="15.75" customHeight="1" x14ac:dyDescent="0.25">
      <c r="B10" s="122" t="s">
        <v>36</v>
      </c>
      <c r="C10" s="109">
        <v>7</v>
      </c>
      <c r="D10" s="70" t="s">
        <v>37</v>
      </c>
      <c r="E10" s="65"/>
      <c r="F10" s="65"/>
      <c r="G10" s="65"/>
      <c r="H10" s="65"/>
      <c r="I10" s="65"/>
      <c r="J10" s="65"/>
      <c r="K10" s="65"/>
      <c r="L10" s="65"/>
    </row>
    <row r="11" spans="1:12" ht="15.75" hidden="1" customHeight="1" x14ac:dyDescent="0.25">
      <c r="B11" s="112"/>
      <c r="C11" s="65"/>
      <c r="D11" s="113"/>
      <c r="E11" s="65"/>
      <c r="F11" s="65"/>
      <c r="G11" s="65"/>
      <c r="H11" s="65"/>
      <c r="I11" s="65"/>
      <c r="J11" s="65"/>
      <c r="K11" s="65"/>
      <c r="L11" s="65"/>
    </row>
    <row r="12" spans="1:12" s="39" customFormat="1" ht="40.5" customHeight="1" x14ac:dyDescent="0.45">
      <c r="A12" s="103"/>
      <c r="B12" s="61" t="s">
        <v>38</v>
      </c>
      <c r="C12" s="60" t="s">
        <v>39</v>
      </c>
      <c r="D12" s="60" t="s">
        <v>40</v>
      </c>
      <c r="E12" s="60" t="s">
        <v>41</v>
      </c>
      <c r="F12" s="60" t="s">
        <v>42</v>
      </c>
      <c r="G12" s="60" t="s">
        <v>43</v>
      </c>
      <c r="H12" s="60" t="s">
        <v>44</v>
      </c>
      <c r="I12" s="60" t="s">
        <v>45</v>
      </c>
      <c r="J12" s="60" t="s">
        <v>46</v>
      </c>
      <c r="K12" s="60" t="s">
        <v>47</v>
      </c>
      <c r="L12" s="60" t="s">
        <v>48</v>
      </c>
    </row>
    <row r="13" spans="1:12" ht="19.5" customHeight="1" x14ac:dyDescent="0.25">
      <c r="A13" s="91"/>
      <c r="B13" s="162" t="s">
        <v>49</v>
      </c>
      <c r="C13" s="163"/>
      <c r="D13" s="163"/>
      <c r="E13" s="163"/>
      <c r="F13" s="164"/>
      <c r="G13" s="165" t="s">
        <v>50</v>
      </c>
      <c r="H13" s="166"/>
      <c r="I13" s="166"/>
      <c r="J13" s="166"/>
      <c r="K13" s="166"/>
      <c r="L13" s="166"/>
    </row>
    <row r="14" spans="1:12" ht="31.5" customHeight="1" x14ac:dyDescent="0.25">
      <c r="A14" s="44" t="s">
        <v>51</v>
      </c>
      <c r="B14" s="45" t="s">
        <v>52</v>
      </c>
      <c r="C14" s="46" t="s">
        <v>2495</v>
      </c>
      <c r="D14" s="46" t="s">
        <v>2496</v>
      </c>
      <c r="E14" s="46" t="s">
        <v>55</v>
      </c>
      <c r="F14" s="58" t="s">
        <v>56</v>
      </c>
      <c r="G14" s="47" t="s">
        <v>57</v>
      </c>
      <c r="H14" s="47" t="s">
        <v>58</v>
      </c>
      <c r="I14" s="48" t="s">
        <v>2561</v>
      </c>
      <c r="J14" s="54" t="s">
        <v>60</v>
      </c>
      <c r="K14" s="87" t="s">
        <v>2562</v>
      </c>
      <c r="L14" s="77" t="s">
        <v>62</v>
      </c>
    </row>
    <row r="15" spans="1:12" ht="17.25" customHeight="1" x14ac:dyDescent="0.25">
      <c r="A15" s="73" t="s">
        <v>2543</v>
      </c>
      <c r="B15" s="66">
        <f>C5</f>
        <v>46027</v>
      </c>
      <c r="C15" s="79">
        <f>$C$4</f>
        <v>2</v>
      </c>
      <c r="D15" s="79">
        <f>$C$4</f>
        <v>2</v>
      </c>
      <c r="E15" s="79">
        <f>$C$4</f>
        <v>2</v>
      </c>
      <c r="F15" s="80"/>
      <c r="G15" s="118">
        <f t="shared" ref="G15:G25" si="0">COUNTIFS(dtc, "&gt;=" &amp; INT(B15),dtc,
 "&lt;"  &amp; INT(B15)+1,jornada, "*" &amp; $C$2 &amp; "*",release, "*" &amp; $C$3 &amp; "*",Item,
 "&lt;&gt;BUG")</f>
        <v>0</v>
      </c>
      <c r="H15" s="81">
        <f t="shared" ref="H15:H25" si="1">COUNTIFS(dtc, "&gt;=" &amp;(INT(B15)+1),dtc,
 "&lt;"  &amp;(INT(B15)+7),jornada,
 "*" &amp; $C$2 &amp; "*",release, "*" &amp; $C$3 &amp; "*",Item,
 "&lt;&gt;BUG")</f>
        <v>0</v>
      </c>
      <c r="I15" s="82">
        <f t="shared" ref="I15:I25" si="2">COUNTIFS(jornada, "*" &amp; $C$2 &amp; "*",release, "*" &amp; $C$3 &amp; "*",Item,
 "BUG",criado,
 "&gt;=" &amp; INT(B15),criado,
 "&lt;"  &amp; INT(B15)+7)</f>
        <v>0</v>
      </c>
      <c r="J15" s="83">
        <f t="shared" ref="J15:J25" si="3">COUNTIFS(jornada, "*" &amp; $C$2 &amp; "*",release, "*" &amp; $C$3 &amp; "*",resolvido,
 "&lt;&gt;" &amp; "",resolvido,
 "&gt;=" &amp; INT(B15),resolvido,
 "&lt;"  &amp; INT(B15)+7)</f>
        <v>0</v>
      </c>
      <c r="K15" s="84">
        <f t="shared" ref="K15:K25" si="4">-COUNTIFS(resolvido, "&gt;=" &amp; INT(B15),resolvido, "&lt;"  &amp; INT(B15)+7,status, "Descartado",jornada, "*" &amp; $C$2 &amp; "*",release, "*" &amp; $C$3 &amp; "*")</f>
        <v>0</v>
      </c>
      <c r="L15" s="86"/>
    </row>
    <row r="16" spans="1:12" ht="17.25" customHeight="1" x14ac:dyDescent="0.25">
      <c r="A16" s="73" t="s">
        <v>2544</v>
      </c>
      <c r="B16" s="66">
        <f t="shared" ref="B16:B59" si="5">B15+$C$10</f>
        <v>46034</v>
      </c>
      <c r="C16" s="79">
        <f t="shared" ref="C16:C59" si="6">IF(OR(C15="",C15=0),"",IF(ISBLANK($J15),IF(C15+$K15-$C$7&lt;=0,IF(AND(C15&gt;0,C15&lt;&gt;""),0,""),C15+$K15-$C$7),IF((C15-$J15)+$K15&lt;=0,IF(AND(C15&gt;0,C15&lt;&gt;""),0,""),(C15-$J15)+$K15)))</f>
        <v>2</v>
      </c>
      <c r="D16" s="79">
        <f t="shared" ref="D16:D59" si="7">IF(OR(D15="",D15=0),"",IF(ISBLANK($J15),IF(D15+$K15-$C$8&lt;=0,IF(AND(D15&gt;0,D15&lt;&gt;""),0,""),D15+$K15-$C$8),IF((D15-$J15)+$K15&lt;=0,IF(AND(D15&gt;0,D15&lt;&gt;""),0,""),(D15-$J15)+$K15)))</f>
        <v>2</v>
      </c>
      <c r="E16" s="79">
        <f t="shared" ref="E16:E59" si="8">IF(OR(E15="",E15=0),"",IF(ISBLANK($J15),IF(E15+$K15-$C$9&lt;=0,IF(AND(E15&gt;0,E15&lt;&gt;""),0,""),E15+$K15-$C$9),IF((E15-$J15)+$K15&lt;=0,IF(AND(E15&gt;0,E15&lt;&gt;""),0,""),(E15-$J15)+$K15)))</f>
        <v>2</v>
      </c>
      <c r="F16" s="80">
        <f t="shared" ref="F16:F28" si="9">IF(J15="","",IF(G15+F15+H15+I15+K15-J15&lt;0,0,G15+F15+H15+I15+K15-J15))</f>
        <v>0</v>
      </c>
      <c r="G16" s="118">
        <f t="shared" si="0"/>
        <v>1</v>
      </c>
      <c r="H16" s="81">
        <f t="shared" si="1"/>
        <v>0</v>
      </c>
      <c r="I16" s="82">
        <f t="shared" si="2"/>
        <v>0</v>
      </c>
      <c r="J16" s="83">
        <f t="shared" si="3"/>
        <v>0</v>
      </c>
      <c r="K16" s="84">
        <f t="shared" si="4"/>
        <v>0</v>
      </c>
      <c r="L16" s="86"/>
    </row>
    <row r="17" spans="1:12" ht="17.25" customHeight="1" x14ac:dyDescent="0.25">
      <c r="A17" s="73" t="s">
        <v>2545</v>
      </c>
      <c r="B17" s="66">
        <f t="shared" si="5"/>
        <v>46041</v>
      </c>
      <c r="C17" s="79">
        <f t="shared" si="6"/>
        <v>2</v>
      </c>
      <c r="D17" s="79">
        <f t="shared" si="7"/>
        <v>2</v>
      </c>
      <c r="E17" s="79">
        <f t="shared" si="8"/>
        <v>2</v>
      </c>
      <c r="F17" s="80">
        <f t="shared" si="9"/>
        <v>1</v>
      </c>
      <c r="G17" s="118">
        <f t="shared" si="0"/>
        <v>0</v>
      </c>
      <c r="H17" s="81">
        <f t="shared" si="1"/>
        <v>0</v>
      </c>
      <c r="I17" s="82">
        <f t="shared" si="2"/>
        <v>0</v>
      </c>
      <c r="J17" s="83">
        <f t="shared" si="3"/>
        <v>1</v>
      </c>
      <c r="K17" s="84">
        <f t="shared" si="4"/>
        <v>0</v>
      </c>
      <c r="L17" s="86"/>
    </row>
    <row r="18" spans="1:12" ht="17.25" customHeight="1" x14ac:dyDescent="0.25">
      <c r="A18" s="73" t="s">
        <v>2546</v>
      </c>
      <c r="B18" s="66">
        <f t="shared" si="5"/>
        <v>46048</v>
      </c>
      <c r="C18" s="79">
        <f t="shared" si="6"/>
        <v>1</v>
      </c>
      <c r="D18" s="79">
        <f t="shared" si="7"/>
        <v>1</v>
      </c>
      <c r="E18" s="79">
        <f t="shared" si="8"/>
        <v>1</v>
      </c>
      <c r="F18" s="80">
        <f t="shared" si="9"/>
        <v>0</v>
      </c>
      <c r="G18" s="118">
        <f t="shared" si="0"/>
        <v>0</v>
      </c>
      <c r="H18" s="81">
        <f t="shared" si="1"/>
        <v>0</v>
      </c>
      <c r="I18" s="82">
        <f t="shared" si="2"/>
        <v>0</v>
      </c>
      <c r="J18" s="83">
        <f t="shared" si="3"/>
        <v>0</v>
      </c>
      <c r="K18" s="84">
        <f t="shared" si="4"/>
        <v>0</v>
      </c>
      <c r="L18" s="111"/>
    </row>
    <row r="19" spans="1:12" ht="17.25" customHeight="1" x14ac:dyDescent="0.25">
      <c r="A19" s="73" t="s">
        <v>2547</v>
      </c>
      <c r="B19" s="66">
        <f t="shared" si="5"/>
        <v>46055</v>
      </c>
      <c r="C19" s="79">
        <f t="shared" si="6"/>
        <v>1</v>
      </c>
      <c r="D19" s="79">
        <f t="shared" si="7"/>
        <v>1</v>
      </c>
      <c r="E19" s="79">
        <f t="shared" si="8"/>
        <v>1</v>
      </c>
      <c r="F19" s="80">
        <f t="shared" si="9"/>
        <v>0</v>
      </c>
      <c r="G19" s="118">
        <f t="shared" si="0"/>
        <v>1</v>
      </c>
      <c r="H19" s="81">
        <f t="shared" si="1"/>
        <v>0</v>
      </c>
      <c r="I19" s="82">
        <f t="shared" si="2"/>
        <v>0</v>
      </c>
      <c r="J19" s="83">
        <f t="shared" si="3"/>
        <v>1</v>
      </c>
      <c r="K19" s="84">
        <f t="shared" si="4"/>
        <v>0</v>
      </c>
      <c r="L19" s="86"/>
    </row>
    <row r="20" spans="1:12" ht="17.25" customHeight="1" x14ac:dyDescent="0.25">
      <c r="A20" s="73" t="s">
        <v>2548</v>
      </c>
      <c r="B20" s="66">
        <f t="shared" si="5"/>
        <v>46062</v>
      </c>
      <c r="C20" s="79">
        <f t="shared" si="6"/>
        <v>0</v>
      </c>
      <c r="D20" s="79">
        <f t="shared" si="7"/>
        <v>0</v>
      </c>
      <c r="E20" s="79">
        <f t="shared" si="8"/>
        <v>0</v>
      </c>
      <c r="F20" s="80">
        <f t="shared" si="9"/>
        <v>0</v>
      </c>
      <c r="G20" s="118">
        <f t="shared" si="0"/>
        <v>0</v>
      </c>
      <c r="H20" s="81">
        <f t="shared" si="1"/>
        <v>0</v>
      </c>
      <c r="I20" s="82">
        <f t="shared" si="2"/>
        <v>0</v>
      </c>
      <c r="J20" s="83">
        <f t="shared" si="3"/>
        <v>0</v>
      </c>
      <c r="K20" s="84">
        <f t="shared" si="4"/>
        <v>0</v>
      </c>
      <c r="L20" s="86"/>
    </row>
    <row r="21" spans="1:12" ht="15.75" customHeight="1" x14ac:dyDescent="0.25">
      <c r="A21" s="73" t="s">
        <v>2549</v>
      </c>
      <c r="B21" s="66">
        <f t="shared" si="5"/>
        <v>46069</v>
      </c>
      <c r="C21" s="79" t="str">
        <f t="shared" si="6"/>
        <v/>
      </c>
      <c r="D21" s="79" t="str">
        <f t="shared" si="7"/>
        <v/>
      </c>
      <c r="E21" s="79" t="str">
        <f t="shared" si="8"/>
        <v/>
      </c>
      <c r="F21" s="80">
        <f t="shared" si="9"/>
        <v>0</v>
      </c>
      <c r="G21" s="118">
        <f t="shared" si="0"/>
        <v>0</v>
      </c>
      <c r="H21" s="81">
        <f t="shared" si="1"/>
        <v>0</v>
      </c>
      <c r="I21" s="82">
        <f t="shared" si="2"/>
        <v>0</v>
      </c>
      <c r="J21" s="83">
        <f t="shared" si="3"/>
        <v>0</v>
      </c>
      <c r="K21" s="84">
        <f t="shared" si="4"/>
        <v>0</v>
      </c>
      <c r="L21" s="86"/>
    </row>
    <row r="22" spans="1:12" ht="15.75" customHeight="1" x14ac:dyDescent="0.25">
      <c r="A22" s="73" t="s">
        <v>2550</v>
      </c>
      <c r="B22" s="66">
        <f t="shared" si="5"/>
        <v>46076</v>
      </c>
      <c r="C22" s="79" t="str">
        <f t="shared" si="6"/>
        <v/>
      </c>
      <c r="D22" s="79" t="str">
        <f t="shared" si="7"/>
        <v/>
      </c>
      <c r="E22" s="79" t="str">
        <f t="shared" si="8"/>
        <v/>
      </c>
      <c r="F22" s="80">
        <f t="shared" si="9"/>
        <v>0</v>
      </c>
      <c r="G22" s="118">
        <f t="shared" si="0"/>
        <v>0</v>
      </c>
      <c r="H22" s="81">
        <f t="shared" si="1"/>
        <v>0</v>
      </c>
      <c r="I22" s="82">
        <f t="shared" si="2"/>
        <v>0</v>
      </c>
      <c r="J22" s="83">
        <f t="shared" si="3"/>
        <v>0</v>
      </c>
      <c r="K22" s="84">
        <f t="shared" si="4"/>
        <v>0</v>
      </c>
      <c r="L22" s="86"/>
    </row>
    <row r="23" spans="1:12" ht="15.75" customHeight="1" x14ac:dyDescent="0.25">
      <c r="A23" s="73" t="s">
        <v>2551</v>
      </c>
      <c r="B23" s="66">
        <f t="shared" si="5"/>
        <v>46083</v>
      </c>
      <c r="C23" s="79" t="str">
        <f t="shared" si="6"/>
        <v/>
      </c>
      <c r="D23" s="79" t="str">
        <f t="shared" si="7"/>
        <v/>
      </c>
      <c r="E23" s="79" t="str">
        <f t="shared" si="8"/>
        <v/>
      </c>
      <c r="F23" s="80">
        <f t="shared" si="9"/>
        <v>0</v>
      </c>
      <c r="G23" s="118">
        <f t="shared" si="0"/>
        <v>0</v>
      </c>
      <c r="H23" s="81">
        <f t="shared" si="1"/>
        <v>0</v>
      </c>
      <c r="I23" s="82">
        <f t="shared" si="2"/>
        <v>0</v>
      </c>
      <c r="J23" s="83">
        <f t="shared" si="3"/>
        <v>0</v>
      </c>
      <c r="K23" s="84">
        <f t="shared" si="4"/>
        <v>0</v>
      </c>
      <c r="L23" s="86"/>
    </row>
    <row r="24" spans="1:12" ht="15.75" customHeight="1" x14ac:dyDescent="0.25">
      <c r="A24" s="73" t="s">
        <v>2552</v>
      </c>
      <c r="B24" s="66">
        <f t="shared" si="5"/>
        <v>46090</v>
      </c>
      <c r="C24" s="79" t="str">
        <f t="shared" si="6"/>
        <v/>
      </c>
      <c r="D24" s="79" t="str">
        <f t="shared" si="7"/>
        <v/>
      </c>
      <c r="E24" s="79" t="str">
        <f t="shared" si="8"/>
        <v/>
      </c>
      <c r="F24" s="80">
        <f t="shared" si="9"/>
        <v>0</v>
      </c>
      <c r="G24" s="118">
        <f t="shared" si="0"/>
        <v>0</v>
      </c>
      <c r="H24" s="81">
        <f t="shared" si="1"/>
        <v>0</v>
      </c>
      <c r="I24" s="82">
        <f t="shared" si="2"/>
        <v>0</v>
      </c>
      <c r="J24" s="83">
        <f t="shared" si="3"/>
        <v>0</v>
      </c>
      <c r="K24" s="84">
        <f t="shared" si="4"/>
        <v>0</v>
      </c>
      <c r="L24" s="86"/>
    </row>
    <row r="25" spans="1:12" ht="15.75" customHeight="1" x14ac:dyDescent="0.25">
      <c r="A25" s="73" t="s">
        <v>2553</v>
      </c>
      <c r="B25" s="66">
        <f t="shared" si="5"/>
        <v>46097</v>
      </c>
      <c r="C25" s="79" t="str">
        <f t="shared" si="6"/>
        <v/>
      </c>
      <c r="D25" s="79" t="str">
        <f t="shared" si="7"/>
        <v/>
      </c>
      <c r="E25" s="79" t="str">
        <f t="shared" si="8"/>
        <v/>
      </c>
      <c r="F25" s="80">
        <f t="shared" si="9"/>
        <v>0</v>
      </c>
      <c r="G25" s="118">
        <f t="shared" si="0"/>
        <v>0</v>
      </c>
      <c r="H25" s="81">
        <f t="shared" si="1"/>
        <v>0</v>
      </c>
      <c r="I25" s="82">
        <f t="shared" si="2"/>
        <v>0</v>
      </c>
      <c r="J25" s="83">
        <f t="shared" si="3"/>
        <v>0</v>
      </c>
      <c r="K25" s="84">
        <f t="shared" si="4"/>
        <v>0</v>
      </c>
      <c r="L25" s="86"/>
    </row>
    <row r="26" spans="1:12" ht="15.75" customHeight="1" x14ac:dyDescent="0.25">
      <c r="A26" s="73" t="s">
        <v>2554</v>
      </c>
      <c r="B26" s="66">
        <f t="shared" si="5"/>
        <v>46104</v>
      </c>
      <c r="C26" s="79" t="str">
        <f t="shared" si="6"/>
        <v/>
      </c>
      <c r="D26" s="79" t="str">
        <f t="shared" si="7"/>
        <v/>
      </c>
      <c r="E26" s="79" t="str">
        <f t="shared" si="8"/>
        <v/>
      </c>
      <c r="F26" s="80">
        <f t="shared" si="9"/>
        <v>0</v>
      </c>
      <c r="G26" s="118"/>
      <c r="H26" s="81"/>
      <c r="I26" s="82"/>
      <c r="J26" s="83"/>
      <c r="K26" s="84"/>
      <c r="L26" s="86"/>
    </row>
    <row r="27" spans="1:12" ht="15.75" customHeight="1" x14ac:dyDescent="0.25">
      <c r="A27" s="73" t="s">
        <v>2555</v>
      </c>
      <c r="B27" s="66">
        <f t="shared" si="5"/>
        <v>46111</v>
      </c>
      <c r="C27" s="79" t="str">
        <f t="shared" si="6"/>
        <v/>
      </c>
      <c r="D27" s="79" t="str">
        <f t="shared" si="7"/>
        <v/>
      </c>
      <c r="E27" s="79" t="str">
        <f t="shared" si="8"/>
        <v/>
      </c>
      <c r="F27" s="80" t="str">
        <f t="shared" si="9"/>
        <v/>
      </c>
      <c r="G27" s="118"/>
      <c r="H27" s="81"/>
      <c r="I27" s="82"/>
      <c r="J27" s="83"/>
      <c r="K27" s="84"/>
      <c r="L27" s="86"/>
    </row>
    <row r="28" spans="1:12" ht="15.75" customHeight="1" x14ac:dyDescent="0.25">
      <c r="A28" s="73" t="s">
        <v>2556</v>
      </c>
      <c r="B28" s="66">
        <f t="shared" si="5"/>
        <v>46118</v>
      </c>
      <c r="C28" s="79" t="str">
        <f t="shared" si="6"/>
        <v/>
      </c>
      <c r="D28" s="79" t="str">
        <f t="shared" si="7"/>
        <v/>
      </c>
      <c r="E28" s="79" t="str">
        <f t="shared" si="8"/>
        <v/>
      </c>
      <c r="F28" s="80" t="str">
        <f t="shared" si="9"/>
        <v/>
      </c>
      <c r="G28" s="118"/>
      <c r="H28" s="81"/>
      <c r="I28" s="82"/>
      <c r="J28" s="83"/>
      <c r="K28" s="84"/>
      <c r="L28" s="86"/>
    </row>
    <row r="29" spans="1:12" ht="15.75" customHeight="1" x14ac:dyDescent="0.25">
      <c r="A29" s="73" t="s">
        <v>2557</v>
      </c>
      <c r="B29" s="66">
        <f t="shared" si="5"/>
        <v>46125</v>
      </c>
      <c r="C29" s="79" t="str">
        <f t="shared" si="6"/>
        <v/>
      </c>
      <c r="D29" s="79" t="str">
        <f t="shared" si="7"/>
        <v/>
      </c>
      <c r="E29" s="79" t="str">
        <f t="shared" si="8"/>
        <v/>
      </c>
      <c r="F29" s="80" t="str">
        <f t="shared" ref="F29:F59" si="10">IF(J28="","",IF(G28+F28+H28+I28-J28&lt;0,0,G28+F28+H28+I28-J28))</f>
        <v/>
      </c>
      <c r="G29" s="118"/>
      <c r="H29" s="81"/>
      <c r="I29" s="82"/>
      <c r="J29" s="83"/>
      <c r="K29" s="84"/>
      <c r="L29" s="86"/>
    </row>
    <row r="30" spans="1:12" ht="15.75" customHeight="1" x14ac:dyDescent="0.25">
      <c r="A30" s="73" t="s">
        <v>2558</v>
      </c>
      <c r="B30" s="66">
        <f t="shared" si="5"/>
        <v>46132</v>
      </c>
      <c r="C30" s="79" t="str">
        <f t="shared" si="6"/>
        <v/>
      </c>
      <c r="D30" s="79" t="str">
        <f t="shared" si="7"/>
        <v/>
      </c>
      <c r="E30" s="79" t="str">
        <f t="shared" si="8"/>
        <v/>
      </c>
      <c r="F30" s="80" t="str">
        <f t="shared" si="10"/>
        <v/>
      </c>
      <c r="G30" s="118"/>
      <c r="H30" s="81"/>
      <c r="I30" s="82"/>
      <c r="J30" s="83"/>
      <c r="K30" s="84"/>
      <c r="L30" s="86"/>
    </row>
    <row r="31" spans="1:12" ht="15.75" customHeight="1" x14ac:dyDescent="0.25">
      <c r="A31" s="73" t="s">
        <v>2559</v>
      </c>
      <c r="B31" s="66">
        <f t="shared" si="5"/>
        <v>46139</v>
      </c>
      <c r="C31" s="79" t="str">
        <f t="shared" si="6"/>
        <v/>
      </c>
      <c r="D31" s="79" t="str">
        <f t="shared" si="7"/>
        <v/>
      </c>
      <c r="E31" s="79" t="str">
        <f t="shared" si="8"/>
        <v/>
      </c>
      <c r="F31" s="80" t="str">
        <f t="shared" si="10"/>
        <v/>
      </c>
      <c r="G31" s="118"/>
      <c r="H31" s="81"/>
      <c r="I31" s="82"/>
      <c r="J31" s="83"/>
      <c r="K31" s="84"/>
      <c r="L31" s="86"/>
    </row>
    <row r="32" spans="1:12" ht="15.75" customHeight="1" x14ac:dyDescent="0.25">
      <c r="A32" s="73" t="s">
        <v>2560</v>
      </c>
      <c r="B32" s="66">
        <f t="shared" si="5"/>
        <v>46146</v>
      </c>
      <c r="C32" s="79" t="str">
        <f t="shared" si="6"/>
        <v/>
      </c>
      <c r="D32" s="79" t="str">
        <f t="shared" si="7"/>
        <v/>
      </c>
      <c r="E32" s="79" t="str">
        <f t="shared" si="8"/>
        <v/>
      </c>
      <c r="F32" s="80" t="str">
        <f t="shared" si="10"/>
        <v/>
      </c>
      <c r="G32" s="81"/>
      <c r="H32" s="81"/>
      <c r="I32" s="82"/>
      <c r="J32" s="83"/>
      <c r="K32" s="84"/>
      <c r="L32" s="86"/>
    </row>
    <row r="33" spans="1:12" ht="15.75" customHeight="1" x14ac:dyDescent="0.25">
      <c r="A33" s="73" t="s">
        <v>2563</v>
      </c>
      <c r="B33" s="66">
        <f t="shared" si="5"/>
        <v>46153</v>
      </c>
      <c r="C33" s="79" t="str">
        <f t="shared" si="6"/>
        <v/>
      </c>
      <c r="D33" s="79" t="str">
        <f t="shared" si="7"/>
        <v/>
      </c>
      <c r="E33" s="79" t="str">
        <f t="shared" si="8"/>
        <v/>
      </c>
      <c r="F33" s="80" t="str">
        <f t="shared" si="10"/>
        <v/>
      </c>
      <c r="G33" s="81"/>
      <c r="H33" s="81"/>
      <c r="I33" s="82"/>
      <c r="J33" s="83"/>
      <c r="K33" s="84"/>
      <c r="L33" s="86"/>
    </row>
    <row r="34" spans="1:12" ht="15.75" customHeight="1" x14ac:dyDescent="0.25">
      <c r="A34" s="73" t="s">
        <v>2564</v>
      </c>
      <c r="B34" s="66">
        <f t="shared" si="5"/>
        <v>46160</v>
      </c>
      <c r="C34" s="79" t="str">
        <f t="shared" si="6"/>
        <v/>
      </c>
      <c r="D34" s="79" t="str">
        <f t="shared" si="7"/>
        <v/>
      </c>
      <c r="E34" s="79" t="str">
        <f t="shared" si="8"/>
        <v/>
      </c>
      <c r="F34" s="80" t="str">
        <f t="shared" si="10"/>
        <v/>
      </c>
      <c r="G34" s="81"/>
      <c r="H34" s="81"/>
      <c r="I34" s="82"/>
      <c r="J34" s="83"/>
      <c r="K34" s="84"/>
      <c r="L34" s="86"/>
    </row>
    <row r="35" spans="1:12" ht="15.75" customHeight="1" x14ac:dyDescent="0.25">
      <c r="A35" s="73" t="s">
        <v>2565</v>
      </c>
      <c r="B35" s="66">
        <f t="shared" si="5"/>
        <v>46167</v>
      </c>
      <c r="C35" s="79" t="str">
        <f t="shared" si="6"/>
        <v/>
      </c>
      <c r="D35" s="79" t="str">
        <f t="shared" si="7"/>
        <v/>
      </c>
      <c r="E35" s="79" t="str">
        <f t="shared" si="8"/>
        <v/>
      </c>
      <c r="F35" s="80" t="str">
        <f t="shared" si="10"/>
        <v/>
      </c>
      <c r="G35" s="81"/>
      <c r="H35" s="81"/>
      <c r="I35" s="82"/>
      <c r="J35" s="83"/>
      <c r="K35" s="84"/>
      <c r="L35" s="86"/>
    </row>
    <row r="36" spans="1:12" ht="15.75" customHeight="1" x14ac:dyDescent="0.25">
      <c r="A36" s="73" t="s">
        <v>2566</v>
      </c>
      <c r="B36" s="66">
        <f t="shared" si="5"/>
        <v>46174</v>
      </c>
      <c r="C36" s="79" t="str">
        <f t="shared" si="6"/>
        <v/>
      </c>
      <c r="D36" s="79" t="str">
        <f t="shared" si="7"/>
        <v/>
      </c>
      <c r="E36" s="79" t="str">
        <f t="shared" si="8"/>
        <v/>
      </c>
      <c r="F36" s="80" t="str">
        <f t="shared" si="10"/>
        <v/>
      </c>
      <c r="G36" s="81"/>
      <c r="H36" s="81"/>
      <c r="I36" s="82"/>
      <c r="J36" s="83"/>
      <c r="K36" s="84"/>
      <c r="L36" s="86"/>
    </row>
    <row r="37" spans="1:12" ht="15.75" customHeight="1" x14ac:dyDescent="0.25">
      <c r="A37" s="73" t="s">
        <v>2567</v>
      </c>
      <c r="B37" s="66">
        <f t="shared" si="5"/>
        <v>46181</v>
      </c>
      <c r="C37" s="79" t="str">
        <f t="shared" si="6"/>
        <v/>
      </c>
      <c r="D37" s="79" t="str">
        <f t="shared" si="7"/>
        <v/>
      </c>
      <c r="E37" s="79" t="str">
        <f t="shared" si="8"/>
        <v/>
      </c>
      <c r="F37" s="80" t="str">
        <f t="shared" si="10"/>
        <v/>
      </c>
      <c r="G37" s="81"/>
      <c r="H37" s="81"/>
      <c r="I37" s="82"/>
      <c r="J37" s="83"/>
      <c r="K37" s="84"/>
      <c r="L37" s="86"/>
    </row>
    <row r="38" spans="1:12" ht="15.75" customHeight="1" x14ac:dyDescent="0.25">
      <c r="A38" s="73" t="s">
        <v>2568</v>
      </c>
      <c r="B38" s="66">
        <f t="shared" si="5"/>
        <v>46188</v>
      </c>
      <c r="C38" s="79" t="str">
        <f t="shared" si="6"/>
        <v/>
      </c>
      <c r="D38" s="79" t="str">
        <f t="shared" si="7"/>
        <v/>
      </c>
      <c r="E38" s="79" t="str">
        <f t="shared" si="8"/>
        <v/>
      </c>
      <c r="F38" s="80" t="str">
        <f t="shared" si="10"/>
        <v/>
      </c>
      <c r="G38" s="81"/>
      <c r="H38" s="81"/>
      <c r="I38" s="82"/>
      <c r="J38" s="83"/>
      <c r="K38" s="84"/>
      <c r="L38" s="86"/>
    </row>
    <row r="39" spans="1:12" ht="15.75" customHeight="1" x14ac:dyDescent="0.25">
      <c r="A39" s="73" t="s">
        <v>2569</v>
      </c>
      <c r="B39" s="66">
        <f t="shared" si="5"/>
        <v>46195</v>
      </c>
      <c r="C39" s="79" t="str">
        <f t="shared" si="6"/>
        <v/>
      </c>
      <c r="D39" s="79" t="str">
        <f t="shared" si="7"/>
        <v/>
      </c>
      <c r="E39" s="79" t="str">
        <f t="shared" si="8"/>
        <v/>
      </c>
      <c r="F39" s="80" t="str">
        <f t="shared" si="10"/>
        <v/>
      </c>
      <c r="G39" s="81"/>
      <c r="H39" s="81"/>
      <c r="I39" s="82"/>
      <c r="J39" s="83"/>
      <c r="K39" s="84"/>
      <c r="L39" s="86"/>
    </row>
    <row r="40" spans="1:12" ht="15.75" customHeight="1" x14ac:dyDescent="0.25">
      <c r="A40" s="73" t="s">
        <v>2570</v>
      </c>
      <c r="B40" s="66">
        <f t="shared" si="5"/>
        <v>46202</v>
      </c>
      <c r="C40" s="79" t="str">
        <f t="shared" si="6"/>
        <v/>
      </c>
      <c r="D40" s="79" t="str">
        <f t="shared" si="7"/>
        <v/>
      </c>
      <c r="E40" s="79" t="str">
        <f t="shared" si="8"/>
        <v/>
      </c>
      <c r="F40" s="80" t="str">
        <f t="shared" si="10"/>
        <v/>
      </c>
      <c r="G40" s="81"/>
      <c r="H40" s="81"/>
      <c r="I40" s="82"/>
      <c r="J40" s="83"/>
      <c r="K40" s="84"/>
      <c r="L40" s="86"/>
    </row>
    <row r="41" spans="1:12" ht="15.75" customHeight="1" x14ac:dyDescent="0.25">
      <c r="A41" s="73" t="s">
        <v>2571</v>
      </c>
      <c r="B41" s="66">
        <f t="shared" si="5"/>
        <v>46209</v>
      </c>
      <c r="C41" s="79" t="str">
        <f t="shared" si="6"/>
        <v/>
      </c>
      <c r="D41" s="79" t="str">
        <f t="shared" si="7"/>
        <v/>
      </c>
      <c r="E41" s="79" t="str">
        <f t="shared" si="8"/>
        <v/>
      </c>
      <c r="F41" s="80" t="str">
        <f t="shared" si="10"/>
        <v/>
      </c>
      <c r="G41" s="81"/>
      <c r="H41" s="81"/>
      <c r="I41" s="82"/>
      <c r="J41" s="83"/>
      <c r="K41" s="84"/>
      <c r="L41" s="86"/>
    </row>
    <row r="42" spans="1:12" ht="15.75" customHeight="1" x14ac:dyDescent="0.25">
      <c r="A42" s="73" t="s">
        <v>2572</v>
      </c>
      <c r="B42" s="66">
        <f t="shared" si="5"/>
        <v>46216</v>
      </c>
      <c r="C42" s="79" t="str">
        <f t="shared" si="6"/>
        <v/>
      </c>
      <c r="D42" s="79" t="str">
        <f t="shared" si="7"/>
        <v/>
      </c>
      <c r="E42" s="79" t="str">
        <f t="shared" si="8"/>
        <v/>
      </c>
      <c r="F42" s="80" t="str">
        <f t="shared" si="10"/>
        <v/>
      </c>
      <c r="G42" s="81"/>
      <c r="H42" s="81"/>
      <c r="I42" s="82"/>
      <c r="J42" s="83"/>
      <c r="K42" s="84"/>
      <c r="L42" s="86"/>
    </row>
    <row r="43" spans="1:12" ht="15.75" customHeight="1" x14ac:dyDescent="0.25">
      <c r="A43" s="73" t="s">
        <v>2573</v>
      </c>
      <c r="B43" s="66">
        <f t="shared" si="5"/>
        <v>46223</v>
      </c>
      <c r="C43" s="79" t="str">
        <f t="shared" si="6"/>
        <v/>
      </c>
      <c r="D43" s="79" t="str">
        <f t="shared" si="7"/>
        <v/>
      </c>
      <c r="E43" s="79" t="str">
        <f t="shared" si="8"/>
        <v/>
      </c>
      <c r="F43" s="80" t="str">
        <f t="shared" si="10"/>
        <v/>
      </c>
      <c r="G43" s="81"/>
      <c r="H43" s="81"/>
      <c r="I43" s="82"/>
      <c r="J43" s="83"/>
      <c r="K43" s="84"/>
      <c r="L43" s="86"/>
    </row>
    <row r="44" spans="1:12" ht="15.75" customHeight="1" x14ac:dyDescent="0.25">
      <c r="A44" s="73" t="s">
        <v>2574</v>
      </c>
      <c r="B44" s="66">
        <f t="shared" si="5"/>
        <v>46230</v>
      </c>
      <c r="C44" s="79" t="str">
        <f t="shared" si="6"/>
        <v/>
      </c>
      <c r="D44" s="79" t="str">
        <f t="shared" si="7"/>
        <v/>
      </c>
      <c r="E44" s="79" t="str">
        <f t="shared" si="8"/>
        <v/>
      </c>
      <c r="F44" s="80" t="str">
        <f t="shared" si="10"/>
        <v/>
      </c>
      <c r="G44" s="81"/>
      <c r="H44" s="81"/>
      <c r="I44" s="82"/>
      <c r="J44" s="83"/>
      <c r="K44" s="84"/>
      <c r="L44" s="86"/>
    </row>
    <row r="45" spans="1:12" ht="15.75" customHeight="1" x14ac:dyDescent="0.25">
      <c r="A45" s="73" t="s">
        <v>2575</v>
      </c>
      <c r="B45" s="66">
        <f t="shared" si="5"/>
        <v>46237</v>
      </c>
      <c r="C45" s="79" t="str">
        <f t="shared" si="6"/>
        <v/>
      </c>
      <c r="D45" s="79" t="str">
        <f t="shared" si="7"/>
        <v/>
      </c>
      <c r="E45" s="79" t="str">
        <f t="shared" si="8"/>
        <v/>
      </c>
      <c r="F45" s="80" t="str">
        <f t="shared" si="10"/>
        <v/>
      </c>
      <c r="G45" s="81"/>
      <c r="H45" s="81"/>
      <c r="I45" s="82"/>
      <c r="J45" s="83"/>
      <c r="K45" s="84"/>
      <c r="L45" s="86"/>
    </row>
    <row r="46" spans="1:12" ht="15.75" customHeight="1" x14ac:dyDescent="0.25">
      <c r="A46" s="73" t="s">
        <v>2576</v>
      </c>
      <c r="B46" s="66">
        <f t="shared" si="5"/>
        <v>46244</v>
      </c>
      <c r="C46" s="79" t="str">
        <f t="shared" si="6"/>
        <v/>
      </c>
      <c r="D46" s="79" t="str">
        <f t="shared" si="7"/>
        <v/>
      </c>
      <c r="E46" s="79" t="str">
        <f t="shared" si="8"/>
        <v/>
      </c>
      <c r="F46" s="80" t="str">
        <f t="shared" si="10"/>
        <v/>
      </c>
      <c r="G46" s="81"/>
      <c r="H46" s="81"/>
      <c r="I46" s="82"/>
      <c r="J46" s="83"/>
      <c r="K46" s="84"/>
      <c r="L46" s="86"/>
    </row>
    <row r="47" spans="1:12" ht="15.75" customHeight="1" x14ac:dyDescent="0.25">
      <c r="A47" s="73" t="s">
        <v>2577</v>
      </c>
      <c r="B47" s="66">
        <f t="shared" si="5"/>
        <v>46251</v>
      </c>
      <c r="C47" s="79" t="str">
        <f t="shared" si="6"/>
        <v/>
      </c>
      <c r="D47" s="79" t="str">
        <f t="shared" si="7"/>
        <v/>
      </c>
      <c r="E47" s="79" t="str">
        <f t="shared" si="8"/>
        <v/>
      </c>
      <c r="F47" s="80" t="str">
        <f t="shared" si="10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 t="s">
        <v>2578</v>
      </c>
      <c r="B48" s="66">
        <f t="shared" si="5"/>
        <v>46258</v>
      </c>
      <c r="C48" s="79" t="str">
        <f t="shared" si="6"/>
        <v/>
      </c>
      <c r="D48" s="79" t="str">
        <f t="shared" si="7"/>
        <v/>
      </c>
      <c r="E48" s="79" t="str">
        <f t="shared" si="8"/>
        <v/>
      </c>
      <c r="F48" s="80" t="str">
        <f t="shared" si="10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5"/>
        <v>46265</v>
      </c>
      <c r="C49" s="79" t="str">
        <f t="shared" si="6"/>
        <v/>
      </c>
      <c r="D49" s="79" t="str">
        <f t="shared" si="7"/>
        <v/>
      </c>
      <c r="E49" s="79" t="str">
        <f t="shared" si="8"/>
        <v/>
      </c>
      <c r="F49" s="80" t="str">
        <f t="shared" si="10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5"/>
        <v>46272</v>
      </c>
      <c r="C50" s="79" t="str">
        <f t="shared" si="6"/>
        <v/>
      </c>
      <c r="D50" s="79" t="str">
        <f t="shared" si="7"/>
        <v/>
      </c>
      <c r="E50" s="79" t="str">
        <f t="shared" si="8"/>
        <v/>
      </c>
      <c r="F50" s="80" t="str">
        <f t="shared" si="10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5"/>
        <v>46279</v>
      </c>
      <c r="C51" s="79" t="str">
        <f t="shared" si="6"/>
        <v/>
      </c>
      <c r="D51" s="79" t="str">
        <f t="shared" si="7"/>
        <v/>
      </c>
      <c r="E51" s="79" t="str">
        <f t="shared" si="8"/>
        <v/>
      </c>
      <c r="F51" s="80" t="str">
        <f t="shared" si="10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5"/>
        <v>46286</v>
      </c>
      <c r="C52" s="79" t="str">
        <f t="shared" si="6"/>
        <v/>
      </c>
      <c r="D52" s="79" t="str">
        <f t="shared" si="7"/>
        <v/>
      </c>
      <c r="E52" s="79" t="str">
        <f t="shared" si="8"/>
        <v/>
      </c>
      <c r="F52" s="80" t="str">
        <f t="shared" si="10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5"/>
        <v>46293</v>
      </c>
      <c r="C53" s="79" t="str">
        <f t="shared" si="6"/>
        <v/>
      </c>
      <c r="D53" s="79" t="str">
        <f t="shared" si="7"/>
        <v/>
      </c>
      <c r="E53" s="79" t="str">
        <f t="shared" si="8"/>
        <v/>
      </c>
      <c r="F53" s="80" t="str">
        <f t="shared" si="10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5"/>
        <v>46300</v>
      </c>
      <c r="C54" s="79" t="str">
        <f t="shared" si="6"/>
        <v/>
      </c>
      <c r="D54" s="79" t="str">
        <f t="shared" si="7"/>
        <v/>
      </c>
      <c r="E54" s="79" t="str">
        <f t="shared" si="8"/>
        <v/>
      </c>
      <c r="F54" s="80" t="str">
        <f t="shared" si="10"/>
        <v/>
      </c>
      <c r="G54" s="81"/>
      <c r="H54" s="81"/>
      <c r="I54" s="82"/>
      <c r="J54" s="83"/>
      <c r="K54" s="84"/>
      <c r="L54" s="86"/>
    </row>
    <row r="55" spans="1:12" ht="15.75" customHeight="1" x14ac:dyDescent="0.25">
      <c r="A55" s="73"/>
      <c r="B55" s="66">
        <f t="shared" si="5"/>
        <v>46307</v>
      </c>
      <c r="C55" s="79" t="str">
        <f t="shared" si="6"/>
        <v/>
      </c>
      <c r="D55" s="79" t="str">
        <f t="shared" si="7"/>
        <v/>
      </c>
      <c r="E55" s="79" t="str">
        <f t="shared" si="8"/>
        <v/>
      </c>
      <c r="F55" s="80" t="str">
        <f t="shared" si="10"/>
        <v/>
      </c>
      <c r="G55" s="81"/>
      <c r="H55" s="81"/>
      <c r="I55" s="82"/>
      <c r="J55" s="83"/>
      <c r="K55" s="84"/>
      <c r="L55" s="86"/>
    </row>
    <row r="56" spans="1:12" ht="15" customHeight="1" x14ac:dyDescent="0.25">
      <c r="A56" s="73"/>
      <c r="B56" s="66">
        <f t="shared" si="5"/>
        <v>46314</v>
      </c>
      <c r="C56" s="79" t="str">
        <f t="shared" si="6"/>
        <v/>
      </c>
      <c r="D56" s="79" t="str">
        <f t="shared" si="7"/>
        <v/>
      </c>
      <c r="E56" s="79" t="str">
        <f t="shared" si="8"/>
        <v/>
      </c>
      <c r="F56" s="80" t="str">
        <f t="shared" si="10"/>
        <v/>
      </c>
      <c r="G56" s="81"/>
      <c r="H56" s="81"/>
      <c r="I56" s="82"/>
      <c r="J56" s="83"/>
      <c r="K56" s="84"/>
      <c r="L56" s="86"/>
    </row>
    <row r="57" spans="1:12" ht="15" customHeight="1" x14ac:dyDescent="0.25">
      <c r="A57" s="73"/>
      <c r="B57" s="66">
        <f t="shared" si="5"/>
        <v>46321</v>
      </c>
      <c r="C57" s="79" t="str">
        <f t="shared" si="6"/>
        <v/>
      </c>
      <c r="D57" s="79" t="str">
        <f t="shared" si="7"/>
        <v/>
      </c>
      <c r="E57" s="79" t="str">
        <f t="shared" si="8"/>
        <v/>
      </c>
      <c r="F57" s="80" t="str">
        <f t="shared" si="10"/>
        <v/>
      </c>
      <c r="G57" s="81"/>
      <c r="H57" s="81"/>
      <c r="I57" s="82"/>
      <c r="J57" s="83"/>
      <c r="K57" s="84"/>
      <c r="L57" s="86"/>
    </row>
    <row r="58" spans="1:12" ht="15" customHeight="1" x14ac:dyDescent="0.25">
      <c r="A58" s="73"/>
      <c r="B58" s="66">
        <f t="shared" si="5"/>
        <v>46328</v>
      </c>
      <c r="C58" s="79" t="str">
        <f t="shared" si="6"/>
        <v/>
      </c>
      <c r="D58" s="79" t="str">
        <f t="shared" si="7"/>
        <v/>
      </c>
      <c r="E58" s="79" t="str">
        <f t="shared" si="8"/>
        <v/>
      </c>
      <c r="F58" s="80" t="str">
        <f t="shared" si="10"/>
        <v/>
      </c>
      <c r="G58" s="81"/>
      <c r="H58" s="81"/>
      <c r="I58" s="82"/>
      <c r="J58" s="83"/>
      <c r="K58" s="84"/>
      <c r="L58" s="86"/>
    </row>
    <row r="59" spans="1:12" ht="15" customHeight="1" x14ac:dyDescent="0.25">
      <c r="A59" s="73"/>
      <c r="B59" s="66">
        <f t="shared" si="5"/>
        <v>46335</v>
      </c>
      <c r="C59" s="79" t="str">
        <f t="shared" si="6"/>
        <v/>
      </c>
      <c r="D59" s="79" t="str">
        <f t="shared" si="7"/>
        <v/>
      </c>
      <c r="E59" s="79" t="str">
        <f t="shared" si="8"/>
        <v/>
      </c>
      <c r="F59" s="80" t="str">
        <f t="shared" si="10"/>
        <v/>
      </c>
      <c r="G59" s="81"/>
      <c r="H59" s="81"/>
      <c r="I59" s="82"/>
      <c r="J59" s="83"/>
      <c r="K59" s="84"/>
      <c r="L59" s="86"/>
    </row>
    <row r="93" spans="2:3" ht="15.75" customHeight="1" x14ac:dyDescent="0.25">
      <c r="B93" s="67" t="e">
        <f>IF(#REF!="","",IF(#REF!+$C$10&lt;=$C$6,#REF!+$C$10,""))</f>
        <v>#REF!</v>
      </c>
      <c r="C93" s="76" t="e">
        <f>IF(B93&lt;&gt;"",#REF!-$C$2/COUNT($B$18:$B$511),"")</f>
        <v>#REF!</v>
      </c>
    </row>
    <row r="94" spans="2:3" ht="15.75" customHeight="1" x14ac:dyDescent="0.25">
      <c r="B94" s="67" t="e">
        <f t="shared" ref="B94:B157" si="11">IF(B93="","",IF(B93+$C$10&lt;=$C$6,B93+$C$10,""))</f>
        <v>#REF!</v>
      </c>
      <c r="C94" s="76" t="e">
        <f t="shared" ref="C94:C157" si="12">IF(B94&lt;&gt;"",C93-$C$2/COUNT($B$18:$B$511),"")</f>
        <v>#REF!</v>
      </c>
    </row>
    <row r="95" spans="2:3" ht="15.75" customHeight="1" x14ac:dyDescent="0.25">
      <c r="B95" s="67" t="e">
        <f t="shared" si="11"/>
        <v>#REF!</v>
      </c>
      <c r="C95" s="76" t="e">
        <f t="shared" si="12"/>
        <v>#REF!</v>
      </c>
    </row>
    <row r="96" spans="2:3" ht="15.75" customHeight="1" x14ac:dyDescent="0.25">
      <c r="B96" s="67" t="e">
        <f t="shared" si="11"/>
        <v>#REF!</v>
      </c>
      <c r="C96" s="76" t="e">
        <f t="shared" si="12"/>
        <v>#REF!</v>
      </c>
    </row>
    <row r="97" spans="2:3" ht="15.75" customHeight="1" x14ac:dyDescent="0.25">
      <c r="B97" s="67" t="e">
        <f t="shared" si="11"/>
        <v>#REF!</v>
      </c>
      <c r="C97" s="76" t="e">
        <f t="shared" si="12"/>
        <v>#REF!</v>
      </c>
    </row>
    <row r="98" spans="2:3" ht="15.75" customHeight="1" x14ac:dyDescent="0.25">
      <c r="B98" s="67" t="e">
        <f t="shared" si="11"/>
        <v>#REF!</v>
      </c>
      <c r="C98" s="76" t="e">
        <f t="shared" si="12"/>
        <v>#REF!</v>
      </c>
    </row>
    <row r="99" spans="2:3" ht="15.75" customHeight="1" x14ac:dyDescent="0.25">
      <c r="B99" s="67" t="e">
        <f t="shared" si="11"/>
        <v>#REF!</v>
      </c>
      <c r="C99" s="76" t="e">
        <f t="shared" si="12"/>
        <v>#REF!</v>
      </c>
    </row>
    <row r="100" spans="2:3" ht="15.75" customHeight="1" x14ac:dyDescent="0.25">
      <c r="B100" s="67" t="e">
        <f t="shared" si="11"/>
        <v>#REF!</v>
      </c>
      <c r="C100" s="76" t="e">
        <f t="shared" si="12"/>
        <v>#REF!</v>
      </c>
    </row>
    <row r="101" spans="2:3" ht="15.75" customHeight="1" x14ac:dyDescent="0.25">
      <c r="B101" s="67" t="e">
        <f t="shared" si="11"/>
        <v>#REF!</v>
      </c>
      <c r="C101" s="76" t="e">
        <f t="shared" si="12"/>
        <v>#REF!</v>
      </c>
    </row>
    <row r="102" spans="2:3" ht="15.75" customHeight="1" x14ac:dyDescent="0.25">
      <c r="B102" s="67" t="e">
        <f t="shared" si="11"/>
        <v>#REF!</v>
      </c>
      <c r="C102" s="76" t="e">
        <f t="shared" si="12"/>
        <v>#REF!</v>
      </c>
    </row>
    <row r="103" spans="2:3" ht="15.75" customHeight="1" x14ac:dyDescent="0.25">
      <c r="B103" s="67" t="e">
        <f t="shared" si="11"/>
        <v>#REF!</v>
      </c>
      <c r="C103" s="76" t="e">
        <f t="shared" si="12"/>
        <v>#REF!</v>
      </c>
    </row>
    <row r="104" spans="2:3" ht="15.75" customHeight="1" x14ac:dyDescent="0.25">
      <c r="B104" s="67" t="e">
        <f t="shared" si="11"/>
        <v>#REF!</v>
      </c>
      <c r="C104" s="76" t="e">
        <f t="shared" si="12"/>
        <v>#REF!</v>
      </c>
    </row>
    <row r="105" spans="2:3" ht="15.75" customHeight="1" x14ac:dyDescent="0.25">
      <c r="B105" s="67" t="e">
        <f t="shared" si="11"/>
        <v>#REF!</v>
      </c>
      <c r="C105" s="76" t="e">
        <f t="shared" si="12"/>
        <v>#REF!</v>
      </c>
    </row>
    <row r="106" spans="2:3" ht="15.75" customHeight="1" x14ac:dyDescent="0.25">
      <c r="B106" s="67" t="e">
        <f t="shared" si="11"/>
        <v>#REF!</v>
      </c>
      <c r="C106" s="76" t="e">
        <f t="shared" si="12"/>
        <v>#REF!</v>
      </c>
    </row>
    <row r="107" spans="2:3" ht="15.75" customHeight="1" x14ac:dyDescent="0.25">
      <c r="B107" s="67" t="e">
        <f t="shared" si="11"/>
        <v>#REF!</v>
      </c>
      <c r="C107" s="76" t="e">
        <f t="shared" si="12"/>
        <v>#REF!</v>
      </c>
    </row>
    <row r="108" spans="2:3" ht="15.75" customHeight="1" x14ac:dyDescent="0.25">
      <c r="B108" s="67" t="e">
        <f t="shared" si="11"/>
        <v>#REF!</v>
      </c>
      <c r="C108" s="76" t="e">
        <f t="shared" si="12"/>
        <v>#REF!</v>
      </c>
    </row>
    <row r="109" spans="2:3" ht="15.75" customHeight="1" x14ac:dyDescent="0.25">
      <c r="B109" s="67" t="e">
        <f t="shared" si="11"/>
        <v>#REF!</v>
      </c>
      <c r="C109" s="76" t="e">
        <f t="shared" si="12"/>
        <v>#REF!</v>
      </c>
    </row>
    <row r="110" spans="2:3" ht="15.75" customHeight="1" x14ac:dyDescent="0.25">
      <c r="B110" s="67" t="e">
        <f t="shared" si="11"/>
        <v>#REF!</v>
      </c>
      <c r="C110" s="76" t="e">
        <f t="shared" si="12"/>
        <v>#REF!</v>
      </c>
    </row>
    <row r="111" spans="2:3" ht="15.75" customHeight="1" x14ac:dyDescent="0.25">
      <c r="B111" s="67" t="e">
        <f t="shared" si="11"/>
        <v>#REF!</v>
      </c>
      <c r="C111" s="76" t="e">
        <f t="shared" si="12"/>
        <v>#REF!</v>
      </c>
    </row>
    <row r="112" spans="2:3" ht="15.75" customHeight="1" x14ac:dyDescent="0.25">
      <c r="B112" s="67" t="e">
        <f t="shared" si="11"/>
        <v>#REF!</v>
      </c>
      <c r="C112" s="76" t="e">
        <f t="shared" si="12"/>
        <v>#REF!</v>
      </c>
    </row>
    <row r="113" spans="2:3" ht="15.75" customHeight="1" x14ac:dyDescent="0.25">
      <c r="B113" s="67" t="e">
        <f t="shared" si="11"/>
        <v>#REF!</v>
      </c>
      <c r="C113" s="76" t="e">
        <f t="shared" si="12"/>
        <v>#REF!</v>
      </c>
    </row>
    <row r="114" spans="2:3" ht="15.75" customHeight="1" x14ac:dyDescent="0.25">
      <c r="B114" s="67" t="e">
        <f t="shared" si="11"/>
        <v>#REF!</v>
      </c>
      <c r="C114" s="76" t="e">
        <f t="shared" si="12"/>
        <v>#REF!</v>
      </c>
    </row>
    <row r="115" spans="2:3" ht="15.75" customHeight="1" x14ac:dyDescent="0.25">
      <c r="B115" s="67" t="e">
        <f t="shared" si="11"/>
        <v>#REF!</v>
      </c>
      <c r="C115" s="76" t="e">
        <f t="shared" si="12"/>
        <v>#REF!</v>
      </c>
    </row>
    <row r="116" spans="2:3" ht="15.75" customHeight="1" x14ac:dyDescent="0.25">
      <c r="B116" s="67" t="e">
        <f t="shared" si="11"/>
        <v>#REF!</v>
      </c>
      <c r="C116" s="76" t="e">
        <f t="shared" si="12"/>
        <v>#REF!</v>
      </c>
    </row>
    <row r="117" spans="2:3" ht="15.75" customHeight="1" x14ac:dyDescent="0.25">
      <c r="B117" s="67" t="e">
        <f t="shared" si="11"/>
        <v>#REF!</v>
      </c>
      <c r="C117" s="76" t="e">
        <f t="shared" si="12"/>
        <v>#REF!</v>
      </c>
    </row>
    <row r="118" spans="2:3" ht="15.75" customHeight="1" x14ac:dyDescent="0.25">
      <c r="B118" s="67" t="e">
        <f t="shared" si="11"/>
        <v>#REF!</v>
      </c>
      <c r="C118" s="76" t="e">
        <f t="shared" si="12"/>
        <v>#REF!</v>
      </c>
    </row>
    <row r="119" spans="2:3" ht="15.75" customHeight="1" x14ac:dyDescent="0.25">
      <c r="B119" s="67" t="e">
        <f t="shared" si="11"/>
        <v>#REF!</v>
      </c>
      <c r="C119" s="76" t="e">
        <f t="shared" si="12"/>
        <v>#REF!</v>
      </c>
    </row>
    <row r="120" spans="2:3" ht="15.75" customHeight="1" x14ac:dyDescent="0.25">
      <c r="B120" s="67" t="e">
        <f t="shared" si="11"/>
        <v>#REF!</v>
      </c>
      <c r="C120" s="76" t="e">
        <f t="shared" si="12"/>
        <v>#REF!</v>
      </c>
    </row>
    <row r="121" spans="2:3" ht="15.75" customHeight="1" x14ac:dyDescent="0.25">
      <c r="B121" s="67" t="e">
        <f t="shared" si="11"/>
        <v>#REF!</v>
      </c>
      <c r="C121" s="76" t="e">
        <f t="shared" si="12"/>
        <v>#REF!</v>
      </c>
    </row>
    <row r="122" spans="2:3" ht="15.75" customHeight="1" x14ac:dyDescent="0.25">
      <c r="B122" s="67" t="e">
        <f t="shared" si="11"/>
        <v>#REF!</v>
      </c>
      <c r="C122" s="76" t="e">
        <f t="shared" si="12"/>
        <v>#REF!</v>
      </c>
    </row>
    <row r="123" spans="2:3" ht="15.75" customHeight="1" x14ac:dyDescent="0.25">
      <c r="B123" s="67" t="e">
        <f t="shared" si="11"/>
        <v>#REF!</v>
      </c>
      <c r="C123" s="76" t="e">
        <f t="shared" si="12"/>
        <v>#REF!</v>
      </c>
    </row>
    <row r="124" spans="2:3" ht="15.75" customHeight="1" x14ac:dyDescent="0.25">
      <c r="B124" s="67" t="e">
        <f t="shared" si="11"/>
        <v>#REF!</v>
      </c>
      <c r="C124" s="76" t="e">
        <f t="shared" si="12"/>
        <v>#REF!</v>
      </c>
    </row>
    <row r="125" spans="2:3" ht="15.75" customHeight="1" x14ac:dyDescent="0.25">
      <c r="B125" s="67" t="e">
        <f t="shared" si="11"/>
        <v>#REF!</v>
      </c>
      <c r="C125" s="76" t="e">
        <f t="shared" si="12"/>
        <v>#REF!</v>
      </c>
    </row>
    <row r="126" spans="2:3" ht="15.75" customHeight="1" x14ac:dyDescent="0.25">
      <c r="B126" s="67" t="e">
        <f t="shared" si="11"/>
        <v>#REF!</v>
      </c>
      <c r="C126" s="76" t="e">
        <f t="shared" si="12"/>
        <v>#REF!</v>
      </c>
    </row>
    <row r="127" spans="2:3" ht="15.75" customHeight="1" x14ac:dyDescent="0.25">
      <c r="B127" s="67" t="e">
        <f t="shared" si="11"/>
        <v>#REF!</v>
      </c>
      <c r="C127" s="76" t="e">
        <f t="shared" si="12"/>
        <v>#REF!</v>
      </c>
    </row>
    <row r="128" spans="2:3" ht="15.75" customHeight="1" x14ac:dyDescent="0.25">
      <c r="B128" s="67" t="e">
        <f t="shared" si="11"/>
        <v>#REF!</v>
      </c>
      <c r="C128" s="76" t="e">
        <f t="shared" si="12"/>
        <v>#REF!</v>
      </c>
    </row>
    <row r="129" spans="2:3" ht="15.75" customHeight="1" x14ac:dyDescent="0.25">
      <c r="B129" s="67" t="e">
        <f t="shared" si="11"/>
        <v>#REF!</v>
      </c>
      <c r="C129" s="76" t="e">
        <f t="shared" si="12"/>
        <v>#REF!</v>
      </c>
    </row>
    <row r="130" spans="2:3" ht="15.75" customHeight="1" x14ac:dyDescent="0.25">
      <c r="B130" s="67" t="e">
        <f t="shared" si="11"/>
        <v>#REF!</v>
      </c>
      <c r="C130" s="76" t="e">
        <f t="shared" si="12"/>
        <v>#REF!</v>
      </c>
    </row>
    <row r="131" spans="2:3" ht="15.75" customHeight="1" x14ac:dyDescent="0.25">
      <c r="B131" s="67" t="e">
        <f t="shared" si="11"/>
        <v>#REF!</v>
      </c>
      <c r="C131" s="76" t="e">
        <f t="shared" si="12"/>
        <v>#REF!</v>
      </c>
    </row>
    <row r="132" spans="2:3" ht="15.75" customHeight="1" x14ac:dyDescent="0.25">
      <c r="B132" s="67" t="e">
        <f t="shared" si="11"/>
        <v>#REF!</v>
      </c>
      <c r="C132" s="76" t="e">
        <f t="shared" si="12"/>
        <v>#REF!</v>
      </c>
    </row>
    <row r="133" spans="2:3" ht="15.75" customHeight="1" x14ac:dyDescent="0.25">
      <c r="B133" s="67" t="e">
        <f t="shared" si="11"/>
        <v>#REF!</v>
      </c>
      <c r="C133" s="76" t="e">
        <f t="shared" si="12"/>
        <v>#REF!</v>
      </c>
    </row>
    <row r="134" spans="2:3" ht="15.75" customHeight="1" x14ac:dyDescent="0.25">
      <c r="B134" s="67" t="e">
        <f t="shared" si="11"/>
        <v>#REF!</v>
      </c>
      <c r="C134" s="76" t="e">
        <f t="shared" si="12"/>
        <v>#REF!</v>
      </c>
    </row>
    <row r="135" spans="2:3" ht="15.75" customHeight="1" x14ac:dyDescent="0.25">
      <c r="B135" s="67" t="e">
        <f t="shared" si="11"/>
        <v>#REF!</v>
      </c>
      <c r="C135" s="76" t="e">
        <f t="shared" si="12"/>
        <v>#REF!</v>
      </c>
    </row>
    <row r="136" spans="2:3" ht="15.75" customHeight="1" x14ac:dyDescent="0.25">
      <c r="B136" s="67" t="e">
        <f t="shared" si="11"/>
        <v>#REF!</v>
      </c>
      <c r="C136" s="76" t="e">
        <f t="shared" si="12"/>
        <v>#REF!</v>
      </c>
    </row>
    <row r="137" spans="2:3" ht="15.75" customHeight="1" x14ac:dyDescent="0.25">
      <c r="B137" s="67" t="e">
        <f t="shared" si="11"/>
        <v>#REF!</v>
      </c>
      <c r="C137" s="76" t="e">
        <f t="shared" si="12"/>
        <v>#REF!</v>
      </c>
    </row>
    <row r="138" spans="2:3" ht="15.75" customHeight="1" x14ac:dyDescent="0.25">
      <c r="B138" s="67" t="e">
        <f t="shared" si="11"/>
        <v>#REF!</v>
      </c>
      <c r="C138" s="76" t="e">
        <f t="shared" si="12"/>
        <v>#REF!</v>
      </c>
    </row>
    <row r="139" spans="2:3" ht="15.75" customHeight="1" x14ac:dyDescent="0.25">
      <c r="B139" s="67" t="e">
        <f t="shared" si="11"/>
        <v>#REF!</v>
      </c>
      <c r="C139" s="76" t="e">
        <f t="shared" si="12"/>
        <v>#REF!</v>
      </c>
    </row>
    <row r="140" spans="2:3" ht="15.75" customHeight="1" x14ac:dyDescent="0.25">
      <c r="B140" s="67" t="e">
        <f t="shared" si="11"/>
        <v>#REF!</v>
      </c>
      <c r="C140" s="76" t="e">
        <f t="shared" si="12"/>
        <v>#REF!</v>
      </c>
    </row>
    <row r="141" spans="2:3" ht="15.75" customHeight="1" x14ac:dyDescent="0.25">
      <c r="B141" s="67" t="e">
        <f t="shared" si="11"/>
        <v>#REF!</v>
      </c>
      <c r="C141" s="76" t="e">
        <f t="shared" si="12"/>
        <v>#REF!</v>
      </c>
    </row>
    <row r="142" spans="2:3" ht="15.75" customHeight="1" x14ac:dyDescent="0.25">
      <c r="B142" s="67" t="e">
        <f t="shared" si="11"/>
        <v>#REF!</v>
      </c>
      <c r="C142" s="76" t="e">
        <f t="shared" si="12"/>
        <v>#REF!</v>
      </c>
    </row>
    <row r="143" spans="2:3" ht="15.75" customHeight="1" x14ac:dyDescent="0.25">
      <c r="B143" s="67" t="e">
        <f t="shared" si="11"/>
        <v>#REF!</v>
      </c>
      <c r="C143" s="76" t="e">
        <f t="shared" si="12"/>
        <v>#REF!</v>
      </c>
    </row>
    <row r="144" spans="2:3" ht="15.75" customHeight="1" x14ac:dyDescent="0.25">
      <c r="B144" s="67" t="e">
        <f t="shared" si="11"/>
        <v>#REF!</v>
      </c>
      <c r="C144" s="76" t="e">
        <f t="shared" si="12"/>
        <v>#REF!</v>
      </c>
    </row>
    <row r="145" spans="2:3" ht="15.75" customHeight="1" x14ac:dyDescent="0.25">
      <c r="B145" s="67" t="e">
        <f t="shared" si="11"/>
        <v>#REF!</v>
      </c>
      <c r="C145" s="76" t="e">
        <f t="shared" si="12"/>
        <v>#REF!</v>
      </c>
    </row>
    <row r="146" spans="2:3" ht="15.75" customHeight="1" x14ac:dyDescent="0.25">
      <c r="B146" s="67" t="e">
        <f t="shared" si="11"/>
        <v>#REF!</v>
      </c>
      <c r="C146" s="76" t="e">
        <f t="shared" si="12"/>
        <v>#REF!</v>
      </c>
    </row>
    <row r="147" spans="2:3" ht="15.75" customHeight="1" x14ac:dyDescent="0.25">
      <c r="B147" s="67" t="e">
        <f t="shared" si="11"/>
        <v>#REF!</v>
      </c>
      <c r="C147" s="76" t="e">
        <f t="shared" si="12"/>
        <v>#REF!</v>
      </c>
    </row>
    <row r="148" spans="2:3" ht="15.75" customHeight="1" x14ac:dyDescent="0.25">
      <c r="B148" s="67" t="e">
        <f t="shared" si="11"/>
        <v>#REF!</v>
      </c>
      <c r="C148" s="76" t="e">
        <f t="shared" si="12"/>
        <v>#REF!</v>
      </c>
    </row>
    <row r="149" spans="2:3" ht="15.75" customHeight="1" x14ac:dyDescent="0.25">
      <c r="B149" s="67" t="e">
        <f t="shared" si="11"/>
        <v>#REF!</v>
      </c>
      <c r="C149" s="76" t="e">
        <f t="shared" si="12"/>
        <v>#REF!</v>
      </c>
    </row>
    <row r="150" spans="2:3" ht="15.75" customHeight="1" x14ac:dyDescent="0.25">
      <c r="B150" s="67" t="e">
        <f t="shared" si="11"/>
        <v>#REF!</v>
      </c>
      <c r="C150" s="76" t="e">
        <f t="shared" si="12"/>
        <v>#REF!</v>
      </c>
    </row>
    <row r="151" spans="2:3" ht="15.75" customHeight="1" x14ac:dyDescent="0.25">
      <c r="B151" s="67" t="e">
        <f t="shared" si="11"/>
        <v>#REF!</v>
      </c>
      <c r="C151" s="76" t="e">
        <f t="shared" si="12"/>
        <v>#REF!</v>
      </c>
    </row>
    <row r="152" spans="2:3" ht="15.75" customHeight="1" x14ac:dyDescent="0.25">
      <c r="B152" s="67" t="e">
        <f t="shared" si="11"/>
        <v>#REF!</v>
      </c>
      <c r="C152" s="76" t="e">
        <f t="shared" si="12"/>
        <v>#REF!</v>
      </c>
    </row>
    <row r="153" spans="2:3" ht="15.75" customHeight="1" x14ac:dyDescent="0.25">
      <c r="B153" s="67" t="e">
        <f t="shared" si="11"/>
        <v>#REF!</v>
      </c>
      <c r="C153" s="76" t="e">
        <f t="shared" si="12"/>
        <v>#REF!</v>
      </c>
    </row>
    <row r="154" spans="2:3" ht="15.75" customHeight="1" x14ac:dyDescent="0.25">
      <c r="B154" s="67" t="e">
        <f t="shared" si="11"/>
        <v>#REF!</v>
      </c>
      <c r="C154" s="76" t="e">
        <f t="shared" si="12"/>
        <v>#REF!</v>
      </c>
    </row>
    <row r="155" spans="2:3" ht="15.75" customHeight="1" x14ac:dyDescent="0.25">
      <c r="B155" s="67" t="e">
        <f t="shared" si="11"/>
        <v>#REF!</v>
      </c>
      <c r="C155" s="76" t="e">
        <f t="shared" si="12"/>
        <v>#REF!</v>
      </c>
    </row>
    <row r="156" spans="2:3" ht="15.75" customHeight="1" x14ac:dyDescent="0.25">
      <c r="B156" s="67" t="e">
        <f t="shared" si="11"/>
        <v>#REF!</v>
      </c>
      <c r="C156" s="76" t="e">
        <f t="shared" si="12"/>
        <v>#REF!</v>
      </c>
    </row>
    <row r="157" spans="2:3" ht="15.75" customHeight="1" x14ac:dyDescent="0.25">
      <c r="B157" s="67" t="e">
        <f t="shared" si="11"/>
        <v>#REF!</v>
      </c>
      <c r="C157" s="76" t="e">
        <f t="shared" si="12"/>
        <v>#REF!</v>
      </c>
    </row>
    <row r="158" spans="2:3" ht="15.75" customHeight="1" x14ac:dyDescent="0.25">
      <c r="B158" s="67" t="e">
        <f t="shared" ref="B158:B221" si="13">IF(B157="","",IF(B157+$C$10&lt;=$C$6,B157+$C$10,""))</f>
        <v>#REF!</v>
      </c>
      <c r="C158" s="76" t="e">
        <f t="shared" ref="C158:C221" si="14">IF(B158&lt;&gt;"",C157-$C$2/COUNT($B$18:$B$511),"")</f>
        <v>#REF!</v>
      </c>
    </row>
    <row r="159" spans="2:3" ht="15.75" customHeight="1" x14ac:dyDescent="0.25">
      <c r="B159" s="67" t="e">
        <f t="shared" si="13"/>
        <v>#REF!</v>
      </c>
      <c r="C159" s="76" t="e">
        <f t="shared" si="14"/>
        <v>#REF!</v>
      </c>
    </row>
    <row r="160" spans="2:3" ht="15.75" customHeight="1" x14ac:dyDescent="0.25">
      <c r="B160" s="67" t="e">
        <f t="shared" si="13"/>
        <v>#REF!</v>
      </c>
      <c r="C160" s="76" t="e">
        <f t="shared" si="14"/>
        <v>#REF!</v>
      </c>
    </row>
    <row r="161" spans="2:3" ht="15.75" customHeight="1" x14ac:dyDescent="0.25">
      <c r="B161" s="67" t="e">
        <f t="shared" si="13"/>
        <v>#REF!</v>
      </c>
      <c r="C161" s="76" t="e">
        <f t="shared" si="14"/>
        <v>#REF!</v>
      </c>
    </row>
    <row r="162" spans="2:3" ht="15.75" customHeight="1" x14ac:dyDescent="0.25">
      <c r="B162" s="67" t="e">
        <f t="shared" si="13"/>
        <v>#REF!</v>
      </c>
      <c r="C162" s="76" t="e">
        <f t="shared" si="14"/>
        <v>#REF!</v>
      </c>
    </row>
    <row r="163" spans="2:3" ht="15.75" customHeight="1" x14ac:dyDescent="0.25">
      <c r="B163" s="67" t="e">
        <f t="shared" si="13"/>
        <v>#REF!</v>
      </c>
      <c r="C163" s="76" t="e">
        <f t="shared" si="14"/>
        <v>#REF!</v>
      </c>
    </row>
    <row r="164" spans="2:3" ht="15.75" customHeight="1" x14ac:dyDescent="0.25">
      <c r="B164" s="67" t="e">
        <f t="shared" si="13"/>
        <v>#REF!</v>
      </c>
      <c r="C164" s="76" t="e">
        <f t="shared" si="14"/>
        <v>#REF!</v>
      </c>
    </row>
    <row r="165" spans="2:3" ht="15.75" customHeight="1" x14ac:dyDescent="0.25">
      <c r="B165" s="67" t="e">
        <f t="shared" si="13"/>
        <v>#REF!</v>
      </c>
      <c r="C165" s="76" t="e">
        <f t="shared" si="14"/>
        <v>#REF!</v>
      </c>
    </row>
    <row r="166" spans="2:3" ht="15.75" customHeight="1" x14ac:dyDescent="0.25">
      <c r="B166" s="67" t="e">
        <f t="shared" si="13"/>
        <v>#REF!</v>
      </c>
      <c r="C166" s="76" t="e">
        <f t="shared" si="14"/>
        <v>#REF!</v>
      </c>
    </row>
    <row r="167" spans="2:3" ht="15.75" customHeight="1" x14ac:dyDescent="0.25">
      <c r="B167" s="67" t="e">
        <f t="shared" si="13"/>
        <v>#REF!</v>
      </c>
      <c r="C167" s="76" t="e">
        <f t="shared" si="14"/>
        <v>#REF!</v>
      </c>
    </row>
    <row r="168" spans="2:3" ht="15.75" customHeight="1" x14ac:dyDescent="0.25">
      <c r="B168" s="67" t="e">
        <f t="shared" si="13"/>
        <v>#REF!</v>
      </c>
      <c r="C168" s="76" t="e">
        <f t="shared" si="14"/>
        <v>#REF!</v>
      </c>
    </row>
    <row r="169" spans="2:3" ht="15.75" customHeight="1" x14ac:dyDescent="0.25">
      <c r="B169" s="67" t="e">
        <f t="shared" si="13"/>
        <v>#REF!</v>
      </c>
      <c r="C169" s="76" t="e">
        <f t="shared" si="14"/>
        <v>#REF!</v>
      </c>
    </row>
    <row r="170" spans="2:3" ht="15.75" customHeight="1" x14ac:dyDescent="0.25">
      <c r="B170" s="67" t="e">
        <f t="shared" si="13"/>
        <v>#REF!</v>
      </c>
      <c r="C170" s="76" t="e">
        <f t="shared" si="14"/>
        <v>#REF!</v>
      </c>
    </row>
    <row r="171" spans="2:3" ht="15.75" customHeight="1" x14ac:dyDescent="0.25">
      <c r="B171" s="67" t="e">
        <f t="shared" si="13"/>
        <v>#REF!</v>
      </c>
      <c r="C171" s="76" t="e">
        <f t="shared" si="14"/>
        <v>#REF!</v>
      </c>
    </row>
    <row r="172" spans="2:3" ht="15.75" customHeight="1" x14ac:dyDescent="0.25">
      <c r="B172" s="67" t="e">
        <f t="shared" si="13"/>
        <v>#REF!</v>
      </c>
      <c r="C172" s="76" t="e">
        <f t="shared" si="14"/>
        <v>#REF!</v>
      </c>
    </row>
    <row r="173" spans="2:3" ht="15.75" customHeight="1" x14ac:dyDescent="0.25">
      <c r="B173" s="67" t="e">
        <f t="shared" si="13"/>
        <v>#REF!</v>
      </c>
      <c r="C173" s="76" t="e">
        <f t="shared" si="14"/>
        <v>#REF!</v>
      </c>
    </row>
    <row r="174" spans="2:3" ht="15.75" customHeight="1" x14ac:dyDescent="0.25">
      <c r="B174" s="67" t="e">
        <f t="shared" si="13"/>
        <v>#REF!</v>
      </c>
      <c r="C174" s="76" t="e">
        <f t="shared" si="14"/>
        <v>#REF!</v>
      </c>
    </row>
    <row r="175" spans="2:3" ht="15.75" customHeight="1" x14ac:dyDescent="0.25">
      <c r="B175" s="67" t="e">
        <f t="shared" si="13"/>
        <v>#REF!</v>
      </c>
      <c r="C175" s="76" t="e">
        <f t="shared" si="14"/>
        <v>#REF!</v>
      </c>
    </row>
    <row r="176" spans="2:3" ht="15.75" customHeight="1" x14ac:dyDescent="0.25">
      <c r="B176" s="67" t="e">
        <f t="shared" si="13"/>
        <v>#REF!</v>
      </c>
      <c r="C176" s="76" t="e">
        <f t="shared" si="14"/>
        <v>#REF!</v>
      </c>
    </row>
    <row r="177" spans="2:3" ht="15.75" customHeight="1" x14ac:dyDescent="0.25">
      <c r="B177" s="67" t="e">
        <f t="shared" si="13"/>
        <v>#REF!</v>
      </c>
      <c r="C177" s="76" t="e">
        <f t="shared" si="14"/>
        <v>#REF!</v>
      </c>
    </row>
    <row r="178" spans="2:3" ht="15.75" customHeight="1" x14ac:dyDescent="0.25">
      <c r="B178" s="67" t="e">
        <f t="shared" si="13"/>
        <v>#REF!</v>
      </c>
      <c r="C178" s="76" t="e">
        <f t="shared" si="14"/>
        <v>#REF!</v>
      </c>
    </row>
    <row r="179" spans="2:3" ht="15.75" customHeight="1" x14ac:dyDescent="0.25">
      <c r="B179" s="67" t="e">
        <f t="shared" si="13"/>
        <v>#REF!</v>
      </c>
      <c r="C179" s="76" t="e">
        <f t="shared" si="14"/>
        <v>#REF!</v>
      </c>
    </row>
    <row r="180" spans="2:3" ht="15.75" customHeight="1" x14ac:dyDescent="0.25">
      <c r="B180" s="67" t="e">
        <f t="shared" si="13"/>
        <v>#REF!</v>
      </c>
      <c r="C180" s="76" t="e">
        <f t="shared" si="14"/>
        <v>#REF!</v>
      </c>
    </row>
    <row r="181" spans="2:3" ht="15.75" customHeight="1" x14ac:dyDescent="0.25">
      <c r="B181" s="67" t="e">
        <f t="shared" si="13"/>
        <v>#REF!</v>
      </c>
      <c r="C181" s="76" t="e">
        <f t="shared" si="14"/>
        <v>#REF!</v>
      </c>
    </row>
    <row r="182" spans="2:3" ht="15.75" customHeight="1" x14ac:dyDescent="0.25">
      <c r="B182" s="67" t="e">
        <f t="shared" si="13"/>
        <v>#REF!</v>
      </c>
      <c r="C182" s="76" t="e">
        <f t="shared" si="14"/>
        <v>#REF!</v>
      </c>
    </row>
    <row r="183" spans="2:3" ht="15.75" customHeight="1" x14ac:dyDescent="0.25">
      <c r="B183" s="67" t="e">
        <f t="shared" si="13"/>
        <v>#REF!</v>
      </c>
      <c r="C183" s="76" t="e">
        <f t="shared" si="14"/>
        <v>#REF!</v>
      </c>
    </row>
    <row r="184" spans="2:3" ht="15.75" customHeight="1" x14ac:dyDescent="0.25">
      <c r="B184" s="67" t="e">
        <f t="shared" si="13"/>
        <v>#REF!</v>
      </c>
      <c r="C184" s="76" t="e">
        <f t="shared" si="14"/>
        <v>#REF!</v>
      </c>
    </row>
    <row r="185" spans="2:3" ht="15.75" customHeight="1" x14ac:dyDescent="0.25">
      <c r="B185" s="67" t="e">
        <f t="shared" si="13"/>
        <v>#REF!</v>
      </c>
      <c r="C185" s="76" t="e">
        <f t="shared" si="14"/>
        <v>#REF!</v>
      </c>
    </row>
    <row r="186" spans="2:3" ht="15.75" customHeight="1" x14ac:dyDescent="0.25">
      <c r="B186" s="67" t="e">
        <f t="shared" si="13"/>
        <v>#REF!</v>
      </c>
      <c r="C186" s="76" t="e">
        <f t="shared" si="14"/>
        <v>#REF!</v>
      </c>
    </row>
    <row r="187" spans="2:3" ht="15.75" customHeight="1" x14ac:dyDescent="0.25">
      <c r="B187" s="67" t="e">
        <f t="shared" si="13"/>
        <v>#REF!</v>
      </c>
      <c r="C187" s="76" t="e">
        <f t="shared" si="14"/>
        <v>#REF!</v>
      </c>
    </row>
    <row r="188" spans="2:3" ht="15.75" customHeight="1" x14ac:dyDescent="0.25">
      <c r="B188" s="67" t="e">
        <f t="shared" si="13"/>
        <v>#REF!</v>
      </c>
      <c r="C188" s="76" t="e">
        <f t="shared" si="14"/>
        <v>#REF!</v>
      </c>
    </row>
    <row r="189" spans="2:3" ht="15.75" customHeight="1" x14ac:dyDescent="0.25">
      <c r="B189" s="67" t="e">
        <f t="shared" si="13"/>
        <v>#REF!</v>
      </c>
      <c r="C189" s="76" t="e">
        <f t="shared" si="14"/>
        <v>#REF!</v>
      </c>
    </row>
    <row r="190" spans="2:3" ht="15.75" customHeight="1" x14ac:dyDescent="0.25">
      <c r="B190" s="67" t="e">
        <f t="shared" si="13"/>
        <v>#REF!</v>
      </c>
      <c r="C190" s="76" t="e">
        <f t="shared" si="14"/>
        <v>#REF!</v>
      </c>
    </row>
    <row r="191" spans="2:3" ht="15.75" customHeight="1" x14ac:dyDescent="0.25">
      <c r="B191" s="67" t="e">
        <f t="shared" si="13"/>
        <v>#REF!</v>
      </c>
      <c r="C191" s="76" t="e">
        <f t="shared" si="14"/>
        <v>#REF!</v>
      </c>
    </row>
    <row r="192" spans="2:3" ht="15.75" customHeight="1" x14ac:dyDescent="0.25">
      <c r="B192" s="67" t="e">
        <f t="shared" si="13"/>
        <v>#REF!</v>
      </c>
      <c r="C192" s="76" t="e">
        <f t="shared" si="14"/>
        <v>#REF!</v>
      </c>
    </row>
    <row r="193" spans="2:3" ht="15.75" customHeight="1" x14ac:dyDescent="0.25">
      <c r="B193" s="67" t="e">
        <f t="shared" si="13"/>
        <v>#REF!</v>
      </c>
      <c r="C193" s="76" t="e">
        <f t="shared" si="14"/>
        <v>#REF!</v>
      </c>
    </row>
    <row r="194" spans="2:3" ht="15.75" customHeight="1" x14ac:dyDescent="0.25">
      <c r="B194" s="67" t="e">
        <f t="shared" si="13"/>
        <v>#REF!</v>
      </c>
      <c r="C194" s="76" t="e">
        <f t="shared" si="14"/>
        <v>#REF!</v>
      </c>
    </row>
    <row r="195" spans="2:3" ht="15.75" customHeight="1" x14ac:dyDescent="0.25">
      <c r="B195" s="67" t="e">
        <f t="shared" si="13"/>
        <v>#REF!</v>
      </c>
      <c r="C195" s="76" t="e">
        <f t="shared" si="14"/>
        <v>#REF!</v>
      </c>
    </row>
    <row r="196" spans="2:3" ht="15.75" customHeight="1" x14ac:dyDescent="0.25">
      <c r="B196" s="67" t="e">
        <f t="shared" si="13"/>
        <v>#REF!</v>
      </c>
      <c r="C196" s="76" t="e">
        <f t="shared" si="14"/>
        <v>#REF!</v>
      </c>
    </row>
    <row r="197" spans="2:3" ht="15.75" customHeight="1" x14ac:dyDescent="0.25">
      <c r="B197" s="67" t="e">
        <f t="shared" si="13"/>
        <v>#REF!</v>
      </c>
      <c r="C197" s="76" t="e">
        <f t="shared" si="14"/>
        <v>#REF!</v>
      </c>
    </row>
    <row r="198" spans="2:3" ht="15.75" customHeight="1" x14ac:dyDescent="0.25">
      <c r="B198" s="67" t="e">
        <f t="shared" si="13"/>
        <v>#REF!</v>
      </c>
      <c r="C198" s="76" t="e">
        <f t="shared" si="14"/>
        <v>#REF!</v>
      </c>
    </row>
    <row r="199" spans="2:3" ht="15.75" customHeight="1" x14ac:dyDescent="0.25">
      <c r="B199" s="67" t="e">
        <f t="shared" si="13"/>
        <v>#REF!</v>
      </c>
      <c r="C199" s="76" t="e">
        <f t="shared" si="14"/>
        <v>#REF!</v>
      </c>
    </row>
    <row r="200" spans="2:3" ht="15.75" customHeight="1" x14ac:dyDescent="0.25">
      <c r="B200" s="67" t="e">
        <f t="shared" si="13"/>
        <v>#REF!</v>
      </c>
      <c r="C200" s="76" t="e">
        <f t="shared" si="14"/>
        <v>#REF!</v>
      </c>
    </row>
    <row r="201" spans="2:3" ht="15.75" customHeight="1" x14ac:dyDescent="0.25">
      <c r="B201" s="67" t="e">
        <f t="shared" si="13"/>
        <v>#REF!</v>
      </c>
      <c r="C201" s="76" t="e">
        <f t="shared" si="14"/>
        <v>#REF!</v>
      </c>
    </row>
    <row r="202" spans="2:3" ht="15.75" customHeight="1" x14ac:dyDescent="0.25">
      <c r="B202" s="67" t="e">
        <f t="shared" si="13"/>
        <v>#REF!</v>
      </c>
      <c r="C202" s="76" t="e">
        <f t="shared" si="14"/>
        <v>#REF!</v>
      </c>
    </row>
    <row r="203" spans="2:3" ht="15.75" customHeight="1" x14ac:dyDescent="0.25">
      <c r="B203" s="67" t="e">
        <f t="shared" si="13"/>
        <v>#REF!</v>
      </c>
      <c r="C203" s="76" t="e">
        <f t="shared" si="14"/>
        <v>#REF!</v>
      </c>
    </row>
    <row r="204" spans="2:3" ht="15.75" customHeight="1" x14ac:dyDescent="0.25">
      <c r="B204" s="67" t="e">
        <f t="shared" si="13"/>
        <v>#REF!</v>
      </c>
      <c r="C204" s="76" t="e">
        <f t="shared" si="14"/>
        <v>#REF!</v>
      </c>
    </row>
    <row r="205" spans="2:3" ht="15.75" customHeight="1" x14ac:dyDescent="0.25">
      <c r="B205" s="67" t="e">
        <f t="shared" si="13"/>
        <v>#REF!</v>
      </c>
      <c r="C205" s="76" t="e">
        <f t="shared" si="14"/>
        <v>#REF!</v>
      </c>
    </row>
    <row r="206" spans="2:3" ht="15.75" customHeight="1" x14ac:dyDescent="0.25">
      <c r="B206" s="67" t="e">
        <f t="shared" si="13"/>
        <v>#REF!</v>
      </c>
      <c r="C206" s="76" t="e">
        <f t="shared" si="14"/>
        <v>#REF!</v>
      </c>
    </row>
    <row r="207" spans="2:3" ht="15.75" customHeight="1" x14ac:dyDescent="0.25">
      <c r="B207" s="67" t="e">
        <f t="shared" si="13"/>
        <v>#REF!</v>
      </c>
      <c r="C207" s="76" t="e">
        <f t="shared" si="14"/>
        <v>#REF!</v>
      </c>
    </row>
    <row r="208" spans="2:3" ht="15.75" customHeight="1" x14ac:dyDescent="0.25">
      <c r="B208" s="67" t="e">
        <f t="shared" si="13"/>
        <v>#REF!</v>
      </c>
      <c r="C208" s="76" t="e">
        <f t="shared" si="14"/>
        <v>#REF!</v>
      </c>
    </row>
    <row r="209" spans="2:3" ht="15.75" customHeight="1" x14ac:dyDescent="0.25">
      <c r="B209" s="67" t="e">
        <f t="shared" si="13"/>
        <v>#REF!</v>
      </c>
      <c r="C209" s="76" t="e">
        <f t="shared" si="14"/>
        <v>#REF!</v>
      </c>
    </row>
    <row r="210" spans="2:3" ht="15.75" customHeight="1" x14ac:dyDescent="0.25">
      <c r="B210" s="67" t="e">
        <f t="shared" si="13"/>
        <v>#REF!</v>
      </c>
      <c r="C210" s="76" t="e">
        <f t="shared" si="14"/>
        <v>#REF!</v>
      </c>
    </row>
    <row r="211" spans="2:3" ht="15.75" customHeight="1" x14ac:dyDescent="0.25">
      <c r="B211" s="67" t="e">
        <f t="shared" si="13"/>
        <v>#REF!</v>
      </c>
      <c r="C211" s="76" t="e">
        <f t="shared" si="14"/>
        <v>#REF!</v>
      </c>
    </row>
    <row r="212" spans="2:3" ht="15.75" customHeight="1" x14ac:dyDescent="0.25">
      <c r="B212" s="67" t="e">
        <f t="shared" si="13"/>
        <v>#REF!</v>
      </c>
      <c r="C212" s="76" t="e">
        <f t="shared" si="14"/>
        <v>#REF!</v>
      </c>
    </row>
    <row r="213" spans="2:3" ht="15.75" customHeight="1" x14ac:dyDescent="0.25">
      <c r="B213" s="67" t="e">
        <f t="shared" si="13"/>
        <v>#REF!</v>
      </c>
      <c r="C213" s="76" t="e">
        <f t="shared" si="14"/>
        <v>#REF!</v>
      </c>
    </row>
    <row r="214" spans="2:3" ht="15.75" customHeight="1" x14ac:dyDescent="0.25">
      <c r="B214" s="67" t="e">
        <f t="shared" si="13"/>
        <v>#REF!</v>
      </c>
      <c r="C214" s="76" t="e">
        <f t="shared" si="14"/>
        <v>#REF!</v>
      </c>
    </row>
    <row r="215" spans="2:3" ht="15.75" customHeight="1" x14ac:dyDescent="0.25">
      <c r="B215" s="67" t="e">
        <f t="shared" si="13"/>
        <v>#REF!</v>
      </c>
      <c r="C215" s="76" t="e">
        <f t="shared" si="14"/>
        <v>#REF!</v>
      </c>
    </row>
    <row r="216" spans="2:3" ht="15.75" customHeight="1" x14ac:dyDescent="0.25">
      <c r="B216" s="67" t="e">
        <f t="shared" si="13"/>
        <v>#REF!</v>
      </c>
      <c r="C216" s="76" t="e">
        <f t="shared" si="14"/>
        <v>#REF!</v>
      </c>
    </row>
    <row r="217" spans="2:3" ht="15.75" customHeight="1" x14ac:dyDescent="0.25">
      <c r="B217" s="67" t="e">
        <f t="shared" si="13"/>
        <v>#REF!</v>
      </c>
      <c r="C217" s="76" t="e">
        <f t="shared" si="14"/>
        <v>#REF!</v>
      </c>
    </row>
    <row r="218" spans="2:3" ht="15.75" customHeight="1" x14ac:dyDescent="0.25">
      <c r="B218" s="67" t="e">
        <f t="shared" si="13"/>
        <v>#REF!</v>
      </c>
      <c r="C218" s="76" t="e">
        <f t="shared" si="14"/>
        <v>#REF!</v>
      </c>
    </row>
    <row r="219" spans="2:3" ht="15.75" customHeight="1" x14ac:dyDescent="0.25">
      <c r="B219" s="67" t="e">
        <f t="shared" si="13"/>
        <v>#REF!</v>
      </c>
      <c r="C219" s="76" t="e">
        <f t="shared" si="14"/>
        <v>#REF!</v>
      </c>
    </row>
    <row r="220" spans="2:3" ht="15.75" customHeight="1" x14ac:dyDescent="0.25">
      <c r="B220" s="67" t="e">
        <f t="shared" si="13"/>
        <v>#REF!</v>
      </c>
      <c r="C220" s="76" t="e">
        <f t="shared" si="14"/>
        <v>#REF!</v>
      </c>
    </row>
    <row r="221" spans="2:3" ht="15.75" customHeight="1" x14ac:dyDescent="0.25">
      <c r="B221" s="67" t="e">
        <f t="shared" si="13"/>
        <v>#REF!</v>
      </c>
      <c r="C221" s="76" t="e">
        <f t="shared" si="14"/>
        <v>#REF!</v>
      </c>
    </row>
    <row r="222" spans="2:3" ht="15.75" customHeight="1" x14ac:dyDescent="0.25">
      <c r="B222" s="67" t="e">
        <f t="shared" ref="B222:B285" si="15">IF(B221="","",IF(B221+$C$10&lt;=$C$6,B221+$C$10,""))</f>
        <v>#REF!</v>
      </c>
      <c r="C222" s="76" t="e">
        <f t="shared" ref="C222:C285" si="16">IF(B222&lt;&gt;"",C221-$C$2/COUNT($B$18:$B$511),"")</f>
        <v>#REF!</v>
      </c>
    </row>
    <row r="223" spans="2:3" ht="15.75" customHeight="1" x14ac:dyDescent="0.25">
      <c r="B223" s="67" t="e">
        <f t="shared" si="15"/>
        <v>#REF!</v>
      </c>
      <c r="C223" s="76" t="e">
        <f t="shared" si="16"/>
        <v>#REF!</v>
      </c>
    </row>
    <row r="224" spans="2:3" ht="15.75" customHeight="1" x14ac:dyDescent="0.25">
      <c r="B224" s="67" t="e">
        <f t="shared" si="15"/>
        <v>#REF!</v>
      </c>
      <c r="C224" s="76" t="e">
        <f t="shared" si="16"/>
        <v>#REF!</v>
      </c>
    </row>
    <row r="225" spans="2:3" ht="15.75" customHeight="1" x14ac:dyDescent="0.25">
      <c r="B225" s="67" t="e">
        <f t="shared" si="15"/>
        <v>#REF!</v>
      </c>
      <c r="C225" s="76" t="e">
        <f t="shared" si="16"/>
        <v>#REF!</v>
      </c>
    </row>
    <row r="226" spans="2:3" ht="15.75" customHeight="1" x14ac:dyDescent="0.25">
      <c r="B226" s="67" t="e">
        <f t="shared" si="15"/>
        <v>#REF!</v>
      </c>
      <c r="C226" s="76" t="e">
        <f t="shared" si="16"/>
        <v>#REF!</v>
      </c>
    </row>
    <row r="227" spans="2:3" ht="15.75" customHeight="1" x14ac:dyDescent="0.25">
      <c r="B227" s="67" t="e">
        <f t="shared" si="15"/>
        <v>#REF!</v>
      </c>
      <c r="C227" s="76" t="e">
        <f t="shared" si="16"/>
        <v>#REF!</v>
      </c>
    </row>
    <row r="228" spans="2:3" ht="15.75" customHeight="1" x14ac:dyDescent="0.25">
      <c r="B228" s="67" t="e">
        <f t="shared" si="15"/>
        <v>#REF!</v>
      </c>
      <c r="C228" s="76" t="e">
        <f t="shared" si="16"/>
        <v>#REF!</v>
      </c>
    </row>
    <row r="229" spans="2:3" ht="15.75" customHeight="1" x14ac:dyDescent="0.25">
      <c r="B229" s="67" t="e">
        <f t="shared" si="15"/>
        <v>#REF!</v>
      </c>
      <c r="C229" s="76" t="e">
        <f t="shared" si="16"/>
        <v>#REF!</v>
      </c>
    </row>
    <row r="230" spans="2:3" ht="15.75" customHeight="1" x14ac:dyDescent="0.25">
      <c r="B230" s="67" t="e">
        <f t="shared" si="15"/>
        <v>#REF!</v>
      </c>
      <c r="C230" s="76" t="e">
        <f t="shared" si="16"/>
        <v>#REF!</v>
      </c>
    </row>
    <row r="231" spans="2:3" ht="15.75" customHeight="1" x14ac:dyDescent="0.25">
      <c r="B231" s="67" t="e">
        <f t="shared" si="15"/>
        <v>#REF!</v>
      </c>
      <c r="C231" s="76" t="e">
        <f t="shared" si="16"/>
        <v>#REF!</v>
      </c>
    </row>
    <row r="232" spans="2:3" ht="15.75" customHeight="1" x14ac:dyDescent="0.25">
      <c r="B232" s="67" t="e">
        <f t="shared" si="15"/>
        <v>#REF!</v>
      </c>
      <c r="C232" s="76" t="e">
        <f t="shared" si="16"/>
        <v>#REF!</v>
      </c>
    </row>
    <row r="233" spans="2:3" ht="15.75" customHeight="1" x14ac:dyDescent="0.25">
      <c r="B233" s="67" t="e">
        <f t="shared" si="15"/>
        <v>#REF!</v>
      </c>
      <c r="C233" s="76" t="e">
        <f t="shared" si="16"/>
        <v>#REF!</v>
      </c>
    </row>
    <row r="234" spans="2:3" ht="15.75" customHeight="1" x14ac:dyDescent="0.25">
      <c r="B234" s="67" t="e">
        <f t="shared" si="15"/>
        <v>#REF!</v>
      </c>
      <c r="C234" s="76" t="e">
        <f t="shared" si="16"/>
        <v>#REF!</v>
      </c>
    </row>
    <row r="235" spans="2:3" ht="15.75" customHeight="1" x14ac:dyDescent="0.25">
      <c r="B235" s="67" t="e">
        <f t="shared" si="15"/>
        <v>#REF!</v>
      </c>
      <c r="C235" s="76" t="e">
        <f t="shared" si="16"/>
        <v>#REF!</v>
      </c>
    </row>
    <row r="236" spans="2:3" ht="15.75" customHeight="1" x14ac:dyDescent="0.25">
      <c r="B236" s="67" t="e">
        <f t="shared" si="15"/>
        <v>#REF!</v>
      </c>
      <c r="C236" s="76" t="e">
        <f t="shared" si="16"/>
        <v>#REF!</v>
      </c>
    </row>
    <row r="237" spans="2:3" ht="15.75" customHeight="1" x14ac:dyDescent="0.25">
      <c r="B237" s="67" t="e">
        <f t="shared" si="15"/>
        <v>#REF!</v>
      </c>
      <c r="C237" s="76" t="e">
        <f t="shared" si="16"/>
        <v>#REF!</v>
      </c>
    </row>
    <row r="238" spans="2:3" ht="15.75" customHeight="1" x14ac:dyDescent="0.25">
      <c r="B238" s="67" t="e">
        <f t="shared" si="15"/>
        <v>#REF!</v>
      </c>
      <c r="C238" s="76" t="e">
        <f t="shared" si="16"/>
        <v>#REF!</v>
      </c>
    </row>
    <row r="239" spans="2:3" ht="15.75" customHeight="1" x14ac:dyDescent="0.25">
      <c r="B239" s="67" t="e">
        <f t="shared" si="15"/>
        <v>#REF!</v>
      </c>
      <c r="C239" s="76" t="e">
        <f t="shared" si="16"/>
        <v>#REF!</v>
      </c>
    </row>
    <row r="240" spans="2:3" ht="15.75" customHeight="1" x14ac:dyDescent="0.25">
      <c r="B240" s="67" t="e">
        <f t="shared" si="15"/>
        <v>#REF!</v>
      </c>
      <c r="C240" s="76" t="e">
        <f t="shared" si="16"/>
        <v>#REF!</v>
      </c>
    </row>
    <row r="241" spans="2:3" ht="15.75" customHeight="1" x14ac:dyDescent="0.25">
      <c r="B241" s="67" t="e">
        <f t="shared" si="15"/>
        <v>#REF!</v>
      </c>
      <c r="C241" s="76" t="e">
        <f t="shared" si="16"/>
        <v>#REF!</v>
      </c>
    </row>
    <row r="242" spans="2:3" ht="15.75" customHeight="1" x14ac:dyDescent="0.25">
      <c r="B242" s="67" t="e">
        <f t="shared" si="15"/>
        <v>#REF!</v>
      </c>
      <c r="C242" s="76" t="e">
        <f t="shared" si="16"/>
        <v>#REF!</v>
      </c>
    </row>
    <row r="243" spans="2:3" ht="15.75" customHeight="1" x14ac:dyDescent="0.25">
      <c r="B243" s="67" t="e">
        <f t="shared" si="15"/>
        <v>#REF!</v>
      </c>
      <c r="C243" s="76" t="e">
        <f t="shared" si="16"/>
        <v>#REF!</v>
      </c>
    </row>
    <row r="244" spans="2:3" ht="15.75" customHeight="1" x14ac:dyDescent="0.25">
      <c r="B244" s="67" t="e">
        <f t="shared" si="15"/>
        <v>#REF!</v>
      </c>
      <c r="C244" s="76" t="e">
        <f t="shared" si="16"/>
        <v>#REF!</v>
      </c>
    </row>
    <row r="245" spans="2:3" ht="15.75" customHeight="1" x14ac:dyDescent="0.25">
      <c r="B245" s="67" t="e">
        <f t="shared" si="15"/>
        <v>#REF!</v>
      </c>
      <c r="C245" s="76" t="e">
        <f t="shared" si="16"/>
        <v>#REF!</v>
      </c>
    </row>
    <row r="246" spans="2:3" ht="15.75" customHeight="1" x14ac:dyDescent="0.25">
      <c r="B246" s="67" t="e">
        <f t="shared" si="15"/>
        <v>#REF!</v>
      </c>
      <c r="C246" s="76" t="e">
        <f t="shared" si="16"/>
        <v>#REF!</v>
      </c>
    </row>
    <row r="247" spans="2:3" ht="15.75" customHeight="1" x14ac:dyDescent="0.25">
      <c r="B247" s="67" t="e">
        <f t="shared" si="15"/>
        <v>#REF!</v>
      </c>
      <c r="C247" s="76" t="e">
        <f t="shared" si="16"/>
        <v>#REF!</v>
      </c>
    </row>
    <row r="248" spans="2:3" ht="15.75" customHeight="1" x14ac:dyDescent="0.25">
      <c r="B248" s="67" t="e">
        <f t="shared" si="15"/>
        <v>#REF!</v>
      </c>
      <c r="C248" s="76" t="e">
        <f t="shared" si="16"/>
        <v>#REF!</v>
      </c>
    </row>
    <row r="249" spans="2:3" ht="15.75" customHeight="1" x14ac:dyDescent="0.25">
      <c r="B249" s="67" t="e">
        <f t="shared" si="15"/>
        <v>#REF!</v>
      </c>
      <c r="C249" s="76" t="e">
        <f t="shared" si="16"/>
        <v>#REF!</v>
      </c>
    </row>
    <row r="250" spans="2:3" ht="15.75" customHeight="1" x14ac:dyDescent="0.25">
      <c r="B250" s="67" t="e">
        <f t="shared" si="15"/>
        <v>#REF!</v>
      </c>
      <c r="C250" s="76" t="e">
        <f t="shared" si="16"/>
        <v>#REF!</v>
      </c>
    </row>
    <row r="251" spans="2:3" ht="15.75" customHeight="1" x14ac:dyDescent="0.25">
      <c r="B251" s="67" t="e">
        <f t="shared" si="15"/>
        <v>#REF!</v>
      </c>
      <c r="C251" s="76" t="e">
        <f t="shared" si="16"/>
        <v>#REF!</v>
      </c>
    </row>
    <row r="252" spans="2:3" ht="15.75" customHeight="1" x14ac:dyDescent="0.25">
      <c r="B252" s="67" t="e">
        <f t="shared" si="15"/>
        <v>#REF!</v>
      </c>
      <c r="C252" s="76" t="e">
        <f t="shared" si="16"/>
        <v>#REF!</v>
      </c>
    </row>
    <row r="253" spans="2:3" ht="15.75" customHeight="1" x14ac:dyDescent="0.25">
      <c r="B253" s="67" t="e">
        <f t="shared" si="15"/>
        <v>#REF!</v>
      </c>
      <c r="C253" s="76" t="e">
        <f t="shared" si="16"/>
        <v>#REF!</v>
      </c>
    </row>
    <row r="254" spans="2:3" ht="15.75" customHeight="1" x14ac:dyDescent="0.25">
      <c r="B254" s="67" t="e">
        <f t="shared" si="15"/>
        <v>#REF!</v>
      </c>
      <c r="C254" s="76" t="e">
        <f t="shared" si="16"/>
        <v>#REF!</v>
      </c>
    </row>
    <row r="255" spans="2:3" ht="15.75" customHeight="1" x14ac:dyDescent="0.25">
      <c r="B255" s="67" t="e">
        <f t="shared" si="15"/>
        <v>#REF!</v>
      </c>
      <c r="C255" s="76" t="e">
        <f t="shared" si="16"/>
        <v>#REF!</v>
      </c>
    </row>
    <row r="256" spans="2:3" ht="15.75" customHeight="1" x14ac:dyDescent="0.25">
      <c r="B256" s="67" t="e">
        <f t="shared" si="15"/>
        <v>#REF!</v>
      </c>
      <c r="C256" s="76" t="e">
        <f t="shared" si="16"/>
        <v>#REF!</v>
      </c>
    </row>
    <row r="257" spans="2:3" ht="15.75" customHeight="1" x14ac:dyDescent="0.25">
      <c r="B257" s="67" t="e">
        <f t="shared" si="15"/>
        <v>#REF!</v>
      </c>
      <c r="C257" s="76" t="e">
        <f t="shared" si="16"/>
        <v>#REF!</v>
      </c>
    </row>
    <row r="258" spans="2:3" ht="15.75" customHeight="1" x14ac:dyDescent="0.25">
      <c r="B258" s="67" t="e">
        <f t="shared" si="15"/>
        <v>#REF!</v>
      </c>
      <c r="C258" s="76" t="e">
        <f t="shared" si="16"/>
        <v>#REF!</v>
      </c>
    </row>
    <row r="259" spans="2:3" ht="15.75" customHeight="1" x14ac:dyDescent="0.25">
      <c r="B259" s="67" t="e">
        <f t="shared" si="15"/>
        <v>#REF!</v>
      </c>
      <c r="C259" s="76" t="e">
        <f t="shared" si="16"/>
        <v>#REF!</v>
      </c>
    </row>
    <row r="260" spans="2:3" ht="15.75" customHeight="1" x14ac:dyDescent="0.25">
      <c r="B260" s="67" t="e">
        <f t="shared" si="15"/>
        <v>#REF!</v>
      </c>
      <c r="C260" s="76" t="e">
        <f t="shared" si="16"/>
        <v>#REF!</v>
      </c>
    </row>
    <row r="261" spans="2:3" ht="15.75" customHeight="1" x14ac:dyDescent="0.25">
      <c r="B261" s="67" t="e">
        <f t="shared" si="15"/>
        <v>#REF!</v>
      </c>
      <c r="C261" s="76" t="e">
        <f t="shared" si="16"/>
        <v>#REF!</v>
      </c>
    </row>
    <row r="262" spans="2:3" ht="15.75" customHeight="1" x14ac:dyDescent="0.25">
      <c r="B262" s="67" t="e">
        <f t="shared" si="15"/>
        <v>#REF!</v>
      </c>
      <c r="C262" s="76" t="e">
        <f t="shared" si="16"/>
        <v>#REF!</v>
      </c>
    </row>
    <row r="263" spans="2:3" ht="15.75" customHeight="1" x14ac:dyDescent="0.25">
      <c r="B263" s="67" t="e">
        <f t="shared" si="15"/>
        <v>#REF!</v>
      </c>
      <c r="C263" s="76" t="e">
        <f t="shared" si="16"/>
        <v>#REF!</v>
      </c>
    </row>
    <row r="264" spans="2:3" ht="15.75" customHeight="1" x14ac:dyDescent="0.25">
      <c r="B264" s="67" t="e">
        <f t="shared" si="15"/>
        <v>#REF!</v>
      </c>
      <c r="C264" s="76" t="e">
        <f t="shared" si="16"/>
        <v>#REF!</v>
      </c>
    </row>
    <row r="265" spans="2:3" ht="15.75" customHeight="1" x14ac:dyDescent="0.25">
      <c r="B265" s="67" t="e">
        <f t="shared" si="15"/>
        <v>#REF!</v>
      </c>
      <c r="C265" s="76" t="e">
        <f t="shared" si="16"/>
        <v>#REF!</v>
      </c>
    </row>
    <row r="266" spans="2:3" ht="15.75" customHeight="1" x14ac:dyDescent="0.25">
      <c r="B266" s="67" t="e">
        <f t="shared" si="15"/>
        <v>#REF!</v>
      </c>
      <c r="C266" s="76" t="e">
        <f t="shared" si="16"/>
        <v>#REF!</v>
      </c>
    </row>
    <row r="267" spans="2:3" ht="15.75" customHeight="1" x14ac:dyDescent="0.25">
      <c r="B267" s="67" t="e">
        <f t="shared" si="15"/>
        <v>#REF!</v>
      </c>
      <c r="C267" s="76" t="e">
        <f t="shared" si="16"/>
        <v>#REF!</v>
      </c>
    </row>
    <row r="268" spans="2:3" ht="15.75" customHeight="1" x14ac:dyDescent="0.25">
      <c r="B268" s="67" t="e">
        <f t="shared" si="15"/>
        <v>#REF!</v>
      </c>
      <c r="C268" s="76" t="e">
        <f t="shared" si="16"/>
        <v>#REF!</v>
      </c>
    </row>
    <row r="269" spans="2:3" ht="15.75" customHeight="1" x14ac:dyDescent="0.25">
      <c r="B269" s="67" t="e">
        <f t="shared" si="15"/>
        <v>#REF!</v>
      </c>
      <c r="C269" s="76" t="e">
        <f t="shared" si="16"/>
        <v>#REF!</v>
      </c>
    </row>
    <row r="270" spans="2:3" ht="15.75" customHeight="1" x14ac:dyDescent="0.25">
      <c r="B270" s="67" t="e">
        <f t="shared" si="15"/>
        <v>#REF!</v>
      </c>
      <c r="C270" s="76" t="e">
        <f t="shared" si="16"/>
        <v>#REF!</v>
      </c>
    </row>
    <row r="271" spans="2:3" ht="15.75" customHeight="1" x14ac:dyDescent="0.25">
      <c r="B271" s="67" t="e">
        <f t="shared" si="15"/>
        <v>#REF!</v>
      </c>
      <c r="C271" s="76" t="e">
        <f t="shared" si="16"/>
        <v>#REF!</v>
      </c>
    </row>
    <row r="272" spans="2:3" ht="15.75" customHeight="1" x14ac:dyDescent="0.25">
      <c r="B272" s="67" t="e">
        <f t="shared" si="15"/>
        <v>#REF!</v>
      </c>
      <c r="C272" s="76" t="e">
        <f t="shared" si="16"/>
        <v>#REF!</v>
      </c>
    </row>
    <row r="273" spans="2:3" ht="15.75" customHeight="1" x14ac:dyDescent="0.25">
      <c r="B273" s="67" t="e">
        <f t="shared" si="15"/>
        <v>#REF!</v>
      </c>
      <c r="C273" s="76" t="e">
        <f t="shared" si="16"/>
        <v>#REF!</v>
      </c>
    </row>
    <row r="274" spans="2:3" ht="15.75" customHeight="1" x14ac:dyDescent="0.25">
      <c r="B274" s="67" t="e">
        <f t="shared" si="15"/>
        <v>#REF!</v>
      </c>
      <c r="C274" s="76" t="e">
        <f t="shared" si="16"/>
        <v>#REF!</v>
      </c>
    </row>
    <row r="275" spans="2:3" ht="15.75" customHeight="1" x14ac:dyDescent="0.25">
      <c r="B275" s="67" t="e">
        <f t="shared" si="15"/>
        <v>#REF!</v>
      </c>
      <c r="C275" s="76" t="e">
        <f t="shared" si="16"/>
        <v>#REF!</v>
      </c>
    </row>
    <row r="276" spans="2:3" ht="15.75" customHeight="1" x14ac:dyDescent="0.25">
      <c r="B276" s="67" t="e">
        <f t="shared" si="15"/>
        <v>#REF!</v>
      </c>
      <c r="C276" s="76" t="e">
        <f t="shared" si="16"/>
        <v>#REF!</v>
      </c>
    </row>
    <row r="277" spans="2:3" ht="15.75" customHeight="1" x14ac:dyDescent="0.25">
      <c r="B277" s="67" t="e">
        <f t="shared" si="15"/>
        <v>#REF!</v>
      </c>
      <c r="C277" s="76" t="e">
        <f t="shared" si="16"/>
        <v>#REF!</v>
      </c>
    </row>
    <row r="278" spans="2:3" ht="15.75" customHeight="1" x14ac:dyDescent="0.25">
      <c r="B278" s="67" t="e">
        <f t="shared" si="15"/>
        <v>#REF!</v>
      </c>
      <c r="C278" s="76" t="e">
        <f t="shared" si="16"/>
        <v>#REF!</v>
      </c>
    </row>
    <row r="279" spans="2:3" ht="15.75" customHeight="1" x14ac:dyDescent="0.25">
      <c r="B279" s="67" t="e">
        <f t="shared" si="15"/>
        <v>#REF!</v>
      </c>
      <c r="C279" s="76" t="e">
        <f t="shared" si="16"/>
        <v>#REF!</v>
      </c>
    </row>
    <row r="280" spans="2:3" ht="15.75" customHeight="1" x14ac:dyDescent="0.25">
      <c r="B280" s="67" t="e">
        <f t="shared" si="15"/>
        <v>#REF!</v>
      </c>
      <c r="C280" s="76" t="e">
        <f t="shared" si="16"/>
        <v>#REF!</v>
      </c>
    </row>
    <row r="281" spans="2:3" ht="15.75" customHeight="1" x14ac:dyDescent="0.25">
      <c r="B281" s="67" t="e">
        <f t="shared" si="15"/>
        <v>#REF!</v>
      </c>
      <c r="C281" s="76" t="e">
        <f t="shared" si="16"/>
        <v>#REF!</v>
      </c>
    </row>
    <row r="282" spans="2:3" ht="15.75" customHeight="1" x14ac:dyDescent="0.25">
      <c r="B282" s="67" t="e">
        <f t="shared" si="15"/>
        <v>#REF!</v>
      </c>
      <c r="C282" s="76" t="e">
        <f t="shared" si="16"/>
        <v>#REF!</v>
      </c>
    </row>
    <row r="283" spans="2:3" ht="15.75" customHeight="1" x14ac:dyDescent="0.25">
      <c r="B283" s="67" t="e">
        <f t="shared" si="15"/>
        <v>#REF!</v>
      </c>
      <c r="C283" s="76" t="e">
        <f t="shared" si="16"/>
        <v>#REF!</v>
      </c>
    </row>
    <row r="284" spans="2:3" ht="15.75" customHeight="1" x14ac:dyDescent="0.25">
      <c r="B284" s="67" t="e">
        <f t="shared" si="15"/>
        <v>#REF!</v>
      </c>
      <c r="C284" s="76" t="e">
        <f t="shared" si="16"/>
        <v>#REF!</v>
      </c>
    </row>
    <row r="285" spans="2:3" ht="15.75" customHeight="1" x14ac:dyDescent="0.25">
      <c r="B285" s="67" t="e">
        <f t="shared" si="15"/>
        <v>#REF!</v>
      </c>
      <c r="C285" s="76" t="e">
        <f t="shared" si="16"/>
        <v>#REF!</v>
      </c>
    </row>
    <row r="286" spans="2:3" ht="15.75" customHeight="1" x14ac:dyDescent="0.25">
      <c r="B286" s="67" t="e">
        <f t="shared" ref="B286:B349" si="17">IF(B285="","",IF(B285+$C$10&lt;=$C$6,B285+$C$10,""))</f>
        <v>#REF!</v>
      </c>
      <c r="C286" s="76" t="e">
        <f t="shared" ref="C286:C349" si="18">IF(B286&lt;&gt;"",C285-$C$2/COUNT($B$18:$B$511),"")</f>
        <v>#REF!</v>
      </c>
    </row>
    <row r="287" spans="2:3" ht="15.75" customHeight="1" x14ac:dyDescent="0.25">
      <c r="B287" s="67" t="e">
        <f t="shared" si="17"/>
        <v>#REF!</v>
      </c>
      <c r="C287" s="76" t="e">
        <f t="shared" si="18"/>
        <v>#REF!</v>
      </c>
    </row>
    <row r="288" spans="2:3" ht="15.75" customHeight="1" x14ac:dyDescent="0.25">
      <c r="B288" s="67" t="e">
        <f t="shared" si="17"/>
        <v>#REF!</v>
      </c>
      <c r="C288" s="76" t="e">
        <f t="shared" si="18"/>
        <v>#REF!</v>
      </c>
    </row>
    <row r="289" spans="2:3" ht="15.75" customHeight="1" x14ac:dyDescent="0.25">
      <c r="B289" s="67" t="e">
        <f t="shared" si="17"/>
        <v>#REF!</v>
      </c>
      <c r="C289" s="76" t="e">
        <f t="shared" si="18"/>
        <v>#REF!</v>
      </c>
    </row>
    <row r="290" spans="2:3" ht="15.75" customHeight="1" x14ac:dyDescent="0.25">
      <c r="B290" s="67" t="e">
        <f t="shared" si="17"/>
        <v>#REF!</v>
      </c>
      <c r="C290" s="76" t="e">
        <f t="shared" si="18"/>
        <v>#REF!</v>
      </c>
    </row>
    <row r="291" spans="2:3" ht="15.75" customHeight="1" x14ac:dyDescent="0.25">
      <c r="B291" s="67" t="e">
        <f t="shared" si="17"/>
        <v>#REF!</v>
      </c>
      <c r="C291" s="76" t="e">
        <f t="shared" si="18"/>
        <v>#REF!</v>
      </c>
    </row>
    <row r="292" spans="2:3" ht="15.75" customHeight="1" x14ac:dyDescent="0.25">
      <c r="B292" s="67" t="e">
        <f t="shared" si="17"/>
        <v>#REF!</v>
      </c>
      <c r="C292" s="76" t="e">
        <f t="shared" si="18"/>
        <v>#REF!</v>
      </c>
    </row>
    <row r="293" spans="2:3" ht="15.75" customHeight="1" x14ac:dyDescent="0.25">
      <c r="B293" s="67" t="e">
        <f t="shared" si="17"/>
        <v>#REF!</v>
      </c>
      <c r="C293" s="76" t="e">
        <f t="shared" si="18"/>
        <v>#REF!</v>
      </c>
    </row>
    <row r="294" spans="2:3" ht="15.75" customHeight="1" x14ac:dyDescent="0.25">
      <c r="B294" s="67" t="e">
        <f t="shared" si="17"/>
        <v>#REF!</v>
      </c>
      <c r="C294" s="76" t="e">
        <f t="shared" si="18"/>
        <v>#REF!</v>
      </c>
    </row>
    <row r="295" spans="2:3" ht="15.75" customHeight="1" x14ac:dyDescent="0.25">
      <c r="B295" s="67" t="e">
        <f t="shared" si="17"/>
        <v>#REF!</v>
      </c>
      <c r="C295" s="76" t="e">
        <f t="shared" si="18"/>
        <v>#REF!</v>
      </c>
    </row>
    <row r="296" spans="2:3" ht="15.75" customHeight="1" x14ac:dyDescent="0.25">
      <c r="B296" s="67" t="e">
        <f t="shared" si="17"/>
        <v>#REF!</v>
      </c>
      <c r="C296" s="76" t="e">
        <f t="shared" si="18"/>
        <v>#REF!</v>
      </c>
    </row>
    <row r="297" spans="2:3" ht="15.75" customHeight="1" x14ac:dyDescent="0.25">
      <c r="B297" s="67" t="e">
        <f t="shared" si="17"/>
        <v>#REF!</v>
      </c>
      <c r="C297" s="76" t="e">
        <f t="shared" si="18"/>
        <v>#REF!</v>
      </c>
    </row>
    <row r="298" spans="2:3" ht="15.75" customHeight="1" x14ac:dyDescent="0.25">
      <c r="B298" s="67" t="e">
        <f t="shared" si="17"/>
        <v>#REF!</v>
      </c>
      <c r="C298" s="76" t="e">
        <f t="shared" si="18"/>
        <v>#REF!</v>
      </c>
    </row>
    <row r="299" spans="2:3" ht="15.75" customHeight="1" x14ac:dyDescent="0.25">
      <c r="B299" s="67" t="e">
        <f t="shared" si="17"/>
        <v>#REF!</v>
      </c>
      <c r="C299" s="76" t="e">
        <f t="shared" si="18"/>
        <v>#REF!</v>
      </c>
    </row>
    <row r="300" spans="2:3" ht="15.75" customHeight="1" x14ac:dyDescent="0.25">
      <c r="B300" s="67" t="e">
        <f t="shared" si="17"/>
        <v>#REF!</v>
      </c>
      <c r="C300" s="76" t="e">
        <f t="shared" si="18"/>
        <v>#REF!</v>
      </c>
    </row>
    <row r="301" spans="2:3" ht="15.75" customHeight="1" x14ac:dyDescent="0.25">
      <c r="B301" s="67" t="e">
        <f t="shared" si="17"/>
        <v>#REF!</v>
      </c>
      <c r="C301" s="76" t="e">
        <f t="shared" si="18"/>
        <v>#REF!</v>
      </c>
    </row>
    <row r="302" spans="2:3" ht="15.75" customHeight="1" x14ac:dyDescent="0.25">
      <c r="B302" s="67" t="e">
        <f t="shared" si="17"/>
        <v>#REF!</v>
      </c>
      <c r="C302" s="76" t="e">
        <f t="shared" si="18"/>
        <v>#REF!</v>
      </c>
    </row>
    <row r="303" spans="2:3" ht="15.75" customHeight="1" x14ac:dyDescent="0.25">
      <c r="B303" s="67" t="e">
        <f t="shared" si="17"/>
        <v>#REF!</v>
      </c>
      <c r="C303" s="76" t="e">
        <f t="shared" si="18"/>
        <v>#REF!</v>
      </c>
    </row>
    <row r="304" spans="2:3" ht="15.75" customHeight="1" x14ac:dyDescent="0.25">
      <c r="B304" s="67" t="e">
        <f t="shared" si="17"/>
        <v>#REF!</v>
      </c>
      <c r="C304" s="76" t="e">
        <f t="shared" si="18"/>
        <v>#REF!</v>
      </c>
    </row>
    <row r="305" spans="2:3" ht="15.75" customHeight="1" x14ac:dyDescent="0.25">
      <c r="B305" s="67" t="e">
        <f t="shared" si="17"/>
        <v>#REF!</v>
      </c>
      <c r="C305" s="76" t="e">
        <f t="shared" si="18"/>
        <v>#REF!</v>
      </c>
    </row>
    <row r="306" spans="2:3" ht="15.75" customHeight="1" x14ac:dyDescent="0.25">
      <c r="B306" s="67" t="e">
        <f t="shared" si="17"/>
        <v>#REF!</v>
      </c>
      <c r="C306" s="76" t="e">
        <f t="shared" si="18"/>
        <v>#REF!</v>
      </c>
    </row>
    <row r="307" spans="2:3" ht="15.75" customHeight="1" x14ac:dyDescent="0.25">
      <c r="B307" s="67" t="e">
        <f t="shared" si="17"/>
        <v>#REF!</v>
      </c>
      <c r="C307" s="76" t="e">
        <f t="shared" si="18"/>
        <v>#REF!</v>
      </c>
    </row>
    <row r="308" spans="2:3" ht="15.75" customHeight="1" x14ac:dyDescent="0.25">
      <c r="B308" s="67" t="e">
        <f t="shared" si="17"/>
        <v>#REF!</v>
      </c>
      <c r="C308" s="76" t="e">
        <f t="shared" si="18"/>
        <v>#REF!</v>
      </c>
    </row>
    <row r="309" spans="2:3" ht="15.75" customHeight="1" x14ac:dyDescent="0.25">
      <c r="B309" s="67" t="e">
        <f t="shared" si="17"/>
        <v>#REF!</v>
      </c>
      <c r="C309" s="76" t="e">
        <f t="shared" si="18"/>
        <v>#REF!</v>
      </c>
    </row>
    <row r="310" spans="2:3" ht="15.75" customHeight="1" x14ac:dyDescent="0.25">
      <c r="B310" s="67" t="e">
        <f t="shared" si="17"/>
        <v>#REF!</v>
      </c>
      <c r="C310" s="76" t="e">
        <f t="shared" si="18"/>
        <v>#REF!</v>
      </c>
    </row>
    <row r="311" spans="2:3" ht="15.75" customHeight="1" x14ac:dyDescent="0.25">
      <c r="B311" s="67" t="e">
        <f t="shared" si="17"/>
        <v>#REF!</v>
      </c>
      <c r="C311" s="76" t="e">
        <f t="shared" si="18"/>
        <v>#REF!</v>
      </c>
    </row>
    <row r="312" spans="2:3" ht="15.75" customHeight="1" x14ac:dyDescent="0.25">
      <c r="B312" s="67" t="e">
        <f t="shared" si="17"/>
        <v>#REF!</v>
      </c>
      <c r="C312" s="76" t="e">
        <f t="shared" si="18"/>
        <v>#REF!</v>
      </c>
    </row>
    <row r="313" spans="2:3" ht="15.75" customHeight="1" x14ac:dyDescent="0.25">
      <c r="B313" s="67" t="e">
        <f t="shared" si="17"/>
        <v>#REF!</v>
      </c>
      <c r="C313" s="76" t="e">
        <f t="shared" si="18"/>
        <v>#REF!</v>
      </c>
    </row>
    <row r="314" spans="2:3" ht="15.75" customHeight="1" x14ac:dyDescent="0.25">
      <c r="B314" s="67" t="e">
        <f t="shared" si="17"/>
        <v>#REF!</v>
      </c>
      <c r="C314" s="76" t="e">
        <f t="shared" si="18"/>
        <v>#REF!</v>
      </c>
    </row>
    <row r="315" spans="2:3" ht="15.75" customHeight="1" x14ac:dyDescent="0.25">
      <c r="B315" s="67" t="e">
        <f t="shared" si="17"/>
        <v>#REF!</v>
      </c>
      <c r="C315" s="76" t="e">
        <f t="shared" si="18"/>
        <v>#REF!</v>
      </c>
    </row>
    <row r="316" spans="2:3" ht="15.75" customHeight="1" x14ac:dyDescent="0.25">
      <c r="B316" s="67" t="e">
        <f t="shared" si="17"/>
        <v>#REF!</v>
      </c>
      <c r="C316" s="76" t="e">
        <f t="shared" si="18"/>
        <v>#REF!</v>
      </c>
    </row>
    <row r="317" spans="2:3" ht="15.75" customHeight="1" x14ac:dyDescent="0.25">
      <c r="B317" s="67" t="e">
        <f t="shared" si="17"/>
        <v>#REF!</v>
      </c>
      <c r="C317" s="76" t="e">
        <f t="shared" si="18"/>
        <v>#REF!</v>
      </c>
    </row>
    <row r="318" spans="2:3" ht="15.75" customHeight="1" x14ac:dyDescent="0.25">
      <c r="B318" s="67" t="e">
        <f t="shared" si="17"/>
        <v>#REF!</v>
      </c>
      <c r="C318" s="76" t="e">
        <f t="shared" si="18"/>
        <v>#REF!</v>
      </c>
    </row>
    <row r="319" spans="2:3" ht="15.75" customHeight="1" x14ac:dyDescent="0.25">
      <c r="B319" s="67" t="e">
        <f t="shared" si="17"/>
        <v>#REF!</v>
      </c>
      <c r="C319" s="76" t="e">
        <f t="shared" si="18"/>
        <v>#REF!</v>
      </c>
    </row>
    <row r="320" spans="2:3" ht="15.75" customHeight="1" x14ac:dyDescent="0.25">
      <c r="B320" s="67" t="e">
        <f t="shared" si="17"/>
        <v>#REF!</v>
      </c>
      <c r="C320" s="76" t="e">
        <f t="shared" si="18"/>
        <v>#REF!</v>
      </c>
    </row>
    <row r="321" spans="2:3" ht="15.75" customHeight="1" x14ac:dyDescent="0.25">
      <c r="B321" s="67" t="e">
        <f t="shared" si="17"/>
        <v>#REF!</v>
      </c>
      <c r="C321" s="76" t="e">
        <f t="shared" si="18"/>
        <v>#REF!</v>
      </c>
    </row>
    <row r="322" spans="2:3" ht="15.75" customHeight="1" x14ac:dyDescent="0.25">
      <c r="B322" s="67" t="e">
        <f t="shared" si="17"/>
        <v>#REF!</v>
      </c>
      <c r="C322" s="76" t="e">
        <f t="shared" si="18"/>
        <v>#REF!</v>
      </c>
    </row>
    <row r="323" spans="2:3" ht="15.75" customHeight="1" x14ac:dyDescent="0.25">
      <c r="B323" s="67" t="e">
        <f t="shared" si="17"/>
        <v>#REF!</v>
      </c>
      <c r="C323" s="76" t="e">
        <f t="shared" si="18"/>
        <v>#REF!</v>
      </c>
    </row>
    <row r="324" spans="2:3" ht="15.75" customHeight="1" x14ac:dyDescent="0.25">
      <c r="B324" s="67" t="e">
        <f t="shared" si="17"/>
        <v>#REF!</v>
      </c>
      <c r="C324" s="76" t="e">
        <f t="shared" si="18"/>
        <v>#REF!</v>
      </c>
    </row>
    <row r="325" spans="2:3" ht="15.75" customHeight="1" x14ac:dyDescent="0.25">
      <c r="B325" s="67" t="e">
        <f t="shared" si="17"/>
        <v>#REF!</v>
      </c>
      <c r="C325" s="76" t="e">
        <f t="shared" si="18"/>
        <v>#REF!</v>
      </c>
    </row>
    <row r="326" spans="2:3" ht="15.75" customHeight="1" x14ac:dyDescent="0.25">
      <c r="B326" s="67" t="e">
        <f t="shared" si="17"/>
        <v>#REF!</v>
      </c>
      <c r="C326" s="76" t="e">
        <f t="shared" si="18"/>
        <v>#REF!</v>
      </c>
    </row>
    <row r="327" spans="2:3" ht="15.75" customHeight="1" x14ac:dyDescent="0.25">
      <c r="B327" s="67" t="e">
        <f t="shared" si="17"/>
        <v>#REF!</v>
      </c>
      <c r="C327" s="76" t="e">
        <f t="shared" si="18"/>
        <v>#REF!</v>
      </c>
    </row>
    <row r="328" spans="2:3" ht="15.75" customHeight="1" x14ac:dyDescent="0.25">
      <c r="B328" s="67" t="e">
        <f t="shared" si="17"/>
        <v>#REF!</v>
      </c>
      <c r="C328" s="76" t="e">
        <f t="shared" si="18"/>
        <v>#REF!</v>
      </c>
    </row>
    <row r="329" spans="2:3" ht="15.75" customHeight="1" x14ac:dyDescent="0.25">
      <c r="B329" s="67" t="e">
        <f t="shared" si="17"/>
        <v>#REF!</v>
      </c>
      <c r="C329" s="76" t="e">
        <f t="shared" si="18"/>
        <v>#REF!</v>
      </c>
    </row>
    <row r="330" spans="2:3" ht="15.75" customHeight="1" x14ac:dyDescent="0.25">
      <c r="B330" s="67" t="e">
        <f t="shared" si="17"/>
        <v>#REF!</v>
      </c>
      <c r="C330" s="76" t="e">
        <f t="shared" si="18"/>
        <v>#REF!</v>
      </c>
    </row>
    <row r="331" spans="2:3" ht="15.75" customHeight="1" x14ac:dyDescent="0.25">
      <c r="B331" s="67" t="e">
        <f t="shared" si="17"/>
        <v>#REF!</v>
      </c>
      <c r="C331" s="76" t="e">
        <f t="shared" si="18"/>
        <v>#REF!</v>
      </c>
    </row>
    <row r="332" spans="2:3" ht="15.75" customHeight="1" x14ac:dyDescent="0.25">
      <c r="B332" s="67" t="e">
        <f t="shared" si="17"/>
        <v>#REF!</v>
      </c>
      <c r="C332" s="76" t="e">
        <f t="shared" si="18"/>
        <v>#REF!</v>
      </c>
    </row>
    <row r="333" spans="2:3" ht="15.75" customHeight="1" x14ac:dyDescent="0.25">
      <c r="B333" s="67" t="e">
        <f t="shared" si="17"/>
        <v>#REF!</v>
      </c>
      <c r="C333" s="76" t="e">
        <f t="shared" si="18"/>
        <v>#REF!</v>
      </c>
    </row>
    <row r="334" spans="2:3" ht="15.75" customHeight="1" x14ac:dyDescent="0.25">
      <c r="B334" s="67" t="e">
        <f t="shared" si="17"/>
        <v>#REF!</v>
      </c>
      <c r="C334" s="76" t="e">
        <f t="shared" si="18"/>
        <v>#REF!</v>
      </c>
    </row>
    <row r="335" spans="2:3" ht="15.75" customHeight="1" x14ac:dyDescent="0.25">
      <c r="B335" s="67" t="e">
        <f t="shared" si="17"/>
        <v>#REF!</v>
      </c>
      <c r="C335" s="76" t="e">
        <f t="shared" si="18"/>
        <v>#REF!</v>
      </c>
    </row>
    <row r="336" spans="2:3" ht="15.75" customHeight="1" x14ac:dyDescent="0.25">
      <c r="B336" s="67" t="e">
        <f t="shared" si="17"/>
        <v>#REF!</v>
      </c>
      <c r="C336" s="76" t="e">
        <f t="shared" si="18"/>
        <v>#REF!</v>
      </c>
    </row>
    <row r="337" spans="2:3" ht="15.75" customHeight="1" x14ac:dyDescent="0.25">
      <c r="B337" s="67" t="e">
        <f t="shared" si="17"/>
        <v>#REF!</v>
      </c>
      <c r="C337" s="76" t="e">
        <f t="shared" si="18"/>
        <v>#REF!</v>
      </c>
    </row>
    <row r="338" spans="2:3" ht="15.75" customHeight="1" x14ac:dyDescent="0.25">
      <c r="B338" s="67" t="e">
        <f t="shared" si="17"/>
        <v>#REF!</v>
      </c>
      <c r="C338" s="76" t="e">
        <f t="shared" si="18"/>
        <v>#REF!</v>
      </c>
    </row>
    <row r="339" spans="2:3" ht="15.75" customHeight="1" x14ac:dyDescent="0.25">
      <c r="B339" s="67" t="e">
        <f t="shared" si="17"/>
        <v>#REF!</v>
      </c>
      <c r="C339" s="76" t="e">
        <f t="shared" si="18"/>
        <v>#REF!</v>
      </c>
    </row>
    <row r="340" spans="2:3" ht="15.75" customHeight="1" x14ac:dyDescent="0.25">
      <c r="B340" s="67" t="e">
        <f t="shared" si="17"/>
        <v>#REF!</v>
      </c>
      <c r="C340" s="76" t="e">
        <f t="shared" si="18"/>
        <v>#REF!</v>
      </c>
    </row>
    <row r="341" spans="2:3" ht="15.75" customHeight="1" x14ac:dyDescent="0.25">
      <c r="B341" s="67" t="e">
        <f t="shared" si="17"/>
        <v>#REF!</v>
      </c>
      <c r="C341" s="76" t="e">
        <f t="shared" si="18"/>
        <v>#REF!</v>
      </c>
    </row>
    <row r="342" spans="2:3" ht="15.75" customHeight="1" x14ac:dyDescent="0.25">
      <c r="B342" s="67" t="e">
        <f t="shared" si="17"/>
        <v>#REF!</v>
      </c>
      <c r="C342" s="76" t="e">
        <f t="shared" si="18"/>
        <v>#REF!</v>
      </c>
    </row>
    <row r="343" spans="2:3" ht="15.75" customHeight="1" x14ac:dyDescent="0.25">
      <c r="B343" s="67" t="e">
        <f t="shared" si="17"/>
        <v>#REF!</v>
      </c>
      <c r="C343" s="76" t="e">
        <f t="shared" si="18"/>
        <v>#REF!</v>
      </c>
    </row>
    <row r="344" spans="2:3" ht="15.75" customHeight="1" x14ac:dyDescent="0.25">
      <c r="B344" s="67" t="e">
        <f t="shared" si="17"/>
        <v>#REF!</v>
      </c>
      <c r="C344" s="76" t="e">
        <f t="shared" si="18"/>
        <v>#REF!</v>
      </c>
    </row>
    <row r="345" spans="2:3" ht="15.75" customHeight="1" x14ac:dyDescent="0.25">
      <c r="B345" s="67" t="e">
        <f t="shared" si="17"/>
        <v>#REF!</v>
      </c>
      <c r="C345" s="76" t="e">
        <f t="shared" si="18"/>
        <v>#REF!</v>
      </c>
    </row>
    <row r="346" spans="2:3" ht="15.75" customHeight="1" x14ac:dyDescent="0.25">
      <c r="B346" s="67" t="e">
        <f t="shared" si="17"/>
        <v>#REF!</v>
      </c>
      <c r="C346" s="76" t="e">
        <f t="shared" si="18"/>
        <v>#REF!</v>
      </c>
    </row>
    <row r="347" spans="2:3" ht="15.75" customHeight="1" x14ac:dyDescent="0.25">
      <c r="B347" s="67" t="e">
        <f t="shared" si="17"/>
        <v>#REF!</v>
      </c>
      <c r="C347" s="76" t="e">
        <f t="shared" si="18"/>
        <v>#REF!</v>
      </c>
    </row>
    <row r="348" spans="2:3" ht="15.75" customHeight="1" x14ac:dyDescent="0.25">
      <c r="B348" s="67" t="e">
        <f t="shared" si="17"/>
        <v>#REF!</v>
      </c>
      <c r="C348" s="76" t="e">
        <f t="shared" si="18"/>
        <v>#REF!</v>
      </c>
    </row>
    <row r="349" spans="2:3" ht="15.75" customHeight="1" x14ac:dyDescent="0.25">
      <c r="B349" s="67" t="e">
        <f t="shared" si="17"/>
        <v>#REF!</v>
      </c>
      <c r="C349" s="76" t="e">
        <f t="shared" si="18"/>
        <v>#REF!</v>
      </c>
    </row>
    <row r="350" spans="2:3" ht="15.75" customHeight="1" x14ac:dyDescent="0.25">
      <c r="B350" s="67" t="e">
        <f t="shared" ref="B350:B413" si="19">IF(B349="","",IF(B349+$C$10&lt;=$C$6,B349+$C$10,""))</f>
        <v>#REF!</v>
      </c>
      <c r="C350" s="76" t="e">
        <f t="shared" ref="C350:C413" si="20">IF(B350&lt;&gt;"",C349-$C$2/COUNT($B$18:$B$511),"")</f>
        <v>#REF!</v>
      </c>
    </row>
    <row r="351" spans="2:3" ht="15.75" customHeight="1" x14ac:dyDescent="0.25">
      <c r="B351" s="67" t="e">
        <f t="shared" si="19"/>
        <v>#REF!</v>
      </c>
      <c r="C351" s="76" t="e">
        <f t="shared" si="20"/>
        <v>#REF!</v>
      </c>
    </row>
    <row r="352" spans="2:3" ht="15.75" customHeight="1" x14ac:dyDescent="0.25">
      <c r="B352" s="67" t="e">
        <f t="shared" si="19"/>
        <v>#REF!</v>
      </c>
      <c r="C352" s="76" t="e">
        <f t="shared" si="20"/>
        <v>#REF!</v>
      </c>
    </row>
    <row r="353" spans="2:3" ht="15.75" customHeight="1" x14ac:dyDescent="0.25">
      <c r="B353" s="67" t="e">
        <f t="shared" si="19"/>
        <v>#REF!</v>
      </c>
      <c r="C353" s="76" t="e">
        <f t="shared" si="20"/>
        <v>#REF!</v>
      </c>
    </row>
    <row r="354" spans="2:3" ht="15.75" customHeight="1" x14ac:dyDescent="0.25">
      <c r="B354" s="67" t="e">
        <f t="shared" si="19"/>
        <v>#REF!</v>
      </c>
      <c r="C354" s="76" t="e">
        <f t="shared" si="20"/>
        <v>#REF!</v>
      </c>
    </row>
    <row r="355" spans="2:3" ht="15.75" customHeight="1" x14ac:dyDescent="0.25">
      <c r="B355" s="67" t="e">
        <f t="shared" si="19"/>
        <v>#REF!</v>
      </c>
      <c r="C355" s="76" t="e">
        <f t="shared" si="20"/>
        <v>#REF!</v>
      </c>
    </row>
    <row r="356" spans="2:3" ht="15.75" customHeight="1" x14ac:dyDescent="0.25">
      <c r="B356" s="67" t="e">
        <f t="shared" si="19"/>
        <v>#REF!</v>
      </c>
      <c r="C356" s="76" t="e">
        <f t="shared" si="20"/>
        <v>#REF!</v>
      </c>
    </row>
    <row r="357" spans="2:3" ht="15.75" customHeight="1" x14ac:dyDescent="0.25">
      <c r="B357" s="67" t="e">
        <f t="shared" si="19"/>
        <v>#REF!</v>
      </c>
      <c r="C357" s="76" t="e">
        <f t="shared" si="20"/>
        <v>#REF!</v>
      </c>
    </row>
    <row r="358" spans="2:3" ht="15.75" customHeight="1" x14ac:dyDescent="0.25">
      <c r="B358" s="67" t="e">
        <f t="shared" si="19"/>
        <v>#REF!</v>
      </c>
      <c r="C358" s="76" t="e">
        <f t="shared" si="20"/>
        <v>#REF!</v>
      </c>
    </row>
    <row r="359" spans="2:3" ht="15.75" customHeight="1" x14ac:dyDescent="0.25">
      <c r="B359" s="67" t="e">
        <f t="shared" si="19"/>
        <v>#REF!</v>
      </c>
      <c r="C359" s="76" t="e">
        <f t="shared" si="20"/>
        <v>#REF!</v>
      </c>
    </row>
    <row r="360" spans="2:3" ht="15.75" customHeight="1" x14ac:dyDescent="0.25">
      <c r="B360" s="67" t="e">
        <f t="shared" si="19"/>
        <v>#REF!</v>
      </c>
      <c r="C360" s="76" t="e">
        <f t="shared" si="20"/>
        <v>#REF!</v>
      </c>
    </row>
    <row r="361" spans="2:3" ht="15.75" customHeight="1" x14ac:dyDescent="0.25">
      <c r="B361" s="67" t="e">
        <f t="shared" si="19"/>
        <v>#REF!</v>
      </c>
      <c r="C361" s="76" t="e">
        <f t="shared" si="20"/>
        <v>#REF!</v>
      </c>
    </row>
    <row r="362" spans="2:3" ht="15.75" customHeight="1" x14ac:dyDescent="0.25">
      <c r="B362" s="67" t="e">
        <f t="shared" si="19"/>
        <v>#REF!</v>
      </c>
      <c r="C362" s="76" t="e">
        <f t="shared" si="20"/>
        <v>#REF!</v>
      </c>
    </row>
    <row r="363" spans="2:3" ht="15.75" customHeight="1" x14ac:dyDescent="0.25">
      <c r="B363" s="67" t="e">
        <f t="shared" si="19"/>
        <v>#REF!</v>
      </c>
      <c r="C363" s="76" t="e">
        <f t="shared" si="20"/>
        <v>#REF!</v>
      </c>
    </row>
    <row r="364" spans="2:3" ht="15.75" customHeight="1" x14ac:dyDescent="0.25">
      <c r="B364" s="67" t="e">
        <f t="shared" si="19"/>
        <v>#REF!</v>
      </c>
      <c r="C364" s="76" t="e">
        <f t="shared" si="20"/>
        <v>#REF!</v>
      </c>
    </row>
    <row r="365" spans="2:3" ht="15.75" customHeight="1" x14ac:dyDescent="0.25">
      <c r="B365" s="67" t="e">
        <f t="shared" si="19"/>
        <v>#REF!</v>
      </c>
      <c r="C365" s="76" t="e">
        <f t="shared" si="20"/>
        <v>#REF!</v>
      </c>
    </row>
    <row r="366" spans="2:3" ht="15.75" customHeight="1" x14ac:dyDescent="0.25">
      <c r="B366" s="67" t="e">
        <f t="shared" si="19"/>
        <v>#REF!</v>
      </c>
      <c r="C366" s="76" t="e">
        <f t="shared" si="20"/>
        <v>#REF!</v>
      </c>
    </row>
    <row r="367" spans="2:3" ht="15.75" customHeight="1" x14ac:dyDescent="0.25">
      <c r="B367" s="67" t="e">
        <f t="shared" si="19"/>
        <v>#REF!</v>
      </c>
      <c r="C367" s="76" t="e">
        <f t="shared" si="20"/>
        <v>#REF!</v>
      </c>
    </row>
    <row r="368" spans="2:3" ht="15.75" customHeight="1" x14ac:dyDescent="0.25">
      <c r="B368" s="67" t="e">
        <f t="shared" si="19"/>
        <v>#REF!</v>
      </c>
      <c r="C368" s="76" t="e">
        <f t="shared" si="20"/>
        <v>#REF!</v>
      </c>
    </row>
    <row r="369" spans="2:3" ht="15.75" customHeight="1" x14ac:dyDescent="0.25">
      <c r="B369" s="67" t="e">
        <f t="shared" si="19"/>
        <v>#REF!</v>
      </c>
      <c r="C369" s="76" t="e">
        <f t="shared" si="20"/>
        <v>#REF!</v>
      </c>
    </row>
    <row r="370" spans="2:3" ht="15.75" customHeight="1" x14ac:dyDescent="0.25">
      <c r="B370" s="67" t="e">
        <f t="shared" si="19"/>
        <v>#REF!</v>
      </c>
      <c r="C370" s="76" t="e">
        <f t="shared" si="20"/>
        <v>#REF!</v>
      </c>
    </row>
    <row r="371" spans="2:3" ht="15.75" customHeight="1" x14ac:dyDescent="0.25">
      <c r="B371" s="67" t="e">
        <f t="shared" si="19"/>
        <v>#REF!</v>
      </c>
      <c r="C371" s="76" t="e">
        <f t="shared" si="20"/>
        <v>#REF!</v>
      </c>
    </row>
    <row r="372" spans="2:3" ht="15.75" customHeight="1" x14ac:dyDescent="0.25">
      <c r="B372" s="67" t="e">
        <f t="shared" si="19"/>
        <v>#REF!</v>
      </c>
      <c r="C372" s="76" t="e">
        <f t="shared" si="20"/>
        <v>#REF!</v>
      </c>
    </row>
    <row r="373" spans="2:3" ht="15.75" customHeight="1" x14ac:dyDescent="0.25">
      <c r="B373" s="67" t="e">
        <f t="shared" si="19"/>
        <v>#REF!</v>
      </c>
      <c r="C373" s="76" t="e">
        <f t="shared" si="20"/>
        <v>#REF!</v>
      </c>
    </row>
    <row r="374" spans="2:3" ht="15.75" customHeight="1" x14ac:dyDescent="0.25">
      <c r="B374" s="67" t="e">
        <f t="shared" si="19"/>
        <v>#REF!</v>
      </c>
      <c r="C374" s="76" t="e">
        <f t="shared" si="20"/>
        <v>#REF!</v>
      </c>
    </row>
    <row r="375" spans="2:3" ht="15.75" customHeight="1" x14ac:dyDescent="0.25">
      <c r="B375" s="67" t="e">
        <f t="shared" si="19"/>
        <v>#REF!</v>
      </c>
      <c r="C375" s="76" t="e">
        <f t="shared" si="20"/>
        <v>#REF!</v>
      </c>
    </row>
    <row r="376" spans="2:3" ht="15.75" customHeight="1" x14ac:dyDescent="0.25">
      <c r="B376" s="67" t="e">
        <f t="shared" si="19"/>
        <v>#REF!</v>
      </c>
      <c r="C376" s="76" t="e">
        <f t="shared" si="20"/>
        <v>#REF!</v>
      </c>
    </row>
    <row r="377" spans="2:3" ht="15.75" customHeight="1" x14ac:dyDescent="0.25">
      <c r="B377" s="67" t="e">
        <f t="shared" si="19"/>
        <v>#REF!</v>
      </c>
      <c r="C377" s="76" t="e">
        <f t="shared" si="20"/>
        <v>#REF!</v>
      </c>
    </row>
    <row r="378" spans="2:3" ht="15.75" customHeight="1" x14ac:dyDescent="0.25">
      <c r="B378" s="67" t="e">
        <f t="shared" si="19"/>
        <v>#REF!</v>
      </c>
      <c r="C378" s="76" t="e">
        <f t="shared" si="20"/>
        <v>#REF!</v>
      </c>
    </row>
    <row r="379" spans="2:3" ht="15.75" customHeight="1" x14ac:dyDescent="0.25">
      <c r="B379" s="67" t="e">
        <f t="shared" si="19"/>
        <v>#REF!</v>
      </c>
      <c r="C379" s="76" t="e">
        <f t="shared" si="20"/>
        <v>#REF!</v>
      </c>
    </row>
    <row r="380" spans="2:3" ht="15.75" customHeight="1" x14ac:dyDescent="0.25">
      <c r="B380" s="67" t="e">
        <f t="shared" si="19"/>
        <v>#REF!</v>
      </c>
      <c r="C380" s="76" t="e">
        <f t="shared" si="20"/>
        <v>#REF!</v>
      </c>
    </row>
    <row r="381" spans="2:3" ht="15.75" customHeight="1" x14ac:dyDescent="0.25">
      <c r="B381" s="67" t="e">
        <f t="shared" si="19"/>
        <v>#REF!</v>
      </c>
      <c r="C381" s="76" t="e">
        <f t="shared" si="20"/>
        <v>#REF!</v>
      </c>
    </row>
    <row r="382" spans="2:3" ht="15.75" customHeight="1" x14ac:dyDescent="0.25">
      <c r="B382" s="67" t="e">
        <f t="shared" si="19"/>
        <v>#REF!</v>
      </c>
      <c r="C382" s="76" t="e">
        <f t="shared" si="20"/>
        <v>#REF!</v>
      </c>
    </row>
    <row r="383" spans="2:3" ht="15.75" customHeight="1" x14ac:dyDescent="0.25">
      <c r="B383" s="67" t="e">
        <f t="shared" si="19"/>
        <v>#REF!</v>
      </c>
      <c r="C383" s="76" t="e">
        <f t="shared" si="20"/>
        <v>#REF!</v>
      </c>
    </row>
    <row r="384" spans="2:3" ht="15.75" customHeight="1" x14ac:dyDescent="0.25">
      <c r="B384" s="67" t="e">
        <f t="shared" si="19"/>
        <v>#REF!</v>
      </c>
      <c r="C384" s="76" t="e">
        <f t="shared" si="20"/>
        <v>#REF!</v>
      </c>
    </row>
    <row r="385" spans="2:3" ht="15.75" customHeight="1" x14ac:dyDescent="0.25">
      <c r="B385" s="67" t="e">
        <f t="shared" si="19"/>
        <v>#REF!</v>
      </c>
      <c r="C385" s="76" t="e">
        <f t="shared" si="20"/>
        <v>#REF!</v>
      </c>
    </row>
    <row r="386" spans="2:3" ht="15.75" customHeight="1" x14ac:dyDescent="0.25">
      <c r="B386" s="67" t="e">
        <f t="shared" si="19"/>
        <v>#REF!</v>
      </c>
      <c r="C386" s="76" t="e">
        <f t="shared" si="20"/>
        <v>#REF!</v>
      </c>
    </row>
    <row r="387" spans="2:3" ht="15.75" customHeight="1" x14ac:dyDescent="0.25">
      <c r="B387" s="67" t="e">
        <f t="shared" si="19"/>
        <v>#REF!</v>
      </c>
      <c r="C387" s="76" t="e">
        <f t="shared" si="20"/>
        <v>#REF!</v>
      </c>
    </row>
    <row r="388" spans="2:3" ht="15.75" customHeight="1" x14ac:dyDescent="0.25">
      <c r="B388" s="67" t="e">
        <f t="shared" si="19"/>
        <v>#REF!</v>
      </c>
      <c r="C388" s="76" t="e">
        <f t="shared" si="20"/>
        <v>#REF!</v>
      </c>
    </row>
    <row r="389" spans="2:3" ht="15.75" customHeight="1" x14ac:dyDescent="0.25">
      <c r="B389" s="67" t="e">
        <f t="shared" si="19"/>
        <v>#REF!</v>
      </c>
      <c r="C389" s="76" t="e">
        <f t="shared" si="20"/>
        <v>#REF!</v>
      </c>
    </row>
    <row r="390" spans="2:3" ht="15.75" customHeight="1" x14ac:dyDescent="0.25">
      <c r="B390" s="67" t="e">
        <f t="shared" si="19"/>
        <v>#REF!</v>
      </c>
      <c r="C390" s="76" t="e">
        <f t="shared" si="20"/>
        <v>#REF!</v>
      </c>
    </row>
    <row r="391" spans="2:3" ht="15.75" customHeight="1" x14ac:dyDescent="0.25">
      <c r="B391" s="67" t="e">
        <f t="shared" si="19"/>
        <v>#REF!</v>
      </c>
      <c r="C391" s="76" t="e">
        <f t="shared" si="20"/>
        <v>#REF!</v>
      </c>
    </row>
    <row r="392" spans="2:3" ht="15.75" customHeight="1" x14ac:dyDescent="0.25">
      <c r="B392" s="67" t="e">
        <f t="shared" si="19"/>
        <v>#REF!</v>
      </c>
      <c r="C392" s="76" t="e">
        <f t="shared" si="20"/>
        <v>#REF!</v>
      </c>
    </row>
    <row r="393" spans="2:3" ht="15.75" customHeight="1" x14ac:dyDescent="0.25">
      <c r="B393" s="67" t="e">
        <f t="shared" si="19"/>
        <v>#REF!</v>
      </c>
      <c r="C393" s="76" t="e">
        <f t="shared" si="20"/>
        <v>#REF!</v>
      </c>
    </row>
    <row r="394" spans="2:3" ht="15.75" customHeight="1" x14ac:dyDescent="0.25">
      <c r="B394" s="67" t="e">
        <f t="shared" si="19"/>
        <v>#REF!</v>
      </c>
      <c r="C394" s="76" t="e">
        <f t="shared" si="20"/>
        <v>#REF!</v>
      </c>
    </row>
    <row r="395" spans="2:3" ht="15.75" customHeight="1" x14ac:dyDescent="0.25">
      <c r="B395" s="67" t="e">
        <f t="shared" si="19"/>
        <v>#REF!</v>
      </c>
      <c r="C395" s="76" t="e">
        <f t="shared" si="20"/>
        <v>#REF!</v>
      </c>
    </row>
    <row r="396" spans="2:3" ht="15.75" customHeight="1" x14ac:dyDescent="0.25">
      <c r="B396" s="67" t="e">
        <f t="shared" si="19"/>
        <v>#REF!</v>
      </c>
      <c r="C396" s="76" t="e">
        <f t="shared" si="20"/>
        <v>#REF!</v>
      </c>
    </row>
    <row r="397" spans="2:3" ht="15.75" customHeight="1" x14ac:dyDescent="0.25">
      <c r="B397" s="67" t="e">
        <f t="shared" si="19"/>
        <v>#REF!</v>
      </c>
      <c r="C397" s="76" t="e">
        <f t="shared" si="20"/>
        <v>#REF!</v>
      </c>
    </row>
    <row r="398" spans="2:3" ht="15.75" customHeight="1" x14ac:dyDescent="0.25">
      <c r="B398" s="67" t="e">
        <f t="shared" si="19"/>
        <v>#REF!</v>
      </c>
      <c r="C398" s="76" t="e">
        <f t="shared" si="20"/>
        <v>#REF!</v>
      </c>
    </row>
    <row r="399" spans="2:3" ht="15.75" customHeight="1" x14ac:dyDescent="0.25">
      <c r="B399" s="67" t="e">
        <f t="shared" si="19"/>
        <v>#REF!</v>
      </c>
      <c r="C399" s="76" t="e">
        <f t="shared" si="20"/>
        <v>#REF!</v>
      </c>
    </row>
    <row r="400" spans="2:3" ht="15.75" customHeight="1" x14ac:dyDescent="0.25">
      <c r="B400" s="67" t="e">
        <f t="shared" si="19"/>
        <v>#REF!</v>
      </c>
      <c r="C400" s="76" t="e">
        <f t="shared" si="20"/>
        <v>#REF!</v>
      </c>
    </row>
    <row r="401" spans="2:3" ht="15.75" customHeight="1" x14ac:dyDescent="0.25">
      <c r="B401" s="67" t="e">
        <f t="shared" si="19"/>
        <v>#REF!</v>
      </c>
      <c r="C401" s="76" t="e">
        <f t="shared" si="20"/>
        <v>#REF!</v>
      </c>
    </row>
    <row r="402" spans="2:3" ht="15.75" customHeight="1" x14ac:dyDescent="0.25">
      <c r="B402" s="67" t="e">
        <f t="shared" si="19"/>
        <v>#REF!</v>
      </c>
      <c r="C402" s="76" t="e">
        <f t="shared" si="20"/>
        <v>#REF!</v>
      </c>
    </row>
    <row r="403" spans="2:3" ht="15.75" customHeight="1" x14ac:dyDescent="0.25">
      <c r="B403" s="67" t="e">
        <f t="shared" si="19"/>
        <v>#REF!</v>
      </c>
      <c r="C403" s="76" t="e">
        <f t="shared" si="20"/>
        <v>#REF!</v>
      </c>
    </row>
    <row r="404" spans="2:3" ht="15.75" customHeight="1" x14ac:dyDescent="0.25">
      <c r="B404" s="67" t="e">
        <f t="shared" si="19"/>
        <v>#REF!</v>
      </c>
      <c r="C404" s="76" t="e">
        <f t="shared" si="20"/>
        <v>#REF!</v>
      </c>
    </row>
    <row r="405" spans="2:3" ht="15.75" customHeight="1" x14ac:dyDescent="0.25">
      <c r="B405" s="67" t="e">
        <f t="shared" si="19"/>
        <v>#REF!</v>
      </c>
      <c r="C405" s="76" t="e">
        <f t="shared" si="20"/>
        <v>#REF!</v>
      </c>
    </row>
    <row r="406" spans="2:3" ht="15.75" customHeight="1" x14ac:dyDescent="0.25">
      <c r="B406" s="67" t="e">
        <f t="shared" si="19"/>
        <v>#REF!</v>
      </c>
      <c r="C406" s="76" t="e">
        <f t="shared" si="20"/>
        <v>#REF!</v>
      </c>
    </row>
    <row r="407" spans="2:3" ht="15.75" customHeight="1" x14ac:dyDescent="0.25">
      <c r="B407" s="67" t="e">
        <f t="shared" si="19"/>
        <v>#REF!</v>
      </c>
      <c r="C407" s="76" t="e">
        <f t="shared" si="20"/>
        <v>#REF!</v>
      </c>
    </row>
    <row r="408" spans="2:3" ht="15.75" customHeight="1" x14ac:dyDescent="0.25">
      <c r="B408" s="67" t="e">
        <f t="shared" si="19"/>
        <v>#REF!</v>
      </c>
      <c r="C408" s="76" t="e">
        <f t="shared" si="20"/>
        <v>#REF!</v>
      </c>
    </row>
    <row r="409" spans="2:3" ht="15.75" customHeight="1" x14ac:dyDescent="0.25">
      <c r="B409" s="67" t="e">
        <f t="shared" si="19"/>
        <v>#REF!</v>
      </c>
      <c r="C409" s="76" t="e">
        <f t="shared" si="20"/>
        <v>#REF!</v>
      </c>
    </row>
    <row r="410" spans="2:3" ht="15.75" customHeight="1" x14ac:dyDescent="0.25">
      <c r="B410" s="67" t="e">
        <f t="shared" si="19"/>
        <v>#REF!</v>
      </c>
      <c r="C410" s="76" t="e">
        <f t="shared" si="20"/>
        <v>#REF!</v>
      </c>
    </row>
    <row r="411" spans="2:3" ht="15.75" customHeight="1" x14ac:dyDescent="0.25">
      <c r="B411" s="67" t="e">
        <f t="shared" si="19"/>
        <v>#REF!</v>
      </c>
      <c r="C411" s="76" t="e">
        <f t="shared" si="20"/>
        <v>#REF!</v>
      </c>
    </row>
    <row r="412" spans="2:3" ht="15.75" customHeight="1" x14ac:dyDescent="0.25">
      <c r="B412" s="67" t="e">
        <f t="shared" si="19"/>
        <v>#REF!</v>
      </c>
      <c r="C412" s="76" t="e">
        <f t="shared" si="20"/>
        <v>#REF!</v>
      </c>
    </row>
    <row r="413" spans="2:3" ht="15.75" customHeight="1" x14ac:dyDescent="0.25">
      <c r="B413" s="67" t="e">
        <f t="shared" si="19"/>
        <v>#REF!</v>
      </c>
      <c r="C413" s="76" t="e">
        <f t="shared" si="20"/>
        <v>#REF!</v>
      </c>
    </row>
    <row r="414" spans="2:3" ht="15.75" customHeight="1" x14ac:dyDescent="0.25">
      <c r="B414" s="67" t="e">
        <f t="shared" ref="B414:B477" si="21">IF(B413="","",IF(B413+$C$10&lt;=$C$6,B413+$C$10,""))</f>
        <v>#REF!</v>
      </c>
      <c r="C414" s="76" t="e">
        <f t="shared" ref="C414:C477" si="22">IF(B414&lt;&gt;"",C413-$C$2/COUNT($B$18:$B$511),"")</f>
        <v>#REF!</v>
      </c>
    </row>
    <row r="415" spans="2:3" ht="15.75" customHeight="1" x14ac:dyDescent="0.25">
      <c r="B415" s="67" t="e">
        <f t="shared" si="21"/>
        <v>#REF!</v>
      </c>
      <c r="C415" s="76" t="e">
        <f t="shared" si="22"/>
        <v>#REF!</v>
      </c>
    </row>
    <row r="416" spans="2:3" ht="15.75" customHeight="1" x14ac:dyDescent="0.25">
      <c r="B416" s="67" t="e">
        <f t="shared" si="21"/>
        <v>#REF!</v>
      </c>
      <c r="C416" s="76" t="e">
        <f t="shared" si="22"/>
        <v>#REF!</v>
      </c>
    </row>
    <row r="417" spans="2:3" ht="15.75" customHeight="1" x14ac:dyDescent="0.25">
      <c r="B417" s="67" t="e">
        <f t="shared" si="21"/>
        <v>#REF!</v>
      </c>
      <c r="C417" s="76" t="e">
        <f t="shared" si="22"/>
        <v>#REF!</v>
      </c>
    </row>
    <row r="418" spans="2:3" ht="15.75" customHeight="1" x14ac:dyDescent="0.25">
      <c r="B418" s="67" t="e">
        <f t="shared" si="21"/>
        <v>#REF!</v>
      </c>
      <c r="C418" s="76" t="e">
        <f t="shared" si="22"/>
        <v>#REF!</v>
      </c>
    </row>
    <row r="419" spans="2:3" ht="15.75" customHeight="1" x14ac:dyDescent="0.25">
      <c r="B419" s="67" t="e">
        <f t="shared" si="21"/>
        <v>#REF!</v>
      </c>
      <c r="C419" s="76" t="e">
        <f t="shared" si="22"/>
        <v>#REF!</v>
      </c>
    </row>
    <row r="420" spans="2:3" ht="15.75" customHeight="1" x14ac:dyDescent="0.25">
      <c r="B420" s="67" t="e">
        <f t="shared" si="21"/>
        <v>#REF!</v>
      </c>
      <c r="C420" s="76" t="e">
        <f t="shared" si="22"/>
        <v>#REF!</v>
      </c>
    </row>
    <row r="421" spans="2:3" ht="15.75" customHeight="1" x14ac:dyDescent="0.25">
      <c r="B421" s="67" t="e">
        <f t="shared" si="21"/>
        <v>#REF!</v>
      </c>
      <c r="C421" s="76" t="e">
        <f t="shared" si="22"/>
        <v>#REF!</v>
      </c>
    </row>
    <row r="422" spans="2:3" ht="15.75" customHeight="1" x14ac:dyDescent="0.25">
      <c r="B422" s="67" t="e">
        <f t="shared" si="21"/>
        <v>#REF!</v>
      </c>
      <c r="C422" s="76" t="e">
        <f t="shared" si="22"/>
        <v>#REF!</v>
      </c>
    </row>
    <row r="423" spans="2:3" ht="15.75" customHeight="1" x14ac:dyDescent="0.25">
      <c r="B423" s="67" t="e">
        <f t="shared" si="21"/>
        <v>#REF!</v>
      </c>
      <c r="C423" s="76" t="e">
        <f t="shared" si="22"/>
        <v>#REF!</v>
      </c>
    </row>
    <row r="424" spans="2:3" ht="15.75" customHeight="1" x14ac:dyDescent="0.25">
      <c r="B424" s="67" t="e">
        <f t="shared" si="21"/>
        <v>#REF!</v>
      </c>
      <c r="C424" s="76" t="e">
        <f t="shared" si="22"/>
        <v>#REF!</v>
      </c>
    </row>
    <row r="425" spans="2:3" ht="15.75" customHeight="1" x14ac:dyDescent="0.25">
      <c r="B425" s="67" t="e">
        <f t="shared" si="21"/>
        <v>#REF!</v>
      </c>
      <c r="C425" s="76" t="e">
        <f t="shared" si="22"/>
        <v>#REF!</v>
      </c>
    </row>
    <row r="426" spans="2:3" ht="15.75" customHeight="1" x14ac:dyDescent="0.25">
      <c r="B426" s="67" t="e">
        <f t="shared" si="21"/>
        <v>#REF!</v>
      </c>
      <c r="C426" s="76" t="e">
        <f t="shared" si="22"/>
        <v>#REF!</v>
      </c>
    </row>
    <row r="427" spans="2:3" ht="15.75" customHeight="1" x14ac:dyDescent="0.25">
      <c r="B427" s="67" t="e">
        <f t="shared" si="21"/>
        <v>#REF!</v>
      </c>
      <c r="C427" s="76" t="e">
        <f t="shared" si="22"/>
        <v>#REF!</v>
      </c>
    </row>
    <row r="428" spans="2:3" ht="15.75" customHeight="1" x14ac:dyDescent="0.25">
      <c r="B428" s="67" t="e">
        <f t="shared" si="21"/>
        <v>#REF!</v>
      </c>
      <c r="C428" s="76" t="e">
        <f t="shared" si="22"/>
        <v>#REF!</v>
      </c>
    </row>
    <row r="429" spans="2:3" ht="15.75" customHeight="1" x14ac:dyDescent="0.25">
      <c r="B429" s="67" t="e">
        <f t="shared" si="21"/>
        <v>#REF!</v>
      </c>
      <c r="C429" s="76" t="e">
        <f t="shared" si="22"/>
        <v>#REF!</v>
      </c>
    </row>
    <row r="430" spans="2:3" ht="15.75" customHeight="1" x14ac:dyDescent="0.25">
      <c r="B430" s="67" t="e">
        <f t="shared" si="21"/>
        <v>#REF!</v>
      </c>
      <c r="C430" s="76" t="e">
        <f t="shared" si="22"/>
        <v>#REF!</v>
      </c>
    </row>
    <row r="431" spans="2:3" ht="15.75" customHeight="1" x14ac:dyDescent="0.25">
      <c r="B431" s="67" t="e">
        <f t="shared" si="21"/>
        <v>#REF!</v>
      </c>
      <c r="C431" s="76" t="e">
        <f t="shared" si="22"/>
        <v>#REF!</v>
      </c>
    </row>
    <row r="432" spans="2:3" ht="15.75" customHeight="1" x14ac:dyDescent="0.25">
      <c r="B432" s="67" t="e">
        <f t="shared" si="21"/>
        <v>#REF!</v>
      </c>
      <c r="C432" s="76" t="e">
        <f t="shared" si="22"/>
        <v>#REF!</v>
      </c>
    </row>
    <row r="433" spans="2:3" ht="15.75" customHeight="1" x14ac:dyDescent="0.25">
      <c r="B433" s="67" t="e">
        <f t="shared" si="21"/>
        <v>#REF!</v>
      </c>
      <c r="C433" s="76" t="e">
        <f t="shared" si="22"/>
        <v>#REF!</v>
      </c>
    </row>
    <row r="434" spans="2:3" ht="15.75" customHeight="1" x14ac:dyDescent="0.25">
      <c r="B434" s="67" t="e">
        <f t="shared" si="21"/>
        <v>#REF!</v>
      </c>
      <c r="C434" s="76" t="e">
        <f t="shared" si="22"/>
        <v>#REF!</v>
      </c>
    </row>
    <row r="435" spans="2:3" ht="15.75" customHeight="1" x14ac:dyDescent="0.25">
      <c r="B435" s="67" t="e">
        <f t="shared" si="21"/>
        <v>#REF!</v>
      </c>
      <c r="C435" s="76" t="e">
        <f t="shared" si="22"/>
        <v>#REF!</v>
      </c>
    </row>
    <row r="436" spans="2:3" ht="15.75" customHeight="1" x14ac:dyDescent="0.25">
      <c r="B436" s="67" t="e">
        <f t="shared" si="21"/>
        <v>#REF!</v>
      </c>
      <c r="C436" s="76" t="e">
        <f t="shared" si="22"/>
        <v>#REF!</v>
      </c>
    </row>
    <row r="437" spans="2:3" ht="15.75" customHeight="1" x14ac:dyDescent="0.25">
      <c r="B437" s="67" t="e">
        <f t="shared" si="21"/>
        <v>#REF!</v>
      </c>
      <c r="C437" s="76" t="e">
        <f t="shared" si="22"/>
        <v>#REF!</v>
      </c>
    </row>
    <row r="438" spans="2:3" ht="15.75" customHeight="1" x14ac:dyDescent="0.25">
      <c r="B438" s="67" t="e">
        <f t="shared" si="21"/>
        <v>#REF!</v>
      </c>
      <c r="C438" s="76" t="e">
        <f t="shared" si="22"/>
        <v>#REF!</v>
      </c>
    </row>
    <row r="439" spans="2:3" ht="15.75" customHeight="1" x14ac:dyDescent="0.25">
      <c r="B439" s="67" t="e">
        <f t="shared" si="21"/>
        <v>#REF!</v>
      </c>
      <c r="C439" s="76" t="e">
        <f t="shared" si="22"/>
        <v>#REF!</v>
      </c>
    </row>
    <row r="440" spans="2:3" ht="15.75" customHeight="1" x14ac:dyDescent="0.25">
      <c r="B440" s="67" t="e">
        <f t="shared" si="21"/>
        <v>#REF!</v>
      </c>
      <c r="C440" s="76" t="e">
        <f t="shared" si="22"/>
        <v>#REF!</v>
      </c>
    </row>
    <row r="441" spans="2:3" ht="15.75" customHeight="1" x14ac:dyDescent="0.25">
      <c r="B441" s="67" t="e">
        <f t="shared" si="21"/>
        <v>#REF!</v>
      </c>
      <c r="C441" s="76" t="e">
        <f t="shared" si="22"/>
        <v>#REF!</v>
      </c>
    </row>
    <row r="442" spans="2:3" ht="15.75" customHeight="1" x14ac:dyDescent="0.25">
      <c r="B442" s="67" t="e">
        <f t="shared" si="21"/>
        <v>#REF!</v>
      </c>
      <c r="C442" s="76" t="e">
        <f t="shared" si="22"/>
        <v>#REF!</v>
      </c>
    </row>
    <row r="443" spans="2:3" ht="15.75" customHeight="1" x14ac:dyDescent="0.25">
      <c r="B443" s="67" t="e">
        <f t="shared" si="21"/>
        <v>#REF!</v>
      </c>
      <c r="C443" s="76" t="e">
        <f t="shared" si="22"/>
        <v>#REF!</v>
      </c>
    </row>
    <row r="444" spans="2:3" ht="15.75" customHeight="1" x14ac:dyDescent="0.25">
      <c r="B444" s="67" t="e">
        <f t="shared" si="21"/>
        <v>#REF!</v>
      </c>
      <c r="C444" s="76" t="e">
        <f t="shared" si="22"/>
        <v>#REF!</v>
      </c>
    </row>
    <row r="445" spans="2:3" ht="15.75" customHeight="1" x14ac:dyDescent="0.25">
      <c r="B445" s="67" t="e">
        <f t="shared" si="21"/>
        <v>#REF!</v>
      </c>
      <c r="C445" s="76" t="e">
        <f t="shared" si="22"/>
        <v>#REF!</v>
      </c>
    </row>
    <row r="446" spans="2:3" ht="15.75" customHeight="1" x14ac:dyDescent="0.25">
      <c r="B446" s="67" t="e">
        <f t="shared" si="21"/>
        <v>#REF!</v>
      </c>
      <c r="C446" s="76" t="e">
        <f t="shared" si="22"/>
        <v>#REF!</v>
      </c>
    </row>
    <row r="447" spans="2:3" ht="15.75" customHeight="1" x14ac:dyDescent="0.25">
      <c r="B447" s="67" t="e">
        <f t="shared" si="21"/>
        <v>#REF!</v>
      </c>
      <c r="C447" s="76" t="e">
        <f t="shared" si="22"/>
        <v>#REF!</v>
      </c>
    </row>
    <row r="448" spans="2:3" ht="15.75" customHeight="1" x14ac:dyDescent="0.25">
      <c r="B448" s="67" t="e">
        <f t="shared" si="21"/>
        <v>#REF!</v>
      </c>
      <c r="C448" s="76" t="e">
        <f t="shared" si="22"/>
        <v>#REF!</v>
      </c>
    </row>
    <row r="449" spans="2:3" ht="15.75" customHeight="1" x14ac:dyDescent="0.25">
      <c r="B449" s="67" t="e">
        <f t="shared" si="21"/>
        <v>#REF!</v>
      </c>
      <c r="C449" s="76" t="e">
        <f t="shared" si="22"/>
        <v>#REF!</v>
      </c>
    </row>
    <row r="450" spans="2:3" ht="15.75" customHeight="1" x14ac:dyDescent="0.25">
      <c r="B450" s="67" t="e">
        <f t="shared" si="21"/>
        <v>#REF!</v>
      </c>
      <c r="C450" s="76" t="e">
        <f t="shared" si="22"/>
        <v>#REF!</v>
      </c>
    </row>
    <row r="451" spans="2:3" ht="15.75" customHeight="1" x14ac:dyDescent="0.25">
      <c r="B451" s="67" t="e">
        <f t="shared" si="21"/>
        <v>#REF!</v>
      </c>
      <c r="C451" s="76" t="e">
        <f t="shared" si="22"/>
        <v>#REF!</v>
      </c>
    </row>
    <row r="452" spans="2:3" ht="15.75" customHeight="1" x14ac:dyDescent="0.25">
      <c r="B452" s="67" t="e">
        <f t="shared" si="21"/>
        <v>#REF!</v>
      </c>
      <c r="C452" s="76" t="e">
        <f t="shared" si="22"/>
        <v>#REF!</v>
      </c>
    </row>
    <row r="453" spans="2:3" ht="15.75" customHeight="1" x14ac:dyDescent="0.25">
      <c r="B453" s="67" t="e">
        <f t="shared" si="21"/>
        <v>#REF!</v>
      </c>
      <c r="C453" s="76" t="e">
        <f t="shared" si="22"/>
        <v>#REF!</v>
      </c>
    </row>
    <row r="454" spans="2:3" ht="15.75" customHeight="1" x14ac:dyDescent="0.25">
      <c r="B454" s="67" t="e">
        <f t="shared" si="21"/>
        <v>#REF!</v>
      </c>
      <c r="C454" s="76" t="e">
        <f t="shared" si="22"/>
        <v>#REF!</v>
      </c>
    </row>
    <row r="455" spans="2:3" ht="15.75" customHeight="1" x14ac:dyDescent="0.25">
      <c r="B455" s="67" t="e">
        <f t="shared" si="21"/>
        <v>#REF!</v>
      </c>
      <c r="C455" s="76" t="e">
        <f t="shared" si="22"/>
        <v>#REF!</v>
      </c>
    </row>
    <row r="456" spans="2:3" ht="15.75" customHeight="1" x14ac:dyDescent="0.25">
      <c r="B456" s="67" t="e">
        <f t="shared" si="21"/>
        <v>#REF!</v>
      </c>
      <c r="C456" s="76" t="e">
        <f t="shared" si="22"/>
        <v>#REF!</v>
      </c>
    </row>
    <row r="457" spans="2:3" ht="15.75" customHeight="1" x14ac:dyDescent="0.25">
      <c r="B457" s="67" t="e">
        <f t="shared" si="21"/>
        <v>#REF!</v>
      </c>
      <c r="C457" s="76" t="e">
        <f t="shared" si="22"/>
        <v>#REF!</v>
      </c>
    </row>
    <row r="458" spans="2:3" ht="15.75" customHeight="1" x14ac:dyDescent="0.25">
      <c r="B458" s="67" t="e">
        <f t="shared" si="21"/>
        <v>#REF!</v>
      </c>
      <c r="C458" s="76" t="e">
        <f t="shared" si="22"/>
        <v>#REF!</v>
      </c>
    </row>
    <row r="459" spans="2:3" ht="15.75" customHeight="1" x14ac:dyDescent="0.25">
      <c r="B459" s="67" t="e">
        <f t="shared" si="21"/>
        <v>#REF!</v>
      </c>
      <c r="C459" s="76" t="e">
        <f t="shared" si="22"/>
        <v>#REF!</v>
      </c>
    </row>
    <row r="460" spans="2:3" ht="15.75" customHeight="1" x14ac:dyDescent="0.25">
      <c r="B460" s="67" t="e">
        <f t="shared" si="21"/>
        <v>#REF!</v>
      </c>
      <c r="C460" s="76" t="e">
        <f t="shared" si="22"/>
        <v>#REF!</v>
      </c>
    </row>
    <row r="461" spans="2:3" ht="15.75" customHeight="1" x14ac:dyDescent="0.25">
      <c r="B461" s="67" t="e">
        <f t="shared" si="21"/>
        <v>#REF!</v>
      </c>
      <c r="C461" s="76" t="e">
        <f t="shared" si="22"/>
        <v>#REF!</v>
      </c>
    </row>
    <row r="462" spans="2:3" ht="15.75" customHeight="1" x14ac:dyDescent="0.25">
      <c r="B462" s="67" t="e">
        <f t="shared" si="21"/>
        <v>#REF!</v>
      </c>
      <c r="C462" s="76" t="e">
        <f t="shared" si="22"/>
        <v>#REF!</v>
      </c>
    </row>
    <row r="463" spans="2:3" ht="15.75" customHeight="1" x14ac:dyDescent="0.25">
      <c r="B463" s="67" t="e">
        <f t="shared" si="21"/>
        <v>#REF!</v>
      </c>
      <c r="C463" s="76" t="e">
        <f t="shared" si="22"/>
        <v>#REF!</v>
      </c>
    </row>
    <row r="464" spans="2:3" ht="15.75" customHeight="1" x14ac:dyDescent="0.25">
      <c r="B464" s="67" t="e">
        <f t="shared" si="21"/>
        <v>#REF!</v>
      </c>
      <c r="C464" s="76" t="e">
        <f t="shared" si="22"/>
        <v>#REF!</v>
      </c>
    </row>
    <row r="465" spans="2:3" ht="15.75" customHeight="1" x14ac:dyDescent="0.25">
      <c r="B465" s="67" t="e">
        <f t="shared" si="21"/>
        <v>#REF!</v>
      </c>
      <c r="C465" s="76" t="e">
        <f t="shared" si="22"/>
        <v>#REF!</v>
      </c>
    </row>
    <row r="466" spans="2:3" ht="15.75" customHeight="1" x14ac:dyDescent="0.25">
      <c r="B466" s="67" t="e">
        <f t="shared" si="21"/>
        <v>#REF!</v>
      </c>
      <c r="C466" s="76" t="e">
        <f t="shared" si="22"/>
        <v>#REF!</v>
      </c>
    </row>
    <row r="467" spans="2:3" ht="15.75" customHeight="1" x14ac:dyDescent="0.25">
      <c r="B467" s="67" t="e">
        <f t="shared" si="21"/>
        <v>#REF!</v>
      </c>
      <c r="C467" s="76" t="e">
        <f t="shared" si="22"/>
        <v>#REF!</v>
      </c>
    </row>
    <row r="468" spans="2:3" ht="15.75" customHeight="1" x14ac:dyDescent="0.25">
      <c r="B468" s="67" t="e">
        <f t="shared" si="21"/>
        <v>#REF!</v>
      </c>
      <c r="C468" s="76" t="e">
        <f t="shared" si="22"/>
        <v>#REF!</v>
      </c>
    </row>
    <row r="469" spans="2:3" ht="15.75" customHeight="1" x14ac:dyDescent="0.25">
      <c r="B469" s="67" t="e">
        <f t="shared" si="21"/>
        <v>#REF!</v>
      </c>
      <c r="C469" s="76" t="e">
        <f t="shared" si="22"/>
        <v>#REF!</v>
      </c>
    </row>
    <row r="470" spans="2:3" ht="15.75" customHeight="1" x14ac:dyDescent="0.25">
      <c r="B470" s="67" t="e">
        <f t="shared" si="21"/>
        <v>#REF!</v>
      </c>
      <c r="C470" s="76" t="e">
        <f t="shared" si="22"/>
        <v>#REF!</v>
      </c>
    </row>
    <row r="471" spans="2:3" ht="15.75" customHeight="1" x14ac:dyDescent="0.25">
      <c r="B471" s="67" t="e">
        <f t="shared" si="21"/>
        <v>#REF!</v>
      </c>
      <c r="C471" s="76" t="e">
        <f t="shared" si="22"/>
        <v>#REF!</v>
      </c>
    </row>
    <row r="472" spans="2:3" ht="15.75" customHeight="1" x14ac:dyDescent="0.25">
      <c r="B472" s="67" t="e">
        <f t="shared" si="21"/>
        <v>#REF!</v>
      </c>
      <c r="C472" s="76" t="e">
        <f t="shared" si="22"/>
        <v>#REF!</v>
      </c>
    </row>
    <row r="473" spans="2:3" ht="15.75" customHeight="1" x14ac:dyDescent="0.25">
      <c r="B473" s="67" t="e">
        <f t="shared" si="21"/>
        <v>#REF!</v>
      </c>
      <c r="C473" s="76" t="e">
        <f t="shared" si="22"/>
        <v>#REF!</v>
      </c>
    </row>
    <row r="474" spans="2:3" ht="15.75" customHeight="1" x14ac:dyDescent="0.25">
      <c r="B474" s="67" t="e">
        <f t="shared" si="21"/>
        <v>#REF!</v>
      </c>
      <c r="C474" s="76" t="e">
        <f t="shared" si="22"/>
        <v>#REF!</v>
      </c>
    </row>
    <row r="475" spans="2:3" ht="15.75" customHeight="1" x14ac:dyDescent="0.25">
      <c r="B475" s="67" t="e">
        <f t="shared" si="21"/>
        <v>#REF!</v>
      </c>
      <c r="C475" s="76" t="e">
        <f t="shared" si="22"/>
        <v>#REF!</v>
      </c>
    </row>
    <row r="476" spans="2:3" ht="15.75" customHeight="1" x14ac:dyDescent="0.25">
      <c r="B476" s="67" t="e">
        <f t="shared" si="21"/>
        <v>#REF!</v>
      </c>
      <c r="C476" s="76" t="e">
        <f t="shared" si="22"/>
        <v>#REF!</v>
      </c>
    </row>
    <row r="477" spans="2:3" ht="15.75" customHeight="1" x14ac:dyDescent="0.25">
      <c r="B477" s="67" t="e">
        <f t="shared" si="21"/>
        <v>#REF!</v>
      </c>
      <c r="C477" s="76" t="e">
        <f t="shared" si="22"/>
        <v>#REF!</v>
      </c>
    </row>
    <row r="478" spans="2:3" ht="15.75" customHeight="1" x14ac:dyDescent="0.25">
      <c r="B478" s="67" t="e">
        <f t="shared" ref="B478:B512" si="23">IF(B477="","",IF(B477+$C$10&lt;=$C$6,B477+$C$10,""))</f>
        <v>#REF!</v>
      </c>
      <c r="C478" s="76" t="e">
        <f t="shared" ref="C478:C512" si="24">IF(B478&lt;&gt;"",C477-$C$2/COUNT($B$18:$B$511),"")</f>
        <v>#REF!</v>
      </c>
    </row>
    <row r="479" spans="2:3" ht="15.75" customHeight="1" x14ac:dyDescent="0.25">
      <c r="B479" s="67" t="e">
        <f t="shared" si="23"/>
        <v>#REF!</v>
      </c>
      <c r="C479" s="76" t="e">
        <f t="shared" si="24"/>
        <v>#REF!</v>
      </c>
    </row>
    <row r="480" spans="2:3" ht="15.75" customHeight="1" x14ac:dyDescent="0.25">
      <c r="B480" s="67" t="e">
        <f t="shared" si="23"/>
        <v>#REF!</v>
      </c>
      <c r="C480" s="76" t="e">
        <f t="shared" si="24"/>
        <v>#REF!</v>
      </c>
    </row>
    <row r="481" spans="2:3" ht="15.75" customHeight="1" x14ac:dyDescent="0.25">
      <c r="B481" s="67" t="e">
        <f t="shared" si="23"/>
        <v>#REF!</v>
      </c>
      <c r="C481" s="76" t="e">
        <f t="shared" si="24"/>
        <v>#REF!</v>
      </c>
    </row>
    <row r="482" spans="2:3" ht="15.75" customHeight="1" x14ac:dyDescent="0.25">
      <c r="B482" s="67" t="e">
        <f t="shared" si="23"/>
        <v>#REF!</v>
      </c>
      <c r="C482" s="76" t="e">
        <f t="shared" si="24"/>
        <v>#REF!</v>
      </c>
    </row>
    <row r="483" spans="2:3" ht="15.75" customHeight="1" x14ac:dyDescent="0.25">
      <c r="B483" s="67" t="e">
        <f t="shared" si="23"/>
        <v>#REF!</v>
      </c>
      <c r="C483" s="76" t="e">
        <f t="shared" si="24"/>
        <v>#REF!</v>
      </c>
    </row>
    <row r="484" spans="2:3" ht="15.75" customHeight="1" x14ac:dyDescent="0.25">
      <c r="B484" s="67" t="e">
        <f t="shared" si="23"/>
        <v>#REF!</v>
      </c>
      <c r="C484" s="76" t="e">
        <f t="shared" si="24"/>
        <v>#REF!</v>
      </c>
    </row>
    <row r="485" spans="2:3" ht="15.75" customHeight="1" x14ac:dyDescent="0.25">
      <c r="B485" s="67" t="e">
        <f t="shared" si="23"/>
        <v>#REF!</v>
      </c>
      <c r="C485" s="76" t="e">
        <f t="shared" si="24"/>
        <v>#REF!</v>
      </c>
    </row>
    <row r="486" spans="2:3" ht="15.75" customHeight="1" x14ac:dyDescent="0.25">
      <c r="B486" s="67" t="e">
        <f t="shared" si="23"/>
        <v>#REF!</v>
      </c>
      <c r="C486" s="76" t="e">
        <f t="shared" si="24"/>
        <v>#REF!</v>
      </c>
    </row>
    <row r="487" spans="2:3" ht="15.75" customHeight="1" x14ac:dyDescent="0.25">
      <c r="B487" s="67" t="e">
        <f t="shared" si="23"/>
        <v>#REF!</v>
      </c>
      <c r="C487" s="76" t="e">
        <f t="shared" si="24"/>
        <v>#REF!</v>
      </c>
    </row>
    <row r="488" spans="2:3" ht="15.75" customHeight="1" x14ac:dyDescent="0.25">
      <c r="B488" s="67" t="e">
        <f t="shared" si="23"/>
        <v>#REF!</v>
      </c>
      <c r="C488" s="76" t="e">
        <f t="shared" si="24"/>
        <v>#REF!</v>
      </c>
    </row>
    <row r="489" spans="2:3" ht="15.75" customHeight="1" x14ac:dyDescent="0.25">
      <c r="B489" s="67" t="e">
        <f t="shared" si="23"/>
        <v>#REF!</v>
      </c>
      <c r="C489" s="76" t="e">
        <f t="shared" si="24"/>
        <v>#REF!</v>
      </c>
    </row>
    <row r="490" spans="2:3" ht="15.75" customHeight="1" x14ac:dyDescent="0.25">
      <c r="B490" s="67" t="e">
        <f t="shared" si="23"/>
        <v>#REF!</v>
      </c>
      <c r="C490" s="76" t="e">
        <f t="shared" si="24"/>
        <v>#REF!</v>
      </c>
    </row>
    <row r="491" spans="2:3" ht="15.75" customHeight="1" x14ac:dyDescent="0.25">
      <c r="B491" s="67" t="e">
        <f t="shared" si="23"/>
        <v>#REF!</v>
      </c>
      <c r="C491" s="76" t="e">
        <f t="shared" si="24"/>
        <v>#REF!</v>
      </c>
    </row>
    <row r="492" spans="2:3" ht="15.75" customHeight="1" x14ac:dyDescent="0.25">
      <c r="B492" s="67" t="e">
        <f t="shared" si="23"/>
        <v>#REF!</v>
      </c>
      <c r="C492" s="76" t="e">
        <f t="shared" si="24"/>
        <v>#REF!</v>
      </c>
    </row>
    <row r="493" spans="2:3" ht="15.75" customHeight="1" x14ac:dyDescent="0.25">
      <c r="B493" s="67" t="e">
        <f t="shared" si="23"/>
        <v>#REF!</v>
      </c>
      <c r="C493" s="76" t="e">
        <f t="shared" si="24"/>
        <v>#REF!</v>
      </c>
    </row>
    <row r="494" spans="2:3" ht="15.75" customHeight="1" x14ac:dyDescent="0.25">
      <c r="B494" s="67" t="e">
        <f t="shared" si="23"/>
        <v>#REF!</v>
      </c>
      <c r="C494" s="76" t="e">
        <f t="shared" si="24"/>
        <v>#REF!</v>
      </c>
    </row>
    <row r="495" spans="2:3" ht="15.75" customHeight="1" x14ac:dyDescent="0.25">
      <c r="B495" s="67" t="e">
        <f t="shared" si="23"/>
        <v>#REF!</v>
      </c>
      <c r="C495" s="76" t="e">
        <f t="shared" si="24"/>
        <v>#REF!</v>
      </c>
    </row>
    <row r="496" spans="2:3" ht="15.75" customHeight="1" x14ac:dyDescent="0.25">
      <c r="B496" s="67" t="e">
        <f t="shared" si="23"/>
        <v>#REF!</v>
      </c>
      <c r="C496" s="76" t="e">
        <f t="shared" si="24"/>
        <v>#REF!</v>
      </c>
    </row>
    <row r="497" spans="2:3" ht="15.75" customHeight="1" x14ac:dyDescent="0.25">
      <c r="B497" s="67" t="e">
        <f t="shared" si="23"/>
        <v>#REF!</v>
      </c>
      <c r="C497" s="76" t="e">
        <f t="shared" si="24"/>
        <v>#REF!</v>
      </c>
    </row>
    <row r="498" spans="2:3" ht="15.75" customHeight="1" x14ac:dyDescent="0.25">
      <c r="B498" s="67" t="e">
        <f t="shared" si="23"/>
        <v>#REF!</v>
      </c>
      <c r="C498" s="76" t="e">
        <f t="shared" si="24"/>
        <v>#REF!</v>
      </c>
    </row>
    <row r="499" spans="2:3" ht="15.75" customHeight="1" x14ac:dyDescent="0.25">
      <c r="B499" s="67" t="e">
        <f t="shared" si="23"/>
        <v>#REF!</v>
      </c>
      <c r="C499" s="76" t="e">
        <f t="shared" si="24"/>
        <v>#REF!</v>
      </c>
    </row>
    <row r="500" spans="2:3" ht="15.75" customHeight="1" x14ac:dyDescent="0.25">
      <c r="B500" s="67" t="e">
        <f t="shared" si="23"/>
        <v>#REF!</v>
      </c>
      <c r="C500" s="76" t="e">
        <f t="shared" si="24"/>
        <v>#REF!</v>
      </c>
    </row>
    <row r="501" spans="2:3" ht="15.75" customHeight="1" x14ac:dyDescent="0.25">
      <c r="B501" s="67" t="e">
        <f t="shared" si="23"/>
        <v>#REF!</v>
      </c>
      <c r="C501" s="76" t="e">
        <f t="shared" si="24"/>
        <v>#REF!</v>
      </c>
    </row>
    <row r="502" spans="2:3" ht="15.75" customHeight="1" x14ac:dyDescent="0.25">
      <c r="B502" s="67" t="e">
        <f t="shared" si="23"/>
        <v>#REF!</v>
      </c>
      <c r="C502" s="76" t="e">
        <f t="shared" si="24"/>
        <v>#REF!</v>
      </c>
    </row>
    <row r="503" spans="2:3" ht="15.75" customHeight="1" x14ac:dyDescent="0.25">
      <c r="B503" s="67" t="e">
        <f t="shared" si="23"/>
        <v>#REF!</v>
      </c>
      <c r="C503" s="76" t="e">
        <f t="shared" si="24"/>
        <v>#REF!</v>
      </c>
    </row>
    <row r="504" spans="2:3" ht="15.75" customHeight="1" x14ac:dyDescent="0.25">
      <c r="B504" s="67" t="e">
        <f t="shared" si="23"/>
        <v>#REF!</v>
      </c>
      <c r="C504" s="76" t="e">
        <f t="shared" si="24"/>
        <v>#REF!</v>
      </c>
    </row>
    <row r="505" spans="2:3" ht="15.75" customHeight="1" x14ac:dyDescent="0.25">
      <c r="B505" s="67" t="e">
        <f t="shared" si="23"/>
        <v>#REF!</v>
      </c>
      <c r="C505" s="76" t="e">
        <f t="shared" si="24"/>
        <v>#REF!</v>
      </c>
    </row>
    <row r="506" spans="2:3" ht="15.75" customHeight="1" x14ac:dyDescent="0.25">
      <c r="B506" s="67" t="e">
        <f t="shared" si="23"/>
        <v>#REF!</v>
      </c>
      <c r="C506" s="76" t="e">
        <f t="shared" si="24"/>
        <v>#REF!</v>
      </c>
    </row>
    <row r="507" spans="2:3" ht="15.75" customHeight="1" x14ac:dyDescent="0.25">
      <c r="B507" s="67" t="e">
        <f t="shared" si="23"/>
        <v>#REF!</v>
      </c>
      <c r="C507" s="76" t="e">
        <f t="shared" si="24"/>
        <v>#REF!</v>
      </c>
    </row>
    <row r="508" spans="2:3" ht="15.75" customHeight="1" x14ac:dyDescent="0.25">
      <c r="B508" s="67" t="e">
        <f t="shared" si="23"/>
        <v>#REF!</v>
      </c>
      <c r="C508" s="76" t="e">
        <f t="shared" si="24"/>
        <v>#REF!</v>
      </c>
    </row>
    <row r="509" spans="2:3" ht="15.75" customHeight="1" x14ac:dyDescent="0.25">
      <c r="B509" s="67" t="e">
        <f t="shared" si="23"/>
        <v>#REF!</v>
      </c>
      <c r="C509" s="76" t="e">
        <f t="shared" si="24"/>
        <v>#REF!</v>
      </c>
    </row>
    <row r="510" spans="2:3" ht="15.75" customHeight="1" x14ac:dyDescent="0.25">
      <c r="B510" s="67" t="e">
        <f t="shared" si="23"/>
        <v>#REF!</v>
      </c>
      <c r="C510" s="76" t="e">
        <f t="shared" si="24"/>
        <v>#REF!</v>
      </c>
    </row>
    <row r="511" spans="2:3" ht="15.75" customHeight="1" x14ac:dyDescent="0.25">
      <c r="B511" s="67" t="e">
        <f t="shared" si="23"/>
        <v>#REF!</v>
      </c>
      <c r="C511" s="76" t="e">
        <f t="shared" si="24"/>
        <v>#REF!</v>
      </c>
    </row>
    <row r="512" spans="2:3" ht="15.75" customHeight="1" x14ac:dyDescent="0.25">
      <c r="B512" s="67" t="e">
        <f t="shared" si="23"/>
        <v>#REF!</v>
      </c>
      <c r="C512" s="76" t="e">
        <f t="shared" si="24"/>
        <v>#REF!</v>
      </c>
    </row>
  </sheetData>
  <mergeCells count="3">
    <mergeCell ref="A1:K1"/>
    <mergeCell ref="B13:F13"/>
    <mergeCell ref="G13:L13"/>
  </mergeCells>
  <conditionalFormatting sqref="A15:F15 L15 H15:H33 A16:A48">
    <cfRule type="expression" dxfId="98" priority="11">
      <formula>AND(TODAY()&gt;=$B$15,TODAY()&lt;$B$16)</formula>
    </cfRule>
  </conditionalFormatting>
  <conditionalFormatting sqref="B15:B59">
    <cfRule type="cellIs" dxfId="97" priority="8" operator="greaterThan">
      <formula>$C$6</formula>
    </cfRule>
  </conditionalFormatting>
  <conditionalFormatting sqref="B16:B48 A49:B59 G15:G33 J32 J33:L33 F34:L59">
    <cfRule type="expression" dxfId="96" priority="9">
      <formula>AND(TODAY()&gt;=$B15,TODAY()&lt;$B16)</formula>
    </cfRule>
  </conditionalFormatting>
  <conditionalFormatting sqref="C2:C3">
    <cfRule type="expression" dxfId="95" priority="4">
      <formula>AND(TODAY()&gt;=$B$15,TODAY()&lt;$B$16)</formula>
    </cfRule>
  </conditionalFormatting>
  <conditionalFormatting sqref="C16:E59">
    <cfRule type="expression" dxfId="94" priority="1">
      <formula>AND(TODAY()&gt;=$B16,TODAY()&lt;$B17)</formula>
    </cfRule>
  </conditionalFormatting>
  <conditionalFormatting sqref="I15:I33">
    <cfRule type="expression" dxfId="93" priority="10">
      <formula>AND(TODAY()&gt;=$B15,TODAY()&lt;$B16)</formula>
    </cfRule>
  </conditionalFormatting>
  <conditionalFormatting sqref="J15:J31">
    <cfRule type="expression" dxfId="92" priority="5">
      <formula>AND(TODAY()&gt;=$B$15,TODAY()&lt;$B$16)</formula>
    </cfRule>
  </conditionalFormatting>
  <conditionalFormatting sqref="K15:K32">
    <cfRule type="expression" dxfId="91" priority="6">
      <formula>AND(TODAY()&gt;=$B$15,TODAY()&lt;$B$16)</formula>
    </cfRule>
  </conditionalFormatting>
  <conditionalFormatting sqref="L16:L21 F16:F33 L23:L32">
    <cfRule type="expression" dxfId="90" priority="7">
      <formula>AND(TODAY()&gt;=$B16,TODAY()&lt;$B17)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B5150F-D7DF-4061-B891-E04F4CF32683}">
          <x14:formula1>
            <xm:f>'LEIA-ME'!$C$2:$C$6</xm:f>
          </x14:formula1>
          <xm:sqref>C3</xm:sqref>
        </x14:dataValidation>
        <x14:dataValidation type="list" allowBlank="1" showInputMessage="1" showErrorMessage="1" xr:uid="{3A0B1264-D54C-442E-A3BC-01A23164A06D}">
          <x14:formula1>
            <xm:f>'LEIA-ME'!$B:$B</xm:f>
          </x14:formula1>
          <xm:sqref>C2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2B1B-767F-4AE6-B710-EBF72E760C9F}">
  <sheetPr>
    <tabColor theme="9" tint="-0.499984740745262"/>
  </sheetPr>
  <dimension ref="A1:L512"/>
  <sheetViews>
    <sheetView topLeftCell="A9" workbookViewId="0">
      <selection activeCell="D9" sqref="D9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6" width="12.625" style="59" customWidth="1"/>
    <col min="7" max="11" width="13.875" style="59" customWidth="1"/>
    <col min="12" max="12" width="22.25" style="59" customWidth="1"/>
    <col min="13" max="13" width="34.375" style="59" customWidth="1"/>
    <col min="14" max="16384" width="12.625" style="59"/>
  </cols>
  <sheetData>
    <row r="1" spans="1:12" ht="19.5" x14ac:dyDescent="0.25">
      <c r="A1" s="154" t="s">
        <v>20</v>
      </c>
      <c r="B1" s="167"/>
      <c r="C1" s="167"/>
      <c r="D1" s="155"/>
      <c r="E1" s="155"/>
      <c r="F1" s="155"/>
      <c r="G1" s="155"/>
      <c r="H1" s="155"/>
      <c r="I1" s="155"/>
      <c r="J1" s="155"/>
      <c r="K1" s="156"/>
    </row>
    <row r="2" spans="1:12" ht="33.75" customHeight="1" x14ac:dyDescent="0.25">
      <c r="A2" s="68"/>
      <c r="B2" s="119" t="s">
        <v>2542</v>
      </c>
      <c r="C2" s="124" t="s">
        <v>96</v>
      </c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15.75" customHeight="1" x14ac:dyDescent="0.25">
      <c r="A3" s="68"/>
      <c r="B3" s="119" t="s">
        <v>66</v>
      </c>
      <c r="C3" s="120" t="s">
        <v>75</v>
      </c>
      <c r="D3" s="70"/>
      <c r="E3" s="71"/>
      <c r="F3" s="71"/>
      <c r="G3" s="65"/>
      <c r="H3" s="65"/>
      <c r="I3" s="65"/>
      <c r="J3" s="65"/>
      <c r="K3" s="65"/>
      <c r="L3" s="65"/>
    </row>
    <row r="4" spans="1:12" ht="19.5" x14ac:dyDescent="0.25">
      <c r="B4" s="121" t="s">
        <v>2494</v>
      </c>
      <c r="C4" s="110">
        <f>COUNTIFS(jornada,"*" &amp; C2 &amp; "*",release,"*" &amp; C3&amp; "*")</f>
        <v>24</v>
      </c>
      <c r="D4" s="70" t="s">
        <v>25</v>
      </c>
      <c r="E4" s="71" t="s">
        <v>26</v>
      </c>
      <c r="F4" s="71"/>
      <c r="G4" s="65"/>
      <c r="H4" s="65"/>
      <c r="I4" s="65"/>
      <c r="J4" s="65"/>
      <c r="K4" s="65"/>
      <c r="L4" s="65"/>
    </row>
    <row r="5" spans="1:12" ht="15.75" customHeight="1" x14ac:dyDescent="0.25">
      <c r="B5" s="122" t="s">
        <v>27</v>
      </c>
      <c r="C5" s="107">
        <v>46083</v>
      </c>
      <c r="D5" s="70" t="s">
        <v>28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122" t="s">
        <v>29</v>
      </c>
      <c r="C6" s="107">
        <v>46143</v>
      </c>
      <c r="D6" s="70" t="s">
        <v>30</v>
      </c>
      <c r="E6" s="65"/>
      <c r="F6" s="65"/>
      <c r="G6" s="65"/>
      <c r="H6" s="65"/>
      <c r="I6" s="65"/>
      <c r="J6" s="65"/>
      <c r="K6" s="65"/>
      <c r="L6" s="65"/>
    </row>
    <row r="7" spans="1:12" ht="15.75" customHeight="1" x14ac:dyDescent="0.25">
      <c r="B7" s="119" t="s">
        <v>31</v>
      </c>
      <c r="C7" s="106" cm="1">
        <f t="array" ref="C7">IF(MAX(INDEX(J:J, LARGE(IF(J:J&lt;&gt;"", ROW(J:J)), {1;2;3;4})))=0,
  1,
  MAX(INDEX(J:J, LARGE(IF(J:J&lt;&gt;"", ROW(J:J)), {1;2;3;4}))))</f>
        <v>2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119" t="s">
        <v>34</v>
      </c>
      <c r="C8" s="106" cm="1">
        <f t="array" ref="C8">IF(MIN(INDEX(J:J, LARGE(IF(J:J&lt;&gt;"", ROW(J:J)), {1;2;3;4})))=0,
  1,
  MIN(INDEX(J:J, LARGE(IF(J:J&lt;&gt;"", ROW(J:J)), {1;2;3;4}))))</f>
        <v>1</v>
      </c>
      <c r="D8" s="70" t="s">
        <v>32</v>
      </c>
      <c r="E8" s="71" t="s">
        <v>33</v>
      </c>
      <c r="F8" s="71"/>
      <c r="G8" s="65"/>
      <c r="H8" s="65"/>
      <c r="I8" s="65"/>
      <c r="J8" s="65"/>
      <c r="K8" s="65"/>
      <c r="L8" s="65"/>
    </row>
    <row r="9" spans="1:12" ht="15.75" customHeight="1" x14ac:dyDescent="0.25">
      <c r="B9" s="122" t="s">
        <v>35</v>
      </c>
      <c r="C9" s="108">
        <v>20</v>
      </c>
      <c r="D9" s="70" t="s">
        <v>32</v>
      </c>
      <c r="E9" s="65"/>
      <c r="F9" s="65"/>
      <c r="G9" s="65"/>
      <c r="H9" s="65"/>
      <c r="I9" s="65"/>
      <c r="J9" s="65"/>
      <c r="K9" s="65"/>
      <c r="L9" s="65"/>
    </row>
    <row r="10" spans="1:12" ht="15.75" customHeight="1" x14ac:dyDescent="0.25">
      <c r="B10" s="122" t="s">
        <v>36</v>
      </c>
      <c r="C10" s="109">
        <v>7</v>
      </c>
      <c r="D10" s="70" t="s">
        <v>37</v>
      </c>
      <c r="E10" s="65"/>
      <c r="F10" s="65"/>
      <c r="G10" s="65"/>
      <c r="H10" s="65"/>
      <c r="I10" s="65"/>
      <c r="J10" s="65"/>
      <c r="K10" s="65"/>
      <c r="L10" s="65"/>
    </row>
    <row r="11" spans="1:12" ht="15.75" hidden="1" customHeight="1" x14ac:dyDescent="0.25">
      <c r="B11" s="112"/>
      <c r="C11" s="65"/>
      <c r="D11" s="113"/>
      <c r="E11" s="65"/>
      <c r="F11" s="65"/>
      <c r="G11" s="65"/>
      <c r="H11" s="65"/>
      <c r="I11" s="65"/>
      <c r="J11" s="65"/>
      <c r="K11" s="65"/>
      <c r="L11" s="65"/>
    </row>
    <row r="12" spans="1:12" s="39" customFormat="1" ht="40.5" customHeight="1" x14ac:dyDescent="0.45">
      <c r="A12" s="103"/>
      <c r="B12" s="61" t="s">
        <v>38</v>
      </c>
      <c r="C12" s="60" t="s">
        <v>39</v>
      </c>
      <c r="D12" s="60" t="s">
        <v>40</v>
      </c>
      <c r="E12" s="60" t="s">
        <v>41</v>
      </c>
      <c r="F12" s="60" t="s">
        <v>42</v>
      </c>
      <c r="G12" s="60" t="s">
        <v>43</v>
      </c>
      <c r="H12" s="60" t="s">
        <v>44</v>
      </c>
      <c r="I12" s="60" t="s">
        <v>45</v>
      </c>
      <c r="J12" s="60" t="s">
        <v>46</v>
      </c>
      <c r="K12" s="60" t="s">
        <v>47</v>
      </c>
      <c r="L12" s="60" t="s">
        <v>48</v>
      </c>
    </row>
    <row r="13" spans="1:12" ht="19.5" customHeight="1" x14ac:dyDescent="0.25">
      <c r="A13" s="91"/>
      <c r="B13" s="162" t="s">
        <v>49</v>
      </c>
      <c r="C13" s="163"/>
      <c r="D13" s="163"/>
      <c r="E13" s="163"/>
      <c r="F13" s="164"/>
      <c r="G13" s="165" t="s">
        <v>50</v>
      </c>
      <c r="H13" s="166"/>
      <c r="I13" s="166"/>
      <c r="J13" s="166"/>
      <c r="K13" s="166"/>
      <c r="L13" s="166"/>
    </row>
    <row r="14" spans="1:12" ht="31.5" customHeight="1" x14ac:dyDescent="0.25">
      <c r="A14" s="44" t="s">
        <v>51</v>
      </c>
      <c r="B14" s="45" t="s">
        <v>52</v>
      </c>
      <c r="C14" s="46" t="s">
        <v>2495</v>
      </c>
      <c r="D14" s="46" t="s">
        <v>2496</v>
      </c>
      <c r="E14" s="46" t="s">
        <v>55</v>
      </c>
      <c r="F14" s="58" t="s">
        <v>56</v>
      </c>
      <c r="G14" s="47" t="s">
        <v>57</v>
      </c>
      <c r="H14" s="47" t="s">
        <v>58</v>
      </c>
      <c r="I14" s="48" t="s">
        <v>2561</v>
      </c>
      <c r="J14" s="54" t="s">
        <v>60</v>
      </c>
      <c r="K14" s="87" t="s">
        <v>2562</v>
      </c>
      <c r="L14" s="77" t="s">
        <v>62</v>
      </c>
    </row>
    <row r="15" spans="1:12" ht="17.25" customHeight="1" x14ac:dyDescent="0.25">
      <c r="A15" s="73" t="s">
        <v>2543</v>
      </c>
      <c r="B15" s="66">
        <f>C5</f>
        <v>46083</v>
      </c>
      <c r="C15" s="79">
        <f>$C$4</f>
        <v>24</v>
      </c>
      <c r="D15" s="79">
        <f>$C$4</f>
        <v>24</v>
      </c>
      <c r="E15" s="79">
        <f>$C$4</f>
        <v>24</v>
      </c>
      <c r="F15" s="80"/>
      <c r="G15" s="118">
        <f>COUNTIFS(dtc, "&gt;=" &amp; INT(B15),dtc,
 "&lt;"  &amp; INT(B15)+1,jornada, "*" &amp; $C$2 &amp; "*",release, "*" &amp; $C$3 &amp; "*",Item,
 "&lt;&gt;BUG")</f>
        <v>2</v>
      </c>
      <c r="H15" s="81">
        <f t="shared" ref="H15:H17" si="0">COUNTIFS(dtc, "&gt;=" &amp;(INT(B15)+1),dtc,
 "&lt;"  &amp;(INT(B15)+7),jornada,
 "*" &amp; $C$2 &amp; "*",release, "*" &amp; $C$3 &amp; "*",Item,
 "&lt;&gt;BUG")</f>
        <v>0</v>
      </c>
      <c r="I15" s="82">
        <f t="shared" ref="I15:I17" si="1">COUNTIFS(jornada, "*" &amp; $C$2 &amp; "*",release, "*" &amp; $C$3 &amp; "*",Item,
 "BUG",criado,
 "&gt;=" &amp; INT(B15),criado,
 "&lt;"  &amp; INT(B15)+7)</f>
        <v>0</v>
      </c>
      <c r="J15" s="83">
        <f t="shared" ref="J15:J17" si="2">COUNTIFS(jornada, "*" &amp; $C$2 &amp; "*",release, "*" &amp; $C$3 &amp; "*",resolvido,
 "&lt;&gt;" &amp; "",resolvido,
 "&gt;=" &amp; INT(B15),resolvido,
 "&lt;"  &amp; INT(B15)+7)</f>
        <v>2</v>
      </c>
      <c r="K15" s="84">
        <f t="shared" ref="K15:K19" si="3">-COUNTIFS(resolvido, "&gt;=" &amp; INT(B15),resolvido, "&lt;"  &amp; INT(B15)+7,status, "Descartado",jornada, "*" &amp; $C$2 &amp; "*",release, "*" &amp; $C$3 &amp; "*")</f>
        <v>0</v>
      </c>
      <c r="L15" s="86"/>
    </row>
    <row r="16" spans="1:12" ht="17.25" customHeight="1" x14ac:dyDescent="0.25">
      <c r="A16" s="73" t="s">
        <v>2544</v>
      </c>
      <c r="B16" s="66">
        <f t="shared" ref="B16:B59" si="4">B15+$C$10</f>
        <v>46090</v>
      </c>
      <c r="C16" s="79">
        <f>IF(OR(C15="",C15=0),"",IF(ISBLANK($J15),IF(C15+$K15-$C$7&lt;=0,IF(AND(C15&gt;0,C15&lt;&gt;""),0,""),C15+$K15-$C$7),IF((C15-$J15)+$K15&lt;=0,IF(AND(C15&gt;0,C15&lt;&gt;""),0,""),(C15-$J15)+$K15)))</f>
        <v>22</v>
      </c>
      <c r="D16" s="79">
        <f>IF(OR(D15="",D15=0),"",IF(ISBLANK($J15),IF(D15+$K15-$C$8&lt;=0,IF(AND(D15&gt;0,D15&lt;&gt;""),0,""),D15+$K15-$C$8),IF((D15-$J15)+$K15&lt;=0,IF(AND(D15&gt;0,D15&lt;&gt;""),0,""),(D15-$J15)+$K15)))</f>
        <v>22</v>
      </c>
      <c r="E16" s="79">
        <f>IF(OR(E15="",E15=0),"",IF(ISBLANK($J15),IF(E15+$K15-$C$9&lt;=0,IF(AND(E15&gt;0,E15&lt;&gt;""),0,""),E15+$K15-$C$9),IF((E15-$J15)+$K15&lt;=0,IF(AND(E15&gt;0,E15&lt;&gt;""),0,""),(E15-$J15)+$K15)))</f>
        <v>22</v>
      </c>
      <c r="F16" s="80">
        <f>IF(J15="","",IF(G15+F15+H15+I15+K15-J15&lt;0,0,G15+F15+H15+I15+K15-J15))</f>
        <v>0</v>
      </c>
      <c r="G16" s="118">
        <f>COUNTIFS(dtc, "&gt;=" &amp; INT(B16),dtc,
 "&lt;"  &amp; INT(B16)+1,jornada, "*" &amp; $C$2 &amp; "*",release, "*" &amp; $C$3 &amp; "*",Item,
 "&lt;&gt;BUG")</f>
        <v>0</v>
      </c>
      <c r="H16" s="81">
        <f t="shared" si="0"/>
        <v>2</v>
      </c>
      <c r="I16" s="82">
        <f t="shared" si="1"/>
        <v>0</v>
      </c>
      <c r="J16" s="83">
        <f t="shared" si="2"/>
        <v>2</v>
      </c>
      <c r="K16" s="84">
        <f t="shared" si="3"/>
        <v>0</v>
      </c>
      <c r="L16" s="86"/>
    </row>
    <row r="17" spans="1:12" ht="17.25" customHeight="1" x14ac:dyDescent="0.25">
      <c r="A17" s="73" t="s">
        <v>2545</v>
      </c>
      <c r="B17" s="66">
        <f t="shared" si="4"/>
        <v>46097</v>
      </c>
      <c r="C17" s="79">
        <f t="shared" ref="C17:C55" si="5">IF(OR(C16="",C16=0),"",IF(ISBLANK($J16),IF(C16+$K16-$C$7&lt;=0,IF(AND(C16&gt;0,C16&lt;&gt;""),0,""),C16+$K16-$C$7),IF((C16-$J16)+$K16&lt;=0,IF(AND(C16&gt;0,C16&lt;&gt;""),0,""),(C16-$J16)+$K16)))</f>
        <v>20</v>
      </c>
      <c r="D17" s="79">
        <f t="shared" ref="D17:D55" si="6">IF(OR(D16="",D16=0),"",IF(ISBLANK($J16),IF(D16+$K16-$C$8&lt;=0,IF(AND(D16&gt;0,D16&lt;&gt;""),0,""),D16+$K16-$C$8),IF((D16-$J16)+$K16&lt;=0,IF(AND(D16&gt;0,D16&lt;&gt;""),0,""),(D16-$J16)+$K16)))</f>
        <v>20</v>
      </c>
      <c r="E17" s="79">
        <f t="shared" ref="E17:E55" si="7">IF(OR(E16="",E16=0),"",IF(ISBLANK($J16),IF(E16+$K16-$C$9&lt;=0,IF(AND(E16&gt;0,E16&lt;&gt;""),0,""),E16+$K16-$C$9),IF((E16-$J16)+$K16&lt;=0,IF(AND(E16&gt;0,E16&lt;&gt;""),0,""),(E16-$J16)+$K16)))</f>
        <v>20</v>
      </c>
      <c r="F17" s="80">
        <f t="shared" ref="F17:F28" si="8">IF(J16="","",IF(G16+F16+H16+I16+K16-J16&lt;0,0,G16+F16+H16+I16+K16-J16))</f>
        <v>0</v>
      </c>
      <c r="G17" s="118">
        <f>COUNTIFS(dtc, "&gt;=" &amp; INT(B17),dtc,
 "&lt;"  &amp; INT(B17)+1,jornada, "*" &amp; $C$2 &amp; "*",release, "*" &amp; $C$3 &amp; "*",Item,
 "&lt;&gt;BUG")</f>
        <v>1</v>
      </c>
      <c r="H17" s="81">
        <f t="shared" si="0"/>
        <v>0</v>
      </c>
      <c r="I17" s="82">
        <f t="shared" si="1"/>
        <v>0</v>
      </c>
      <c r="J17" s="83">
        <f t="shared" si="2"/>
        <v>1</v>
      </c>
      <c r="K17" s="84">
        <f t="shared" si="3"/>
        <v>0</v>
      </c>
      <c r="L17" s="86"/>
    </row>
    <row r="18" spans="1:12" ht="17.25" customHeight="1" x14ac:dyDescent="0.25">
      <c r="A18" s="73" t="s">
        <v>2546</v>
      </c>
      <c r="B18" s="66">
        <f t="shared" si="4"/>
        <v>46104</v>
      </c>
      <c r="C18" s="79">
        <f t="shared" si="5"/>
        <v>19</v>
      </c>
      <c r="D18" s="79">
        <f t="shared" si="6"/>
        <v>19</v>
      </c>
      <c r="E18" s="79">
        <f t="shared" si="7"/>
        <v>19</v>
      </c>
      <c r="F18" s="80">
        <f t="shared" si="8"/>
        <v>0</v>
      </c>
      <c r="G18" s="118"/>
      <c r="H18" s="81"/>
      <c r="I18" s="82"/>
      <c r="J18" s="83"/>
      <c r="K18" s="84">
        <f t="shared" si="3"/>
        <v>0</v>
      </c>
      <c r="L18" s="111"/>
    </row>
    <row r="19" spans="1:12" ht="17.25" customHeight="1" x14ac:dyDescent="0.25">
      <c r="A19" s="73" t="s">
        <v>2547</v>
      </c>
      <c r="B19" s="66">
        <f t="shared" si="4"/>
        <v>46111</v>
      </c>
      <c r="C19" s="79">
        <f t="shared" si="5"/>
        <v>17</v>
      </c>
      <c r="D19" s="79">
        <f t="shared" si="6"/>
        <v>18</v>
      </c>
      <c r="E19" s="79">
        <f t="shared" si="7"/>
        <v>0</v>
      </c>
      <c r="F19" s="80" t="str">
        <f t="shared" si="8"/>
        <v/>
      </c>
      <c r="G19" s="118"/>
      <c r="H19" s="81"/>
      <c r="I19" s="82"/>
      <c r="J19" s="83"/>
      <c r="K19" s="84">
        <f t="shared" si="3"/>
        <v>0</v>
      </c>
      <c r="L19" s="86"/>
    </row>
    <row r="20" spans="1:12" ht="17.25" customHeight="1" x14ac:dyDescent="0.25">
      <c r="A20" s="73" t="s">
        <v>2548</v>
      </c>
      <c r="B20" s="66">
        <f t="shared" si="4"/>
        <v>46118</v>
      </c>
      <c r="C20" s="79">
        <f t="shared" si="5"/>
        <v>15</v>
      </c>
      <c r="D20" s="79">
        <f t="shared" si="6"/>
        <v>17</v>
      </c>
      <c r="E20" s="79" t="str">
        <f t="shared" si="7"/>
        <v/>
      </c>
      <c r="F20" s="80" t="str">
        <f t="shared" si="8"/>
        <v/>
      </c>
      <c r="G20" s="118"/>
      <c r="H20" s="81"/>
      <c r="I20" s="82"/>
      <c r="J20" s="83"/>
      <c r="K20" s="84"/>
      <c r="L20" s="86"/>
    </row>
    <row r="21" spans="1:12" ht="15.75" customHeight="1" x14ac:dyDescent="0.25">
      <c r="A21" s="73" t="s">
        <v>2549</v>
      </c>
      <c r="B21" s="66">
        <f t="shared" si="4"/>
        <v>46125</v>
      </c>
      <c r="C21" s="79">
        <f t="shared" si="5"/>
        <v>13</v>
      </c>
      <c r="D21" s="79">
        <f t="shared" si="6"/>
        <v>16</v>
      </c>
      <c r="E21" s="79" t="str">
        <f t="shared" si="7"/>
        <v/>
      </c>
      <c r="F21" s="80" t="str">
        <f t="shared" si="8"/>
        <v/>
      </c>
      <c r="G21" s="118"/>
      <c r="H21" s="81"/>
      <c r="I21" s="82"/>
      <c r="J21" s="83"/>
      <c r="K21" s="84"/>
      <c r="L21" s="86"/>
    </row>
    <row r="22" spans="1:12" ht="15.75" customHeight="1" x14ac:dyDescent="0.25">
      <c r="A22" s="73" t="s">
        <v>2550</v>
      </c>
      <c r="B22" s="66">
        <f t="shared" si="4"/>
        <v>46132</v>
      </c>
      <c r="C22" s="79">
        <f t="shared" si="5"/>
        <v>11</v>
      </c>
      <c r="D22" s="79">
        <f t="shared" si="6"/>
        <v>15</v>
      </c>
      <c r="E22" s="79" t="str">
        <f t="shared" si="7"/>
        <v/>
      </c>
      <c r="F22" s="80" t="str">
        <f t="shared" si="8"/>
        <v/>
      </c>
      <c r="G22" s="118"/>
      <c r="H22" s="81"/>
      <c r="I22" s="82"/>
      <c r="J22" s="83"/>
      <c r="K22" s="84"/>
      <c r="L22" s="86"/>
    </row>
    <row r="23" spans="1:12" ht="15.75" customHeight="1" x14ac:dyDescent="0.25">
      <c r="A23" s="73" t="s">
        <v>2551</v>
      </c>
      <c r="B23" s="66">
        <f t="shared" si="4"/>
        <v>46139</v>
      </c>
      <c r="C23" s="79">
        <f t="shared" si="5"/>
        <v>9</v>
      </c>
      <c r="D23" s="79">
        <f t="shared" si="6"/>
        <v>14</v>
      </c>
      <c r="E23" s="79" t="str">
        <f t="shared" si="7"/>
        <v/>
      </c>
      <c r="F23" s="80" t="str">
        <f t="shared" si="8"/>
        <v/>
      </c>
      <c r="G23" s="118"/>
      <c r="H23" s="81"/>
      <c r="I23" s="82"/>
      <c r="J23" s="83"/>
      <c r="K23" s="84"/>
      <c r="L23" s="86"/>
    </row>
    <row r="24" spans="1:12" ht="15.75" customHeight="1" x14ac:dyDescent="0.25">
      <c r="A24" s="73" t="s">
        <v>2552</v>
      </c>
      <c r="B24" s="66">
        <f t="shared" si="4"/>
        <v>46146</v>
      </c>
      <c r="C24" s="79">
        <f t="shared" si="5"/>
        <v>7</v>
      </c>
      <c r="D24" s="79">
        <f t="shared" si="6"/>
        <v>13</v>
      </c>
      <c r="E24" s="79" t="str">
        <f t="shared" si="7"/>
        <v/>
      </c>
      <c r="F24" s="80" t="str">
        <f t="shared" si="8"/>
        <v/>
      </c>
      <c r="G24" s="118"/>
      <c r="H24" s="81"/>
      <c r="I24" s="82"/>
      <c r="J24" s="83"/>
      <c r="K24" s="84"/>
      <c r="L24" s="86"/>
    </row>
    <row r="25" spans="1:12" ht="15.75" customHeight="1" x14ac:dyDescent="0.25">
      <c r="A25" s="73" t="s">
        <v>2553</v>
      </c>
      <c r="B25" s="66">
        <f t="shared" si="4"/>
        <v>46153</v>
      </c>
      <c r="C25" s="79">
        <f t="shared" si="5"/>
        <v>5</v>
      </c>
      <c r="D25" s="79">
        <f t="shared" si="6"/>
        <v>12</v>
      </c>
      <c r="E25" s="79" t="str">
        <f t="shared" si="7"/>
        <v/>
      </c>
      <c r="F25" s="80" t="str">
        <f t="shared" si="8"/>
        <v/>
      </c>
      <c r="G25" s="118"/>
      <c r="H25" s="81"/>
      <c r="I25" s="82"/>
      <c r="J25" s="83"/>
      <c r="K25" s="84"/>
      <c r="L25" s="86"/>
    </row>
    <row r="26" spans="1:12" ht="15.75" customHeight="1" x14ac:dyDescent="0.25">
      <c r="A26" s="73" t="s">
        <v>2554</v>
      </c>
      <c r="B26" s="66">
        <f t="shared" si="4"/>
        <v>46160</v>
      </c>
      <c r="C26" s="79">
        <f t="shared" si="5"/>
        <v>3</v>
      </c>
      <c r="D26" s="79">
        <f t="shared" si="6"/>
        <v>11</v>
      </c>
      <c r="E26" s="79" t="str">
        <f t="shared" si="7"/>
        <v/>
      </c>
      <c r="F26" s="80" t="str">
        <f t="shared" si="8"/>
        <v/>
      </c>
      <c r="G26" s="118"/>
      <c r="H26" s="81"/>
      <c r="I26" s="82"/>
      <c r="J26" s="83"/>
      <c r="K26" s="84"/>
      <c r="L26" s="86"/>
    </row>
    <row r="27" spans="1:12" ht="15.75" customHeight="1" x14ac:dyDescent="0.25">
      <c r="A27" s="73" t="s">
        <v>2555</v>
      </c>
      <c r="B27" s="66">
        <f t="shared" si="4"/>
        <v>46167</v>
      </c>
      <c r="C27" s="79">
        <f t="shared" si="5"/>
        <v>1</v>
      </c>
      <c r="D27" s="79">
        <f t="shared" si="6"/>
        <v>10</v>
      </c>
      <c r="E27" s="79" t="str">
        <f t="shared" si="7"/>
        <v/>
      </c>
      <c r="F27" s="80" t="str">
        <f t="shared" si="8"/>
        <v/>
      </c>
      <c r="G27" s="118"/>
      <c r="H27" s="81"/>
      <c r="I27" s="82"/>
      <c r="J27" s="83"/>
      <c r="K27" s="84"/>
      <c r="L27" s="86"/>
    </row>
    <row r="28" spans="1:12" ht="15.75" customHeight="1" x14ac:dyDescent="0.25">
      <c r="A28" s="73" t="s">
        <v>2556</v>
      </c>
      <c r="B28" s="66">
        <f t="shared" si="4"/>
        <v>46174</v>
      </c>
      <c r="C28" s="79">
        <f t="shared" si="5"/>
        <v>0</v>
      </c>
      <c r="D28" s="79">
        <f t="shared" si="6"/>
        <v>9</v>
      </c>
      <c r="E28" s="79" t="str">
        <f t="shared" si="7"/>
        <v/>
      </c>
      <c r="F28" s="80" t="str">
        <f t="shared" si="8"/>
        <v/>
      </c>
      <c r="G28" s="118"/>
      <c r="H28" s="81"/>
      <c r="I28" s="82"/>
      <c r="J28" s="83"/>
      <c r="K28" s="84"/>
      <c r="L28" s="86"/>
    </row>
    <row r="29" spans="1:12" ht="15.75" customHeight="1" x14ac:dyDescent="0.25">
      <c r="A29" s="73" t="s">
        <v>2557</v>
      </c>
      <c r="B29" s="66">
        <f t="shared" si="4"/>
        <v>46181</v>
      </c>
      <c r="C29" s="79" t="str">
        <f t="shared" si="5"/>
        <v/>
      </c>
      <c r="D29" s="79">
        <f t="shared" si="6"/>
        <v>8</v>
      </c>
      <c r="E29" s="79" t="str">
        <f t="shared" si="7"/>
        <v/>
      </c>
      <c r="F29" s="80" t="str">
        <f t="shared" ref="F29:F55" si="9">IF(J28="","",IF(G28+F28+H28+I28-J28&lt;0,0,G28+F28+H28+I28-J28))</f>
        <v/>
      </c>
      <c r="G29" s="118"/>
      <c r="H29" s="81"/>
      <c r="I29" s="82"/>
      <c r="J29" s="83"/>
      <c r="K29" s="84"/>
      <c r="L29" s="86"/>
    </row>
    <row r="30" spans="1:12" ht="15.75" customHeight="1" x14ac:dyDescent="0.25">
      <c r="A30" s="73" t="s">
        <v>2558</v>
      </c>
      <c r="B30" s="66">
        <f t="shared" si="4"/>
        <v>46188</v>
      </c>
      <c r="C30" s="79" t="str">
        <f t="shared" si="5"/>
        <v/>
      </c>
      <c r="D30" s="79">
        <f t="shared" si="6"/>
        <v>7</v>
      </c>
      <c r="E30" s="79" t="str">
        <f t="shared" si="7"/>
        <v/>
      </c>
      <c r="F30" s="80" t="str">
        <f t="shared" si="9"/>
        <v/>
      </c>
      <c r="G30" s="118"/>
      <c r="H30" s="81"/>
      <c r="I30" s="82"/>
      <c r="J30" s="83"/>
      <c r="K30" s="84"/>
      <c r="L30" s="86"/>
    </row>
    <row r="31" spans="1:12" ht="15.75" customHeight="1" x14ac:dyDescent="0.25">
      <c r="A31" s="73" t="s">
        <v>2559</v>
      </c>
      <c r="B31" s="66">
        <f t="shared" si="4"/>
        <v>46195</v>
      </c>
      <c r="C31" s="79" t="str">
        <f t="shared" si="5"/>
        <v/>
      </c>
      <c r="D31" s="79">
        <f t="shared" si="6"/>
        <v>6</v>
      </c>
      <c r="E31" s="79" t="str">
        <f t="shared" si="7"/>
        <v/>
      </c>
      <c r="F31" s="80" t="str">
        <f t="shared" si="9"/>
        <v/>
      </c>
      <c r="G31" s="118"/>
      <c r="H31" s="81"/>
      <c r="I31" s="82"/>
      <c r="J31" s="83"/>
      <c r="K31" s="84"/>
      <c r="L31" s="86"/>
    </row>
    <row r="32" spans="1:12" ht="15.75" customHeight="1" x14ac:dyDescent="0.25">
      <c r="A32" s="73" t="s">
        <v>2560</v>
      </c>
      <c r="B32" s="66">
        <f t="shared" si="4"/>
        <v>46202</v>
      </c>
      <c r="C32" s="79" t="str">
        <f t="shared" si="5"/>
        <v/>
      </c>
      <c r="D32" s="79">
        <f t="shared" si="6"/>
        <v>5</v>
      </c>
      <c r="E32" s="79" t="str">
        <f t="shared" si="7"/>
        <v/>
      </c>
      <c r="F32" s="80" t="str">
        <f t="shared" si="9"/>
        <v/>
      </c>
      <c r="G32" s="81"/>
      <c r="H32" s="81"/>
      <c r="I32" s="82"/>
      <c r="J32" s="83"/>
      <c r="K32" s="84"/>
      <c r="L32" s="86"/>
    </row>
    <row r="33" spans="1:12" ht="15.75" customHeight="1" x14ac:dyDescent="0.25">
      <c r="A33" s="73" t="s">
        <v>2563</v>
      </c>
      <c r="B33" s="66">
        <f t="shared" si="4"/>
        <v>46209</v>
      </c>
      <c r="C33" s="79" t="str">
        <f t="shared" si="5"/>
        <v/>
      </c>
      <c r="D33" s="79">
        <f t="shared" si="6"/>
        <v>4</v>
      </c>
      <c r="E33" s="79" t="str">
        <f t="shared" si="7"/>
        <v/>
      </c>
      <c r="F33" s="80" t="str">
        <f t="shared" si="9"/>
        <v/>
      </c>
      <c r="G33" s="81"/>
      <c r="H33" s="81"/>
      <c r="I33" s="82"/>
      <c r="J33" s="83"/>
      <c r="K33" s="84"/>
      <c r="L33" s="86"/>
    </row>
    <row r="34" spans="1:12" ht="15.75" customHeight="1" x14ac:dyDescent="0.25">
      <c r="A34" s="73" t="s">
        <v>2564</v>
      </c>
      <c r="B34" s="66">
        <f t="shared" si="4"/>
        <v>46216</v>
      </c>
      <c r="C34" s="79" t="str">
        <f t="shared" si="5"/>
        <v/>
      </c>
      <c r="D34" s="79">
        <f t="shared" si="6"/>
        <v>3</v>
      </c>
      <c r="E34" s="79" t="str">
        <f t="shared" si="7"/>
        <v/>
      </c>
      <c r="F34" s="80" t="str">
        <f t="shared" si="9"/>
        <v/>
      </c>
      <c r="G34" s="81"/>
      <c r="H34" s="81"/>
      <c r="I34" s="82"/>
      <c r="J34" s="83"/>
      <c r="K34" s="84"/>
      <c r="L34" s="86"/>
    </row>
    <row r="35" spans="1:12" ht="15.75" customHeight="1" x14ac:dyDescent="0.25">
      <c r="A35" s="73" t="s">
        <v>2565</v>
      </c>
      <c r="B35" s="66">
        <f t="shared" si="4"/>
        <v>46223</v>
      </c>
      <c r="C35" s="79" t="str">
        <f t="shared" si="5"/>
        <v/>
      </c>
      <c r="D35" s="79">
        <f t="shared" si="6"/>
        <v>2</v>
      </c>
      <c r="E35" s="79" t="str">
        <f t="shared" si="7"/>
        <v/>
      </c>
      <c r="F35" s="80" t="str">
        <f t="shared" si="9"/>
        <v/>
      </c>
      <c r="G35" s="81"/>
      <c r="H35" s="81"/>
      <c r="I35" s="82"/>
      <c r="J35" s="83"/>
      <c r="K35" s="84"/>
      <c r="L35" s="86"/>
    </row>
    <row r="36" spans="1:12" ht="15.75" customHeight="1" x14ac:dyDescent="0.25">
      <c r="A36" s="73" t="s">
        <v>2566</v>
      </c>
      <c r="B36" s="66">
        <f t="shared" si="4"/>
        <v>46230</v>
      </c>
      <c r="C36" s="79" t="str">
        <f t="shared" si="5"/>
        <v/>
      </c>
      <c r="D36" s="79">
        <f t="shared" si="6"/>
        <v>1</v>
      </c>
      <c r="E36" s="79" t="str">
        <f t="shared" si="7"/>
        <v/>
      </c>
      <c r="F36" s="80" t="str">
        <f t="shared" si="9"/>
        <v/>
      </c>
      <c r="G36" s="81"/>
      <c r="H36" s="81"/>
      <c r="I36" s="82"/>
      <c r="J36" s="83"/>
      <c r="K36" s="84"/>
      <c r="L36" s="86"/>
    </row>
    <row r="37" spans="1:12" ht="15.75" customHeight="1" x14ac:dyDescent="0.25">
      <c r="A37" s="73" t="s">
        <v>2567</v>
      </c>
      <c r="B37" s="66">
        <f t="shared" si="4"/>
        <v>46237</v>
      </c>
      <c r="C37" s="79" t="str">
        <f t="shared" si="5"/>
        <v/>
      </c>
      <c r="D37" s="79">
        <f t="shared" si="6"/>
        <v>0</v>
      </c>
      <c r="E37" s="79" t="str">
        <f t="shared" si="7"/>
        <v/>
      </c>
      <c r="F37" s="80" t="str">
        <f t="shared" si="9"/>
        <v/>
      </c>
      <c r="G37" s="81"/>
      <c r="H37" s="81"/>
      <c r="I37" s="82"/>
      <c r="J37" s="83"/>
      <c r="K37" s="84"/>
      <c r="L37" s="86"/>
    </row>
    <row r="38" spans="1:12" ht="15.75" customHeight="1" x14ac:dyDescent="0.25">
      <c r="A38" s="73" t="s">
        <v>2568</v>
      </c>
      <c r="B38" s="66">
        <f t="shared" si="4"/>
        <v>46244</v>
      </c>
      <c r="C38" s="79" t="str">
        <f t="shared" si="5"/>
        <v/>
      </c>
      <c r="D38" s="79" t="str">
        <f t="shared" si="6"/>
        <v/>
      </c>
      <c r="E38" s="79" t="str">
        <f t="shared" si="7"/>
        <v/>
      </c>
      <c r="F38" s="80" t="str">
        <f t="shared" si="9"/>
        <v/>
      </c>
      <c r="G38" s="81"/>
      <c r="H38" s="81"/>
      <c r="I38" s="82"/>
      <c r="J38" s="83"/>
      <c r="K38" s="84"/>
      <c r="L38" s="86"/>
    </row>
    <row r="39" spans="1:12" ht="15.75" customHeight="1" x14ac:dyDescent="0.25">
      <c r="A39" s="73" t="s">
        <v>2569</v>
      </c>
      <c r="B39" s="66">
        <f t="shared" si="4"/>
        <v>46251</v>
      </c>
      <c r="C39" s="79" t="str">
        <f t="shared" si="5"/>
        <v/>
      </c>
      <c r="D39" s="79" t="str">
        <f t="shared" si="6"/>
        <v/>
      </c>
      <c r="E39" s="79" t="str">
        <f t="shared" si="7"/>
        <v/>
      </c>
      <c r="F39" s="80" t="str">
        <f t="shared" si="9"/>
        <v/>
      </c>
      <c r="G39" s="81"/>
      <c r="H39" s="81"/>
      <c r="I39" s="82"/>
      <c r="J39" s="83"/>
      <c r="K39" s="84"/>
      <c r="L39" s="86"/>
    </row>
    <row r="40" spans="1:12" ht="15.75" customHeight="1" x14ac:dyDescent="0.25">
      <c r="A40" s="73" t="s">
        <v>2570</v>
      </c>
      <c r="B40" s="66">
        <f t="shared" si="4"/>
        <v>46258</v>
      </c>
      <c r="C40" s="79" t="str">
        <f t="shared" si="5"/>
        <v/>
      </c>
      <c r="D40" s="79" t="str">
        <f t="shared" si="6"/>
        <v/>
      </c>
      <c r="E40" s="79" t="str">
        <f t="shared" si="7"/>
        <v/>
      </c>
      <c r="F40" s="80" t="str">
        <f t="shared" si="9"/>
        <v/>
      </c>
      <c r="G40" s="81"/>
      <c r="H40" s="81"/>
      <c r="I40" s="82"/>
      <c r="J40" s="83"/>
      <c r="K40" s="84"/>
      <c r="L40" s="86"/>
    </row>
    <row r="41" spans="1:12" ht="15.75" customHeight="1" x14ac:dyDescent="0.25">
      <c r="A41" s="73" t="s">
        <v>2571</v>
      </c>
      <c r="B41" s="66">
        <f t="shared" si="4"/>
        <v>46265</v>
      </c>
      <c r="C41" s="79" t="str">
        <f t="shared" si="5"/>
        <v/>
      </c>
      <c r="D41" s="79" t="str">
        <f t="shared" si="6"/>
        <v/>
      </c>
      <c r="E41" s="79" t="str">
        <f t="shared" si="7"/>
        <v/>
      </c>
      <c r="F41" s="80" t="str">
        <f t="shared" si="9"/>
        <v/>
      </c>
      <c r="G41" s="81"/>
      <c r="H41" s="81"/>
      <c r="I41" s="82"/>
      <c r="J41" s="83"/>
      <c r="K41" s="84"/>
      <c r="L41" s="86"/>
    </row>
    <row r="42" spans="1:12" ht="15.75" customHeight="1" x14ac:dyDescent="0.25">
      <c r="A42" s="73" t="s">
        <v>2572</v>
      </c>
      <c r="B42" s="66">
        <f t="shared" si="4"/>
        <v>46272</v>
      </c>
      <c r="C42" s="79" t="str">
        <f t="shared" si="5"/>
        <v/>
      </c>
      <c r="D42" s="79" t="str">
        <f t="shared" si="6"/>
        <v/>
      </c>
      <c r="E42" s="79" t="str">
        <f t="shared" si="7"/>
        <v/>
      </c>
      <c r="F42" s="80" t="str">
        <f t="shared" si="9"/>
        <v/>
      </c>
      <c r="G42" s="81"/>
      <c r="H42" s="81"/>
      <c r="I42" s="82"/>
      <c r="J42" s="83"/>
      <c r="K42" s="84"/>
      <c r="L42" s="86"/>
    </row>
    <row r="43" spans="1:12" ht="15.75" customHeight="1" x14ac:dyDescent="0.25">
      <c r="A43" s="73" t="s">
        <v>2573</v>
      </c>
      <c r="B43" s="66">
        <f t="shared" si="4"/>
        <v>46279</v>
      </c>
      <c r="C43" s="79" t="str">
        <f t="shared" si="5"/>
        <v/>
      </c>
      <c r="D43" s="79" t="str">
        <f t="shared" si="6"/>
        <v/>
      </c>
      <c r="E43" s="79" t="str">
        <f t="shared" si="7"/>
        <v/>
      </c>
      <c r="F43" s="80" t="str">
        <f t="shared" si="9"/>
        <v/>
      </c>
      <c r="G43" s="81"/>
      <c r="H43" s="81"/>
      <c r="I43" s="82"/>
      <c r="J43" s="83"/>
      <c r="K43" s="84"/>
      <c r="L43" s="86"/>
    </row>
    <row r="44" spans="1:12" ht="15.75" customHeight="1" x14ac:dyDescent="0.25">
      <c r="A44" s="73" t="s">
        <v>2574</v>
      </c>
      <c r="B44" s="66">
        <f t="shared" si="4"/>
        <v>46286</v>
      </c>
      <c r="C44" s="79" t="str">
        <f t="shared" si="5"/>
        <v/>
      </c>
      <c r="D44" s="79" t="str">
        <f t="shared" si="6"/>
        <v/>
      </c>
      <c r="E44" s="79" t="str">
        <f t="shared" si="7"/>
        <v/>
      </c>
      <c r="F44" s="80" t="str">
        <f t="shared" si="9"/>
        <v/>
      </c>
      <c r="G44" s="81"/>
      <c r="H44" s="81"/>
      <c r="I44" s="82"/>
      <c r="J44" s="83"/>
      <c r="K44" s="84"/>
      <c r="L44" s="86"/>
    </row>
    <row r="45" spans="1:12" ht="15.75" customHeight="1" x14ac:dyDescent="0.25">
      <c r="A45" s="73" t="s">
        <v>2575</v>
      </c>
      <c r="B45" s="66">
        <f t="shared" si="4"/>
        <v>46293</v>
      </c>
      <c r="C45" s="79" t="str">
        <f t="shared" si="5"/>
        <v/>
      </c>
      <c r="D45" s="79" t="str">
        <f t="shared" si="6"/>
        <v/>
      </c>
      <c r="E45" s="79" t="str">
        <f t="shared" si="7"/>
        <v/>
      </c>
      <c r="F45" s="80" t="str">
        <f t="shared" si="9"/>
        <v/>
      </c>
      <c r="G45" s="81"/>
      <c r="H45" s="81"/>
      <c r="I45" s="82"/>
      <c r="J45" s="83"/>
      <c r="K45" s="84"/>
      <c r="L45" s="86"/>
    </row>
    <row r="46" spans="1:12" ht="15.75" customHeight="1" x14ac:dyDescent="0.25">
      <c r="A46" s="73" t="s">
        <v>2576</v>
      </c>
      <c r="B46" s="66">
        <f t="shared" si="4"/>
        <v>46300</v>
      </c>
      <c r="C46" s="79" t="str">
        <f t="shared" si="5"/>
        <v/>
      </c>
      <c r="D46" s="79" t="str">
        <f t="shared" si="6"/>
        <v/>
      </c>
      <c r="E46" s="79" t="str">
        <f t="shared" si="7"/>
        <v/>
      </c>
      <c r="F46" s="80" t="str">
        <f t="shared" si="9"/>
        <v/>
      </c>
      <c r="G46" s="81"/>
      <c r="H46" s="81"/>
      <c r="I46" s="82"/>
      <c r="J46" s="83"/>
      <c r="K46" s="84"/>
      <c r="L46" s="86"/>
    </row>
    <row r="47" spans="1:12" ht="15.75" customHeight="1" x14ac:dyDescent="0.25">
      <c r="A47" s="73" t="s">
        <v>2577</v>
      </c>
      <c r="B47" s="66">
        <f t="shared" si="4"/>
        <v>46307</v>
      </c>
      <c r="C47" s="79" t="str">
        <f t="shared" si="5"/>
        <v/>
      </c>
      <c r="D47" s="79" t="str">
        <f t="shared" si="6"/>
        <v/>
      </c>
      <c r="E47" s="79" t="str">
        <f t="shared" si="7"/>
        <v/>
      </c>
      <c r="F47" s="80" t="str">
        <f t="shared" si="9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 t="s">
        <v>2578</v>
      </c>
      <c r="B48" s="66">
        <f t="shared" si="4"/>
        <v>46314</v>
      </c>
      <c r="C48" s="79" t="str">
        <f t="shared" si="5"/>
        <v/>
      </c>
      <c r="D48" s="79" t="str">
        <f t="shared" si="6"/>
        <v/>
      </c>
      <c r="E48" s="79" t="str">
        <f t="shared" si="7"/>
        <v/>
      </c>
      <c r="F48" s="80" t="str">
        <f t="shared" si="9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4"/>
        <v>46321</v>
      </c>
      <c r="C49" s="79" t="str">
        <f t="shared" si="5"/>
        <v/>
      </c>
      <c r="D49" s="79" t="str">
        <f t="shared" si="6"/>
        <v/>
      </c>
      <c r="E49" s="79" t="str">
        <f t="shared" si="7"/>
        <v/>
      </c>
      <c r="F49" s="80" t="str">
        <f t="shared" si="9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4"/>
        <v>46328</v>
      </c>
      <c r="C50" s="79" t="str">
        <f t="shared" si="5"/>
        <v/>
      </c>
      <c r="D50" s="79" t="str">
        <f t="shared" si="6"/>
        <v/>
      </c>
      <c r="E50" s="79" t="str">
        <f t="shared" si="7"/>
        <v/>
      </c>
      <c r="F50" s="80" t="str">
        <f t="shared" si="9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4"/>
        <v>46335</v>
      </c>
      <c r="C51" s="79" t="str">
        <f t="shared" si="5"/>
        <v/>
      </c>
      <c r="D51" s="79" t="str">
        <f t="shared" si="6"/>
        <v/>
      </c>
      <c r="E51" s="79" t="str">
        <f t="shared" si="7"/>
        <v/>
      </c>
      <c r="F51" s="80" t="str">
        <f t="shared" si="9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4"/>
        <v>46342</v>
      </c>
      <c r="C52" s="79" t="str">
        <f t="shared" si="5"/>
        <v/>
      </c>
      <c r="D52" s="79" t="str">
        <f t="shared" si="6"/>
        <v/>
      </c>
      <c r="E52" s="79" t="str">
        <f t="shared" si="7"/>
        <v/>
      </c>
      <c r="F52" s="80" t="str">
        <f t="shared" si="9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4"/>
        <v>46349</v>
      </c>
      <c r="C53" s="79" t="str">
        <f t="shared" si="5"/>
        <v/>
      </c>
      <c r="D53" s="79" t="str">
        <f t="shared" si="6"/>
        <v/>
      </c>
      <c r="E53" s="79" t="str">
        <f t="shared" si="7"/>
        <v/>
      </c>
      <c r="F53" s="80" t="str">
        <f t="shared" si="9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4"/>
        <v>46356</v>
      </c>
      <c r="C54" s="79" t="str">
        <f t="shared" si="5"/>
        <v/>
      </c>
      <c r="D54" s="79" t="str">
        <f t="shared" si="6"/>
        <v/>
      </c>
      <c r="E54" s="79" t="str">
        <f t="shared" si="7"/>
        <v/>
      </c>
      <c r="F54" s="80" t="str">
        <f t="shared" si="9"/>
        <v/>
      </c>
      <c r="G54" s="81"/>
      <c r="H54" s="81"/>
      <c r="I54" s="82"/>
      <c r="J54" s="83"/>
      <c r="K54" s="84"/>
      <c r="L54" s="86"/>
    </row>
    <row r="55" spans="1:12" ht="15.75" customHeight="1" x14ac:dyDescent="0.25">
      <c r="A55" s="73"/>
      <c r="B55" s="66">
        <f t="shared" si="4"/>
        <v>46363</v>
      </c>
      <c r="C55" s="79" t="str">
        <f t="shared" si="5"/>
        <v/>
      </c>
      <c r="D55" s="79" t="str">
        <f t="shared" si="6"/>
        <v/>
      </c>
      <c r="E55" s="79" t="str">
        <f t="shared" si="7"/>
        <v/>
      </c>
      <c r="F55" s="80" t="str">
        <f t="shared" si="9"/>
        <v/>
      </c>
      <c r="G55" s="81"/>
      <c r="H55" s="81"/>
      <c r="I55" s="82"/>
      <c r="J55" s="83"/>
      <c r="K55" s="84"/>
      <c r="L55" s="86"/>
    </row>
    <row r="56" spans="1:12" ht="15" customHeight="1" x14ac:dyDescent="0.25">
      <c r="A56" s="73"/>
      <c r="B56" s="66">
        <f t="shared" si="4"/>
        <v>46370</v>
      </c>
      <c r="C56" s="79" t="str">
        <f t="shared" ref="C56:C59" si="10">IF(OR(C55="",C55=0),"",IF(ISBLANK($J55),IF(C55+$K55-$C$7&lt;=0,IF(AND(C55&gt;0,C55&lt;&gt;""),0,""),C55+$K55-$C$7),IF((C55-$J55)+$K55&lt;=0,IF(AND(C55&gt;0,C55&lt;&gt;""),0,""),(C55-$J55)+$K55)))</f>
        <v/>
      </c>
      <c r="D56" s="79" t="str">
        <f t="shared" ref="D56:D59" si="11">IF(OR(D55="",D55=0),"",IF(ISBLANK($J55),IF(D55+$K55-$C$8&lt;=0,IF(AND(D55&gt;0,D55&lt;&gt;""),0,""),D55+$K55-$C$8),IF((D55-$J55)+$K55&lt;=0,IF(AND(D55&gt;0,D55&lt;&gt;""),0,""),(D55-$J55)+$K55)))</f>
        <v/>
      </c>
      <c r="E56" s="79" t="str">
        <f t="shared" ref="E56:E59" si="12">IF(OR(E55="",E55=0),"",IF(ISBLANK($J55),IF(E55+$K55-$C$9&lt;=0,IF(AND(E55&gt;0,E55&lt;&gt;""),0,""),E55+$K55-$C$9),IF((E55-$J55)+$K55&lt;=0,IF(AND(E55&gt;0,E55&lt;&gt;""),0,""),(E55-$J55)+$K55)))</f>
        <v/>
      </c>
      <c r="F56" s="80" t="str">
        <f t="shared" ref="F56:F59" si="13">IF(J55="","",IF(G55+F55+H55+I55-J55&lt;0,0,G55+F55+H55+I55-J55))</f>
        <v/>
      </c>
      <c r="G56" s="81"/>
      <c r="H56" s="81"/>
      <c r="I56" s="82"/>
      <c r="J56" s="83"/>
      <c r="K56" s="84"/>
      <c r="L56" s="86"/>
    </row>
    <row r="57" spans="1:12" ht="15" customHeight="1" x14ac:dyDescent="0.25">
      <c r="A57" s="73"/>
      <c r="B57" s="66">
        <f t="shared" si="4"/>
        <v>46377</v>
      </c>
      <c r="C57" s="79" t="str">
        <f t="shared" si="10"/>
        <v/>
      </c>
      <c r="D57" s="79" t="str">
        <f t="shared" si="11"/>
        <v/>
      </c>
      <c r="E57" s="79" t="str">
        <f t="shared" si="12"/>
        <v/>
      </c>
      <c r="F57" s="80" t="str">
        <f t="shared" si="13"/>
        <v/>
      </c>
      <c r="G57" s="81"/>
      <c r="H57" s="81"/>
      <c r="I57" s="82"/>
      <c r="J57" s="83"/>
      <c r="K57" s="84"/>
      <c r="L57" s="86"/>
    </row>
    <row r="58" spans="1:12" ht="15" customHeight="1" x14ac:dyDescent="0.25">
      <c r="A58" s="73"/>
      <c r="B58" s="66">
        <f t="shared" si="4"/>
        <v>46384</v>
      </c>
      <c r="C58" s="79" t="str">
        <f t="shared" si="10"/>
        <v/>
      </c>
      <c r="D58" s="79" t="str">
        <f t="shared" si="11"/>
        <v/>
      </c>
      <c r="E58" s="79" t="str">
        <f t="shared" si="12"/>
        <v/>
      </c>
      <c r="F58" s="80" t="str">
        <f t="shared" si="13"/>
        <v/>
      </c>
      <c r="G58" s="81"/>
      <c r="H58" s="81"/>
      <c r="I58" s="82"/>
      <c r="J58" s="83"/>
      <c r="K58" s="84"/>
      <c r="L58" s="86"/>
    </row>
    <row r="59" spans="1:12" ht="15" customHeight="1" x14ac:dyDescent="0.25">
      <c r="A59" s="73"/>
      <c r="B59" s="66">
        <f t="shared" si="4"/>
        <v>46391</v>
      </c>
      <c r="C59" s="79" t="str">
        <f t="shared" si="10"/>
        <v/>
      </c>
      <c r="D59" s="79" t="str">
        <f t="shared" si="11"/>
        <v/>
      </c>
      <c r="E59" s="79" t="str">
        <f t="shared" si="12"/>
        <v/>
      </c>
      <c r="F59" s="80" t="str">
        <f t="shared" si="13"/>
        <v/>
      </c>
      <c r="G59" s="81"/>
      <c r="H59" s="81"/>
      <c r="I59" s="82"/>
      <c r="J59" s="83"/>
      <c r="K59" s="84"/>
      <c r="L59" s="86"/>
    </row>
    <row r="93" spans="2:3" ht="15.75" customHeight="1" x14ac:dyDescent="0.25">
      <c r="B93" s="67" t="e">
        <f>IF(#REF!="","",IF(#REF!+$C$10&lt;=$C$6,#REF!+$C$10,""))</f>
        <v>#REF!</v>
      </c>
      <c r="C93" s="76" t="e">
        <f>IF(B93&lt;&gt;"",#REF!-$C$2/COUNT($B$18:$B$511),"")</f>
        <v>#REF!</v>
      </c>
    </row>
    <row r="94" spans="2:3" ht="15.75" customHeight="1" x14ac:dyDescent="0.25">
      <c r="B94" s="67" t="e">
        <f t="shared" ref="B94:B157" si="14">IF(B93="","",IF(B93+$C$10&lt;=$C$6,B93+$C$10,""))</f>
        <v>#REF!</v>
      </c>
      <c r="C94" s="76" t="e">
        <f t="shared" ref="C94:C157" si="15">IF(B94&lt;&gt;"",C93-$C$2/COUNT($B$18:$B$511),"")</f>
        <v>#REF!</v>
      </c>
    </row>
    <row r="95" spans="2:3" ht="15.75" customHeight="1" x14ac:dyDescent="0.25">
      <c r="B95" s="67" t="e">
        <f t="shared" si="14"/>
        <v>#REF!</v>
      </c>
      <c r="C95" s="76" t="e">
        <f t="shared" si="15"/>
        <v>#REF!</v>
      </c>
    </row>
    <row r="96" spans="2:3" ht="15.75" customHeight="1" x14ac:dyDescent="0.25">
      <c r="B96" s="67" t="e">
        <f t="shared" si="14"/>
        <v>#REF!</v>
      </c>
      <c r="C96" s="76" t="e">
        <f t="shared" si="15"/>
        <v>#REF!</v>
      </c>
    </row>
    <row r="97" spans="2:3" ht="15.75" customHeight="1" x14ac:dyDescent="0.25">
      <c r="B97" s="67" t="e">
        <f t="shared" si="14"/>
        <v>#REF!</v>
      </c>
      <c r="C97" s="76" t="e">
        <f t="shared" si="15"/>
        <v>#REF!</v>
      </c>
    </row>
    <row r="98" spans="2:3" ht="15.75" customHeight="1" x14ac:dyDescent="0.25">
      <c r="B98" s="67" t="e">
        <f t="shared" si="14"/>
        <v>#REF!</v>
      </c>
      <c r="C98" s="76" t="e">
        <f t="shared" si="15"/>
        <v>#REF!</v>
      </c>
    </row>
    <row r="99" spans="2:3" ht="15.75" customHeight="1" x14ac:dyDescent="0.25">
      <c r="B99" s="67" t="e">
        <f t="shared" si="14"/>
        <v>#REF!</v>
      </c>
      <c r="C99" s="76" t="e">
        <f t="shared" si="15"/>
        <v>#REF!</v>
      </c>
    </row>
    <row r="100" spans="2:3" ht="15.75" customHeight="1" x14ac:dyDescent="0.25">
      <c r="B100" s="67" t="e">
        <f t="shared" si="14"/>
        <v>#REF!</v>
      </c>
      <c r="C100" s="76" t="e">
        <f t="shared" si="15"/>
        <v>#REF!</v>
      </c>
    </row>
    <row r="101" spans="2:3" ht="15.75" customHeight="1" x14ac:dyDescent="0.25">
      <c r="B101" s="67" t="e">
        <f t="shared" si="14"/>
        <v>#REF!</v>
      </c>
      <c r="C101" s="76" t="e">
        <f t="shared" si="15"/>
        <v>#REF!</v>
      </c>
    </row>
    <row r="102" spans="2:3" ht="15.75" customHeight="1" x14ac:dyDescent="0.25">
      <c r="B102" s="67" t="e">
        <f t="shared" si="14"/>
        <v>#REF!</v>
      </c>
      <c r="C102" s="76" t="e">
        <f t="shared" si="15"/>
        <v>#REF!</v>
      </c>
    </row>
    <row r="103" spans="2:3" ht="15.75" customHeight="1" x14ac:dyDescent="0.25">
      <c r="B103" s="67" t="e">
        <f t="shared" si="14"/>
        <v>#REF!</v>
      </c>
      <c r="C103" s="76" t="e">
        <f t="shared" si="15"/>
        <v>#REF!</v>
      </c>
    </row>
    <row r="104" spans="2:3" ht="15.75" customHeight="1" x14ac:dyDescent="0.25">
      <c r="B104" s="67" t="e">
        <f t="shared" si="14"/>
        <v>#REF!</v>
      </c>
      <c r="C104" s="76" t="e">
        <f t="shared" si="15"/>
        <v>#REF!</v>
      </c>
    </row>
    <row r="105" spans="2:3" ht="15.75" customHeight="1" x14ac:dyDescent="0.25">
      <c r="B105" s="67" t="e">
        <f t="shared" si="14"/>
        <v>#REF!</v>
      </c>
      <c r="C105" s="76" t="e">
        <f t="shared" si="15"/>
        <v>#REF!</v>
      </c>
    </row>
    <row r="106" spans="2:3" ht="15.75" customHeight="1" x14ac:dyDescent="0.25">
      <c r="B106" s="67" t="e">
        <f t="shared" si="14"/>
        <v>#REF!</v>
      </c>
      <c r="C106" s="76" t="e">
        <f t="shared" si="15"/>
        <v>#REF!</v>
      </c>
    </row>
    <row r="107" spans="2:3" ht="15.75" customHeight="1" x14ac:dyDescent="0.25">
      <c r="B107" s="67" t="e">
        <f t="shared" si="14"/>
        <v>#REF!</v>
      </c>
      <c r="C107" s="76" t="e">
        <f t="shared" si="15"/>
        <v>#REF!</v>
      </c>
    </row>
    <row r="108" spans="2:3" ht="15.75" customHeight="1" x14ac:dyDescent="0.25">
      <c r="B108" s="67" t="e">
        <f t="shared" si="14"/>
        <v>#REF!</v>
      </c>
      <c r="C108" s="76" t="e">
        <f t="shared" si="15"/>
        <v>#REF!</v>
      </c>
    </row>
    <row r="109" spans="2:3" ht="15.75" customHeight="1" x14ac:dyDescent="0.25">
      <c r="B109" s="67" t="e">
        <f t="shared" si="14"/>
        <v>#REF!</v>
      </c>
      <c r="C109" s="76" t="e">
        <f t="shared" si="15"/>
        <v>#REF!</v>
      </c>
    </row>
    <row r="110" spans="2:3" ht="15.75" customHeight="1" x14ac:dyDescent="0.25">
      <c r="B110" s="67" t="e">
        <f t="shared" si="14"/>
        <v>#REF!</v>
      </c>
      <c r="C110" s="76" t="e">
        <f t="shared" si="15"/>
        <v>#REF!</v>
      </c>
    </row>
    <row r="111" spans="2:3" ht="15.75" customHeight="1" x14ac:dyDescent="0.25">
      <c r="B111" s="67" t="e">
        <f t="shared" si="14"/>
        <v>#REF!</v>
      </c>
      <c r="C111" s="76" t="e">
        <f t="shared" si="15"/>
        <v>#REF!</v>
      </c>
    </row>
    <row r="112" spans="2:3" ht="15.75" customHeight="1" x14ac:dyDescent="0.25">
      <c r="B112" s="67" t="e">
        <f t="shared" si="14"/>
        <v>#REF!</v>
      </c>
      <c r="C112" s="76" t="e">
        <f t="shared" si="15"/>
        <v>#REF!</v>
      </c>
    </row>
    <row r="113" spans="2:3" ht="15.75" customHeight="1" x14ac:dyDescent="0.25">
      <c r="B113" s="67" t="e">
        <f t="shared" si="14"/>
        <v>#REF!</v>
      </c>
      <c r="C113" s="76" t="e">
        <f t="shared" si="15"/>
        <v>#REF!</v>
      </c>
    </row>
    <row r="114" spans="2:3" ht="15.75" customHeight="1" x14ac:dyDescent="0.25">
      <c r="B114" s="67" t="e">
        <f t="shared" si="14"/>
        <v>#REF!</v>
      </c>
      <c r="C114" s="76" t="e">
        <f t="shared" si="15"/>
        <v>#REF!</v>
      </c>
    </row>
    <row r="115" spans="2:3" ht="15.75" customHeight="1" x14ac:dyDescent="0.25">
      <c r="B115" s="67" t="e">
        <f t="shared" si="14"/>
        <v>#REF!</v>
      </c>
      <c r="C115" s="76" t="e">
        <f t="shared" si="15"/>
        <v>#REF!</v>
      </c>
    </row>
    <row r="116" spans="2:3" ht="15.75" customHeight="1" x14ac:dyDescent="0.25">
      <c r="B116" s="67" t="e">
        <f t="shared" si="14"/>
        <v>#REF!</v>
      </c>
      <c r="C116" s="76" t="e">
        <f t="shared" si="15"/>
        <v>#REF!</v>
      </c>
    </row>
    <row r="117" spans="2:3" ht="15.75" customHeight="1" x14ac:dyDescent="0.25">
      <c r="B117" s="67" t="e">
        <f t="shared" si="14"/>
        <v>#REF!</v>
      </c>
      <c r="C117" s="76" t="e">
        <f t="shared" si="15"/>
        <v>#REF!</v>
      </c>
    </row>
    <row r="118" spans="2:3" ht="15.75" customHeight="1" x14ac:dyDescent="0.25">
      <c r="B118" s="67" t="e">
        <f t="shared" si="14"/>
        <v>#REF!</v>
      </c>
      <c r="C118" s="76" t="e">
        <f t="shared" si="15"/>
        <v>#REF!</v>
      </c>
    </row>
    <row r="119" spans="2:3" ht="15.75" customHeight="1" x14ac:dyDescent="0.25">
      <c r="B119" s="67" t="e">
        <f t="shared" si="14"/>
        <v>#REF!</v>
      </c>
      <c r="C119" s="76" t="e">
        <f t="shared" si="15"/>
        <v>#REF!</v>
      </c>
    </row>
    <row r="120" spans="2:3" ht="15.75" customHeight="1" x14ac:dyDescent="0.25">
      <c r="B120" s="67" t="e">
        <f t="shared" si="14"/>
        <v>#REF!</v>
      </c>
      <c r="C120" s="76" t="e">
        <f t="shared" si="15"/>
        <v>#REF!</v>
      </c>
    </row>
    <row r="121" spans="2:3" ht="15.75" customHeight="1" x14ac:dyDescent="0.25">
      <c r="B121" s="67" t="e">
        <f t="shared" si="14"/>
        <v>#REF!</v>
      </c>
      <c r="C121" s="76" t="e">
        <f t="shared" si="15"/>
        <v>#REF!</v>
      </c>
    </row>
    <row r="122" spans="2:3" ht="15.75" customHeight="1" x14ac:dyDescent="0.25">
      <c r="B122" s="67" t="e">
        <f t="shared" si="14"/>
        <v>#REF!</v>
      </c>
      <c r="C122" s="76" t="e">
        <f t="shared" si="15"/>
        <v>#REF!</v>
      </c>
    </row>
    <row r="123" spans="2:3" ht="15.75" customHeight="1" x14ac:dyDescent="0.25">
      <c r="B123" s="67" t="e">
        <f t="shared" si="14"/>
        <v>#REF!</v>
      </c>
      <c r="C123" s="76" t="e">
        <f t="shared" si="15"/>
        <v>#REF!</v>
      </c>
    </row>
    <row r="124" spans="2:3" ht="15.75" customHeight="1" x14ac:dyDescent="0.25">
      <c r="B124" s="67" t="e">
        <f t="shared" si="14"/>
        <v>#REF!</v>
      </c>
      <c r="C124" s="76" t="e">
        <f t="shared" si="15"/>
        <v>#REF!</v>
      </c>
    </row>
    <row r="125" spans="2:3" ht="15.75" customHeight="1" x14ac:dyDescent="0.25">
      <c r="B125" s="67" t="e">
        <f t="shared" si="14"/>
        <v>#REF!</v>
      </c>
      <c r="C125" s="76" t="e">
        <f t="shared" si="15"/>
        <v>#REF!</v>
      </c>
    </row>
    <row r="126" spans="2:3" ht="15.75" customHeight="1" x14ac:dyDescent="0.25">
      <c r="B126" s="67" t="e">
        <f t="shared" si="14"/>
        <v>#REF!</v>
      </c>
      <c r="C126" s="76" t="e">
        <f t="shared" si="15"/>
        <v>#REF!</v>
      </c>
    </row>
    <row r="127" spans="2:3" ht="15.75" customHeight="1" x14ac:dyDescent="0.25">
      <c r="B127" s="67" t="e">
        <f t="shared" si="14"/>
        <v>#REF!</v>
      </c>
      <c r="C127" s="76" t="e">
        <f t="shared" si="15"/>
        <v>#REF!</v>
      </c>
    </row>
    <row r="128" spans="2:3" ht="15.75" customHeight="1" x14ac:dyDescent="0.25">
      <c r="B128" s="67" t="e">
        <f t="shared" si="14"/>
        <v>#REF!</v>
      </c>
      <c r="C128" s="76" t="e">
        <f t="shared" si="15"/>
        <v>#REF!</v>
      </c>
    </row>
    <row r="129" spans="2:3" ht="15.75" customHeight="1" x14ac:dyDescent="0.25">
      <c r="B129" s="67" t="e">
        <f t="shared" si="14"/>
        <v>#REF!</v>
      </c>
      <c r="C129" s="76" t="e">
        <f t="shared" si="15"/>
        <v>#REF!</v>
      </c>
    </row>
    <row r="130" spans="2:3" ht="15.75" customHeight="1" x14ac:dyDescent="0.25">
      <c r="B130" s="67" t="e">
        <f t="shared" si="14"/>
        <v>#REF!</v>
      </c>
      <c r="C130" s="76" t="e">
        <f t="shared" si="15"/>
        <v>#REF!</v>
      </c>
    </row>
    <row r="131" spans="2:3" ht="15.75" customHeight="1" x14ac:dyDescent="0.25">
      <c r="B131" s="67" t="e">
        <f t="shared" si="14"/>
        <v>#REF!</v>
      </c>
      <c r="C131" s="76" t="e">
        <f t="shared" si="15"/>
        <v>#REF!</v>
      </c>
    </row>
    <row r="132" spans="2:3" ht="15.75" customHeight="1" x14ac:dyDescent="0.25">
      <c r="B132" s="67" t="e">
        <f t="shared" si="14"/>
        <v>#REF!</v>
      </c>
      <c r="C132" s="76" t="e">
        <f t="shared" si="15"/>
        <v>#REF!</v>
      </c>
    </row>
    <row r="133" spans="2:3" ht="15.75" customHeight="1" x14ac:dyDescent="0.25">
      <c r="B133" s="67" t="e">
        <f t="shared" si="14"/>
        <v>#REF!</v>
      </c>
      <c r="C133" s="76" t="e">
        <f t="shared" si="15"/>
        <v>#REF!</v>
      </c>
    </row>
    <row r="134" spans="2:3" ht="15.75" customHeight="1" x14ac:dyDescent="0.25">
      <c r="B134" s="67" t="e">
        <f t="shared" si="14"/>
        <v>#REF!</v>
      </c>
      <c r="C134" s="76" t="e">
        <f t="shared" si="15"/>
        <v>#REF!</v>
      </c>
    </row>
    <row r="135" spans="2:3" ht="15.75" customHeight="1" x14ac:dyDescent="0.25">
      <c r="B135" s="67" t="e">
        <f t="shared" si="14"/>
        <v>#REF!</v>
      </c>
      <c r="C135" s="76" t="e">
        <f t="shared" si="15"/>
        <v>#REF!</v>
      </c>
    </row>
    <row r="136" spans="2:3" ht="15.75" customHeight="1" x14ac:dyDescent="0.25">
      <c r="B136" s="67" t="e">
        <f t="shared" si="14"/>
        <v>#REF!</v>
      </c>
      <c r="C136" s="76" t="e">
        <f t="shared" si="15"/>
        <v>#REF!</v>
      </c>
    </row>
    <row r="137" spans="2:3" ht="15.75" customHeight="1" x14ac:dyDescent="0.25">
      <c r="B137" s="67" t="e">
        <f t="shared" si="14"/>
        <v>#REF!</v>
      </c>
      <c r="C137" s="76" t="e">
        <f t="shared" si="15"/>
        <v>#REF!</v>
      </c>
    </row>
    <row r="138" spans="2:3" ht="15.75" customHeight="1" x14ac:dyDescent="0.25">
      <c r="B138" s="67" t="e">
        <f t="shared" si="14"/>
        <v>#REF!</v>
      </c>
      <c r="C138" s="76" t="e">
        <f t="shared" si="15"/>
        <v>#REF!</v>
      </c>
    </row>
    <row r="139" spans="2:3" ht="15.75" customHeight="1" x14ac:dyDescent="0.25">
      <c r="B139" s="67" t="e">
        <f t="shared" si="14"/>
        <v>#REF!</v>
      </c>
      <c r="C139" s="76" t="e">
        <f t="shared" si="15"/>
        <v>#REF!</v>
      </c>
    </row>
    <row r="140" spans="2:3" ht="15.75" customHeight="1" x14ac:dyDescent="0.25">
      <c r="B140" s="67" t="e">
        <f t="shared" si="14"/>
        <v>#REF!</v>
      </c>
      <c r="C140" s="76" t="e">
        <f t="shared" si="15"/>
        <v>#REF!</v>
      </c>
    </row>
    <row r="141" spans="2:3" ht="15.75" customHeight="1" x14ac:dyDescent="0.25">
      <c r="B141" s="67" t="e">
        <f t="shared" si="14"/>
        <v>#REF!</v>
      </c>
      <c r="C141" s="76" t="e">
        <f t="shared" si="15"/>
        <v>#REF!</v>
      </c>
    </row>
    <row r="142" spans="2:3" ht="15.75" customHeight="1" x14ac:dyDescent="0.25">
      <c r="B142" s="67" t="e">
        <f t="shared" si="14"/>
        <v>#REF!</v>
      </c>
      <c r="C142" s="76" t="e">
        <f t="shared" si="15"/>
        <v>#REF!</v>
      </c>
    </row>
    <row r="143" spans="2:3" ht="15.75" customHeight="1" x14ac:dyDescent="0.25">
      <c r="B143" s="67" t="e">
        <f t="shared" si="14"/>
        <v>#REF!</v>
      </c>
      <c r="C143" s="76" t="e">
        <f t="shared" si="15"/>
        <v>#REF!</v>
      </c>
    </row>
    <row r="144" spans="2:3" ht="15.75" customHeight="1" x14ac:dyDescent="0.25">
      <c r="B144" s="67" t="e">
        <f t="shared" si="14"/>
        <v>#REF!</v>
      </c>
      <c r="C144" s="76" t="e">
        <f t="shared" si="15"/>
        <v>#REF!</v>
      </c>
    </row>
    <row r="145" spans="2:3" ht="15.75" customHeight="1" x14ac:dyDescent="0.25">
      <c r="B145" s="67" t="e">
        <f t="shared" si="14"/>
        <v>#REF!</v>
      </c>
      <c r="C145" s="76" t="e">
        <f t="shared" si="15"/>
        <v>#REF!</v>
      </c>
    </row>
    <row r="146" spans="2:3" ht="15.75" customHeight="1" x14ac:dyDescent="0.25">
      <c r="B146" s="67" t="e">
        <f t="shared" si="14"/>
        <v>#REF!</v>
      </c>
      <c r="C146" s="76" t="e">
        <f t="shared" si="15"/>
        <v>#REF!</v>
      </c>
    </row>
    <row r="147" spans="2:3" ht="15.75" customHeight="1" x14ac:dyDescent="0.25">
      <c r="B147" s="67" t="e">
        <f t="shared" si="14"/>
        <v>#REF!</v>
      </c>
      <c r="C147" s="76" t="e">
        <f t="shared" si="15"/>
        <v>#REF!</v>
      </c>
    </row>
    <row r="148" spans="2:3" ht="15.75" customHeight="1" x14ac:dyDescent="0.25">
      <c r="B148" s="67" t="e">
        <f t="shared" si="14"/>
        <v>#REF!</v>
      </c>
      <c r="C148" s="76" t="e">
        <f t="shared" si="15"/>
        <v>#REF!</v>
      </c>
    </row>
    <row r="149" spans="2:3" ht="15.75" customHeight="1" x14ac:dyDescent="0.25">
      <c r="B149" s="67" t="e">
        <f t="shared" si="14"/>
        <v>#REF!</v>
      </c>
      <c r="C149" s="76" t="e">
        <f t="shared" si="15"/>
        <v>#REF!</v>
      </c>
    </row>
    <row r="150" spans="2:3" ht="15.75" customHeight="1" x14ac:dyDescent="0.25">
      <c r="B150" s="67" t="e">
        <f t="shared" si="14"/>
        <v>#REF!</v>
      </c>
      <c r="C150" s="76" t="e">
        <f t="shared" si="15"/>
        <v>#REF!</v>
      </c>
    </row>
    <row r="151" spans="2:3" ht="15.75" customHeight="1" x14ac:dyDescent="0.25">
      <c r="B151" s="67" t="e">
        <f t="shared" si="14"/>
        <v>#REF!</v>
      </c>
      <c r="C151" s="76" t="e">
        <f t="shared" si="15"/>
        <v>#REF!</v>
      </c>
    </row>
    <row r="152" spans="2:3" ht="15.75" customHeight="1" x14ac:dyDescent="0.25">
      <c r="B152" s="67" t="e">
        <f t="shared" si="14"/>
        <v>#REF!</v>
      </c>
      <c r="C152" s="76" t="e">
        <f t="shared" si="15"/>
        <v>#REF!</v>
      </c>
    </row>
    <row r="153" spans="2:3" ht="15.75" customHeight="1" x14ac:dyDescent="0.25">
      <c r="B153" s="67" t="e">
        <f t="shared" si="14"/>
        <v>#REF!</v>
      </c>
      <c r="C153" s="76" t="e">
        <f t="shared" si="15"/>
        <v>#REF!</v>
      </c>
    </row>
    <row r="154" spans="2:3" ht="15.75" customHeight="1" x14ac:dyDescent="0.25">
      <c r="B154" s="67" t="e">
        <f t="shared" si="14"/>
        <v>#REF!</v>
      </c>
      <c r="C154" s="76" t="e">
        <f t="shared" si="15"/>
        <v>#REF!</v>
      </c>
    </row>
    <row r="155" spans="2:3" ht="15.75" customHeight="1" x14ac:dyDescent="0.25">
      <c r="B155" s="67" t="e">
        <f t="shared" si="14"/>
        <v>#REF!</v>
      </c>
      <c r="C155" s="76" t="e">
        <f t="shared" si="15"/>
        <v>#REF!</v>
      </c>
    </row>
    <row r="156" spans="2:3" ht="15.75" customHeight="1" x14ac:dyDescent="0.25">
      <c r="B156" s="67" t="e">
        <f t="shared" si="14"/>
        <v>#REF!</v>
      </c>
      <c r="C156" s="76" t="e">
        <f t="shared" si="15"/>
        <v>#REF!</v>
      </c>
    </row>
    <row r="157" spans="2:3" ht="15.75" customHeight="1" x14ac:dyDescent="0.25">
      <c r="B157" s="67" t="e">
        <f t="shared" si="14"/>
        <v>#REF!</v>
      </c>
      <c r="C157" s="76" t="e">
        <f t="shared" si="15"/>
        <v>#REF!</v>
      </c>
    </row>
    <row r="158" spans="2:3" ht="15.75" customHeight="1" x14ac:dyDescent="0.25">
      <c r="B158" s="67" t="e">
        <f t="shared" ref="B158:B221" si="16">IF(B157="","",IF(B157+$C$10&lt;=$C$6,B157+$C$10,""))</f>
        <v>#REF!</v>
      </c>
      <c r="C158" s="76" t="e">
        <f t="shared" ref="C158:C221" si="17">IF(B158&lt;&gt;"",C157-$C$2/COUNT($B$18:$B$511),"")</f>
        <v>#REF!</v>
      </c>
    </row>
    <row r="159" spans="2:3" ht="15.75" customHeight="1" x14ac:dyDescent="0.25">
      <c r="B159" s="67" t="e">
        <f t="shared" si="16"/>
        <v>#REF!</v>
      </c>
      <c r="C159" s="76" t="e">
        <f t="shared" si="17"/>
        <v>#REF!</v>
      </c>
    </row>
    <row r="160" spans="2:3" ht="15.75" customHeight="1" x14ac:dyDescent="0.25">
      <c r="B160" s="67" t="e">
        <f t="shared" si="16"/>
        <v>#REF!</v>
      </c>
      <c r="C160" s="76" t="e">
        <f t="shared" si="17"/>
        <v>#REF!</v>
      </c>
    </row>
    <row r="161" spans="2:3" ht="15.75" customHeight="1" x14ac:dyDescent="0.25">
      <c r="B161" s="67" t="e">
        <f t="shared" si="16"/>
        <v>#REF!</v>
      </c>
      <c r="C161" s="76" t="e">
        <f t="shared" si="17"/>
        <v>#REF!</v>
      </c>
    </row>
    <row r="162" spans="2:3" ht="15.75" customHeight="1" x14ac:dyDescent="0.25">
      <c r="B162" s="67" t="e">
        <f t="shared" si="16"/>
        <v>#REF!</v>
      </c>
      <c r="C162" s="76" t="e">
        <f t="shared" si="17"/>
        <v>#REF!</v>
      </c>
    </row>
    <row r="163" spans="2:3" ht="15.75" customHeight="1" x14ac:dyDescent="0.25">
      <c r="B163" s="67" t="e">
        <f t="shared" si="16"/>
        <v>#REF!</v>
      </c>
      <c r="C163" s="76" t="e">
        <f t="shared" si="17"/>
        <v>#REF!</v>
      </c>
    </row>
    <row r="164" spans="2:3" ht="15.75" customHeight="1" x14ac:dyDescent="0.25">
      <c r="B164" s="67" t="e">
        <f t="shared" si="16"/>
        <v>#REF!</v>
      </c>
      <c r="C164" s="76" t="e">
        <f t="shared" si="17"/>
        <v>#REF!</v>
      </c>
    </row>
    <row r="165" spans="2:3" ht="15.75" customHeight="1" x14ac:dyDescent="0.25">
      <c r="B165" s="67" t="e">
        <f t="shared" si="16"/>
        <v>#REF!</v>
      </c>
      <c r="C165" s="76" t="e">
        <f t="shared" si="17"/>
        <v>#REF!</v>
      </c>
    </row>
    <row r="166" spans="2:3" ht="15.75" customHeight="1" x14ac:dyDescent="0.25">
      <c r="B166" s="67" t="e">
        <f t="shared" si="16"/>
        <v>#REF!</v>
      </c>
      <c r="C166" s="76" t="e">
        <f t="shared" si="17"/>
        <v>#REF!</v>
      </c>
    </row>
    <row r="167" spans="2:3" ht="15.75" customHeight="1" x14ac:dyDescent="0.25">
      <c r="B167" s="67" t="e">
        <f t="shared" si="16"/>
        <v>#REF!</v>
      </c>
      <c r="C167" s="76" t="e">
        <f t="shared" si="17"/>
        <v>#REF!</v>
      </c>
    </row>
    <row r="168" spans="2:3" ht="15.75" customHeight="1" x14ac:dyDescent="0.25">
      <c r="B168" s="67" t="e">
        <f t="shared" si="16"/>
        <v>#REF!</v>
      </c>
      <c r="C168" s="76" t="e">
        <f t="shared" si="17"/>
        <v>#REF!</v>
      </c>
    </row>
    <row r="169" spans="2:3" ht="15.75" customHeight="1" x14ac:dyDescent="0.25">
      <c r="B169" s="67" t="e">
        <f t="shared" si="16"/>
        <v>#REF!</v>
      </c>
      <c r="C169" s="76" t="e">
        <f t="shared" si="17"/>
        <v>#REF!</v>
      </c>
    </row>
    <row r="170" spans="2:3" ht="15.75" customHeight="1" x14ac:dyDescent="0.25">
      <c r="B170" s="67" t="e">
        <f t="shared" si="16"/>
        <v>#REF!</v>
      </c>
      <c r="C170" s="76" t="e">
        <f t="shared" si="17"/>
        <v>#REF!</v>
      </c>
    </row>
    <row r="171" spans="2:3" ht="15.75" customHeight="1" x14ac:dyDescent="0.25">
      <c r="B171" s="67" t="e">
        <f t="shared" si="16"/>
        <v>#REF!</v>
      </c>
      <c r="C171" s="76" t="e">
        <f t="shared" si="17"/>
        <v>#REF!</v>
      </c>
    </row>
    <row r="172" spans="2:3" ht="15.75" customHeight="1" x14ac:dyDescent="0.25">
      <c r="B172" s="67" t="e">
        <f t="shared" si="16"/>
        <v>#REF!</v>
      </c>
      <c r="C172" s="76" t="e">
        <f t="shared" si="17"/>
        <v>#REF!</v>
      </c>
    </row>
    <row r="173" spans="2:3" ht="15.75" customHeight="1" x14ac:dyDescent="0.25">
      <c r="B173" s="67" t="e">
        <f t="shared" si="16"/>
        <v>#REF!</v>
      </c>
      <c r="C173" s="76" t="e">
        <f t="shared" si="17"/>
        <v>#REF!</v>
      </c>
    </row>
    <row r="174" spans="2:3" ht="15.75" customHeight="1" x14ac:dyDescent="0.25">
      <c r="B174" s="67" t="e">
        <f t="shared" si="16"/>
        <v>#REF!</v>
      </c>
      <c r="C174" s="76" t="e">
        <f t="shared" si="17"/>
        <v>#REF!</v>
      </c>
    </row>
    <row r="175" spans="2:3" ht="15.75" customHeight="1" x14ac:dyDescent="0.25">
      <c r="B175" s="67" t="e">
        <f t="shared" si="16"/>
        <v>#REF!</v>
      </c>
      <c r="C175" s="76" t="e">
        <f t="shared" si="17"/>
        <v>#REF!</v>
      </c>
    </row>
    <row r="176" spans="2:3" ht="15.75" customHeight="1" x14ac:dyDescent="0.25">
      <c r="B176" s="67" t="e">
        <f t="shared" si="16"/>
        <v>#REF!</v>
      </c>
      <c r="C176" s="76" t="e">
        <f t="shared" si="17"/>
        <v>#REF!</v>
      </c>
    </row>
    <row r="177" spans="2:3" ht="15.75" customHeight="1" x14ac:dyDescent="0.25">
      <c r="B177" s="67" t="e">
        <f t="shared" si="16"/>
        <v>#REF!</v>
      </c>
      <c r="C177" s="76" t="e">
        <f t="shared" si="17"/>
        <v>#REF!</v>
      </c>
    </row>
    <row r="178" spans="2:3" ht="15.75" customHeight="1" x14ac:dyDescent="0.25">
      <c r="B178" s="67" t="e">
        <f t="shared" si="16"/>
        <v>#REF!</v>
      </c>
      <c r="C178" s="76" t="e">
        <f t="shared" si="17"/>
        <v>#REF!</v>
      </c>
    </row>
    <row r="179" spans="2:3" ht="15.75" customHeight="1" x14ac:dyDescent="0.25">
      <c r="B179" s="67" t="e">
        <f t="shared" si="16"/>
        <v>#REF!</v>
      </c>
      <c r="C179" s="76" t="e">
        <f t="shared" si="17"/>
        <v>#REF!</v>
      </c>
    </row>
    <row r="180" spans="2:3" ht="15.75" customHeight="1" x14ac:dyDescent="0.25">
      <c r="B180" s="67" t="e">
        <f t="shared" si="16"/>
        <v>#REF!</v>
      </c>
      <c r="C180" s="76" t="e">
        <f t="shared" si="17"/>
        <v>#REF!</v>
      </c>
    </row>
    <row r="181" spans="2:3" ht="15.75" customHeight="1" x14ac:dyDescent="0.25">
      <c r="B181" s="67" t="e">
        <f t="shared" si="16"/>
        <v>#REF!</v>
      </c>
      <c r="C181" s="76" t="e">
        <f t="shared" si="17"/>
        <v>#REF!</v>
      </c>
    </row>
    <row r="182" spans="2:3" ht="15.75" customHeight="1" x14ac:dyDescent="0.25">
      <c r="B182" s="67" t="e">
        <f t="shared" si="16"/>
        <v>#REF!</v>
      </c>
      <c r="C182" s="76" t="e">
        <f t="shared" si="17"/>
        <v>#REF!</v>
      </c>
    </row>
    <row r="183" spans="2:3" ht="15.75" customHeight="1" x14ac:dyDescent="0.25">
      <c r="B183" s="67" t="e">
        <f t="shared" si="16"/>
        <v>#REF!</v>
      </c>
      <c r="C183" s="76" t="e">
        <f t="shared" si="17"/>
        <v>#REF!</v>
      </c>
    </row>
    <row r="184" spans="2:3" ht="15.75" customHeight="1" x14ac:dyDescent="0.25">
      <c r="B184" s="67" t="e">
        <f t="shared" si="16"/>
        <v>#REF!</v>
      </c>
      <c r="C184" s="76" t="e">
        <f t="shared" si="17"/>
        <v>#REF!</v>
      </c>
    </row>
    <row r="185" spans="2:3" ht="15.75" customHeight="1" x14ac:dyDescent="0.25">
      <c r="B185" s="67" t="e">
        <f t="shared" si="16"/>
        <v>#REF!</v>
      </c>
      <c r="C185" s="76" t="e">
        <f t="shared" si="17"/>
        <v>#REF!</v>
      </c>
    </row>
    <row r="186" spans="2:3" ht="15.75" customHeight="1" x14ac:dyDescent="0.25">
      <c r="B186" s="67" t="e">
        <f t="shared" si="16"/>
        <v>#REF!</v>
      </c>
      <c r="C186" s="76" t="e">
        <f t="shared" si="17"/>
        <v>#REF!</v>
      </c>
    </row>
    <row r="187" spans="2:3" ht="15.75" customHeight="1" x14ac:dyDescent="0.25">
      <c r="B187" s="67" t="e">
        <f t="shared" si="16"/>
        <v>#REF!</v>
      </c>
      <c r="C187" s="76" t="e">
        <f t="shared" si="17"/>
        <v>#REF!</v>
      </c>
    </row>
    <row r="188" spans="2:3" ht="15.75" customHeight="1" x14ac:dyDescent="0.25">
      <c r="B188" s="67" t="e">
        <f t="shared" si="16"/>
        <v>#REF!</v>
      </c>
      <c r="C188" s="76" t="e">
        <f t="shared" si="17"/>
        <v>#REF!</v>
      </c>
    </row>
    <row r="189" spans="2:3" ht="15.75" customHeight="1" x14ac:dyDescent="0.25">
      <c r="B189" s="67" t="e">
        <f t="shared" si="16"/>
        <v>#REF!</v>
      </c>
      <c r="C189" s="76" t="e">
        <f t="shared" si="17"/>
        <v>#REF!</v>
      </c>
    </row>
    <row r="190" spans="2:3" ht="15.75" customHeight="1" x14ac:dyDescent="0.25">
      <c r="B190" s="67" t="e">
        <f t="shared" si="16"/>
        <v>#REF!</v>
      </c>
      <c r="C190" s="76" t="e">
        <f t="shared" si="17"/>
        <v>#REF!</v>
      </c>
    </row>
    <row r="191" spans="2:3" ht="15.75" customHeight="1" x14ac:dyDescent="0.25">
      <c r="B191" s="67" t="e">
        <f t="shared" si="16"/>
        <v>#REF!</v>
      </c>
      <c r="C191" s="76" t="e">
        <f t="shared" si="17"/>
        <v>#REF!</v>
      </c>
    </row>
    <row r="192" spans="2:3" ht="15.75" customHeight="1" x14ac:dyDescent="0.25">
      <c r="B192" s="67" t="e">
        <f t="shared" si="16"/>
        <v>#REF!</v>
      </c>
      <c r="C192" s="76" t="e">
        <f t="shared" si="17"/>
        <v>#REF!</v>
      </c>
    </row>
    <row r="193" spans="2:3" ht="15.75" customHeight="1" x14ac:dyDescent="0.25">
      <c r="B193" s="67" t="e">
        <f t="shared" si="16"/>
        <v>#REF!</v>
      </c>
      <c r="C193" s="76" t="e">
        <f t="shared" si="17"/>
        <v>#REF!</v>
      </c>
    </row>
    <row r="194" spans="2:3" ht="15.75" customHeight="1" x14ac:dyDescent="0.25">
      <c r="B194" s="67" t="e">
        <f t="shared" si="16"/>
        <v>#REF!</v>
      </c>
      <c r="C194" s="76" t="e">
        <f t="shared" si="17"/>
        <v>#REF!</v>
      </c>
    </row>
    <row r="195" spans="2:3" ht="15.75" customHeight="1" x14ac:dyDescent="0.25">
      <c r="B195" s="67" t="e">
        <f t="shared" si="16"/>
        <v>#REF!</v>
      </c>
      <c r="C195" s="76" t="e">
        <f t="shared" si="17"/>
        <v>#REF!</v>
      </c>
    </row>
    <row r="196" spans="2:3" ht="15.75" customHeight="1" x14ac:dyDescent="0.25">
      <c r="B196" s="67" t="e">
        <f t="shared" si="16"/>
        <v>#REF!</v>
      </c>
      <c r="C196" s="76" t="e">
        <f t="shared" si="17"/>
        <v>#REF!</v>
      </c>
    </row>
    <row r="197" spans="2:3" ht="15.75" customHeight="1" x14ac:dyDescent="0.25">
      <c r="B197" s="67" t="e">
        <f t="shared" si="16"/>
        <v>#REF!</v>
      </c>
      <c r="C197" s="76" t="e">
        <f t="shared" si="17"/>
        <v>#REF!</v>
      </c>
    </row>
    <row r="198" spans="2:3" ht="15.75" customHeight="1" x14ac:dyDescent="0.25">
      <c r="B198" s="67" t="e">
        <f t="shared" si="16"/>
        <v>#REF!</v>
      </c>
      <c r="C198" s="76" t="e">
        <f t="shared" si="17"/>
        <v>#REF!</v>
      </c>
    </row>
    <row r="199" spans="2:3" ht="15.75" customHeight="1" x14ac:dyDescent="0.25">
      <c r="B199" s="67" t="e">
        <f t="shared" si="16"/>
        <v>#REF!</v>
      </c>
      <c r="C199" s="76" t="e">
        <f t="shared" si="17"/>
        <v>#REF!</v>
      </c>
    </row>
    <row r="200" spans="2:3" ht="15.75" customHeight="1" x14ac:dyDescent="0.25">
      <c r="B200" s="67" t="e">
        <f t="shared" si="16"/>
        <v>#REF!</v>
      </c>
      <c r="C200" s="76" t="e">
        <f t="shared" si="17"/>
        <v>#REF!</v>
      </c>
    </row>
    <row r="201" spans="2:3" ht="15.75" customHeight="1" x14ac:dyDescent="0.25">
      <c r="B201" s="67" t="e">
        <f t="shared" si="16"/>
        <v>#REF!</v>
      </c>
      <c r="C201" s="76" t="e">
        <f t="shared" si="17"/>
        <v>#REF!</v>
      </c>
    </row>
    <row r="202" spans="2:3" ht="15.75" customHeight="1" x14ac:dyDescent="0.25">
      <c r="B202" s="67" t="e">
        <f t="shared" si="16"/>
        <v>#REF!</v>
      </c>
      <c r="C202" s="76" t="e">
        <f t="shared" si="17"/>
        <v>#REF!</v>
      </c>
    </row>
    <row r="203" spans="2:3" ht="15.75" customHeight="1" x14ac:dyDescent="0.25">
      <c r="B203" s="67" t="e">
        <f t="shared" si="16"/>
        <v>#REF!</v>
      </c>
      <c r="C203" s="76" t="e">
        <f t="shared" si="17"/>
        <v>#REF!</v>
      </c>
    </row>
    <row r="204" spans="2:3" ht="15.75" customHeight="1" x14ac:dyDescent="0.25">
      <c r="B204" s="67" t="e">
        <f t="shared" si="16"/>
        <v>#REF!</v>
      </c>
      <c r="C204" s="76" t="e">
        <f t="shared" si="17"/>
        <v>#REF!</v>
      </c>
    </row>
    <row r="205" spans="2:3" ht="15.75" customHeight="1" x14ac:dyDescent="0.25">
      <c r="B205" s="67" t="e">
        <f t="shared" si="16"/>
        <v>#REF!</v>
      </c>
      <c r="C205" s="76" t="e">
        <f t="shared" si="17"/>
        <v>#REF!</v>
      </c>
    </row>
    <row r="206" spans="2:3" ht="15.75" customHeight="1" x14ac:dyDescent="0.25">
      <c r="B206" s="67" t="e">
        <f t="shared" si="16"/>
        <v>#REF!</v>
      </c>
      <c r="C206" s="76" t="e">
        <f t="shared" si="17"/>
        <v>#REF!</v>
      </c>
    </row>
    <row r="207" spans="2:3" ht="15.75" customHeight="1" x14ac:dyDescent="0.25">
      <c r="B207" s="67" t="e">
        <f t="shared" si="16"/>
        <v>#REF!</v>
      </c>
      <c r="C207" s="76" t="e">
        <f t="shared" si="17"/>
        <v>#REF!</v>
      </c>
    </row>
    <row r="208" spans="2:3" ht="15.75" customHeight="1" x14ac:dyDescent="0.25">
      <c r="B208" s="67" t="e">
        <f t="shared" si="16"/>
        <v>#REF!</v>
      </c>
      <c r="C208" s="76" t="e">
        <f t="shared" si="17"/>
        <v>#REF!</v>
      </c>
    </row>
    <row r="209" spans="2:3" ht="15.75" customHeight="1" x14ac:dyDescent="0.25">
      <c r="B209" s="67" t="e">
        <f t="shared" si="16"/>
        <v>#REF!</v>
      </c>
      <c r="C209" s="76" t="e">
        <f t="shared" si="17"/>
        <v>#REF!</v>
      </c>
    </row>
    <row r="210" spans="2:3" ht="15.75" customHeight="1" x14ac:dyDescent="0.25">
      <c r="B210" s="67" t="e">
        <f t="shared" si="16"/>
        <v>#REF!</v>
      </c>
      <c r="C210" s="76" t="e">
        <f t="shared" si="17"/>
        <v>#REF!</v>
      </c>
    </row>
    <row r="211" spans="2:3" ht="15.75" customHeight="1" x14ac:dyDescent="0.25">
      <c r="B211" s="67" t="e">
        <f t="shared" si="16"/>
        <v>#REF!</v>
      </c>
      <c r="C211" s="76" t="e">
        <f t="shared" si="17"/>
        <v>#REF!</v>
      </c>
    </row>
    <row r="212" spans="2:3" ht="15.75" customHeight="1" x14ac:dyDescent="0.25">
      <c r="B212" s="67" t="e">
        <f t="shared" si="16"/>
        <v>#REF!</v>
      </c>
      <c r="C212" s="76" t="e">
        <f t="shared" si="17"/>
        <v>#REF!</v>
      </c>
    </row>
    <row r="213" spans="2:3" ht="15.75" customHeight="1" x14ac:dyDescent="0.25">
      <c r="B213" s="67" t="e">
        <f t="shared" si="16"/>
        <v>#REF!</v>
      </c>
      <c r="C213" s="76" t="e">
        <f t="shared" si="17"/>
        <v>#REF!</v>
      </c>
    </row>
    <row r="214" spans="2:3" ht="15.75" customHeight="1" x14ac:dyDescent="0.25">
      <c r="B214" s="67" t="e">
        <f t="shared" si="16"/>
        <v>#REF!</v>
      </c>
      <c r="C214" s="76" t="e">
        <f t="shared" si="17"/>
        <v>#REF!</v>
      </c>
    </row>
    <row r="215" spans="2:3" ht="15.75" customHeight="1" x14ac:dyDescent="0.25">
      <c r="B215" s="67" t="e">
        <f t="shared" si="16"/>
        <v>#REF!</v>
      </c>
      <c r="C215" s="76" t="e">
        <f t="shared" si="17"/>
        <v>#REF!</v>
      </c>
    </row>
    <row r="216" spans="2:3" ht="15.75" customHeight="1" x14ac:dyDescent="0.25">
      <c r="B216" s="67" t="e">
        <f t="shared" si="16"/>
        <v>#REF!</v>
      </c>
      <c r="C216" s="76" t="e">
        <f t="shared" si="17"/>
        <v>#REF!</v>
      </c>
    </row>
    <row r="217" spans="2:3" ht="15.75" customHeight="1" x14ac:dyDescent="0.25">
      <c r="B217" s="67" t="e">
        <f t="shared" si="16"/>
        <v>#REF!</v>
      </c>
      <c r="C217" s="76" t="e">
        <f t="shared" si="17"/>
        <v>#REF!</v>
      </c>
    </row>
    <row r="218" spans="2:3" ht="15.75" customHeight="1" x14ac:dyDescent="0.25">
      <c r="B218" s="67" t="e">
        <f t="shared" si="16"/>
        <v>#REF!</v>
      </c>
      <c r="C218" s="76" t="e">
        <f t="shared" si="17"/>
        <v>#REF!</v>
      </c>
    </row>
    <row r="219" spans="2:3" ht="15.75" customHeight="1" x14ac:dyDescent="0.25">
      <c r="B219" s="67" t="e">
        <f t="shared" si="16"/>
        <v>#REF!</v>
      </c>
      <c r="C219" s="76" t="e">
        <f t="shared" si="17"/>
        <v>#REF!</v>
      </c>
    </row>
    <row r="220" spans="2:3" ht="15.75" customHeight="1" x14ac:dyDescent="0.25">
      <c r="B220" s="67" t="e">
        <f t="shared" si="16"/>
        <v>#REF!</v>
      </c>
      <c r="C220" s="76" t="e">
        <f t="shared" si="17"/>
        <v>#REF!</v>
      </c>
    </row>
    <row r="221" spans="2:3" ht="15.75" customHeight="1" x14ac:dyDescent="0.25">
      <c r="B221" s="67" t="e">
        <f t="shared" si="16"/>
        <v>#REF!</v>
      </c>
      <c r="C221" s="76" t="e">
        <f t="shared" si="17"/>
        <v>#REF!</v>
      </c>
    </row>
    <row r="222" spans="2:3" ht="15.75" customHeight="1" x14ac:dyDescent="0.25">
      <c r="B222" s="67" t="e">
        <f t="shared" ref="B222:B285" si="18">IF(B221="","",IF(B221+$C$10&lt;=$C$6,B221+$C$10,""))</f>
        <v>#REF!</v>
      </c>
      <c r="C222" s="76" t="e">
        <f t="shared" ref="C222:C285" si="19">IF(B222&lt;&gt;"",C221-$C$2/COUNT($B$18:$B$511),"")</f>
        <v>#REF!</v>
      </c>
    </row>
    <row r="223" spans="2:3" ht="15.75" customHeight="1" x14ac:dyDescent="0.25">
      <c r="B223" s="67" t="e">
        <f t="shared" si="18"/>
        <v>#REF!</v>
      </c>
      <c r="C223" s="76" t="e">
        <f t="shared" si="19"/>
        <v>#REF!</v>
      </c>
    </row>
    <row r="224" spans="2:3" ht="15.75" customHeight="1" x14ac:dyDescent="0.25">
      <c r="B224" s="67" t="e">
        <f t="shared" si="18"/>
        <v>#REF!</v>
      </c>
      <c r="C224" s="76" t="e">
        <f t="shared" si="19"/>
        <v>#REF!</v>
      </c>
    </row>
    <row r="225" spans="2:3" ht="15.75" customHeight="1" x14ac:dyDescent="0.25">
      <c r="B225" s="67" t="e">
        <f t="shared" si="18"/>
        <v>#REF!</v>
      </c>
      <c r="C225" s="76" t="e">
        <f t="shared" si="19"/>
        <v>#REF!</v>
      </c>
    </row>
    <row r="226" spans="2:3" ht="15.75" customHeight="1" x14ac:dyDescent="0.25">
      <c r="B226" s="67" t="e">
        <f t="shared" si="18"/>
        <v>#REF!</v>
      </c>
      <c r="C226" s="76" t="e">
        <f t="shared" si="19"/>
        <v>#REF!</v>
      </c>
    </row>
    <row r="227" spans="2:3" ht="15.75" customHeight="1" x14ac:dyDescent="0.25">
      <c r="B227" s="67" t="e">
        <f t="shared" si="18"/>
        <v>#REF!</v>
      </c>
      <c r="C227" s="76" t="e">
        <f t="shared" si="19"/>
        <v>#REF!</v>
      </c>
    </row>
    <row r="228" spans="2:3" ht="15.75" customHeight="1" x14ac:dyDescent="0.25">
      <c r="B228" s="67" t="e">
        <f t="shared" si="18"/>
        <v>#REF!</v>
      </c>
      <c r="C228" s="76" t="e">
        <f t="shared" si="19"/>
        <v>#REF!</v>
      </c>
    </row>
    <row r="229" spans="2:3" ht="15.75" customHeight="1" x14ac:dyDescent="0.25">
      <c r="B229" s="67" t="e">
        <f t="shared" si="18"/>
        <v>#REF!</v>
      </c>
      <c r="C229" s="76" t="e">
        <f t="shared" si="19"/>
        <v>#REF!</v>
      </c>
    </row>
    <row r="230" spans="2:3" ht="15.75" customHeight="1" x14ac:dyDescent="0.25">
      <c r="B230" s="67" t="e">
        <f t="shared" si="18"/>
        <v>#REF!</v>
      </c>
      <c r="C230" s="76" t="e">
        <f t="shared" si="19"/>
        <v>#REF!</v>
      </c>
    </row>
    <row r="231" spans="2:3" ht="15.75" customHeight="1" x14ac:dyDescent="0.25">
      <c r="B231" s="67" t="e">
        <f t="shared" si="18"/>
        <v>#REF!</v>
      </c>
      <c r="C231" s="76" t="e">
        <f t="shared" si="19"/>
        <v>#REF!</v>
      </c>
    </row>
    <row r="232" spans="2:3" ht="15.75" customHeight="1" x14ac:dyDescent="0.25">
      <c r="B232" s="67" t="e">
        <f t="shared" si="18"/>
        <v>#REF!</v>
      </c>
      <c r="C232" s="76" t="e">
        <f t="shared" si="19"/>
        <v>#REF!</v>
      </c>
    </row>
    <row r="233" spans="2:3" ht="15.75" customHeight="1" x14ac:dyDescent="0.25">
      <c r="B233" s="67" t="e">
        <f t="shared" si="18"/>
        <v>#REF!</v>
      </c>
      <c r="C233" s="76" t="e">
        <f t="shared" si="19"/>
        <v>#REF!</v>
      </c>
    </row>
    <row r="234" spans="2:3" ht="15.75" customHeight="1" x14ac:dyDescent="0.25">
      <c r="B234" s="67" t="e">
        <f t="shared" si="18"/>
        <v>#REF!</v>
      </c>
      <c r="C234" s="76" t="e">
        <f t="shared" si="19"/>
        <v>#REF!</v>
      </c>
    </row>
    <row r="235" spans="2:3" ht="15.75" customHeight="1" x14ac:dyDescent="0.25">
      <c r="B235" s="67" t="e">
        <f t="shared" si="18"/>
        <v>#REF!</v>
      </c>
      <c r="C235" s="76" t="e">
        <f t="shared" si="19"/>
        <v>#REF!</v>
      </c>
    </row>
    <row r="236" spans="2:3" ht="15.75" customHeight="1" x14ac:dyDescent="0.25">
      <c r="B236" s="67" t="e">
        <f t="shared" si="18"/>
        <v>#REF!</v>
      </c>
      <c r="C236" s="76" t="e">
        <f t="shared" si="19"/>
        <v>#REF!</v>
      </c>
    </row>
    <row r="237" spans="2:3" ht="15.75" customHeight="1" x14ac:dyDescent="0.25">
      <c r="B237" s="67" t="e">
        <f t="shared" si="18"/>
        <v>#REF!</v>
      </c>
      <c r="C237" s="76" t="e">
        <f t="shared" si="19"/>
        <v>#REF!</v>
      </c>
    </row>
    <row r="238" spans="2:3" ht="15.75" customHeight="1" x14ac:dyDescent="0.25">
      <c r="B238" s="67" t="e">
        <f t="shared" si="18"/>
        <v>#REF!</v>
      </c>
      <c r="C238" s="76" t="e">
        <f t="shared" si="19"/>
        <v>#REF!</v>
      </c>
    </row>
    <row r="239" spans="2:3" ht="15.75" customHeight="1" x14ac:dyDescent="0.25">
      <c r="B239" s="67" t="e">
        <f t="shared" si="18"/>
        <v>#REF!</v>
      </c>
      <c r="C239" s="76" t="e">
        <f t="shared" si="19"/>
        <v>#REF!</v>
      </c>
    </row>
    <row r="240" spans="2:3" ht="15.75" customHeight="1" x14ac:dyDescent="0.25">
      <c r="B240" s="67" t="e">
        <f t="shared" si="18"/>
        <v>#REF!</v>
      </c>
      <c r="C240" s="76" t="e">
        <f t="shared" si="19"/>
        <v>#REF!</v>
      </c>
    </row>
    <row r="241" spans="2:3" ht="15.75" customHeight="1" x14ac:dyDescent="0.25">
      <c r="B241" s="67" t="e">
        <f t="shared" si="18"/>
        <v>#REF!</v>
      </c>
      <c r="C241" s="76" t="e">
        <f t="shared" si="19"/>
        <v>#REF!</v>
      </c>
    </row>
    <row r="242" spans="2:3" ht="15.75" customHeight="1" x14ac:dyDescent="0.25">
      <c r="B242" s="67" t="e">
        <f t="shared" si="18"/>
        <v>#REF!</v>
      </c>
      <c r="C242" s="76" t="e">
        <f t="shared" si="19"/>
        <v>#REF!</v>
      </c>
    </row>
    <row r="243" spans="2:3" ht="15.75" customHeight="1" x14ac:dyDescent="0.25">
      <c r="B243" s="67" t="e">
        <f t="shared" si="18"/>
        <v>#REF!</v>
      </c>
      <c r="C243" s="76" t="e">
        <f t="shared" si="19"/>
        <v>#REF!</v>
      </c>
    </row>
    <row r="244" spans="2:3" ht="15.75" customHeight="1" x14ac:dyDescent="0.25">
      <c r="B244" s="67" t="e">
        <f t="shared" si="18"/>
        <v>#REF!</v>
      </c>
      <c r="C244" s="76" t="e">
        <f t="shared" si="19"/>
        <v>#REF!</v>
      </c>
    </row>
    <row r="245" spans="2:3" ht="15.75" customHeight="1" x14ac:dyDescent="0.25">
      <c r="B245" s="67" t="e">
        <f t="shared" si="18"/>
        <v>#REF!</v>
      </c>
      <c r="C245" s="76" t="e">
        <f t="shared" si="19"/>
        <v>#REF!</v>
      </c>
    </row>
    <row r="246" spans="2:3" ht="15.75" customHeight="1" x14ac:dyDescent="0.25">
      <c r="B246" s="67" t="e">
        <f t="shared" si="18"/>
        <v>#REF!</v>
      </c>
      <c r="C246" s="76" t="e">
        <f t="shared" si="19"/>
        <v>#REF!</v>
      </c>
    </row>
    <row r="247" spans="2:3" ht="15.75" customHeight="1" x14ac:dyDescent="0.25">
      <c r="B247" s="67" t="e">
        <f t="shared" si="18"/>
        <v>#REF!</v>
      </c>
      <c r="C247" s="76" t="e">
        <f t="shared" si="19"/>
        <v>#REF!</v>
      </c>
    </row>
    <row r="248" spans="2:3" ht="15.75" customHeight="1" x14ac:dyDescent="0.25">
      <c r="B248" s="67" t="e">
        <f t="shared" si="18"/>
        <v>#REF!</v>
      </c>
      <c r="C248" s="76" t="e">
        <f t="shared" si="19"/>
        <v>#REF!</v>
      </c>
    </row>
    <row r="249" spans="2:3" ht="15.75" customHeight="1" x14ac:dyDescent="0.25">
      <c r="B249" s="67" t="e">
        <f t="shared" si="18"/>
        <v>#REF!</v>
      </c>
      <c r="C249" s="76" t="e">
        <f t="shared" si="19"/>
        <v>#REF!</v>
      </c>
    </row>
    <row r="250" spans="2:3" ht="15.75" customHeight="1" x14ac:dyDescent="0.25">
      <c r="B250" s="67" t="e">
        <f t="shared" si="18"/>
        <v>#REF!</v>
      </c>
      <c r="C250" s="76" t="e">
        <f t="shared" si="19"/>
        <v>#REF!</v>
      </c>
    </row>
    <row r="251" spans="2:3" ht="15.75" customHeight="1" x14ac:dyDescent="0.25">
      <c r="B251" s="67" t="e">
        <f t="shared" si="18"/>
        <v>#REF!</v>
      </c>
      <c r="C251" s="76" t="e">
        <f t="shared" si="19"/>
        <v>#REF!</v>
      </c>
    </row>
    <row r="252" spans="2:3" ht="15.75" customHeight="1" x14ac:dyDescent="0.25">
      <c r="B252" s="67" t="e">
        <f t="shared" si="18"/>
        <v>#REF!</v>
      </c>
      <c r="C252" s="76" t="e">
        <f t="shared" si="19"/>
        <v>#REF!</v>
      </c>
    </row>
    <row r="253" spans="2:3" ht="15.75" customHeight="1" x14ac:dyDescent="0.25">
      <c r="B253" s="67" t="e">
        <f t="shared" si="18"/>
        <v>#REF!</v>
      </c>
      <c r="C253" s="76" t="e">
        <f t="shared" si="19"/>
        <v>#REF!</v>
      </c>
    </row>
    <row r="254" spans="2:3" ht="15.75" customHeight="1" x14ac:dyDescent="0.25">
      <c r="B254" s="67" t="e">
        <f t="shared" si="18"/>
        <v>#REF!</v>
      </c>
      <c r="C254" s="76" t="e">
        <f t="shared" si="19"/>
        <v>#REF!</v>
      </c>
    </row>
    <row r="255" spans="2:3" ht="15.75" customHeight="1" x14ac:dyDescent="0.25">
      <c r="B255" s="67" t="e">
        <f t="shared" si="18"/>
        <v>#REF!</v>
      </c>
      <c r="C255" s="76" t="e">
        <f t="shared" si="19"/>
        <v>#REF!</v>
      </c>
    </row>
    <row r="256" spans="2:3" ht="15.75" customHeight="1" x14ac:dyDescent="0.25">
      <c r="B256" s="67" t="e">
        <f t="shared" si="18"/>
        <v>#REF!</v>
      </c>
      <c r="C256" s="76" t="e">
        <f t="shared" si="19"/>
        <v>#REF!</v>
      </c>
    </row>
    <row r="257" spans="2:3" ht="15.75" customHeight="1" x14ac:dyDescent="0.25">
      <c r="B257" s="67" t="e">
        <f t="shared" si="18"/>
        <v>#REF!</v>
      </c>
      <c r="C257" s="76" t="e">
        <f t="shared" si="19"/>
        <v>#REF!</v>
      </c>
    </row>
    <row r="258" spans="2:3" ht="15.75" customHeight="1" x14ac:dyDescent="0.25">
      <c r="B258" s="67" t="e">
        <f t="shared" si="18"/>
        <v>#REF!</v>
      </c>
      <c r="C258" s="76" t="e">
        <f t="shared" si="19"/>
        <v>#REF!</v>
      </c>
    </row>
    <row r="259" spans="2:3" ht="15.75" customHeight="1" x14ac:dyDescent="0.25">
      <c r="B259" s="67" t="e">
        <f t="shared" si="18"/>
        <v>#REF!</v>
      </c>
      <c r="C259" s="76" t="e">
        <f t="shared" si="19"/>
        <v>#REF!</v>
      </c>
    </row>
    <row r="260" spans="2:3" ht="15.75" customHeight="1" x14ac:dyDescent="0.25">
      <c r="B260" s="67" t="e">
        <f t="shared" si="18"/>
        <v>#REF!</v>
      </c>
      <c r="C260" s="76" t="e">
        <f t="shared" si="19"/>
        <v>#REF!</v>
      </c>
    </row>
    <row r="261" spans="2:3" ht="15.75" customHeight="1" x14ac:dyDescent="0.25">
      <c r="B261" s="67" t="e">
        <f t="shared" si="18"/>
        <v>#REF!</v>
      </c>
      <c r="C261" s="76" t="e">
        <f t="shared" si="19"/>
        <v>#REF!</v>
      </c>
    </row>
    <row r="262" spans="2:3" ht="15.75" customHeight="1" x14ac:dyDescent="0.25">
      <c r="B262" s="67" t="e">
        <f t="shared" si="18"/>
        <v>#REF!</v>
      </c>
      <c r="C262" s="76" t="e">
        <f t="shared" si="19"/>
        <v>#REF!</v>
      </c>
    </row>
    <row r="263" spans="2:3" ht="15.75" customHeight="1" x14ac:dyDescent="0.25">
      <c r="B263" s="67" t="e">
        <f t="shared" si="18"/>
        <v>#REF!</v>
      </c>
      <c r="C263" s="76" t="e">
        <f t="shared" si="19"/>
        <v>#REF!</v>
      </c>
    </row>
    <row r="264" spans="2:3" ht="15.75" customHeight="1" x14ac:dyDescent="0.25">
      <c r="B264" s="67" t="e">
        <f t="shared" si="18"/>
        <v>#REF!</v>
      </c>
      <c r="C264" s="76" t="e">
        <f t="shared" si="19"/>
        <v>#REF!</v>
      </c>
    </row>
    <row r="265" spans="2:3" ht="15.75" customHeight="1" x14ac:dyDescent="0.25">
      <c r="B265" s="67" t="e">
        <f t="shared" si="18"/>
        <v>#REF!</v>
      </c>
      <c r="C265" s="76" t="e">
        <f t="shared" si="19"/>
        <v>#REF!</v>
      </c>
    </row>
    <row r="266" spans="2:3" ht="15.75" customHeight="1" x14ac:dyDescent="0.25">
      <c r="B266" s="67" t="e">
        <f t="shared" si="18"/>
        <v>#REF!</v>
      </c>
      <c r="C266" s="76" t="e">
        <f t="shared" si="19"/>
        <v>#REF!</v>
      </c>
    </row>
    <row r="267" spans="2:3" ht="15.75" customHeight="1" x14ac:dyDescent="0.25">
      <c r="B267" s="67" t="e">
        <f t="shared" si="18"/>
        <v>#REF!</v>
      </c>
      <c r="C267" s="76" t="e">
        <f t="shared" si="19"/>
        <v>#REF!</v>
      </c>
    </row>
    <row r="268" spans="2:3" ht="15.75" customHeight="1" x14ac:dyDescent="0.25">
      <c r="B268" s="67" t="e">
        <f t="shared" si="18"/>
        <v>#REF!</v>
      </c>
      <c r="C268" s="76" t="e">
        <f t="shared" si="19"/>
        <v>#REF!</v>
      </c>
    </row>
    <row r="269" spans="2:3" ht="15.75" customHeight="1" x14ac:dyDescent="0.25">
      <c r="B269" s="67" t="e">
        <f t="shared" si="18"/>
        <v>#REF!</v>
      </c>
      <c r="C269" s="76" t="e">
        <f t="shared" si="19"/>
        <v>#REF!</v>
      </c>
    </row>
    <row r="270" spans="2:3" ht="15.75" customHeight="1" x14ac:dyDescent="0.25">
      <c r="B270" s="67" t="e">
        <f t="shared" si="18"/>
        <v>#REF!</v>
      </c>
      <c r="C270" s="76" t="e">
        <f t="shared" si="19"/>
        <v>#REF!</v>
      </c>
    </row>
    <row r="271" spans="2:3" ht="15.75" customHeight="1" x14ac:dyDescent="0.25">
      <c r="B271" s="67" t="e">
        <f t="shared" si="18"/>
        <v>#REF!</v>
      </c>
      <c r="C271" s="76" t="e">
        <f t="shared" si="19"/>
        <v>#REF!</v>
      </c>
    </row>
    <row r="272" spans="2:3" ht="15.75" customHeight="1" x14ac:dyDescent="0.25">
      <c r="B272" s="67" t="e">
        <f t="shared" si="18"/>
        <v>#REF!</v>
      </c>
      <c r="C272" s="76" t="e">
        <f t="shared" si="19"/>
        <v>#REF!</v>
      </c>
    </row>
    <row r="273" spans="2:3" ht="15.75" customHeight="1" x14ac:dyDescent="0.25">
      <c r="B273" s="67" t="e">
        <f t="shared" si="18"/>
        <v>#REF!</v>
      </c>
      <c r="C273" s="76" t="e">
        <f t="shared" si="19"/>
        <v>#REF!</v>
      </c>
    </row>
    <row r="274" spans="2:3" ht="15.75" customHeight="1" x14ac:dyDescent="0.25">
      <c r="B274" s="67" t="e">
        <f t="shared" si="18"/>
        <v>#REF!</v>
      </c>
      <c r="C274" s="76" t="e">
        <f t="shared" si="19"/>
        <v>#REF!</v>
      </c>
    </row>
    <row r="275" spans="2:3" ht="15.75" customHeight="1" x14ac:dyDescent="0.25">
      <c r="B275" s="67" t="e">
        <f t="shared" si="18"/>
        <v>#REF!</v>
      </c>
      <c r="C275" s="76" t="e">
        <f t="shared" si="19"/>
        <v>#REF!</v>
      </c>
    </row>
    <row r="276" spans="2:3" ht="15.75" customHeight="1" x14ac:dyDescent="0.25">
      <c r="B276" s="67" t="e">
        <f t="shared" si="18"/>
        <v>#REF!</v>
      </c>
      <c r="C276" s="76" t="e">
        <f t="shared" si="19"/>
        <v>#REF!</v>
      </c>
    </row>
    <row r="277" spans="2:3" ht="15.75" customHeight="1" x14ac:dyDescent="0.25">
      <c r="B277" s="67" t="e">
        <f t="shared" si="18"/>
        <v>#REF!</v>
      </c>
      <c r="C277" s="76" t="e">
        <f t="shared" si="19"/>
        <v>#REF!</v>
      </c>
    </row>
    <row r="278" spans="2:3" ht="15.75" customHeight="1" x14ac:dyDescent="0.25">
      <c r="B278" s="67" t="e">
        <f t="shared" si="18"/>
        <v>#REF!</v>
      </c>
      <c r="C278" s="76" t="e">
        <f t="shared" si="19"/>
        <v>#REF!</v>
      </c>
    </row>
    <row r="279" spans="2:3" ht="15.75" customHeight="1" x14ac:dyDescent="0.25">
      <c r="B279" s="67" t="e">
        <f t="shared" si="18"/>
        <v>#REF!</v>
      </c>
      <c r="C279" s="76" t="e">
        <f t="shared" si="19"/>
        <v>#REF!</v>
      </c>
    </row>
    <row r="280" spans="2:3" ht="15.75" customHeight="1" x14ac:dyDescent="0.25">
      <c r="B280" s="67" t="e">
        <f t="shared" si="18"/>
        <v>#REF!</v>
      </c>
      <c r="C280" s="76" t="e">
        <f t="shared" si="19"/>
        <v>#REF!</v>
      </c>
    </row>
    <row r="281" spans="2:3" ht="15.75" customHeight="1" x14ac:dyDescent="0.25">
      <c r="B281" s="67" t="e">
        <f t="shared" si="18"/>
        <v>#REF!</v>
      </c>
      <c r="C281" s="76" t="e">
        <f t="shared" si="19"/>
        <v>#REF!</v>
      </c>
    </row>
    <row r="282" spans="2:3" ht="15.75" customHeight="1" x14ac:dyDescent="0.25">
      <c r="B282" s="67" t="e">
        <f t="shared" si="18"/>
        <v>#REF!</v>
      </c>
      <c r="C282" s="76" t="e">
        <f t="shared" si="19"/>
        <v>#REF!</v>
      </c>
    </row>
    <row r="283" spans="2:3" ht="15.75" customHeight="1" x14ac:dyDescent="0.25">
      <c r="B283" s="67" t="e">
        <f t="shared" si="18"/>
        <v>#REF!</v>
      </c>
      <c r="C283" s="76" t="e">
        <f t="shared" si="19"/>
        <v>#REF!</v>
      </c>
    </row>
    <row r="284" spans="2:3" ht="15.75" customHeight="1" x14ac:dyDescent="0.25">
      <c r="B284" s="67" t="e">
        <f t="shared" si="18"/>
        <v>#REF!</v>
      </c>
      <c r="C284" s="76" t="e">
        <f t="shared" si="19"/>
        <v>#REF!</v>
      </c>
    </row>
    <row r="285" spans="2:3" ht="15.75" customHeight="1" x14ac:dyDescent="0.25">
      <c r="B285" s="67" t="e">
        <f t="shared" si="18"/>
        <v>#REF!</v>
      </c>
      <c r="C285" s="76" t="e">
        <f t="shared" si="19"/>
        <v>#REF!</v>
      </c>
    </row>
    <row r="286" spans="2:3" ht="15.75" customHeight="1" x14ac:dyDescent="0.25">
      <c r="B286" s="67" t="e">
        <f t="shared" ref="B286:B349" si="20">IF(B285="","",IF(B285+$C$10&lt;=$C$6,B285+$C$10,""))</f>
        <v>#REF!</v>
      </c>
      <c r="C286" s="76" t="e">
        <f t="shared" ref="C286:C349" si="21">IF(B286&lt;&gt;"",C285-$C$2/COUNT($B$18:$B$511),"")</f>
        <v>#REF!</v>
      </c>
    </row>
    <row r="287" spans="2:3" ht="15.75" customHeight="1" x14ac:dyDescent="0.25">
      <c r="B287" s="67" t="e">
        <f t="shared" si="20"/>
        <v>#REF!</v>
      </c>
      <c r="C287" s="76" t="e">
        <f t="shared" si="21"/>
        <v>#REF!</v>
      </c>
    </row>
    <row r="288" spans="2:3" ht="15.75" customHeight="1" x14ac:dyDescent="0.25">
      <c r="B288" s="67" t="e">
        <f t="shared" si="20"/>
        <v>#REF!</v>
      </c>
      <c r="C288" s="76" t="e">
        <f t="shared" si="21"/>
        <v>#REF!</v>
      </c>
    </row>
    <row r="289" spans="2:3" ht="15.75" customHeight="1" x14ac:dyDescent="0.25">
      <c r="B289" s="67" t="e">
        <f t="shared" si="20"/>
        <v>#REF!</v>
      </c>
      <c r="C289" s="76" t="e">
        <f t="shared" si="21"/>
        <v>#REF!</v>
      </c>
    </row>
    <row r="290" spans="2:3" ht="15.75" customHeight="1" x14ac:dyDescent="0.25">
      <c r="B290" s="67" t="e">
        <f t="shared" si="20"/>
        <v>#REF!</v>
      </c>
      <c r="C290" s="76" t="e">
        <f t="shared" si="21"/>
        <v>#REF!</v>
      </c>
    </row>
    <row r="291" spans="2:3" ht="15.75" customHeight="1" x14ac:dyDescent="0.25">
      <c r="B291" s="67" t="e">
        <f t="shared" si="20"/>
        <v>#REF!</v>
      </c>
      <c r="C291" s="76" t="e">
        <f t="shared" si="21"/>
        <v>#REF!</v>
      </c>
    </row>
    <row r="292" spans="2:3" ht="15.75" customHeight="1" x14ac:dyDescent="0.25">
      <c r="B292" s="67" t="e">
        <f t="shared" si="20"/>
        <v>#REF!</v>
      </c>
      <c r="C292" s="76" t="e">
        <f t="shared" si="21"/>
        <v>#REF!</v>
      </c>
    </row>
    <row r="293" spans="2:3" ht="15.75" customHeight="1" x14ac:dyDescent="0.25">
      <c r="B293" s="67" t="e">
        <f t="shared" si="20"/>
        <v>#REF!</v>
      </c>
      <c r="C293" s="76" t="e">
        <f t="shared" si="21"/>
        <v>#REF!</v>
      </c>
    </row>
    <row r="294" spans="2:3" ht="15.75" customHeight="1" x14ac:dyDescent="0.25">
      <c r="B294" s="67" t="e">
        <f t="shared" si="20"/>
        <v>#REF!</v>
      </c>
      <c r="C294" s="76" t="e">
        <f t="shared" si="21"/>
        <v>#REF!</v>
      </c>
    </row>
    <row r="295" spans="2:3" ht="15.75" customHeight="1" x14ac:dyDescent="0.25">
      <c r="B295" s="67" t="e">
        <f t="shared" si="20"/>
        <v>#REF!</v>
      </c>
      <c r="C295" s="76" t="e">
        <f t="shared" si="21"/>
        <v>#REF!</v>
      </c>
    </row>
    <row r="296" spans="2:3" ht="15.75" customHeight="1" x14ac:dyDescent="0.25">
      <c r="B296" s="67" t="e">
        <f t="shared" si="20"/>
        <v>#REF!</v>
      </c>
      <c r="C296" s="76" t="e">
        <f t="shared" si="21"/>
        <v>#REF!</v>
      </c>
    </row>
    <row r="297" spans="2:3" ht="15.75" customHeight="1" x14ac:dyDescent="0.25">
      <c r="B297" s="67" t="e">
        <f t="shared" si="20"/>
        <v>#REF!</v>
      </c>
      <c r="C297" s="76" t="e">
        <f t="shared" si="21"/>
        <v>#REF!</v>
      </c>
    </row>
    <row r="298" spans="2:3" ht="15.75" customHeight="1" x14ac:dyDescent="0.25">
      <c r="B298" s="67" t="e">
        <f t="shared" si="20"/>
        <v>#REF!</v>
      </c>
      <c r="C298" s="76" t="e">
        <f t="shared" si="21"/>
        <v>#REF!</v>
      </c>
    </row>
    <row r="299" spans="2:3" ht="15.75" customHeight="1" x14ac:dyDescent="0.25">
      <c r="B299" s="67" t="e">
        <f t="shared" si="20"/>
        <v>#REF!</v>
      </c>
      <c r="C299" s="76" t="e">
        <f t="shared" si="21"/>
        <v>#REF!</v>
      </c>
    </row>
    <row r="300" spans="2:3" ht="15.75" customHeight="1" x14ac:dyDescent="0.25">
      <c r="B300" s="67" t="e">
        <f t="shared" si="20"/>
        <v>#REF!</v>
      </c>
      <c r="C300" s="76" t="e">
        <f t="shared" si="21"/>
        <v>#REF!</v>
      </c>
    </row>
    <row r="301" spans="2:3" ht="15.75" customHeight="1" x14ac:dyDescent="0.25">
      <c r="B301" s="67" t="e">
        <f t="shared" si="20"/>
        <v>#REF!</v>
      </c>
      <c r="C301" s="76" t="e">
        <f t="shared" si="21"/>
        <v>#REF!</v>
      </c>
    </row>
    <row r="302" spans="2:3" ht="15.75" customHeight="1" x14ac:dyDescent="0.25">
      <c r="B302" s="67" t="e">
        <f t="shared" si="20"/>
        <v>#REF!</v>
      </c>
      <c r="C302" s="76" t="e">
        <f t="shared" si="21"/>
        <v>#REF!</v>
      </c>
    </row>
    <row r="303" spans="2:3" ht="15.75" customHeight="1" x14ac:dyDescent="0.25">
      <c r="B303" s="67" t="e">
        <f t="shared" si="20"/>
        <v>#REF!</v>
      </c>
      <c r="C303" s="76" t="e">
        <f t="shared" si="21"/>
        <v>#REF!</v>
      </c>
    </row>
    <row r="304" spans="2:3" ht="15.75" customHeight="1" x14ac:dyDescent="0.25">
      <c r="B304" s="67" t="e">
        <f t="shared" si="20"/>
        <v>#REF!</v>
      </c>
      <c r="C304" s="76" t="e">
        <f t="shared" si="21"/>
        <v>#REF!</v>
      </c>
    </row>
    <row r="305" spans="2:3" ht="15.75" customHeight="1" x14ac:dyDescent="0.25">
      <c r="B305" s="67" t="e">
        <f t="shared" si="20"/>
        <v>#REF!</v>
      </c>
      <c r="C305" s="76" t="e">
        <f t="shared" si="21"/>
        <v>#REF!</v>
      </c>
    </row>
    <row r="306" spans="2:3" ht="15.75" customHeight="1" x14ac:dyDescent="0.25">
      <c r="B306" s="67" t="e">
        <f t="shared" si="20"/>
        <v>#REF!</v>
      </c>
      <c r="C306" s="76" t="e">
        <f t="shared" si="21"/>
        <v>#REF!</v>
      </c>
    </row>
    <row r="307" spans="2:3" ht="15.75" customHeight="1" x14ac:dyDescent="0.25">
      <c r="B307" s="67" t="e">
        <f t="shared" si="20"/>
        <v>#REF!</v>
      </c>
      <c r="C307" s="76" t="e">
        <f t="shared" si="21"/>
        <v>#REF!</v>
      </c>
    </row>
    <row r="308" spans="2:3" ht="15.75" customHeight="1" x14ac:dyDescent="0.25">
      <c r="B308" s="67" t="e">
        <f t="shared" si="20"/>
        <v>#REF!</v>
      </c>
      <c r="C308" s="76" t="e">
        <f t="shared" si="21"/>
        <v>#REF!</v>
      </c>
    </row>
    <row r="309" spans="2:3" ht="15.75" customHeight="1" x14ac:dyDescent="0.25">
      <c r="B309" s="67" t="e">
        <f t="shared" si="20"/>
        <v>#REF!</v>
      </c>
      <c r="C309" s="76" t="e">
        <f t="shared" si="21"/>
        <v>#REF!</v>
      </c>
    </row>
    <row r="310" spans="2:3" ht="15.75" customHeight="1" x14ac:dyDescent="0.25">
      <c r="B310" s="67" t="e">
        <f t="shared" si="20"/>
        <v>#REF!</v>
      </c>
      <c r="C310" s="76" t="e">
        <f t="shared" si="21"/>
        <v>#REF!</v>
      </c>
    </row>
    <row r="311" spans="2:3" ht="15.75" customHeight="1" x14ac:dyDescent="0.25">
      <c r="B311" s="67" t="e">
        <f t="shared" si="20"/>
        <v>#REF!</v>
      </c>
      <c r="C311" s="76" t="e">
        <f t="shared" si="21"/>
        <v>#REF!</v>
      </c>
    </row>
    <row r="312" spans="2:3" ht="15.75" customHeight="1" x14ac:dyDescent="0.25">
      <c r="B312" s="67" t="e">
        <f t="shared" si="20"/>
        <v>#REF!</v>
      </c>
      <c r="C312" s="76" t="e">
        <f t="shared" si="21"/>
        <v>#REF!</v>
      </c>
    </row>
    <row r="313" spans="2:3" ht="15.75" customHeight="1" x14ac:dyDescent="0.25">
      <c r="B313" s="67" t="e">
        <f t="shared" si="20"/>
        <v>#REF!</v>
      </c>
      <c r="C313" s="76" t="e">
        <f t="shared" si="21"/>
        <v>#REF!</v>
      </c>
    </row>
    <row r="314" spans="2:3" ht="15.75" customHeight="1" x14ac:dyDescent="0.25">
      <c r="B314" s="67" t="e">
        <f t="shared" si="20"/>
        <v>#REF!</v>
      </c>
      <c r="C314" s="76" t="e">
        <f t="shared" si="21"/>
        <v>#REF!</v>
      </c>
    </row>
    <row r="315" spans="2:3" ht="15.75" customHeight="1" x14ac:dyDescent="0.25">
      <c r="B315" s="67" t="e">
        <f t="shared" si="20"/>
        <v>#REF!</v>
      </c>
      <c r="C315" s="76" t="e">
        <f t="shared" si="21"/>
        <v>#REF!</v>
      </c>
    </row>
    <row r="316" spans="2:3" ht="15.75" customHeight="1" x14ac:dyDescent="0.25">
      <c r="B316" s="67" t="e">
        <f t="shared" si="20"/>
        <v>#REF!</v>
      </c>
      <c r="C316" s="76" t="e">
        <f t="shared" si="21"/>
        <v>#REF!</v>
      </c>
    </row>
    <row r="317" spans="2:3" ht="15.75" customHeight="1" x14ac:dyDescent="0.25">
      <c r="B317" s="67" t="e">
        <f t="shared" si="20"/>
        <v>#REF!</v>
      </c>
      <c r="C317" s="76" t="e">
        <f t="shared" si="21"/>
        <v>#REF!</v>
      </c>
    </row>
    <row r="318" spans="2:3" ht="15.75" customHeight="1" x14ac:dyDescent="0.25">
      <c r="B318" s="67" t="e">
        <f t="shared" si="20"/>
        <v>#REF!</v>
      </c>
      <c r="C318" s="76" t="e">
        <f t="shared" si="21"/>
        <v>#REF!</v>
      </c>
    </row>
    <row r="319" spans="2:3" ht="15.75" customHeight="1" x14ac:dyDescent="0.25">
      <c r="B319" s="67" t="e">
        <f t="shared" si="20"/>
        <v>#REF!</v>
      </c>
      <c r="C319" s="76" t="e">
        <f t="shared" si="21"/>
        <v>#REF!</v>
      </c>
    </row>
    <row r="320" spans="2:3" ht="15.75" customHeight="1" x14ac:dyDescent="0.25">
      <c r="B320" s="67" t="e">
        <f t="shared" si="20"/>
        <v>#REF!</v>
      </c>
      <c r="C320" s="76" t="e">
        <f t="shared" si="21"/>
        <v>#REF!</v>
      </c>
    </row>
    <row r="321" spans="2:3" ht="15.75" customHeight="1" x14ac:dyDescent="0.25">
      <c r="B321" s="67" t="e">
        <f t="shared" si="20"/>
        <v>#REF!</v>
      </c>
      <c r="C321" s="76" t="e">
        <f t="shared" si="21"/>
        <v>#REF!</v>
      </c>
    </row>
    <row r="322" spans="2:3" ht="15.75" customHeight="1" x14ac:dyDescent="0.25">
      <c r="B322" s="67" t="e">
        <f t="shared" si="20"/>
        <v>#REF!</v>
      </c>
      <c r="C322" s="76" t="e">
        <f t="shared" si="21"/>
        <v>#REF!</v>
      </c>
    </row>
    <row r="323" spans="2:3" ht="15.75" customHeight="1" x14ac:dyDescent="0.25">
      <c r="B323" s="67" t="e">
        <f t="shared" si="20"/>
        <v>#REF!</v>
      </c>
      <c r="C323" s="76" t="e">
        <f t="shared" si="21"/>
        <v>#REF!</v>
      </c>
    </row>
    <row r="324" spans="2:3" ht="15.75" customHeight="1" x14ac:dyDescent="0.25">
      <c r="B324" s="67" t="e">
        <f t="shared" si="20"/>
        <v>#REF!</v>
      </c>
      <c r="C324" s="76" t="e">
        <f t="shared" si="21"/>
        <v>#REF!</v>
      </c>
    </row>
    <row r="325" spans="2:3" ht="15.75" customHeight="1" x14ac:dyDescent="0.25">
      <c r="B325" s="67" t="e">
        <f t="shared" si="20"/>
        <v>#REF!</v>
      </c>
      <c r="C325" s="76" t="e">
        <f t="shared" si="21"/>
        <v>#REF!</v>
      </c>
    </row>
    <row r="326" spans="2:3" ht="15.75" customHeight="1" x14ac:dyDescent="0.25">
      <c r="B326" s="67" t="e">
        <f t="shared" si="20"/>
        <v>#REF!</v>
      </c>
      <c r="C326" s="76" t="e">
        <f t="shared" si="21"/>
        <v>#REF!</v>
      </c>
    </row>
    <row r="327" spans="2:3" ht="15.75" customHeight="1" x14ac:dyDescent="0.25">
      <c r="B327" s="67" t="e">
        <f t="shared" si="20"/>
        <v>#REF!</v>
      </c>
      <c r="C327" s="76" t="e">
        <f t="shared" si="21"/>
        <v>#REF!</v>
      </c>
    </row>
    <row r="328" spans="2:3" ht="15.75" customHeight="1" x14ac:dyDescent="0.25">
      <c r="B328" s="67" t="e">
        <f t="shared" si="20"/>
        <v>#REF!</v>
      </c>
      <c r="C328" s="76" t="e">
        <f t="shared" si="21"/>
        <v>#REF!</v>
      </c>
    </row>
    <row r="329" spans="2:3" ht="15.75" customHeight="1" x14ac:dyDescent="0.25">
      <c r="B329" s="67" t="e">
        <f t="shared" si="20"/>
        <v>#REF!</v>
      </c>
      <c r="C329" s="76" t="e">
        <f t="shared" si="21"/>
        <v>#REF!</v>
      </c>
    </row>
    <row r="330" spans="2:3" ht="15.75" customHeight="1" x14ac:dyDescent="0.25">
      <c r="B330" s="67" t="e">
        <f t="shared" si="20"/>
        <v>#REF!</v>
      </c>
      <c r="C330" s="76" t="e">
        <f t="shared" si="21"/>
        <v>#REF!</v>
      </c>
    </row>
    <row r="331" spans="2:3" ht="15.75" customHeight="1" x14ac:dyDescent="0.25">
      <c r="B331" s="67" t="e">
        <f t="shared" si="20"/>
        <v>#REF!</v>
      </c>
      <c r="C331" s="76" t="e">
        <f t="shared" si="21"/>
        <v>#REF!</v>
      </c>
    </row>
    <row r="332" spans="2:3" ht="15.75" customHeight="1" x14ac:dyDescent="0.25">
      <c r="B332" s="67" t="e">
        <f t="shared" si="20"/>
        <v>#REF!</v>
      </c>
      <c r="C332" s="76" t="e">
        <f t="shared" si="21"/>
        <v>#REF!</v>
      </c>
    </row>
    <row r="333" spans="2:3" ht="15.75" customHeight="1" x14ac:dyDescent="0.25">
      <c r="B333" s="67" t="e">
        <f t="shared" si="20"/>
        <v>#REF!</v>
      </c>
      <c r="C333" s="76" t="e">
        <f t="shared" si="21"/>
        <v>#REF!</v>
      </c>
    </row>
    <row r="334" spans="2:3" ht="15.75" customHeight="1" x14ac:dyDescent="0.25">
      <c r="B334" s="67" t="e">
        <f t="shared" si="20"/>
        <v>#REF!</v>
      </c>
      <c r="C334" s="76" t="e">
        <f t="shared" si="21"/>
        <v>#REF!</v>
      </c>
    </row>
    <row r="335" spans="2:3" ht="15.75" customHeight="1" x14ac:dyDescent="0.25">
      <c r="B335" s="67" t="e">
        <f t="shared" si="20"/>
        <v>#REF!</v>
      </c>
      <c r="C335" s="76" t="e">
        <f t="shared" si="21"/>
        <v>#REF!</v>
      </c>
    </row>
    <row r="336" spans="2:3" ht="15.75" customHeight="1" x14ac:dyDescent="0.25">
      <c r="B336" s="67" t="e">
        <f t="shared" si="20"/>
        <v>#REF!</v>
      </c>
      <c r="C336" s="76" t="e">
        <f t="shared" si="21"/>
        <v>#REF!</v>
      </c>
    </row>
    <row r="337" spans="2:3" ht="15.75" customHeight="1" x14ac:dyDescent="0.25">
      <c r="B337" s="67" t="e">
        <f t="shared" si="20"/>
        <v>#REF!</v>
      </c>
      <c r="C337" s="76" t="e">
        <f t="shared" si="21"/>
        <v>#REF!</v>
      </c>
    </row>
    <row r="338" spans="2:3" ht="15.75" customHeight="1" x14ac:dyDescent="0.25">
      <c r="B338" s="67" t="e">
        <f t="shared" si="20"/>
        <v>#REF!</v>
      </c>
      <c r="C338" s="76" t="e">
        <f t="shared" si="21"/>
        <v>#REF!</v>
      </c>
    </row>
    <row r="339" spans="2:3" ht="15.75" customHeight="1" x14ac:dyDescent="0.25">
      <c r="B339" s="67" t="e">
        <f t="shared" si="20"/>
        <v>#REF!</v>
      </c>
      <c r="C339" s="76" t="e">
        <f t="shared" si="21"/>
        <v>#REF!</v>
      </c>
    </row>
    <row r="340" spans="2:3" ht="15.75" customHeight="1" x14ac:dyDescent="0.25">
      <c r="B340" s="67" t="e">
        <f t="shared" si="20"/>
        <v>#REF!</v>
      </c>
      <c r="C340" s="76" t="e">
        <f t="shared" si="21"/>
        <v>#REF!</v>
      </c>
    </row>
    <row r="341" spans="2:3" ht="15.75" customHeight="1" x14ac:dyDescent="0.25">
      <c r="B341" s="67" t="e">
        <f t="shared" si="20"/>
        <v>#REF!</v>
      </c>
      <c r="C341" s="76" t="e">
        <f t="shared" si="21"/>
        <v>#REF!</v>
      </c>
    </row>
    <row r="342" spans="2:3" ht="15.75" customHeight="1" x14ac:dyDescent="0.25">
      <c r="B342" s="67" t="e">
        <f t="shared" si="20"/>
        <v>#REF!</v>
      </c>
      <c r="C342" s="76" t="e">
        <f t="shared" si="21"/>
        <v>#REF!</v>
      </c>
    </row>
    <row r="343" spans="2:3" ht="15.75" customHeight="1" x14ac:dyDescent="0.25">
      <c r="B343" s="67" t="e">
        <f t="shared" si="20"/>
        <v>#REF!</v>
      </c>
      <c r="C343" s="76" t="e">
        <f t="shared" si="21"/>
        <v>#REF!</v>
      </c>
    </row>
    <row r="344" spans="2:3" ht="15.75" customHeight="1" x14ac:dyDescent="0.25">
      <c r="B344" s="67" t="e">
        <f t="shared" si="20"/>
        <v>#REF!</v>
      </c>
      <c r="C344" s="76" t="e">
        <f t="shared" si="21"/>
        <v>#REF!</v>
      </c>
    </row>
    <row r="345" spans="2:3" ht="15.75" customHeight="1" x14ac:dyDescent="0.25">
      <c r="B345" s="67" t="e">
        <f t="shared" si="20"/>
        <v>#REF!</v>
      </c>
      <c r="C345" s="76" t="e">
        <f t="shared" si="21"/>
        <v>#REF!</v>
      </c>
    </row>
    <row r="346" spans="2:3" ht="15.75" customHeight="1" x14ac:dyDescent="0.25">
      <c r="B346" s="67" t="e">
        <f t="shared" si="20"/>
        <v>#REF!</v>
      </c>
      <c r="C346" s="76" t="e">
        <f t="shared" si="21"/>
        <v>#REF!</v>
      </c>
    </row>
    <row r="347" spans="2:3" ht="15.75" customHeight="1" x14ac:dyDescent="0.25">
      <c r="B347" s="67" t="e">
        <f t="shared" si="20"/>
        <v>#REF!</v>
      </c>
      <c r="C347" s="76" t="e">
        <f t="shared" si="21"/>
        <v>#REF!</v>
      </c>
    </row>
    <row r="348" spans="2:3" ht="15.75" customHeight="1" x14ac:dyDescent="0.25">
      <c r="B348" s="67" t="e">
        <f t="shared" si="20"/>
        <v>#REF!</v>
      </c>
      <c r="C348" s="76" t="e">
        <f t="shared" si="21"/>
        <v>#REF!</v>
      </c>
    </row>
    <row r="349" spans="2:3" ht="15.75" customHeight="1" x14ac:dyDescent="0.25">
      <c r="B349" s="67" t="e">
        <f t="shared" si="20"/>
        <v>#REF!</v>
      </c>
      <c r="C349" s="76" t="e">
        <f t="shared" si="21"/>
        <v>#REF!</v>
      </c>
    </row>
    <row r="350" spans="2:3" ht="15.75" customHeight="1" x14ac:dyDescent="0.25">
      <c r="B350" s="67" t="e">
        <f t="shared" ref="B350:B413" si="22">IF(B349="","",IF(B349+$C$10&lt;=$C$6,B349+$C$10,""))</f>
        <v>#REF!</v>
      </c>
      <c r="C350" s="76" t="e">
        <f t="shared" ref="C350:C413" si="23">IF(B350&lt;&gt;"",C349-$C$2/COUNT($B$18:$B$511),"")</f>
        <v>#REF!</v>
      </c>
    </row>
    <row r="351" spans="2:3" ht="15.75" customHeight="1" x14ac:dyDescent="0.25">
      <c r="B351" s="67" t="e">
        <f t="shared" si="22"/>
        <v>#REF!</v>
      </c>
      <c r="C351" s="76" t="e">
        <f t="shared" si="23"/>
        <v>#REF!</v>
      </c>
    </row>
    <row r="352" spans="2:3" ht="15.75" customHeight="1" x14ac:dyDescent="0.25">
      <c r="B352" s="67" t="e">
        <f t="shared" si="22"/>
        <v>#REF!</v>
      </c>
      <c r="C352" s="76" t="e">
        <f t="shared" si="23"/>
        <v>#REF!</v>
      </c>
    </row>
    <row r="353" spans="2:3" ht="15.75" customHeight="1" x14ac:dyDescent="0.25">
      <c r="B353" s="67" t="e">
        <f t="shared" si="22"/>
        <v>#REF!</v>
      </c>
      <c r="C353" s="76" t="e">
        <f t="shared" si="23"/>
        <v>#REF!</v>
      </c>
    </row>
    <row r="354" spans="2:3" ht="15.75" customHeight="1" x14ac:dyDescent="0.25">
      <c r="B354" s="67" t="e">
        <f t="shared" si="22"/>
        <v>#REF!</v>
      </c>
      <c r="C354" s="76" t="e">
        <f t="shared" si="23"/>
        <v>#REF!</v>
      </c>
    </row>
    <row r="355" spans="2:3" ht="15.75" customHeight="1" x14ac:dyDescent="0.25">
      <c r="B355" s="67" t="e">
        <f t="shared" si="22"/>
        <v>#REF!</v>
      </c>
      <c r="C355" s="76" t="e">
        <f t="shared" si="23"/>
        <v>#REF!</v>
      </c>
    </row>
    <row r="356" spans="2:3" ht="15.75" customHeight="1" x14ac:dyDescent="0.25">
      <c r="B356" s="67" t="e">
        <f t="shared" si="22"/>
        <v>#REF!</v>
      </c>
      <c r="C356" s="76" t="e">
        <f t="shared" si="23"/>
        <v>#REF!</v>
      </c>
    </row>
    <row r="357" spans="2:3" ht="15.75" customHeight="1" x14ac:dyDescent="0.25">
      <c r="B357" s="67" t="e">
        <f t="shared" si="22"/>
        <v>#REF!</v>
      </c>
      <c r="C357" s="76" t="e">
        <f t="shared" si="23"/>
        <v>#REF!</v>
      </c>
    </row>
    <row r="358" spans="2:3" ht="15.75" customHeight="1" x14ac:dyDescent="0.25">
      <c r="B358" s="67" t="e">
        <f t="shared" si="22"/>
        <v>#REF!</v>
      </c>
      <c r="C358" s="76" t="e">
        <f t="shared" si="23"/>
        <v>#REF!</v>
      </c>
    </row>
    <row r="359" spans="2:3" ht="15.75" customHeight="1" x14ac:dyDescent="0.25">
      <c r="B359" s="67" t="e">
        <f t="shared" si="22"/>
        <v>#REF!</v>
      </c>
      <c r="C359" s="76" t="e">
        <f t="shared" si="23"/>
        <v>#REF!</v>
      </c>
    </row>
    <row r="360" spans="2:3" ht="15.75" customHeight="1" x14ac:dyDescent="0.25">
      <c r="B360" s="67" t="e">
        <f t="shared" si="22"/>
        <v>#REF!</v>
      </c>
      <c r="C360" s="76" t="e">
        <f t="shared" si="23"/>
        <v>#REF!</v>
      </c>
    </row>
    <row r="361" spans="2:3" ht="15.75" customHeight="1" x14ac:dyDescent="0.25">
      <c r="B361" s="67" t="e">
        <f t="shared" si="22"/>
        <v>#REF!</v>
      </c>
      <c r="C361" s="76" t="e">
        <f t="shared" si="23"/>
        <v>#REF!</v>
      </c>
    </row>
    <row r="362" spans="2:3" ht="15.75" customHeight="1" x14ac:dyDescent="0.25">
      <c r="B362" s="67" t="e">
        <f t="shared" si="22"/>
        <v>#REF!</v>
      </c>
      <c r="C362" s="76" t="e">
        <f t="shared" si="23"/>
        <v>#REF!</v>
      </c>
    </row>
    <row r="363" spans="2:3" ht="15.75" customHeight="1" x14ac:dyDescent="0.25">
      <c r="B363" s="67" t="e">
        <f t="shared" si="22"/>
        <v>#REF!</v>
      </c>
      <c r="C363" s="76" t="e">
        <f t="shared" si="23"/>
        <v>#REF!</v>
      </c>
    </row>
    <row r="364" spans="2:3" ht="15.75" customHeight="1" x14ac:dyDescent="0.25">
      <c r="B364" s="67" t="e">
        <f t="shared" si="22"/>
        <v>#REF!</v>
      </c>
      <c r="C364" s="76" t="e">
        <f t="shared" si="23"/>
        <v>#REF!</v>
      </c>
    </row>
    <row r="365" spans="2:3" ht="15.75" customHeight="1" x14ac:dyDescent="0.25">
      <c r="B365" s="67" t="e">
        <f t="shared" si="22"/>
        <v>#REF!</v>
      </c>
      <c r="C365" s="76" t="e">
        <f t="shared" si="23"/>
        <v>#REF!</v>
      </c>
    </row>
    <row r="366" spans="2:3" ht="15.75" customHeight="1" x14ac:dyDescent="0.25">
      <c r="B366" s="67" t="e">
        <f t="shared" si="22"/>
        <v>#REF!</v>
      </c>
      <c r="C366" s="76" t="e">
        <f t="shared" si="23"/>
        <v>#REF!</v>
      </c>
    </row>
    <row r="367" spans="2:3" ht="15.75" customHeight="1" x14ac:dyDescent="0.25">
      <c r="B367" s="67" t="e">
        <f t="shared" si="22"/>
        <v>#REF!</v>
      </c>
      <c r="C367" s="76" t="e">
        <f t="shared" si="23"/>
        <v>#REF!</v>
      </c>
    </row>
    <row r="368" spans="2:3" ht="15.75" customHeight="1" x14ac:dyDescent="0.25">
      <c r="B368" s="67" t="e">
        <f t="shared" si="22"/>
        <v>#REF!</v>
      </c>
      <c r="C368" s="76" t="e">
        <f t="shared" si="23"/>
        <v>#REF!</v>
      </c>
    </row>
    <row r="369" spans="2:3" ht="15.75" customHeight="1" x14ac:dyDescent="0.25">
      <c r="B369" s="67" t="e">
        <f t="shared" si="22"/>
        <v>#REF!</v>
      </c>
      <c r="C369" s="76" t="e">
        <f t="shared" si="23"/>
        <v>#REF!</v>
      </c>
    </row>
    <row r="370" spans="2:3" ht="15.75" customHeight="1" x14ac:dyDescent="0.25">
      <c r="B370" s="67" t="e">
        <f t="shared" si="22"/>
        <v>#REF!</v>
      </c>
      <c r="C370" s="76" t="e">
        <f t="shared" si="23"/>
        <v>#REF!</v>
      </c>
    </row>
    <row r="371" spans="2:3" ht="15.75" customHeight="1" x14ac:dyDescent="0.25">
      <c r="B371" s="67" t="e">
        <f t="shared" si="22"/>
        <v>#REF!</v>
      </c>
      <c r="C371" s="76" t="e">
        <f t="shared" si="23"/>
        <v>#REF!</v>
      </c>
    </row>
    <row r="372" spans="2:3" ht="15.75" customHeight="1" x14ac:dyDescent="0.25">
      <c r="B372" s="67" t="e">
        <f t="shared" si="22"/>
        <v>#REF!</v>
      </c>
      <c r="C372" s="76" t="e">
        <f t="shared" si="23"/>
        <v>#REF!</v>
      </c>
    </row>
    <row r="373" spans="2:3" ht="15.75" customHeight="1" x14ac:dyDescent="0.25">
      <c r="B373" s="67" t="e">
        <f t="shared" si="22"/>
        <v>#REF!</v>
      </c>
      <c r="C373" s="76" t="e">
        <f t="shared" si="23"/>
        <v>#REF!</v>
      </c>
    </row>
    <row r="374" spans="2:3" ht="15.75" customHeight="1" x14ac:dyDescent="0.25">
      <c r="B374" s="67" t="e">
        <f t="shared" si="22"/>
        <v>#REF!</v>
      </c>
      <c r="C374" s="76" t="e">
        <f t="shared" si="23"/>
        <v>#REF!</v>
      </c>
    </row>
    <row r="375" spans="2:3" ht="15.75" customHeight="1" x14ac:dyDescent="0.25">
      <c r="B375" s="67" t="e">
        <f t="shared" si="22"/>
        <v>#REF!</v>
      </c>
      <c r="C375" s="76" t="e">
        <f t="shared" si="23"/>
        <v>#REF!</v>
      </c>
    </row>
    <row r="376" spans="2:3" ht="15.75" customHeight="1" x14ac:dyDescent="0.25">
      <c r="B376" s="67" t="e">
        <f t="shared" si="22"/>
        <v>#REF!</v>
      </c>
      <c r="C376" s="76" t="e">
        <f t="shared" si="23"/>
        <v>#REF!</v>
      </c>
    </row>
    <row r="377" spans="2:3" ht="15.75" customHeight="1" x14ac:dyDescent="0.25">
      <c r="B377" s="67" t="e">
        <f t="shared" si="22"/>
        <v>#REF!</v>
      </c>
      <c r="C377" s="76" t="e">
        <f t="shared" si="23"/>
        <v>#REF!</v>
      </c>
    </row>
    <row r="378" spans="2:3" ht="15.75" customHeight="1" x14ac:dyDescent="0.25">
      <c r="B378" s="67" t="e">
        <f t="shared" si="22"/>
        <v>#REF!</v>
      </c>
      <c r="C378" s="76" t="e">
        <f t="shared" si="23"/>
        <v>#REF!</v>
      </c>
    </row>
    <row r="379" spans="2:3" ht="15.75" customHeight="1" x14ac:dyDescent="0.25">
      <c r="B379" s="67" t="e">
        <f t="shared" si="22"/>
        <v>#REF!</v>
      </c>
      <c r="C379" s="76" t="e">
        <f t="shared" si="23"/>
        <v>#REF!</v>
      </c>
    </row>
    <row r="380" spans="2:3" ht="15.75" customHeight="1" x14ac:dyDescent="0.25">
      <c r="B380" s="67" t="e">
        <f t="shared" si="22"/>
        <v>#REF!</v>
      </c>
      <c r="C380" s="76" t="e">
        <f t="shared" si="23"/>
        <v>#REF!</v>
      </c>
    </row>
    <row r="381" spans="2:3" ht="15.75" customHeight="1" x14ac:dyDescent="0.25">
      <c r="B381" s="67" t="e">
        <f t="shared" si="22"/>
        <v>#REF!</v>
      </c>
      <c r="C381" s="76" t="e">
        <f t="shared" si="23"/>
        <v>#REF!</v>
      </c>
    </row>
    <row r="382" spans="2:3" ht="15.75" customHeight="1" x14ac:dyDescent="0.25">
      <c r="B382" s="67" t="e">
        <f t="shared" si="22"/>
        <v>#REF!</v>
      </c>
      <c r="C382" s="76" t="e">
        <f t="shared" si="23"/>
        <v>#REF!</v>
      </c>
    </row>
    <row r="383" spans="2:3" ht="15.75" customHeight="1" x14ac:dyDescent="0.25">
      <c r="B383" s="67" t="e">
        <f t="shared" si="22"/>
        <v>#REF!</v>
      </c>
      <c r="C383" s="76" t="e">
        <f t="shared" si="23"/>
        <v>#REF!</v>
      </c>
    </row>
    <row r="384" spans="2:3" ht="15.75" customHeight="1" x14ac:dyDescent="0.25">
      <c r="B384" s="67" t="e">
        <f t="shared" si="22"/>
        <v>#REF!</v>
      </c>
      <c r="C384" s="76" t="e">
        <f t="shared" si="23"/>
        <v>#REF!</v>
      </c>
    </row>
    <row r="385" spans="2:3" ht="15.75" customHeight="1" x14ac:dyDescent="0.25">
      <c r="B385" s="67" t="e">
        <f t="shared" si="22"/>
        <v>#REF!</v>
      </c>
      <c r="C385" s="76" t="e">
        <f t="shared" si="23"/>
        <v>#REF!</v>
      </c>
    </row>
    <row r="386" spans="2:3" ht="15.75" customHeight="1" x14ac:dyDescent="0.25">
      <c r="B386" s="67" t="e">
        <f t="shared" si="22"/>
        <v>#REF!</v>
      </c>
      <c r="C386" s="76" t="e">
        <f t="shared" si="23"/>
        <v>#REF!</v>
      </c>
    </row>
    <row r="387" spans="2:3" ht="15.75" customHeight="1" x14ac:dyDescent="0.25">
      <c r="B387" s="67" t="e">
        <f t="shared" si="22"/>
        <v>#REF!</v>
      </c>
      <c r="C387" s="76" t="e">
        <f t="shared" si="23"/>
        <v>#REF!</v>
      </c>
    </row>
    <row r="388" spans="2:3" ht="15.75" customHeight="1" x14ac:dyDescent="0.25">
      <c r="B388" s="67" t="e">
        <f t="shared" si="22"/>
        <v>#REF!</v>
      </c>
      <c r="C388" s="76" t="e">
        <f t="shared" si="23"/>
        <v>#REF!</v>
      </c>
    </row>
    <row r="389" spans="2:3" ht="15.75" customHeight="1" x14ac:dyDescent="0.25">
      <c r="B389" s="67" t="e">
        <f t="shared" si="22"/>
        <v>#REF!</v>
      </c>
      <c r="C389" s="76" t="e">
        <f t="shared" si="23"/>
        <v>#REF!</v>
      </c>
    </row>
    <row r="390" spans="2:3" ht="15.75" customHeight="1" x14ac:dyDescent="0.25">
      <c r="B390" s="67" t="e">
        <f t="shared" si="22"/>
        <v>#REF!</v>
      </c>
      <c r="C390" s="76" t="e">
        <f t="shared" si="23"/>
        <v>#REF!</v>
      </c>
    </row>
    <row r="391" spans="2:3" ht="15.75" customHeight="1" x14ac:dyDescent="0.25">
      <c r="B391" s="67" t="e">
        <f t="shared" si="22"/>
        <v>#REF!</v>
      </c>
      <c r="C391" s="76" t="e">
        <f t="shared" si="23"/>
        <v>#REF!</v>
      </c>
    </row>
    <row r="392" spans="2:3" ht="15.75" customHeight="1" x14ac:dyDescent="0.25">
      <c r="B392" s="67" t="e">
        <f t="shared" si="22"/>
        <v>#REF!</v>
      </c>
      <c r="C392" s="76" t="e">
        <f t="shared" si="23"/>
        <v>#REF!</v>
      </c>
    </row>
    <row r="393" spans="2:3" ht="15.75" customHeight="1" x14ac:dyDescent="0.25">
      <c r="B393" s="67" t="e">
        <f t="shared" si="22"/>
        <v>#REF!</v>
      </c>
      <c r="C393" s="76" t="e">
        <f t="shared" si="23"/>
        <v>#REF!</v>
      </c>
    </row>
    <row r="394" spans="2:3" ht="15.75" customHeight="1" x14ac:dyDescent="0.25">
      <c r="B394" s="67" t="e">
        <f t="shared" si="22"/>
        <v>#REF!</v>
      </c>
      <c r="C394" s="76" t="e">
        <f t="shared" si="23"/>
        <v>#REF!</v>
      </c>
    </row>
    <row r="395" spans="2:3" ht="15.75" customHeight="1" x14ac:dyDescent="0.25">
      <c r="B395" s="67" t="e">
        <f t="shared" si="22"/>
        <v>#REF!</v>
      </c>
      <c r="C395" s="76" t="e">
        <f t="shared" si="23"/>
        <v>#REF!</v>
      </c>
    </row>
    <row r="396" spans="2:3" ht="15.75" customHeight="1" x14ac:dyDescent="0.25">
      <c r="B396" s="67" t="e">
        <f t="shared" si="22"/>
        <v>#REF!</v>
      </c>
      <c r="C396" s="76" t="e">
        <f t="shared" si="23"/>
        <v>#REF!</v>
      </c>
    </row>
    <row r="397" spans="2:3" ht="15.75" customHeight="1" x14ac:dyDescent="0.25">
      <c r="B397" s="67" t="e">
        <f t="shared" si="22"/>
        <v>#REF!</v>
      </c>
      <c r="C397" s="76" t="e">
        <f t="shared" si="23"/>
        <v>#REF!</v>
      </c>
    </row>
    <row r="398" spans="2:3" ht="15.75" customHeight="1" x14ac:dyDescent="0.25">
      <c r="B398" s="67" t="e">
        <f t="shared" si="22"/>
        <v>#REF!</v>
      </c>
      <c r="C398" s="76" t="e">
        <f t="shared" si="23"/>
        <v>#REF!</v>
      </c>
    </row>
    <row r="399" spans="2:3" ht="15.75" customHeight="1" x14ac:dyDescent="0.25">
      <c r="B399" s="67" t="e">
        <f t="shared" si="22"/>
        <v>#REF!</v>
      </c>
      <c r="C399" s="76" t="e">
        <f t="shared" si="23"/>
        <v>#REF!</v>
      </c>
    </row>
    <row r="400" spans="2:3" ht="15.75" customHeight="1" x14ac:dyDescent="0.25">
      <c r="B400" s="67" t="e">
        <f t="shared" si="22"/>
        <v>#REF!</v>
      </c>
      <c r="C400" s="76" t="e">
        <f t="shared" si="23"/>
        <v>#REF!</v>
      </c>
    </row>
    <row r="401" spans="2:3" ht="15.75" customHeight="1" x14ac:dyDescent="0.25">
      <c r="B401" s="67" t="e">
        <f t="shared" si="22"/>
        <v>#REF!</v>
      </c>
      <c r="C401" s="76" t="e">
        <f t="shared" si="23"/>
        <v>#REF!</v>
      </c>
    </row>
    <row r="402" spans="2:3" ht="15.75" customHeight="1" x14ac:dyDescent="0.25">
      <c r="B402" s="67" t="e">
        <f t="shared" si="22"/>
        <v>#REF!</v>
      </c>
      <c r="C402" s="76" t="e">
        <f t="shared" si="23"/>
        <v>#REF!</v>
      </c>
    </row>
    <row r="403" spans="2:3" ht="15.75" customHeight="1" x14ac:dyDescent="0.25">
      <c r="B403" s="67" t="e">
        <f t="shared" si="22"/>
        <v>#REF!</v>
      </c>
      <c r="C403" s="76" t="e">
        <f t="shared" si="23"/>
        <v>#REF!</v>
      </c>
    </row>
    <row r="404" spans="2:3" ht="15.75" customHeight="1" x14ac:dyDescent="0.25">
      <c r="B404" s="67" t="e">
        <f t="shared" si="22"/>
        <v>#REF!</v>
      </c>
      <c r="C404" s="76" t="e">
        <f t="shared" si="23"/>
        <v>#REF!</v>
      </c>
    </row>
    <row r="405" spans="2:3" ht="15.75" customHeight="1" x14ac:dyDescent="0.25">
      <c r="B405" s="67" t="e">
        <f t="shared" si="22"/>
        <v>#REF!</v>
      </c>
      <c r="C405" s="76" t="e">
        <f t="shared" si="23"/>
        <v>#REF!</v>
      </c>
    </row>
    <row r="406" spans="2:3" ht="15.75" customHeight="1" x14ac:dyDescent="0.25">
      <c r="B406" s="67" t="e">
        <f t="shared" si="22"/>
        <v>#REF!</v>
      </c>
      <c r="C406" s="76" t="e">
        <f t="shared" si="23"/>
        <v>#REF!</v>
      </c>
    </row>
    <row r="407" spans="2:3" ht="15.75" customHeight="1" x14ac:dyDescent="0.25">
      <c r="B407" s="67" t="e">
        <f t="shared" si="22"/>
        <v>#REF!</v>
      </c>
      <c r="C407" s="76" t="e">
        <f t="shared" si="23"/>
        <v>#REF!</v>
      </c>
    </row>
    <row r="408" spans="2:3" ht="15.75" customHeight="1" x14ac:dyDescent="0.25">
      <c r="B408" s="67" t="e">
        <f t="shared" si="22"/>
        <v>#REF!</v>
      </c>
      <c r="C408" s="76" t="e">
        <f t="shared" si="23"/>
        <v>#REF!</v>
      </c>
    </row>
    <row r="409" spans="2:3" ht="15.75" customHeight="1" x14ac:dyDescent="0.25">
      <c r="B409" s="67" t="e">
        <f t="shared" si="22"/>
        <v>#REF!</v>
      </c>
      <c r="C409" s="76" t="e">
        <f t="shared" si="23"/>
        <v>#REF!</v>
      </c>
    </row>
    <row r="410" spans="2:3" ht="15.75" customHeight="1" x14ac:dyDescent="0.25">
      <c r="B410" s="67" t="e">
        <f t="shared" si="22"/>
        <v>#REF!</v>
      </c>
      <c r="C410" s="76" t="e">
        <f t="shared" si="23"/>
        <v>#REF!</v>
      </c>
    </row>
    <row r="411" spans="2:3" ht="15.75" customHeight="1" x14ac:dyDescent="0.25">
      <c r="B411" s="67" t="e">
        <f t="shared" si="22"/>
        <v>#REF!</v>
      </c>
      <c r="C411" s="76" t="e">
        <f t="shared" si="23"/>
        <v>#REF!</v>
      </c>
    </row>
    <row r="412" spans="2:3" ht="15.75" customHeight="1" x14ac:dyDescent="0.25">
      <c r="B412" s="67" t="e">
        <f t="shared" si="22"/>
        <v>#REF!</v>
      </c>
      <c r="C412" s="76" t="e">
        <f t="shared" si="23"/>
        <v>#REF!</v>
      </c>
    </row>
    <row r="413" spans="2:3" ht="15.75" customHeight="1" x14ac:dyDescent="0.25">
      <c r="B413" s="67" t="e">
        <f t="shared" si="22"/>
        <v>#REF!</v>
      </c>
      <c r="C413" s="76" t="e">
        <f t="shared" si="23"/>
        <v>#REF!</v>
      </c>
    </row>
    <row r="414" spans="2:3" ht="15.75" customHeight="1" x14ac:dyDescent="0.25">
      <c r="B414" s="67" t="e">
        <f t="shared" ref="B414:B477" si="24">IF(B413="","",IF(B413+$C$10&lt;=$C$6,B413+$C$10,""))</f>
        <v>#REF!</v>
      </c>
      <c r="C414" s="76" t="e">
        <f t="shared" ref="C414:C477" si="25">IF(B414&lt;&gt;"",C413-$C$2/COUNT($B$18:$B$511),"")</f>
        <v>#REF!</v>
      </c>
    </row>
    <row r="415" spans="2:3" ht="15.75" customHeight="1" x14ac:dyDescent="0.25">
      <c r="B415" s="67" t="e">
        <f t="shared" si="24"/>
        <v>#REF!</v>
      </c>
      <c r="C415" s="76" t="e">
        <f t="shared" si="25"/>
        <v>#REF!</v>
      </c>
    </row>
    <row r="416" spans="2:3" ht="15.75" customHeight="1" x14ac:dyDescent="0.25">
      <c r="B416" s="67" t="e">
        <f t="shared" si="24"/>
        <v>#REF!</v>
      </c>
      <c r="C416" s="76" t="e">
        <f t="shared" si="25"/>
        <v>#REF!</v>
      </c>
    </row>
    <row r="417" spans="2:3" ht="15.75" customHeight="1" x14ac:dyDescent="0.25">
      <c r="B417" s="67" t="e">
        <f t="shared" si="24"/>
        <v>#REF!</v>
      </c>
      <c r="C417" s="76" t="e">
        <f t="shared" si="25"/>
        <v>#REF!</v>
      </c>
    </row>
    <row r="418" spans="2:3" ht="15.75" customHeight="1" x14ac:dyDescent="0.25">
      <c r="B418" s="67" t="e">
        <f t="shared" si="24"/>
        <v>#REF!</v>
      </c>
      <c r="C418" s="76" t="e">
        <f t="shared" si="25"/>
        <v>#REF!</v>
      </c>
    </row>
    <row r="419" spans="2:3" ht="15.75" customHeight="1" x14ac:dyDescent="0.25">
      <c r="B419" s="67" t="e">
        <f t="shared" si="24"/>
        <v>#REF!</v>
      </c>
      <c r="C419" s="76" t="e">
        <f t="shared" si="25"/>
        <v>#REF!</v>
      </c>
    </row>
    <row r="420" spans="2:3" ht="15.75" customHeight="1" x14ac:dyDescent="0.25">
      <c r="B420" s="67" t="e">
        <f t="shared" si="24"/>
        <v>#REF!</v>
      </c>
      <c r="C420" s="76" t="e">
        <f t="shared" si="25"/>
        <v>#REF!</v>
      </c>
    </row>
    <row r="421" spans="2:3" ht="15.75" customHeight="1" x14ac:dyDescent="0.25">
      <c r="B421" s="67" t="e">
        <f t="shared" si="24"/>
        <v>#REF!</v>
      </c>
      <c r="C421" s="76" t="e">
        <f t="shared" si="25"/>
        <v>#REF!</v>
      </c>
    </row>
    <row r="422" spans="2:3" ht="15.75" customHeight="1" x14ac:dyDescent="0.25">
      <c r="B422" s="67" t="e">
        <f t="shared" si="24"/>
        <v>#REF!</v>
      </c>
      <c r="C422" s="76" t="e">
        <f t="shared" si="25"/>
        <v>#REF!</v>
      </c>
    </row>
    <row r="423" spans="2:3" ht="15.75" customHeight="1" x14ac:dyDescent="0.25">
      <c r="B423" s="67" t="e">
        <f t="shared" si="24"/>
        <v>#REF!</v>
      </c>
      <c r="C423" s="76" t="e">
        <f t="shared" si="25"/>
        <v>#REF!</v>
      </c>
    </row>
    <row r="424" spans="2:3" ht="15.75" customHeight="1" x14ac:dyDescent="0.25">
      <c r="B424" s="67" t="e">
        <f t="shared" si="24"/>
        <v>#REF!</v>
      </c>
      <c r="C424" s="76" t="e">
        <f t="shared" si="25"/>
        <v>#REF!</v>
      </c>
    </row>
    <row r="425" spans="2:3" ht="15.75" customHeight="1" x14ac:dyDescent="0.25">
      <c r="B425" s="67" t="e">
        <f t="shared" si="24"/>
        <v>#REF!</v>
      </c>
      <c r="C425" s="76" t="e">
        <f t="shared" si="25"/>
        <v>#REF!</v>
      </c>
    </row>
    <row r="426" spans="2:3" ht="15.75" customHeight="1" x14ac:dyDescent="0.25">
      <c r="B426" s="67" t="e">
        <f t="shared" si="24"/>
        <v>#REF!</v>
      </c>
      <c r="C426" s="76" t="e">
        <f t="shared" si="25"/>
        <v>#REF!</v>
      </c>
    </row>
    <row r="427" spans="2:3" ht="15.75" customHeight="1" x14ac:dyDescent="0.25">
      <c r="B427" s="67" t="e">
        <f t="shared" si="24"/>
        <v>#REF!</v>
      </c>
      <c r="C427" s="76" t="e">
        <f t="shared" si="25"/>
        <v>#REF!</v>
      </c>
    </row>
    <row r="428" spans="2:3" ht="15.75" customHeight="1" x14ac:dyDescent="0.25">
      <c r="B428" s="67" t="e">
        <f t="shared" si="24"/>
        <v>#REF!</v>
      </c>
      <c r="C428" s="76" t="e">
        <f t="shared" si="25"/>
        <v>#REF!</v>
      </c>
    </row>
    <row r="429" spans="2:3" ht="15.75" customHeight="1" x14ac:dyDescent="0.25">
      <c r="B429" s="67" t="e">
        <f t="shared" si="24"/>
        <v>#REF!</v>
      </c>
      <c r="C429" s="76" t="e">
        <f t="shared" si="25"/>
        <v>#REF!</v>
      </c>
    </row>
    <row r="430" spans="2:3" ht="15.75" customHeight="1" x14ac:dyDescent="0.25">
      <c r="B430" s="67" t="e">
        <f t="shared" si="24"/>
        <v>#REF!</v>
      </c>
      <c r="C430" s="76" t="e">
        <f t="shared" si="25"/>
        <v>#REF!</v>
      </c>
    </row>
    <row r="431" spans="2:3" ht="15.75" customHeight="1" x14ac:dyDescent="0.25">
      <c r="B431" s="67" t="e">
        <f t="shared" si="24"/>
        <v>#REF!</v>
      </c>
      <c r="C431" s="76" t="e">
        <f t="shared" si="25"/>
        <v>#REF!</v>
      </c>
    </row>
    <row r="432" spans="2:3" ht="15.75" customHeight="1" x14ac:dyDescent="0.25">
      <c r="B432" s="67" t="e">
        <f t="shared" si="24"/>
        <v>#REF!</v>
      </c>
      <c r="C432" s="76" t="e">
        <f t="shared" si="25"/>
        <v>#REF!</v>
      </c>
    </row>
    <row r="433" spans="2:3" ht="15.75" customHeight="1" x14ac:dyDescent="0.25">
      <c r="B433" s="67" t="e">
        <f t="shared" si="24"/>
        <v>#REF!</v>
      </c>
      <c r="C433" s="76" t="e">
        <f t="shared" si="25"/>
        <v>#REF!</v>
      </c>
    </row>
    <row r="434" spans="2:3" ht="15.75" customHeight="1" x14ac:dyDescent="0.25">
      <c r="B434" s="67" t="e">
        <f t="shared" si="24"/>
        <v>#REF!</v>
      </c>
      <c r="C434" s="76" t="e">
        <f t="shared" si="25"/>
        <v>#REF!</v>
      </c>
    </row>
    <row r="435" spans="2:3" ht="15.75" customHeight="1" x14ac:dyDescent="0.25">
      <c r="B435" s="67" t="e">
        <f t="shared" si="24"/>
        <v>#REF!</v>
      </c>
      <c r="C435" s="76" t="e">
        <f t="shared" si="25"/>
        <v>#REF!</v>
      </c>
    </row>
    <row r="436" spans="2:3" ht="15.75" customHeight="1" x14ac:dyDescent="0.25">
      <c r="B436" s="67" t="e">
        <f t="shared" si="24"/>
        <v>#REF!</v>
      </c>
      <c r="C436" s="76" t="e">
        <f t="shared" si="25"/>
        <v>#REF!</v>
      </c>
    </row>
    <row r="437" spans="2:3" ht="15.75" customHeight="1" x14ac:dyDescent="0.25">
      <c r="B437" s="67" t="e">
        <f t="shared" si="24"/>
        <v>#REF!</v>
      </c>
      <c r="C437" s="76" t="e">
        <f t="shared" si="25"/>
        <v>#REF!</v>
      </c>
    </row>
    <row r="438" spans="2:3" ht="15.75" customHeight="1" x14ac:dyDescent="0.25">
      <c r="B438" s="67" t="e">
        <f t="shared" si="24"/>
        <v>#REF!</v>
      </c>
      <c r="C438" s="76" t="e">
        <f t="shared" si="25"/>
        <v>#REF!</v>
      </c>
    </row>
    <row r="439" spans="2:3" ht="15.75" customHeight="1" x14ac:dyDescent="0.25">
      <c r="B439" s="67" t="e">
        <f t="shared" si="24"/>
        <v>#REF!</v>
      </c>
      <c r="C439" s="76" t="e">
        <f t="shared" si="25"/>
        <v>#REF!</v>
      </c>
    </row>
    <row r="440" spans="2:3" ht="15.75" customHeight="1" x14ac:dyDescent="0.25">
      <c r="B440" s="67" t="e">
        <f t="shared" si="24"/>
        <v>#REF!</v>
      </c>
      <c r="C440" s="76" t="e">
        <f t="shared" si="25"/>
        <v>#REF!</v>
      </c>
    </row>
    <row r="441" spans="2:3" ht="15.75" customHeight="1" x14ac:dyDescent="0.25">
      <c r="B441" s="67" t="e">
        <f t="shared" si="24"/>
        <v>#REF!</v>
      </c>
      <c r="C441" s="76" t="e">
        <f t="shared" si="25"/>
        <v>#REF!</v>
      </c>
    </row>
    <row r="442" spans="2:3" ht="15.75" customHeight="1" x14ac:dyDescent="0.25">
      <c r="B442" s="67" t="e">
        <f t="shared" si="24"/>
        <v>#REF!</v>
      </c>
      <c r="C442" s="76" t="e">
        <f t="shared" si="25"/>
        <v>#REF!</v>
      </c>
    </row>
    <row r="443" spans="2:3" ht="15.75" customHeight="1" x14ac:dyDescent="0.25">
      <c r="B443" s="67" t="e">
        <f t="shared" si="24"/>
        <v>#REF!</v>
      </c>
      <c r="C443" s="76" t="e">
        <f t="shared" si="25"/>
        <v>#REF!</v>
      </c>
    </row>
    <row r="444" spans="2:3" ht="15.75" customHeight="1" x14ac:dyDescent="0.25">
      <c r="B444" s="67" t="e">
        <f t="shared" si="24"/>
        <v>#REF!</v>
      </c>
      <c r="C444" s="76" t="e">
        <f t="shared" si="25"/>
        <v>#REF!</v>
      </c>
    </row>
    <row r="445" spans="2:3" ht="15.75" customHeight="1" x14ac:dyDescent="0.25">
      <c r="B445" s="67" t="e">
        <f t="shared" si="24"/>
        <v>#REF!</v>
      </c>
      <c r="C445" s="76" t="e">
        <f t="shared" si="25"/>
        <v>#REF!</v>
      </c>
    </row>
    <row r="446" spans="2:3" ht="15.75" customHeight="1" x14ac:dyDescent="0.25">
      <c r="B446" s="67" t="e">
        <f t="shared" si="24"/>
        <v>#REF!</v>
      </c>
      <c r="C446" s="76" t="e">
        <f t="shared" si="25"/>
        <v>#REF!</v>
      </c>
    </row>
    <row r="447" spans="2:3" ht="15.75" customHeight="1" x14ac:dyDescent="0.25">
      <c r="B447" s="67" t="e">
        <f t="shared" si="24"/>
        <v>#REF!</v>
      </c>
      <c r="C447" s="76" t="e">
        <f t="shared" si="25"/>
        <v>#REF!</v>
      </c>
    </row>
    <row r="448" spans="2:3" ht="15.75" customHeight="1" x14ac:dyDescent="0.25">
      <c r="B448" s="67" t="e">
        <f t="shared" si="24"/>
        <v>#REF!</v>
      </c>
      <c r="C448" s="76" t="e">
        <f t="shared" si="25"/>
        <v>#REF!</v>
      </c>
    </row>
    <row r="449" spans="2:3" ht="15.75" customHeight="1" x14ac:dyDescent="0.25">
      <c r="B449" s="67" t="e">
        <f t="shared" si="24"/>
        <v>#REF!</v>
      </c>
      <c r="C449" s="76" t="e">
        <f t="shared" si="25"/>
        <v>#REF!</v>
      </c>
    </row>
    <row r="450" spans="2:3" ht="15.75" customHeight="1" x14ac:dyDescent="0.25">
      <c r="B450" s="67" t="e">
        <f t="shared" si="24"/>
        <v>#REF!</v>
      </c>
      <c r="C450" s="76" t="e">
        <f t="shared" si="25"/>
        <v>#REF!</v>
      </c>
    </row>
    <row r="451" spans="2:3" ht="15.75" customHeight="1" x14ac:dyDescent="0.25">
      <c r="B451" s="67" t="e">
        <f t="shared" si="24"/>
        <v>#REF!</v>
      </c>
      <c r="C451" s="76" t="e">
        <f t="shared" si="25"/>
        <v>#REF!</v>
      </c>
    </row>
    <row r="452" spans="2:3" ht="15.75" customHeight="1" x14ac:dyDescent="0.25">
      <c r="B452" s="67" t="e">
        <f t="shared" si="24"/>
        <v>#REF!</v>
      </c>
      <c r="C452" s="76" t="e">
        <f t="shared" si="25"/>
        <v>#REF!</v>
      </c>
    </row>
    <row r="453" spans="2:3" ht="15.75" customHeight="1" x14ac:dyDescent="0.25">
      <c r="B453" s="67" t="e">
        <f t="shared" si="24"/>
        <v>#REF!</v>
      </c>
      <c r="C453" s="76" t="e">
        <f t="shared" si="25"/>
        <v>#REF!</v>
      </c>
    </row>
    <row r="454" spans="2:3" ht="15.75" customHeight="1" x14ac:dyDescent="0.25">
      <c r="B454" s="67" t="e">
        <f t="shared" si="24"/>
        <v>#REF!</v>
      </c>
      <c r="C454" s="76" t="e">
        <f t="shared" si="25"/>
        <v>#REF!</v>
      </c>
    </row>
    <row r="455" spans="2:3" ht="15.75" customHeight="1" x14ac:dyDescent="0.25">
      <c r="B455" s="67" t="e">
        <f t="shared" si="24"/>
        <v>#REF!</v>
      </c>
      <c r="C455" s="76" t="e">
        <f t="shared" si="25"/>
        <v>#REF!</v>
      </c>
    </row>
    <row r="456" spans="2:3" ht="15.75" customHeight="1" x14ac:dyDescent="0.25">
      <c r="B456" s="67" t="e">
        <f t="shared" si="24"/>
        <v>#REF!</v>
      </c>
      <c r="C456" s="76" t="e">
        <f t="shared" si="25"/>
        <v>#REF!</v>
      </c>
    </row>
    <row r="457" spans="2:3" ht="15.75" customHeight="1" x14ac:dyDescent="0.25">
      <c r="B457" s="67" t="e">
        <f t="shared" si="24"/>
        <v>#REF!</v>
      </c>
      <c r="C457" s="76" t="e">
        <f t="shared" si="25"/>
        <v>#REF!</v>
      </c>
    </row>
    <row r="458" spans="2:3" ht="15.75" customHeight="1" x14ac:dyDescent="0.25">
      <c r="B458" s="67" t="e">
        <f t="shared" si="24"/>
        <v>#REF!</v>
      </c>
      <c r="C458" s="76" t="e">
        <f t="shared" si="25"/>
        <v>#REF!</v>
      </c>
    </row>
    <row r="459" spans="2:3" ht="15.75" customHeight="1" x14ac:dyDescent="0.25">
      <c r="B459" s="67" t="e">
        <f t="shared" si="24"/>
        <v>#REF!</v>
      </c>
      <c r="C459" s="76" t="e">
        <f t="shared" si="25"/>
        <v>#REF!</v>
      </c>
    </row>
    <row r="460" spans="2:3" ht="15.75" customHeight="1" x14ac:dyDescent="0.25">
      <c r="B460" s="67" t="e">
        <f t="shared" si="24"/>
        <v>#REF!</v>
      </c>
      <c r="C460" s="76" t="e">
        <f t="shared" si="25"/>
        <v>#REF!</v>
      </c>
    </row>
    <row r="461" spans="2:3" ht="15.75" customHeight="1" x14ac:dyDescent="0.25">
      <c r="B461" s="67" t="e">
        <f t="shared" si="24"/>
        <v>#REF!</v>
      </c>
      <c r="C461" s="76" t="e">
        <f t="shared" si="25"/>
        <v>#REF!</v>
      </c>
    </row>
    <row r="462" spans="2:3" ht="15.75" customHeight="1" x14ac:dyDescent="0.25">
      <c r="B462" s="67" t="e">
        <f t="shared" si="24"/>
        <v>#REF!</v>
      </c>
      <c r="C462" s="76" t="e">
        <f t="shared" si="25"/>
        <v>#REF!</v>
      </c>
    </row>
    <row r="463" spans="2:3" ht="15.75" customHeight="1" x14ac:dyDescent="0.25">
      <c r="B463" s="67" t="e">
        <f t="shared" si="24"/>
        <v>#REF!</v>
      </c>
      <c r="C463" s="76" t="e">
        <f t="shared" si="25"/>
        <v>#REF!</v>
      </c>
    </row>
    <row r="464" spans="2:3" ht="15.75" customHeight="1" x14ac:dyDescent="0.25">
      <c r="B464" s="67" t="e">
        <f t="shared" si="24"/>
        <v>#REF!</v>
      </c>
      <c r="C464" s="76" t="e">
        <f t="shared" si="25"/>
        <v>#REF!</v>
      </c>
    </row>
    <row r="465" spans="2:3" ht="15.75" customHeight="1" x14ac:dyDescent="0.25">
      <c r="B465" s="67" t="e">
        <f t="shared" si="24"/>
        <v>#REF!</v>
      </c>
      <c r="C465" s="76" t="e">
        <f t="shared" si="25"/>
        <v>#REF!</v>
      </c>
    </row>
    <row r="466" spans="2:3" ht="15.75" customHeight="1" x14ac:dyDescent="0.25">
      <c r="B466" s="67" t="e">
        <f t="shared" si="24"/>
        <v>#REF!</v>
      </c>
      <c r="C466" s="76" t="e">
        <f t="shared" si="25"/>
        <v>#REF!</v>
      </c>
    </row>
    <row r="467" spans="2:3" ht="15.75" customHeight="1" x14ac:dyDescent="0.25">
      <c r="B467" s="67" t="e">
        <f t="shared" si="24"/>
        <v>#REF!</v>
      </c>
      <c r="C467" s="76" t="e">
        <f t="shared" si="25"/>
        <v>#REF!</v>
      </c>
    </row>
    <row r="468" spans="2:3" ht="15.75" customHeight="1" x14ac:dyDescent="0.25">
      <c r="B468" s="67" t="e">
        <f t="shared" si="24"/>
        <v>#REF!</v>
      </c>
      <c r="C468" s="76" t="e">
        <f t="shared" si="25"/>
        <v>#REF!</v>
      </c>
    </row>
    <row r="469" spans="2:3" ht="15.75" customHeight="1" x14ac:dyDescent="0.25">
      <c r="B469" s="67" t="e">
        <f t="shared" si="24"/>
        <v>#REF!</v>
      </c>
      <c r="C469" s="76" t="e">
        <f t="shared" si="25"/>
        <v>#REF!</v>
      </c>
    </row>
    <row r="470" spans="2:3" ht="15.75" customHeight="1" x14ac:dyDescent="0.25">
      <c r="B470" s="67" t="e">
        <f t="shared" si="24"/>
        <v>#REF!</v>
      </c>
      <c r="C470" s="76" t="e">
        <f t="shared" si="25"/>
        <v>#REF!</v>
      </c>
    </row>
    <row r="471" spans="2:3" ht="15.75" customHeight="1" x14ac:dyDescent="0.25">
      <c r="B471" s="67" t="e">
        <f t="shared" si="24"/>
        <v>#REF!</v>
      </c>
      <c r="C471" s="76" t="e">
        <f t="shared" si="25"/>
        <v>#REF!</v>
      </c>
    </row>
    <row r="472" spans="2:3" ht="15.75" customHeight="1" x14ac:dyDescent="0.25">
      <c r="B472" s="67" t="e">
        <f t="shared" si="24"/>
        <v>#REF!</v>
      </c>
      <c r="C472" s="76" t="e">
        <f t="shared" si="25"/>
        <v>#REF!</v>
      </c>
    </row>
    <row r="473" spans="2:3" ht="15.75" customHeight="1" x14ac:dyDescent="0.25">
      <c r="B473" s="67" t="e">
        <f t="shared" si="24"/>
        <v>#REF!</v>
      </c>
      <c r="C473" s="76" t="e">
        <f t="shared" si="25"/>
        <v>#REF!</v>
      </c>
    </row>
    <row r="474" spans="2:3" ht="15.75" customHeight="1" x14ac:dyDescent="0.25">
      <c r="B474" s="67" t="e">
        <f t="shared" si="24"/>
        <v>#REF!</v>
      </c>
      <c r="C474" s="76" t="e">
        <f t="shared" si="25"/>
        <v>#REF!</v>
      </c>
    </row>
    <row r="475" spans="2:3" ht="15.75" customHeight="1" x14ac:dyDescent="0.25">
      <c r="B475" s="67" t="e">
        <f t="shared" si="24"/>
        <v>#REF!</v>
      </c>
      <c r="C475" s="76" t="e">
        <f t="shared" si="25"/>
        <v>#REF!</v>
      </c>
    </row>
    <row r="476" spans="2:3" ht="15.75" customHeight="1" x14ac:dyDescent="0.25">
      <c r="B476" s="67" t="e">
        <f t="shared" si="24"/>
        <v>#REF!</v>
      </c>
      <c r="C476" s="76" t="e">
        <f t="shared" si="25"/>
        <v>#REF!</v>
      </c>
    </row>
    <row r="477" spans="2:3" ht="15.75" customHeight="1" x14ac:dyDescent="0.25">
      <c r="B477" s="67" t="e">
        <f t="shared" si="24"/>
        <v>#REF!</v>
      </c>
      <c r="C477" s="76" t="e">
        <f t="shared" si="25"/>
        <v>#REF!</v>
      </c>
    </row>
    <row r="478" spans="2:3" ht="15.75" customHeight="1" x14ac:dyDescent="0.25">
      <c r="B478" s="67" t="e">
        <f t="shared" ref="B478:B512" si="26">IF(B477="","",IF(B477+$C$10&lt;=$C$6,B477+$C$10,""))</f>
        <v>#REF!</v>
      </c>
      <c r="C478" s="76" t="e">
        <f t="shared" ref="C478:C512" si="27">IF(B478&lt;&gt;"",C477-$C$2/COUNT($B$18:$B$511),"")</f>
        <v>#REF!</v>
      </c>
    </row>
    <row r="479" spans="2:3" ht="15.75" customHeight="1" x14ac:dyDescent="0.25">
      <c r="B479" s="67" t="e">
        <f t="shared" si="26"/>
        <v>#REF!</v>
      </c>
      <c r="C479" s="76" t="e">
        <f t="shared" si="27"/>
        <v>#REF!</v>
      </c>
    </row>
    <row r="480" spans="2:3" ht="15.75" customHeight="1" x14ac:dyDescent="0.25">
      <c r="B480" s="67" t="e">
        <f t="shared" si="26"/>
        <v>#REF!</v>
      </c>
      <c r="C480" s="76" t="e">
        <f t="shared" si="27"/>
        <v>#REF!</v>
      </c>
    </row>
    <row r="481" spans="2:3" ht="15.75" customHeight="1" x14ac:dyDescent="0.25">
      <c r="B481" s="67" t="e">
        <f t="shared" si="26"/>
        <v>#REF!</v>
      </c>
      <c r="C481" s="76" t="e">
        <f t="shared" si="27"/>
        <v>#REF!</v>
      </c>
    </row>
    <row r="482" spans="2:3" ht="15.75" customHeight="1" x14ac:dyDescent="0.25">
      <c r="B482" s="67" t="e">
        <f t="shared" si="26"/>
        <v>#REF!</v>
      </c>
      <c r="C482" s="76" t="e">
        <f t="shared" si="27"/>
        <v>#REF!</v>
      </c>
    </row>
    <row r="483" spans="2:3" ht="15.75" customHeight="1" x14ac:dyDescent="0.25">
      <c r="B483" s="67" t="e">
        <f t="shared" si="26"/>
        <v>#REF!</v>
      </c>
      <c r="C483" s="76" t="e">
        <f t="shared" si="27"/>
        <v>#REF!</v>
      </c>
    </row>
    <row r="484" spans="2:3" ht="15.75" customHeight="1" x14ac:dyDescent="0.25">
      <c r="B484" s="67" t="e">
        <f t="shared" si="26"/>
        <v>#REF!</v>
      </c>
      <c r="C484" s="76" t="e">
        <f t="shared" si="27"/>
        <v>#REF!</v>
      </c>
    </row>
    <row r="485" spans="2:3" ht="15.75" customHeight="1" x14ac:dyDescent="0.25">
      <c r="B485" s="67" t="e">
        <f t="shared" si="26"/>
        <v>#REF!</v>
      </c>
      <c r="C485" s="76" t="e">
        <f t="shared" si="27"/>
        <v>#REF!</v>
      </c>
    </row>
    <row r="486" spans="2:3" ht="15.75" customHeight="1" x14ac:dyDescent="0.25">
      <c r="B486" s="67" t="e">
        <f t="shared" si="26"/>
        <v>#REF!</v>
      </c>
      <c r="C486" s="76" t="e">
        <f t="shared" si="27"/>
        <v>#REF!</v>
      </c>
    </row>
    <row r="487" spans="2:3" ht="15.75" customHeight="1" x14ac:dyDescent="0.25">
      <c r="B487" s="67" t="e">
        <f t="shared" si="26"/>
        <v>#REF!</v>
      </c>
      <c r="C487" s="76" t="e">
        <f t="shared" si="27"/>
        <v>#REF!</v>
      </c>
    </row>
    <row r="488" spans="2:3" ht="15.75" customHeight="1" x14ac:dyDescent="0.25">
      <c r="B488" s="67" t="e">
        <f t="shared" si="26"/>
        <v>#REF!</v>
      </c>
      <c r="C488" s="76" t="e">
        <f t="shared" si="27"/>
        <v>#REF!</v>
      </c>
    </row>
    <row r="489" spans="2:3" ht="15.75" customHeight="1" x14ac:dyDescent="0.25">
      <c r="B489" s="67" t="e">
        <f t="shared" si="26"/>
        <v>#REF!</v>
      </c>
      <c r="C489" s="76" t="e">
        <f t="shared" si="27"/>
        <v>#REF!</v>
      </c>
    </row>
    <row r="490" spans="2:3" ht="15.75" customHeight="1" x14ac:dyDescent="0.25">
      <c r="B490" s="67" t="e">
        <f t="shared" si="26"/>
        <v>#REF!</v>
      </c>
      <c r="C490" s="76" t="e">
        <f t="shared" si="27"/>
        <v>#REF!</v>
      </c>
    </row>
    <row r="491" spans="2:3" ht="15.75" customHeight="1" x14ac:dyDescent="0.25">
      <c r="B491" s="67" t="e">
        <f t="shared" si="26"/>
        <v>#REF!</v>
      </c>
      <c r="C491" s="76" t="e">
        <f t="shared" si="27"/>
        <v>#REF!</v>
      </c>
    </row>
    <row r="492" spans="2:3" ht="15.75" customHeight="1" x14ac:dyDescent="0.25">
      <c r="B492" s="67" t="e">
        <f t="shared" si="26"/>
        <v>#REF!</v>
      </c>
      <c r="C492" s="76" t="e">
        <f t="shared" si="27"/>
        <v>#REF!</v>
      </c>
    </row>
    <row r="493" spans="2:3" ht="15.75" customHeight="1" x14ac:dyDescent="0.25">
      <c r="B493" s="67" t="e">
        <f t="shared" si="26"/>
        <v>#REF!</v>
      </c>
      <c r="C493" s="76" t="e">
        <f t="shared" si="27"/>
        <v>#REF!</v>
      </c>
    </row>
    <row r="494" spans="2:3" ht="15.75" customHeight="1" x14ac:dyDescent="0.25">
      <c r="B494" s="67" t="e">
        <f t="shared" si="26"/>
        <v>#REF!</v>
      </c>
      <c r="C494" s="76" t="e">
        <f t="shared" si="27"/>
        <v>#REF!</v>
      </c>
    </row>
    <row r="495" spans="2:3" ht="15.75" customHeight="1" x14ac:dyDescent="0.25">
      <c r="B495" s="67" t="e">
        <f t="shared" si="26"/>
        <v>#REF!</v>
      </c>
      <c r="C495" s="76" t="e">
        <f t="shared" si="27"/>
        <v>#REF!</v>
      </c>
    </row>
    <row r="496" spans="2:3" ht="15.75" customHeight="1" x14ac:dyDescent="0.25">
      <c r="B496" s="67" t="e">
        <f t="shared" si="26"/>
        <v>#REF!</v>
      </c>
      <c r="C496" s="76" t="e">
        <f t="shared" si="27"/>
        <v>#REF!</v>
      </c>
    </row>
    <row r="497" spans="2:3" ht="15.75" customHeight="1" x14ac:dyDescent="0.25">
      <c r="B497" s="67" t="e">
        <f t="shared" si="26"/>
        <v>#REF!</v>
      </c>
      <c r="C497" s="76" t="e">
        <f t="shared" si="27"/>
        <v>#REF!</v>
      </c>
    </row>
    <row r="498" spans="2:3" ht="15.75" customHeight="1" x14ac:dyDescent="0.25">
      <c r="B498" s="67" t="e">
        <f t="shared" si="26"/>
        <v>#REF!</v>
      </c>
      <c r="C498" s="76" t="e">
        <f t="shared" si="27"/>
        <v>#REF!</v>
      </c>
    </row>
    <row r="499" spans="2:3" ht="15.75" customHeight="1" x14ac:dyDescent="0.25">
      <c r="B499" s="67" t="e">
        <f t="shared" si="26"/>
        <v>#REF!</v>
      </c>
      <c r="C499" s="76" t="e">
        <f t="shared" si="27"/>
        <v>#REF!</v>
      </c>
    </row>
    <row r="500" spans="2:3" ht="15.75" customHeight="1" x14ac:dyDescent="0.25">
      <c r="B500" s="67" t="e">
        <f t="shared" si="26"/>
        <v>#REF!</v>
      </c>
      <c r="C500" s="76" t="e">
        <f t="shared" si="27"/>
        <v>#REF!</v>
      </c>
    </row>
    <row r="501" spans="2:3" ht="15.75" customHeight="1" x14ac:dyDescent="0.25">
      <c r="B501" s="67" t="e">
        <f t="shared" si="26"/>
        <v>#REF!</v>
      </c>
      <c r="C501" s="76" t="e">
        <f t="shared" si="27"/>
        <v>#REF!</v>
      </c>
    </row>
    <row r="502" spans="2:3" ht="15.75" customHeight="1" x14ac:dyDescent="0.25">
      <c r="B502" s="67" t="e">
        <f t="shared" si="26"/>
        <v>#REF!</v>
      </c>
      <c r="C502" s="76" t="e">
        <f t="shared" si="27"/>
        <v>#REF!</v>
      </c>
    </row>
    <row r="503" spans="2:3" ht="15.75" customHeight="1" x14ac:dyDescent="0.25">
      <c r="B503" s="67" t="e">
        <f t="shared" si="26"/>
        <v>#REF!</v>
      </c>
      <c r="C503" s="76" t="e">
        <f t="shared" si="27"/>
        <v>#REF!</v>
      </c>
    </row>
    <row r="504" spans="2:3" ht="15.75" customHeight="1" x14ac:dyDescent="0.25">
      <c r="B504" s="67" t="e">
        <f t="shared" si="26"/>
        <v>#REF!</v>
      </c>
      <c r="C504" s="76" t="e">
        <f t="shared" si="27"/>
        <v>#REF!</v>
      </c>
    </row>
    <row r="505" spans="2:3" ht="15.75" customHeight="1" x14ac:dyDescent="0.25">
      <c r="B505" s="67" t="e">
        <f t="shared" si="26"/>
        <v>#REF!</v>
      </c>
      <c r="C505" s="76" t="e">
        <f t="shared" si="27"/>
        <v>#REF!</v>
      </c>
    </row>
    <row r="506" spans="2:3" ht="15.75" customHeight="1" x14ac:dyDescent="0.25">
      <c r="B506" s="67" t="e">
        <f t="shared" si="26"/>
        <v>#REF!</v>
      </c>
      <c r="C506" s="76" t="e">
        <f t="shared" si="27"/>
        <v>#REF!</v>
      </c>
    </row>
    <row r="507" spans="2:3" ht="15.75" customHeight="1" x14ac:dyDescent="0.25">
      <c r="B507" s="67" t="e">
        <f t="shared" si="26"/>
        <v>#REF!</v>
      </c>
      <c r="C507" s="76" t="e">
        <f t="shared" si="27"/>
        <v>#REF!</v>
      </c>
    </row>
    <row r="508" spans="2:3" ht="15.75" customHeight="1" x14ac:dyDescent="0.25">
      <c r="B508" s="67" t="e">
        <f t="shared" si="26"/>
        <v>#REF!</v>
      </c>
      <c r="C508" s="76" t="e">
        <f t="shared" si="27"/>
        <v>#REF!</v>
      </c>
    </row>
    <row r="509" spans="2:3" ht="15.75" customHeight="1" x14ac:dyDescent="0.25">
      <c r="B509" s="67" t="e">
        <f t="shared" si="26"/>
        <v>#REF!</v>
      </c>
      <c r="C509" s="76" t="e">
        <f t="shared" si="27"/>
        <v>#REF!</v>
      </c>
    </row>
    <row r="510" spans="2:3" ht="15.75" customHeight="1" x14ac:dyDescent="0.25">
      <c r="B510" s="67" t="e">
        <f t="shared" si="26"/>
        <v>#REF!</v>
      </c>
      <c r="C510" s="76" t="e">
        <f t="shared" si="27"/>
        <v>#REF!</v>
      </c>
    </row>
    <row r="511" spans="2:3" ht="15.75" customHeight="1" x14ac:dyDescent="0.25">
      <c r="B511" s="67" t="e">
        <f t="shared" si="26"/>
        <v>#REF!</v>
      </c>
      <c r="C511" s="76" t="e">
        <f t="shared" si="27"/>
        <v>#REF!</v>
      </c>
    </row>
    <row r="512" spans="2:3" ht="15.75" customHeight="1" x14ac:dyDescent="0.25">
      <c r="B512" s="67" t="e">
        <f t="shared" si="26"/>
        <v>#REF!</v>
      </c>
      <c r="C512" s="76" t="e">
        <f t="shared" si="27"/>
        <v>#REF!</v>
      </c>
    </row>
  </sheetData>
  <mergeCells count="3">
    <mergeCell ref="A1:K1"/>
    <mergeCell ref="B13:F13"/>
    <mergeCell ref="G13:L13"/>
  </mergeCells>
  <conditionalFormatting sqref="A15:F15 L15 H15:H33 A16:A48">
    <cfRule type="expression" dxfId="89" priority="11">
      <formula>AND(TODAY()&gt;=$B$15,TODAY()&lt;$B$16)</formula>
    </cfRule>
  </conditionalFormatting>
  <conditionalFormatting sqref="B15:B59">
    <cfRule type="cellIs" dxfId="88" priority="8" operator="greaterThan">
      <formula>$C$6</formula>
    </cfRule>
  </conditionalFormatting>
  <conditionalFormatting sqref="B16:B48 A49:B59 G15:G33 J32 J33:L33 F34:L59">
    <cfRule type="expression" dxfId="87" priority="9">
      <formula>AND(TODAY()&gt;=$B15,TODAY()&lt;$B16)</formula>
    </cfRule>
  </conditionalFormatting>
  <conditionalFormatting sqref="C2:C3">
    <cfRule type="expression" dxfId="86" priority="4">
      <formula>AND(TODAY()&gt;=$B$15,TODAY()&lt;$B$16)</formula>
    </cfRule>
  </conditionalFormatting>
  <conditionalFormatting sqref="C16:E59">
    <cfRule type="expression" dxfId="85" priority="1">
      <formula>AND(TODAY()&gt;=$B16,TODAY()&lt;$B17)</formula>
    </cfRule>
  </conditionalFormatting>
  <conditionalFormatting sqref="I15:I33">
    <cfRule type="expression" dxfId="84" priority="10">
      <formula>AND(TODAY()&gt;=$B15,TODAY()&lt;$B16)</formula>
    </cfRule>
  </conditionalFormatting>
  <conditionalFormatting sqref="J15:J31">
    <cfRule type="expression" dxfId="83" priority="5">
      <formula>AND(TODAY()&gt;=$B$15,TODAY()&lt;$B$16)</formula>
    </cfRule>
  </conditionalFormatting>
  <conditionalFormatting sqref="K15:K32">
    <cfRule type="expression" dxfId="82" priority="6">
      <formula>AND(TODAY()&gt;=$B$15,TODAY()&lt;$B$16)</formula>
    </cfRule>
  </conditionalFormatting>
  <conditionalFormatting sqref="L16:L21 F16:F33 L23:L32">
    <cfRule type="expression" dxfId="81" priority="7">
      <formula>AND(TODAY()&gt;=$B16,TODAY()&lt;$B17)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5293B20-4ABA-451A-90DF-01BC3B5884D4}">
          <x14:formula1>
            <xm:f>'LEIA-ME'!$B:$B</xm:f>
          </x14:formula1>
          <xm:sqref>C2</xm:sqref>
        </x14:dataValidation>
        <x14:dataValidation type="list" allowBlank="1" showInputMessage="1" showErrorMessage="1" xr:uid="{767B5133-0D8D-4BB5-8037-C8CA8C2F4BFC}">
          <x14:formula1>
            <xm:f>'LEIA-ME'!$C$2:$C$6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657D-8447-42E5-832D-9EF32567421D}">
  <sheetPr>
    <tabColor theme="9" tint="-0.499984740745262"/>
  </sheetPr>
  <dimension ref="A1:L512"/>
  <sheetViews>
    <sheetView topLeftCell="A4" workbookViewId="0">
      <selection activeCell="C2" sqref="C2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6" width="12.625" style="59" customWidth="1"/>
    <col min="7" max="11" width="13.875" style="59" customWidth="1"/>
    <col min="12" max="12" width="22.25" style="59" customWidth="1"/>
    <col min="13" max="13" width="34.375" style="59" customWidth="1"/>
    <col min="14" max="16384" width="12.625" style="59"/>
  </cols>
  <sheetData>
    <row r="1" spans="1:12" ht="19.5" x14ac:dyDescent="0.25">
      <c r="A1" s="154" t="s">
        <v>20</v>
      </c>
      <c r="B1" s="167"/>
      <c r="C1" s="167"/>
      <c r="D1" s="155"/>
      <c r="E1" s="155"/>
      <c r="F1" s="155"/>
      <c r="G1" s="155"/>
      <c r="H1" s="155"/>
      <c r="I1" s="155"/>
      <c r="J1" s="155"/>
      <c r="K1" s="156"/>
    </row>
    <row r="2" spans="1:12" ht="33.75" customHeight="1" x14ac:dyDescent="0.25">
      <c r="A2" s="68"/>
      <c r="B2" s="119" t="s">
        <v>2542</v>
      </c>
      <c r="C2" s="124" t="s">
        <v>95</v>
      </c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15.75" customHeight="1" x14ac:dyDescent="0.25">
      <c r="A3" s="68"/>
      <c r="B3" s="119" t="s">
        <v>66</v>
      </c>
      <c r="C3" s="120" t="s">
        <v>69</v>
      </c>
      <c r="D3" s="70"/>
      <c r="E3" s="71"/>
      <c r="F3" s="71"/>
      <c r="G3" s="65"/>
      <c r="H3" s="65"/>
      <c r="I3" s="65"/>
      <c r="J3" s="65"/>
      <c r="K3" s="65"/>
      <c r="L3" s="65"/>
    </row>
    <row r="4" spans="1:12" ht="19.5" x14ac:dyDescent="0.25">
      <c r="B4" s="121" t="s">
        <v>2494</v>
      </c>
      <c r="C4" s="110">
        <f>COUNTIFS(jornada,"*" &amp; C2 &amp; "*",release,"*" &amp; C3&amp; "*")</f>
        <v>5</v>
      </c>
      <c r="D4" s="70" t="s">
        <v>25</v>
      </c>
      <c r="E4" s="71" t="s">
        <v>26</v>
      </c>
      <c r="F4" s="71"/>
      <c r="G4" s="65"/>
      <c r="H4" s="65"/>
      <c r="I4" s="65"/>
      <c r="J4" s="65"/>
      <c r="K4" s="65"/>
      <c r="L4" s="65"/>
    </row>
    <row r="5" spans="1:12" ht="15.75" customHeight="1" x14ac:dyDescent="0.25">
      <c r="B5" s="122" t="s">
        <v>27</v>
      </c>
      <c r="C5" s="107">
        <v>45985</v>
      </c>
      <c r="D5" s="70" t="s">
        <v>28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122" t="s">
        <v>29</v>
      </c>
      <c r="C6" s="107">
        <v>46113</v>
      </c>
      <c r="D6" s="70" t="s">
        <v>30</v>
      </c>
      <c r="E6" s="65"/>
      <c r="F6" s="65"/>
      <c r="G6" s="65"/>
      <c r="H6" s="65"/>
      <c r="I6" s="65"/>
      <c r="J6" s="65"/>
      <c r="K6" s="65"/>
      <c r="L6" s="65"/>
    </row>
    <row r="7" spans="1:12" ht="15.75" customHeight="1" x14ac:dyDescent="0.25">
      <c r="B7" s="119" t="s">
        <v>31</v>
      </c>
      <c r="C7" s="106" cm="1">
        <f t="array" ref="C7">IF(MAX(INDEX(J:J, LARGE(IF(J:J&lt;&gt;"", ROW(J:J)), {1;2;3;4})))=0,
  1,
  MAX(INDEX(J:J, LARGE(IF(J:J&lt;&gt;"", ROW(J:J)), {1;2;3;4}))))</f>
        <v>1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119" t="s">
        <v>34</v>
      </c>
      <c r="C8" s="106" cm="1">
        <f t="array" ref="C8">IF(MIN(INDEX(J:J, LARGE(IF(J:J&lt;&gt;"", ROW(J:J)), {1;2;3;4})))=0,
  1,
  MIN(INDEX(J:J, LARGE(IF(J:J&lt;&gt;"", ROW(J:J)), {1;2;3;4}))))</f>
        <v>1</v>
      </c>
      <c r="D8" s="70" t="s">
        <v>32</v>
      </c>
      <c r="E8" s="71" t="s">
        <v>33</v>
      </c>
      <c r="F8" s="71"/>
      <c r="G8" s="65"/>
      <c r="H8" s="65"/>
      <c r="I8" s="65"/>
      <c r="J8" s="65"/>
      <c r="K8" s="65"/>
      <c r="L8" s="65"/>
    </row>
    <row r="9" spans="1:12" ht="15.75" customHeight="1" x14ac:dyDescent="0.25">
      <c r="B9" s="122" t="s">
        <v>35</v>
      </c>
      <c r="C9" s="108">
        <v>2</v>
      </c>
      <c r="D9" s="70" t="s">
        <v>32</v>
      </c>
      <c r="E9" s="65"/>
      <c r="F9" s="65"/>
      <c r="G9" s="65"/>
      <c r="H9" s="65"/>
      <c r="I9" s="65"/>
      <c r="J9" s="65"/>
      <c r="K9" s="65"/>
      <c r="L9" s="65"/>
    </row>
    <row r="10" spans="1:12" ht="15.75" customHeight="1" x14ac:dyDescent="0.25">
      <c r="B10" s="122" t="s">
        <v>36</v>
      </c>
      <c r="C10" s="109">
        <v>7</v>
      </c>
      <c r="D10" s="70" t="s">
        <v>37</v>
      </c>
      <c r="E10" s="65"/>
      <c r="F10" s="65"/>
      <c r="G10" s="65"/>
      <c r="H10" s="65"/>
      <c r="I10" s="65"/>
      <c r="J10" s="65"/>
      <c r="K10" s="65"/>
      <c r="L10" s="65"/>
    </row>
    <row r="11" spans="1:12" ht="15.75" hidden="1" customHeight="1" x14ac:dyDescent="0.25">
      <c r="B11" s="112"/>
      <c r="C11" s="65"/>
      <c r="D11" s="113"/>
      <c r="E11" s="65"/>
      <c r="F11" s="65"/>
      <c r="G11" s="65"/>
      <c r="H11" s="65"/>
      <c r="I11" s="65"/>
      <c r="J11" s="65"/>
      <c r="K11" s="65"/>
      <c r="L11" s="65"/>
    </row>
    <row r="12" spans="1:12" s="39" customFormat="1" ht="40.5" customHeight="1" x14ac:dyDescent="0.45">
      <c r="A12" s="103"/>
      <c r="B12" s="61" t="s">
        <v>38</v>
      </c>
      <c r="C12" s="60" t="s">
        <v>39</v>
      </c>
      <c r="D12" s="60" t="s">
        <v>40</v>
      </c>
      <c r="E12" s="60" t="s">
        <v>41</v>
      </c>
      <c r="F12" s="60" t="s">
        <v>42</v>
      </c>
      <c r="G12" s="60" t="s">
        <v>43</v>
      </c>
      <c r="H12" s="60" t="s">
        <v>44</v>
      </c>
      <c r="I12" s="60" t="s">
        <v>45</v>
      </c>
      <c r="J12" s="60" t="s">
        <v>46</v>
      </c>
      <c r="K12" s="60" t="s">
        <v>47</v>
      </c>
      <c r="L12" s="60" t="s">
        <v>48</v>
      </c>
    </row>
    <row r="13" spans="1:12" ht="19.5" customHeight="1" x14ac:dyDescent="0.25">
      <c r="A13" s="91"/>
      <c r="B13" s="162" t="s">
        <v>49</v>
      </c>
      <c r="C13" s="163"/>
      <c r="D13" s="163"/>
      <c r="E13" s="163"/>
      <c r="F13" s="164"/>
      <c r="G13" s="165" t="s">
        <v>50</v>
      </c>
      <c r="H13" s="166"/>
      <c r="I13" s="166"/>
      <c r="J13" s="166"/>
      <c r="K13" s="166"/>
      <c r="L13" s="166"/>
    </row>
    <row r="14" spans="1:12" ht="31.5" customHeight="1" x14ac:dyDescent="0.25">
      <c r="A14" s="44" t="s">
        <v>51</v>
      </c>
      <c r="B14" s="45" t="s">
        <v>52</v>
      </c>
      <c r="C14" s="46" t="s">
        <v>2495</v>
      </c>
      <c r="D14" s="46" t="s">
        <v>2496</v>
      </c>
      <c r="E14" s="46" t="s">
        <v>55</v>
      </c>
      <c r="F14" s="58" t="s">
        <v>56</v>
      </c>
      <c r="G14" s="47" t="s">
        <v>57</v>
      </c>
      <c r="H14" s="47" t="s">
        <v>58</v>
      </c>
      <c r="I14" s="48" t="s">
        <v>2561</v>
      </c>
      <c r="J14" s="54" t="s">
        <v>60</v>
      </c>
      <c r="K14" s="87" t="s">
        <v>2562</v>
      </c>
      <c r="L14" s="77" t="s">
        <v>62</v>
      </c>
    </row>
    <row r="15" spans="1:12" ht="17.25" customHeight="1" x14ac:dyDescent="0.25">
      <c r="A15" s="73" t="s">
        <v>2543</v>
      </c>
      <c r="B15" s="66">
        <f>C5</f>
        <v>45985</v>
      </c>
      <c r="C15" s="79">
        <f>$C$4</f>
        <v>5</v>
      </c>
      <c r="D15" s="79">
        <f>$C$4</f>
        <v>5</v>
      </c>
      <c r="E15" s="79">
        <f>$C$4</f>
        <v>5</v>
      </c>
      <c r="F15" s="80"/>
      <c r="G15" s="118">
        <f t="shared" ref="G15" si="0">COUNTIFS(dtc, "&gt;=" &amp; INT(B15),dtc,
 "&lt;"  &amp; INT(B15)+1,jornada,
 $C$2,release, "*" &amp; $C$3 &amp; "*",Item,
 "&lt;&gt;BUG")</f>
        <v>0</v>
      </c>
      <c r="H15" s="81">
        <f t="shared" ref="H15:H28" si="1">COUNTIFS(dtc, "&gt;=" &amp;(INT(B15)+1),dtc,
 "&lt;"  &amp;(INT(B15)+7),jornada,
 "*" &amp; $C$2 &amp; "*",release, "*" &amp; $C$3 &amp; "*",Item,
 "&lt;&gt;BUG")</f>
        <v>0</v>
      </c>
      <c r="I15" s="82">
        <f t="shared" ref="I15:I28" si="2">COUNTIFS(jornada, "*" &amp; $C$2 &amp; "*",release, "*" &amp; $C$3 &amp; "*",Item,
 "BUG",criado,
 "&gt;=" &amp; INT(B15),criado,
 "&lt;"  &amp; INT(B15)+7)</f>
        <v>0</v>
      </c>
      <c r="J15" s="83">
        <f t="shared" ref="J15:J28" si="3">COUNTIFS(jornada, "*" &amp; $C$2 &amp; "*",release, "*" &amp; $C$3 &amp; "*",resolvido,
 "&lt;&gt;" &amp; "",resolvido,
 "&gt;=" &amp; INT(B15),resolvido,
 "&lt;"  &amp; INT(B15)+7)</f>
        <v>0</v>
      </c>
      <c r="K15" s="84">
        <f t="shared" ref="K15:K28" si="4">-COUNTIFS(resolvido, "&gt;=" &amp; INT(B15),resolvido, "&lt;"  &amp; INT(B15)+7,status, "Descartado",jornada, "*" &amp; $C$2 &amp; "*",release, "*" &amp; $C$3 &amp; "*")</f>
        <v>0</v>
      </c>
      <c r="L15" s="86"/>
    </row>
    <row r="16" spans="1:12" ht="17.25" customHeight="1" x14ac:dyDescent="0.25">
      <c r="A16" s="73" t="s">
        <v>2544</v>
      </c>
      <c r="B16" s="66">
        <f t="shared" ref="B16:B25" si="5">B15+$C$10</f>
        <v>45992</v>
      </c>
      <c r="C16" s="79">
        <f>IF(OR(C15="",C15=0),"",IF(ISBLANK($J15),IF(C15+$K15-$C$7&lt;=0,IF(AND(C15&gt;0,C15&lt;&gt;""),0,""),C15+$K15-$C$7),IF((C15-$J15)+$K15&lt;=0,IF(AND(C15&gt;0,C15&lt;&gt;""),0,""),(C15-$J15)+$K15)))</f>
        <v>5</v>
      </c>
      <c r="D16" s="79">
        <f>IF(OR(D15="",D15=0),"",IF(ISBLANK($J15),IF(D15+$K15-$C$8&lt;=0,IF(AND(D15&gt;0,D15&lt;&gt;""),0,""),D15+$K15-$C$8),IF((D15-$J15)+$K15&lt;=0,IF(AND(D15&gt;0,D15&lt;&gt;""),0,""),(D15-$J15)+$K15)))</f>
        <v>5</v>
      </c>
      <c r="E16" s="79">
        <f>IF(OR(E15="",E15=0),"",IF(ISBLANK($J15),IF(E15+$K15-$C$9&lt;=0,IF(AND(E15&gt;0,E15&lt;&gt;""),0,""),E15+$K15-$C$9),IF((E15-$J15)+$K15&lt;=0,IF(AND(E15&gt;0,E15&lt;&gt;""),0,""),(E15-$J15)+$K15)))</f>
        <v>5</v>
      </c>
      <c r="F16" s="80">
        <f>IF(J15="","",IF(G15+F15+H15+I15+K15-J15&lt;0,0,G15+F15+H15+I15+K15-J15))</f>
        <v>0</v>
      </c>
      <c r="G16" s="118">
        <f t="shared" ref="G16:G31" si="6">COUNTIFS(dtc, "&gt;=" &amp; INT(B16),dtc,
 "&lt;"  &amp; INT(B16)+1,jornada, "*" &amp; $C$2 &amp; "*",release, "*" &amp; $C$3 &amp; "*",Item,
 "&lt;&gt;BUG")</f>
        <v>0</v>
      </c>
      <c r="H16" s="81">
        <f t="shared" si="1"/>
        <v>0</v>
      </c>
      <c r="I16" s="82">
        <f t="shared" si="2"/>
        <v>0</v>
      </c>
      <c r="J16" s="83">
        <f t="shared" si="3"/>
        <v>0</v>
      </c>
      <c r="K16" s="84">
        <f t="shared" si="4"/>
        <v>0</v>
      </c>
      <c r="L16" s="86"/>
    </row>
    <row r="17" spans="1:12" ht="17.25" customHeight="1" x14ac:dyDescent="0.25">
      <c r="A17" s="73" t="s">
        <v>2545</v>
      </c>
      <c r="B17" s="66">
        <f t="shared" si="5"/>
        <v>45999</v>
      </c>
      <c r="C17" s="79">
        <f t="shared" ref="C17:C55" si="7">IF(OR(C16="",C16=0),"",IF(ISBLANK($J16),IF(C16+$K16-$C$7&lt;=0,IF(AND(C16&gt;0,C16&lt;&gt;""),0,""),C16+$K16-$C$7),IF((C16-$J16)+$K16&lt;=0,IF(AND(C16&gt;0,C16&lt;&gt;""),0,""),(C16-$J16)+$K16)))</f>
        <v>5</v>
      </c>
      <c r="D17" s="79">
        <f t="shared" ref="D17:D55" si="8">IF(OR(D16="",D16=0),"",IF(ISBLANK($J16),IF(D16+$K16-$C$8&lt;=0,IF(AND(D16&gt;0,D16&lt;&gt;""),0,""),D16+$K16-$C$8),IF((D16-$J16)+$K16&lt;=0,IF(AND(D16&gt;0,D16&lt;&gt;""),0,""),(D16-$J16)+$K16)))</f>
        <v>5</v>
      </c>
      <c r="E17" s="79">
        <f t="shared" ref="E17:E55" si="9">IF(OR(E16="",E16=0),"",IF(ISBLANK($J16),IF(E16+$K16-$C$9&lt;=0,IF(AND(E16&gt;0,E16&lt;&gt;""),0,""),E16+$K16-$C$9),IF((E16-$J16)+$K16&lt;=0,IF(AND(E16&gt;0,E16&lt;&gt;""),0,""),(E16-$J16)+$K16)))</f>
        <v>5</v>
      </c>
      <c r="F17" s="80">
        <f t="shared" ref="F17:F28" si="10">IF(J16="","",IF(G16+F16+H16+I16+K16-J16&lt;0,0,G16+F16+H16+I16+K16-J16))</f>
        <v>0</v>
      </c>
      <c r="G17" s="118">
        <f t="shared" si="6"/>
        <v>0</v>
      </c>
      <c r="H17" s="81">
        <f t="shared" si="1"/>
        <v>0</v>
      </c>
      <c r="I17" s="82">
        <f t="shared" si="2"/>
        <v>0</v>
      </c>
      <c r="J17" s="83">
        <f t="shared" si="3"/>
        <v>0</v>
      </c>
      <c r="K17" s="84">
        <f t="shared" si="4"/>
        <v>0</v>
      </c>
      <c r="L17" s="86"/>
    </row>
    <row r="18" spans="1:12" ht="17.25" customHeight="1" x14ac:dyDescent="0.25">
      <c r="A18" s="73" t="s">
        <v>2546</v>
      </c>
      <c r="B18" s="66">
        <f t="shared" si="5"/>
        <v>46006</v>
      </c>
      <c r="C18" s="79">
        <f t="shared" si="7"/>
        <v>5</v>
      </c>
      <c r="D18" s="79">
        <f t="shared" si="8"/>
        <v>5</v>
      </c>
      <c r="E18" s="79">
        <f t="shared" si="9"/>
        <v>5</v>
      </c>
      <c r="F18" s="80">
        <f t="shared" si="10"/>
        <v>0</v>
      </c>
      <c r="G18" s="118">
        <f t="shared" si="6"/>
        <v>0</v>
      </c>
      <c r="H18" s="81">
        <f t="shared" si="1"/>
        <v>0</v>
      </c>
      <c r="I18" s="82">
        <f t="shared" si="2"/>
        <v>0</v>
      </c>
      <c r="J18" s="83">
        <f t="shared" si="3"/>
        <v>0</v>
      </c>
      <c r="K18" s="84">
        <f t="shared" si="4"/>
        <v>0</v>
      </c>
      <c r="L18" s="111"/>
    </row>
    <row r="19" spans="1:12" ht="17.25" customHeight="1" x14ac:dyDescent="0.25">
      <c r="A19" s="73" t="s">
        <v>2547</v>
      </c>
      <c r="B19" s="66">
        <f t="shared" si="5"/>
        <v>46013</v>
      </c>
      <c r="C19" s="79">
        <f t="shared" si="7"/>
        <v>5</v>
      </c>
      <c r="D19" s="79">
        <f t="shared" si="8"/>
        <v>5</v>
      </c>
      <c r="E19" s="79">
        <f t="shared" si="9"/>
        <v>5</v>
      </c>
      <c r="F19" s="80">
        <f t="shared" si="10"/>
        <v>0</v>
      </c>
      <c r="G19" s="118">
        <f t="shared" si="6"/>
        <v>0</v>
      </c>
      <c r="H19" s="81">
        <f t="shared" si="1"/>
        <v>0</v>
      </c>
      <c r="I19" s="82">
        <f t="shared" si="2"/>
        <v>0</v>
      </c>
      <c r="J19" s="83">
        <f t="shared" si="3"/>
        <v>0</v>
      </c>
      <c r="K19" s="84">
        <f t="shared" si="4"/>
        <v>0</v>
      </c>
      <c r="L19" s="86"/>
    </row>
    <row r="20" spans="1:12" ht="17.25" customHeight="1" x14ac:dyDescent="0.25">
      <c r="A20" s="73" t="s">
        <v>2548</v>
      </c>
      <c r="B20" s="66">
        <f t="shared" si="5"/>
        <v>46020</v>
      </c>
      <c r="C20" s="79">
        <f t="shared" si="7"/>
        <v>5</v>
      </c>
      <c r="D20" s="79">
        <f t="shared" si="8"/>
        <v>5</v>
      </c>
      <c r="E20" s="79">
        <f t="shared" si="9"/>
        <v>5</v>
      </c>
      <c r="F20" s="80">
        <f t="shared" si="10"/>
        <v>0</v>
      </c>
      <c r="G20" s="118">
        <f t="shared" si="6"/>
        <v>0</v>
      </c>
      <c r="H20" s="81">
        <f t="shared" si="1"/>
        <v>0</v>
      </c>
      <c r="I20" s="82">
        <f t="shared" si="2"/>
        <v>0</v>
      </c>
      <c r="J20" s="83">
        <f t="shared" si="3"/>
        <v>0</v>
      </c>
      <c r="K20" s="84">
        <f t="shared" si="4"/>
        <v>0</v>
      </c>
      <c r="L20" s="86"/>
    </row>
    <row r="21" spans="1:12" ht="15.75" customHeight="1" x14ac:dyDescent="0.25">
      <c r="A21" s="73" t="s">
        <v>2549</v>
      </c>
      <c r="B21" s="66">
        <f t="shared" si="5"/>
        <v>46027</v>
      </c>
      <c r="C21" s="79">
        <f t="shared" si="7"/>
        <v>5</v>
      </c>
      <c r="D21" s="79">
        <f t="shared" si="8"/>
        <v>5</v>
      </c>
      <c r="E21" s="79">
        <f t="shared" si="9"/>
        <v>5</v>
      </c>
      <c r="F21" s="80">
        <f t="shared" si="10"/>
        <v>0</v>
      </c>
      <c r="G21" s="118">
        <f t="shared" si="6"/>
        <v>0</v>
      </c>
      <c r="H21" s="81">
        <f t="shared" si="1"/>
        <v>0</v>
      </c>
      <c r="I21" s="82">
        <f t="shared" si="2"/>
        <v>0</v>
      </c>
      <c r="J21" s="83">
        <f t="shared" si="3"/>
        <v>0</v>
      </c>
      <c r="K21" s="84">
        <f t="shared" si="4"/>
        <v>0</v>
      </c>
      <c r="L21" s="86"/>
    </row>
    <row r="22" spans="1:12" ht="15.75" customHeight="1" x14ac:dyDescent="0.25">
      <c r="A22" s="73" t="s">
        <v>2550</v>
      </c>
      <c r="B22" s="66">
        <f t="shared" si="5"/>
        <v>46034</v>
      </c>
      <c r="C22" s="79">
        <f t="shared" si="7"/>
        <v>5</v>
      </c>
      <c r="D22" s="79">
        <f t="shared" si="8"/>
        <v>5</v>
      </c>
      <c r="E22" s="79">
        <f t="shared" si="9"/>
        <v>5</v>
      </c>
      <c r="F22" s="80">
        <f t="shared" si="10"/>
        <v>0</v>
      </c>
      <c r="G22" s="118">
        <f t="shared" si="6"/>
        <v>1</v>
      </c>
      <c r="H22" s="81">
        <f t="shared" si="1"/>
        <v>0</v>
      </c>
      <c r="I22" s="82">
        <f t="shared" si="2"/>
        <v>0</v>
      </c>
      <c r="J22" s="83">
        <f t="shared" si="3"/>
        <v>1</v>
      </c>
      <c r="K22" s="84">
        <f t="shared" si="4"/>
        <v>0</v>
      </c>
      <c r="L22" s="86"/>
    </row>
    <row r="23" spans="1:12" ht="15.75" customHeight="1" x14ac:dyDescent="0.25">
      <c r="A23" s="73" t="s">
        <v>2551</v>
      </c>
      <c r="B23" s="66">
        <f t="shared" si="5"/>
        <v>46041</v>
      </c>
      <c r="C23" s="79">
        <f t="shared" si="7"/>
        <v>4</v>
      </c>
      <c r="D23" s="79">
        <f t="shared" si="8"/>
        <v>4</v>
      </c>
      <c r="E23" s="79">
        <f t="shared" si="9"/>
        <v>4</v>
      </c>
      <c r="F23" s="80">
        <f t="shared" si="10"/>
        <v>0</v>
      </c>
      <c r="G23" s="118">
        <f t="shared" si="6"/>
        <v>0</v>
      </c>
      <c r="H23" s="81">
        <f t="shared" si="1"/>
        <v>1</v>
      </c>
      <c r="I23" s="82">
        <f t="shared" si="2"/>
        <v>0</v>
      </c>
      <c r="J23" s="83">
        <f t="shared" si="3"/>
        <v>1</v>
      </c>
      <c r="K23" s="84">
        <f t="shared" si="4"/>
        <v>0</v>
      </c>
      <c r="L23" s="86"/>
    </row>
    <row r="24" spans="1:12" ht="15.75" customHeight="1" x14ac:dyDescent="0.25">
      <c r="A24" s="73" t="s">
        <v>2552</v>
      </c>
      <c r="B24" s="66">
        <f t="shared" si="5"/>
        <v>46048</v>
      </c>
      <c r="C24" s="79">
        <f t="shared" si="7"/>
        <v>3</v>
      </c>
      <c r="D24" s="79">
        <f t="shared" si="8"/>
        <v>3</v>
      </c>
      <c r="E24" s="79">
        <f t="shared" si="9"/>
        <v>3</v>
      </c>
      <c r="F24" s="80">
        <f t="shared" si="10"/>
        <v>0</v>
      </c>
      <c r="G24" s="118">
        <f t="shared" si="6"/>
        <v>0</v>
      </c>
      <c r="H24" s="81">
        <f t="shared" si="1"/>
        <v>0</v>
      </c>
      <c r="I24" s="82">
        <f t="shared" si="2"/>
        <v>0</v>
      </c>
      <c r="J24" s="83">
        <f t="shared" si="3"/>
        <v>0</v>
      </c>
      <c r="K24" s="84">
        <f t="shared" si="4"/>
        <v>0</v>
      </c>
      <c r="L24" s="86"/>
    </row>
    <row r="25" spans="1:12" ht="15.75" customHeight="1" x14ac:dyDescent="0.25">
      <c r="A25" s="73" t="s">
        <v>2553</v>
      </c>
      <c r="B25" s="66">
        <f t="shared" si="5"/>
        <v>46055</v>
      </c>
      <c r="C25" s="79">
        <f t="shared" si="7"/>
        <v>3</v>
      </c>
      <c r="D25" s="79">
        <f t="shared" si="8"/>
        <v>3</v>
      </c>
      <c r="E25" s="79">
        <f t="shared" si="9"/>
        <v>3</v>
      </c>
      <c r="F25" s="80">
        <f t="shared" si="10"/>
        <v>0</v>
      </c>
      <c r="G25" s="118">
        <f t="shared" si="6"/>
        <v>0</v>
      </c>
      <c r="H25" s="81">
        <f t="shared" si="1"/>
        <v>0</v>
      </c>
      <c r="I25" s="82">
        <f t="shared" si="2"/>
        <v>0</v>
      </c>
      <c r="J25" s="83">
        <f t="shared" si="3"/>
        <v>0</v>
      </c>
      <c r="K25" s="84">
        <f t="shared" si="4"/>
        <v>0</v>
      </c>
      <c r="L25" s="86"/>
    </row>
    <row r="26" spans="1:12" ht="15.75" customHeight="1" x14ac:dyDescent="0.25">
      <c r="A26" s="73" t="s">
        <v>2554</v>
      </c>
      <c r="B26" s="66">
        <f t="shared" ref="B26:B29" si="11">B25+$C$10</f>
        <v>46062</v>
      </c>
      <c r="C26" s="79">
        <f t="shared" si="7"/>
        <v>3</v>
      </c>
      <c r="D26" s="79">
        <f t="shared" si="8"/>
        <v>3</v>
      </c>
      <c r="E26" s="79">
        <f t="shared" si="9"/>
        <v>3</v>
      </c>
      <c r="F26" s="80">
        <f t="shared" si="10"/>
        <v>0</v>
      </c>
      <c r="G26" s="118">
        <f t="shared" si="6"/>
        <v>0</v>
      </c>
      <c r="H26" s="81">
        <f t="shared" si="1"/>
        <v>0</v>
      </c>
      <c r="I26" s="82">
        <f t="shared" si="2"/>
        <v>0</v>
      </c>
      <c r="J26" s="83">
        <f t="shared" si="3"/>
        <v>0</v>
      </c>
      <c r="K26" s="84">
        <f t="shared" si="4"/>
        <v>0</v>
      </c>
      <c r="L26" s="86"/>
    </row>
    <row r="27" spans="1:12" ht="15.75" customHeight="1" x14ac:dyDescent="0.25">
      <c r="A27" s="73" t="s">
        <v>2555</v>
      </c>
      <c r="B27" s="66">
        <f t="shared" si="11"/>
        <v>46069</v>
      </c>
      <c r="C27" s="79">
        <f t="shared" si="7"/>
        <v>3</v>
      </c>
      <c r="D27" s="79">
        <f t="shared" si="8"/>
        <v>3</v>
      </c>
      <c r="E27" s="79">
        <f t="shared" si="9"/>
        <v>3</v>
      </c>
      <c r="F27" s="80">
        <f t="shared" si="10"/>
        <v>0</v>
      </c>
      <c r="G27" s="118">
        <f t="shared" si="6"/>
        <v>0</v>
      </c>
      <c r="H27" s="81">
        <f t="shared" si="1"/>
        <v>0</v>
      </c>
      <c r="I27" s="82">
        <f t="shared" si="2"/>
        <v>0</v>
      </c>
      <c r="J27" s="83">
        <f t="shared" si="3"/>
        <v>0</v>
      </c>
      <c r="K27" s="84">
        <f t="shared" si="4"/>
        <v>0</v>
      </c>
      <c r="L27" s="86"/>
    </row>
    <row r="28" spans="1:12" ht="15.75" customHeight="1" x14ac:dyDescent="0.25">
      <c r="A28" s="73" t="s">
        <v>2556</v>
      </c>
      <c r="B28" s="66">
        <f t="shared" si="11"/>
        <v>46076</v>
      </c>
      <c r="C28" s="79">
        <f t="shared" si="7"/>
        <v>3</v>
      </c>
      <c r="D28" s="79">
        <f t="shared" si="8"/>
        <v>3</v>
      </c>
      <c r="E28" s="79">
        <f t="shared" si="9"/>
        <v>3</v>
      </c>
      <c r="F28" s="80">
        <f t="shared" si="10"/>
        <v>0</v>
      </c>
      <c r="G28" s="118">
        <f t="shared" si="6"/>
        <v>0</v>
      </c>
      <c r="H28" s="81">
        <f t="shared" si="1"/>
        <v>0</v>
      </c>
      <c r="I28" s="82">
        <f t="shared" si="2"/>
        <v>0</v>
      </c>
      <c r="J28" s="83">
        <f t="shared" si="3"/>
        <v>0</v>
      </c>
      <c r="K28" s="84">
        <f t="shared" si="4"/>
        <v>0</v>
      </c>
      <c r="L28" s="86"/>
    </row>
    <row r="29" spans="1:12" ht="15.75" customHeight="1" x14ac:dyDescent="0.25">
      <c r="A29" s="73" t="s">
        <v>2557</v>
      </c>
      <c r="B29" s="66">
        <f t="shared" si="11"/>
        <v>46083</v>
      </c>
      <c r="C29" s="79">
        <f t="shared" si="7"/>
        <v>3</v>
      </c>
      <c r="D29" s="79">
        <f t="shared" si="8"/>
        <v>3</v>
      </c>
      <c r="E29" s="79">
        <f t="shared" si="9"/>
        <v>3</v>
      </c>
      <c r="F29" s="80">
        <f t="shared" ref="F29:F33" si="12">IF(J28="","",IF(G28+F28+H28+I28-J28&lt;0,0,G28+F28+H28+I28-J28))</f>
        <v>0</v>
      </c>
      <c r="G29" s="118">
        <f t="shared" si="6"/>
        <v>0</v>
      </c>
      <c r="H29" s="81">
        <f t="shared" ref="H29:H31" si="13">COUNTIFS(dtc, "&gt;=" &amp;(INT(B29)+1),dtc,
 "&lt;"  &amp;(INT(B29)+7),jornada,
 "*" &amp; $C$2 &amp; "*",release, "*" &amp; $C$3 &amp; "*",Item,
 "&lt;&gt;BUG")</f>
        <v>0</v>
      </c>
      <c r="I29" s="82">
        <f t="shared" ref="I29:I31" si="14">COUNTIFS(jornada, "*" &amp; $C$2 &amp; "*",release, "*" &amp; $C$3 &amp; "*",Item,
 "BUG",criado,
 "&gt;=" &amp; INT(B29),criado,
 "&lt;"  &amp; INT(B29)+7)</f>
        <v>0</v>
      </c>
      <c r="J29" s="83">
        <f t="shared" ref="J29:J31" si="15">COUNTIFS(jornada, "*" &amp; $C$2 &amp; "*",release, "*" &amp; $C$3 &amp; "*",resolvido,
 "&lt;&gt;" &amp; "",resolvido,
 "&gt;=" &amp; INT(B29),resolvido,
 "&lt;"  &amp; INT(B29)+7)</f>
        <v>1</v>
      </c>
      <c r="K29" s="84">
        <f t="shared" ref="K29:K31" si="16">-COUNTIFS(resolvido, "&gt;=" &amp; INT(B29),resolvido, "&lt;"  &amp; INT(B29)+7,status, "Descartado",jornada, "*" &amp; $C$2 &amp; "*",release, "*" &amp; $C$3 &amp; "*")</f>
        <v>-1</v>
      </c>
      <c r="L29" s="86"/>
    </row>
    <row r="30" spans="1:12" ht="15.75" customHeight="1" x14ac:dyDescent="0.25">
      <c r="A30" s="73" t="s">
        <v>2558</v>
      </c>
      <c r="B30" s="66">
        <f t="shared" ref="B30:B55" si="17">B29+$C$10</f>
        <v>46090</v>
      </c>
      <c r="C30" s="79">
        <f t="shared" si="7"/>
        <v>1</v>
      </c>
      <c r="D30" s="79">
        <f t="shared" si="8"/>
        <v>1</v>
      </c>
      <c r="E30" s="79">
        <f t="shared" si="9"/>
        <v>1</v>
      </c>
      <c r="F30" s="80">
        <f t="shared" si="12"/>
        <v>0</v>
      </c>
      <c r="G30" s="118">
        <f t="shared" si="6"/>
        <v>0</v>
      </c>
      <c r="H30" s="81">
        <f t="shared" si="13"/>
        <v>0</v>
      </c>
      <c r="I30" s="82">
        <f t="shared" si="14"/>
        <v>0</v>
      </c>
      <c r="J30" s="83">
        <f t="shared" si="15"/>
        <v>0</v>
      </c>
      <c r="K30" s="84">
        <f t="shared" si="16"/>
        <v>0</v>
      </c>
      <c r="L30" s="86"/>
    </row>
    <row r="31" spans="1:12" ht="15.75" customHeight="1" x14ac:dyDescent="0.25">
      <c r="A31" s="73" t="s">
        <v>2559</v>
      </c>
      <c r="B31" s="66">
        <f t="shared" si="17"/>
        <v>46097</v>
      </c>
      <c r="C31" s="79">
        <f t="shared" si="7"/>
        <v>1</v>
      </c>
      <c r="D31" s="79">
        <f t="shared" si="8"/>
        <v>1</v>
      </c>
      <c r="E31" s="79">
        <f t="shared" si="9"/>
        <v>1</v>
      </c>
      <c r="F31" s="80">
        <f t="shared" si="12"/>
        <v>0</v>
      </c>
      <c r="G31" s="118">
        <f t="shared" si="6"/>
        <v>0</v>
      </c>
      <c r="H31" s="81">
        <f t="shared" si="13"/>
        <v>0</v>
      </c>
      <c r="I31" s="82">
        <f t="shared" si="14"/>
        <v>0</v>
      </c>
      <c r="J31" s="83">
        <f t="shared" si="15"/>
        <v>0</v>
      </c>
      <c r="K31" s="84">
        <f t="shared" si="16"/>
        <v>0</v>
      </c>
      <c r="L31" s="86"/>
    </row>
    <row r="32" spans="1:12" ht="15.75" customHeight="1" x14ac:dyDescent="0.25">
      <c r="A32" s="73" t="s">
        <v>2560</v>
      </c>
      <c r="B32" s="66">
        <f t="shared" si="17"/>
        <v>46104</v>
      </c>
      <c r="C32" s="79">
        <f t="shared" si="7"/>
        <v>1</v>
      </c>
      <c r="D32" s="79">
        <f t="shared" si="8"/>
        <v>1</v>
      </c>
      <c r="E32" s="79">
        <f t="shared" si="9"/>
        <v>1</v>
      </c>
      <c r="F32" s="80">
        <f t="shared" si="12"/>
        <v>0</v>
      </c>
      <c r="G32" s="81"/>
      <c r="H32" s="81"/>
      <c r="I32" s="82"/>
      <c r="J32" s="83"/>
      <c r="K32" s="84"/>
      <c r="L32" s="86"/>
    </row>
    <row r="33" spans="1:12" ht="15.75" customHeight="1" x14ac:dyDescent="0.25">
      <c r="A33" s="73" t="s">
        <v>2563</v>
      </c>
      <c r="B33" s="66">
        <f t="shared" si="17"/>
        <v>46111</v>
      </c>
      <c r="C33" s="79">
        <f t="shared" si="7"/>
        <v>0</v>
      </c>
      <c r="D33" s="79">
        <f t="shared" si="8"/>
        <v>0</v>
      </c>
      <c r="E33" s="79">
        <f t="shared" si="9"/>
        <v>0</v>
      </c>
      <c r="F33" s="80" t="str">
        <f t="shared" si="12"/>
        <v/>
      </c>
      <c r="G33" s="81"/>
      <c r="H33" s="81"/>
      <c r="I33" s="82"/>
      <c r="J33" s="83"/>
      <c r="K33" s="84"/>
      <c r="L33" s="86"/>
    </row>
    <row r="34" spans="1:12" ht="15.75" customHeight="1" x14ac:dyDescent="0.25">
      <c r="A34" s="73" t="s">
        <v>2564</v>
      </c>
      <c r="B34" s="66">
        <f t="shared" si="17"/>
        <v>46118</v>
      </c>
      <c r="C34" s="79" t="str">
        <f t="shared" si="7"/>
        <v/>
      </c>
      <c r="D34" s="79" t="str">
        <f t="shared" si="8"/>
        <v/>
      </c>
      <c r="E34" s="79" t="str">
        <f t="shared" si="9"/>
        <v/>
      </c>
      <c r="F34" s="80" t="str">
        <f t="shared" ref="F34:F55" si="18">IF(J33="","",IF(G33+F33+H33+I33-J33&lt;0,0,G33+F33+H33+I33-J33))</f>
        <v/>
      </c>
      <c r="G34" s="81"/>
      <c r="H34" s="81"/>
      <c r="I34" s="82"/>
      <c r="J34" s="83"/>
      <c r="K34" s="84"/>
      <c r="L34" s="86"/>
    </row>
    <row r="35" spans="1:12" ht="15.75" customHeight="1" x14ac:dyDescent="0.25">
      <c r="A35" s="73" t="s">
        <v>2565</v>
      </c>
      <c r="B35" s="66">
        <f t="shared" si="17"/>
        <v>46125</v>
      </c>
      <c r="C35" s="79" t="str">
        <f t="shared" si="7"/>
        <v/>
      </c>
      <c r="D35" s="79" t="str">
        <f t="shared" si="8"/>
        <v/>
      </c>
      <c r="E35" s="79" t="str">
        <f t="shared" si="9"/>
        <v/>
      </c>
      <c r="F35" s="80" t="str">
        <f t="shared" si="18"/>
        <v/>
      </c>
      <c r="G35" s="81"/>
      <c r="H35" s="81"/>
      <c r="I35" s="82"/>
      <c r="J35" s="83"/>
      <c r="K35" s="84"/>
      <c r="L35" s="86"/>
    </row>
    <row r="36" spans="1:12" ht="15.75" customHeight="1" x14ac:dyDescent="0.25">
      <c r="A36" s="73" t="s">
        <v>2566</v>
      </c>
      <c r="B36" s="66">
        <f t="shared" si="17"/>
        <v>46132</v>
      </c>
      <c r="C36" s="79" t="str">
        <f t="shared" si="7"/>
        <v/>
      </c>
      <c r="D36" s="79" t="str">
        <f t="shared" si="8"/>
        <v/>
      </c>
      <c r="E36" s="79" t="str">
        <f t="shared" si="9"/>
        <v/>
      </c>
      <c r="F36" s="80" t="str">
        <f t="shared" si="18"/>
        <v/>
      </c>
      <c r="G36" s="81"/>
      <c r="H36" s="81"/>
      <c r="I36" s="82"/>
      <c r="J36" s="83"/>
      <c r="K36" s="84"/>
      <c r="L36" s="86"/>
    </row>
    <row r="37" spans="1:12" ht="15.75" customHeight="1" x14ac:dyDescent="0.25">
      <c r="A37" s="73" t="s">
        <v>2567</v>
      </c>
      <c r="B37" s="66">
        <f t="shared" si="17"/>
        <v>46139</v>
      </c>
      <c r="C37" s="79" t="str">
        <f t="shared" si="7"/>
        <v/>
      </c>
      <c r="D37" s="79" t="str">
        <f t="shared" si="8"/>
        <v/>
      </c>
      <c r="E37" s="79" t="str">
        <f t="shared" si="9"/>
        <v/>
      </c>
      <c r="F37" s="80" t="str">
        <f t="shared" si="18"/>
        <v/>
      </c>
      <c r="G37" s="81"/>
      <c r="H37" s="81"/>
      <c r="I37" s="82"/>
      <c r="J37" s="83"/>
      <c r="K37" s="84"/>
      <c r="L37" s="86"/>
    </row>
    <row r="38" spans="1:12" ht="15.75" customHeight="1" x14ac:dyDescent="0.25">
      <c r="A38" s="73" t="s">
        <v>2568</v>
      </c>
      <c r="B38" s="66">
        <f t="shared" si="17"/>
        <v>46146</v>
      </c>
      <c r="C38" s="79" t="str">
        <f t="shared" si="7"/>
        <v/>
      </c>
      <c r="D38" s="79" t="str">
        <f t="shared" si="8"/>
        <v/>
      </c>
      <c r="E38" s="79" t="str">
        <f t="shared" si="9"/>
        <v/>
      </c>
      <c r="F38" s="80" t="str">
        <f t="shared" si="18"/>
        <v/>
      </c>
      <c r="G38" s="81"/>
      <c r="H38" s="81"/>
      <c r="I38" s="82"/>
      <c r="J38" s="83"/>
      <c r="K38" s="84"/>
      <c r="L38" s="86"/>
    </row>
    <row r="39" spans="1:12" ht="15.75" customHeight="1" x14ac:dyDescent="0.25">
      <c r="A39" s="73" t="s">
        <v>2569</v>
      </c>
      <c r="B39" s="66">
        <f t="shared" si="17"/>
        <v>46153</v>
      </c>
      <c r="C39" s="79" t="str">
        <f t="shared" si="7"/>
        <v/>
      </c>
      <c r="D39" s="79" t="str">
        <f t="shared" si="8"/>
        <v/>
      </c>
      <c r="E39" s="79" t="str">
        <f t="shared" si="9"/>
        <v/>
      </c>
      <c r="F39" s="80" t="str">
        <f t="shared" si="18"/>
        <v/>
      </c>
      <c r="G39" s="81"/>
      <c r="H39" s="81"/>
      <c r="I39" s="82"/>
      <c r="J39" s="83"/>
      <c r="K39" s="84"/>
      <c r="L39" s="86"/>
    </row>
    <row r="40" spans="1:12" ht="15.75" customHeight="1" x14ac:dyDescent="0.25">
      <c r="A40" s="73" t="s">
        <v>2570</v>
      </c>
      <c r="B40" s="66">
        <f t="shared" si="17"/>
        <v>46160</v>
      </c>
      <c r="C40" s="79" t="str">
        <f t="shared" si="7"/>
        <v/>
      </c>
      <c r="D40" s="79" t="str">
        <f t="shared" si="8"/>
        <v/>
      </c>
      <c r="E40" s="79" t="str">
        <f t="shared" si="9"/>
        <v/>
      </c>
      <c r="F40" s="80" t="str">
        <f t="shared" si="18"/>
        <v/>
      </c>
      <c r="G40" s="81"/>
      <c r="H40" s="81"/>
      <c r="I40" s="82"/>
      <c r="J40" s="83"/>
      <c r="K40" s="84"/>
      <c r="L40" s="86"/>
    </row>
    <row r="41" spans="1:12" ht="15.75" customHeight="1" x14ac:dyDescent="0.25">
      <c r="A41" s="73" t="s">
        <v>2571</v>
      </c>
      <c r="B41" s="66">
        <f t="shared" si="17"/>
        <v>46167</v>
      </c>
      <c r="C41" s="79" t="str">
        <f t="shared" si="7"/>
        <v/>
      </c>
      <c r="D41" s="79" t="str">
        <f t="shared" si="8"/>
        <v/>
      </c>
      <c r="E41" s="79" t="str">
        <f t="shared" si="9"/>
        <v/>
      </c>
      <c r="F41" s="80" t="str">
        <f t="shared" si="18"/>
        <v/>
      </c>
      <c r="G41" s="81"/>
      <c r="H41" s="81"/>
      <c r="I41" s="82"/>
      <c r="J41" s="83"/>
      <c r="K41" s="84"/>
      <c r="L41" s="86"/>
    </row>
    <row r="42" spans="1:12" ht="15.75" customHeight="1" x14ac:dyDescent="0.25">
      <c r="A42" s="73" t="s">
        <v>2572</v>
      </c>
      <c r="B42" s="66">
        <f t="shared" si="17"/>
        <v>46174</v>
      </c>
      <c r="C42" s="79" t="str">
        <f t="shared" si="7"/>
        <v/>
      </c>
      <c r="D42" s="79" t="str">
        <f t="shared" si="8"/>
        <v/>
      </c>
      <c r="E42" s="79" t="str">
        <f t="shared" si="9"/>
        <v/>
      </c>
      <c r="F42" s="80" t="str">
        <f t="shared" si="18"/>
        <v/>
      </c>
      <c r="G42" s="81"/>
      <c r="H42" s="81"/>
      <c r="I42" s="82"/>
      <c r="J42" s="83"/>
      <c r="K42" s="84"/>
      <c r="L42" s="86"/>
    </row>
    <row r="43" spans="1:12" ht="15.75" customHeight="1" x14ac:dyDescent="0.25">
      <c r="A43" s="73" t="s">
        <v>2573</v>
      </c>
      <c r="B43" s="66">
        <f t="shared" si="17"/>
        <v>46181</v>
      </c>
      <c r="C43" s="79" t="str">
        <f t="shared" si="7"/>
        <v/>
      </c>
      <c r="D43" s="79" t="str">
        <f t="shared" si="8"/>
        <v/>
      </c>
      <c r="E43" s="79" t="str">
        <f t="shared" si="9"/>
        <v/>
      </c>
      <c r="F43" s="80" t="str">
        <f t="shared" si="18"/>
        <v/>
      </c>
      <c r="G43" s="81"/>
      <c r="H43" s="81"/>
      <c r="I43" s="82"/>
      <c r="J43" s="83"/>
      <c r="K43" s="84"/>
      <c r="L43" s="86"/>
    </row>
    <row r="44" spans="1:12" ht="15.75" customHeight="1" x14ac:dyDescent="0.25">
      <c r="A44" s="73" t="s">
        <v>2574</v>
      </c>
      <c r="B44" s="66">
        <f t="shared" si="17"/>
        <v>46188</v>
      </c>
      <c r="C44" s="79" t="str">
        <f t="shared" si="7"/>
        <v/>
      </c>
      <c r="D44" s="79" t="str">
        <f t="shared" si="8"/>
        <v/>
      </c>
      <c r="E44" s="79" t="str">
        <f t="shared" si="9"/>
        <v/>
      </c>
      <c r="F44" s="80" t="str">
        <f t="shared" si="18"/>
        <v/>
      </c>
      <c r="G44" s="81"/>
      <c r="H44" s="81"/>
      <c r="I44" s="82"/>
      <c r="J44" s="83"/>
      <c r="K44" s="84"/>
      <c r="L44" s="86"/>
    </row>
    <row r="45" spans="1:12" ht="15.75" customHeight="1" x14ac:dyDescent="0.25">
      <c r="A45" s="73" t="s">
        <v>2575</v>
      </c>
      <c r="B45" s="66">
        <f t="shared" si="17"/>
        <v>46195</v>
      </c>
      <c r="C45" s="79" t="str">
        <f t="shared" si="7"/>
        <v/>
      </c>
      <c r="D45" s="79" t="str">
        <f t="shared" si="8"/>
        <v/>
      </c>
      <c r="E45" s="79" t="str">
        <f t="shared" si="9"/>
        <v/>
      </c>
      <c r="F45" s="80" t="str">
        <f t="shared" si="18"/>
        <v/>
      </c>
      <c r="G45" s="81"/>
      <c r="H45" s="81"/>
      <c r="I45" s="82"/>
      <c r="J45" s="83"/>
      <c r="K45" s="84"/>
      <c r="L45" s="86"/>
    </row>
    <row r="46" spans="1:12" ht="15.75" customHeight="1" x14ac:dyDescent="0.25">
      <c r="A46" s="73" t="s">
        <v>2576</v>
      </c>
      <c r="B46" s="66">
        <f t="shared" si="17"/>
        <v>46202</v>
      </c>
      <c r="C46" s="79" t="str">
        <f t="shared" si="7"/>
        <v/>
      </c>
      <c r="D46" s="79" t="str">
        <f t="shared" si="8"/>
        <v/>
      </c>
      <c r="E46" s="79" t="str">
        <f t="shared" si="9"/>
        <v/>
      </c>
      <c r="F46" s="80" t="str">
        <f t="shared" si="18"/>
        <v/>
      </c>
      <c r="G46" s="81"/>
      <c r="H46" s="81"/>
      <c r="I46" s="82"/>
      <c r="J46" s="83"/>
      <c r="K46" s="84"/>
      <c r="L46" s="86"/>
    </row>
    <row r="47" spans="1:12" ht="15.75" customHeight="1" x14ac:dyDescent="0.25">
      <c r="A47" s="73" t="s">
        <v>2577</v>
      </c>
      <c r="B47" s="66">
        <f t="shared" si="17"/>
        <v>46209</v>
      </c>
      <c r="C47" s="79" t="str">
        <f t="shared" si="7"/>
        <v/>
      </c>
      <c r="D47" s="79" t="str">
        <f t="shared" si="8"/>
        <v/>
      </c>
      <c r="E47" s="79" t="str">
        <f t="shared" si="9"/>
        <v/>
      </c>
      <c r="F47" s="80" t="str">
        <f t="shared" si="18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 t="s">
        <v>2578</v>
      </c>
      <c r="B48" s="66">
        <f t="shared" si="17"/>
        <v>46216</v>
      </c>
      <c r="C48" s="79" t="str">
        <f t="shared" si="7"/>
        <v/>
      </c>
      <c r="D48" s="79" t="str">
        <f t="shared" si="8"/>
        <v/>
      </c>
      <c r="E48" s="79" t="str">
        <f t="shared" si="9"/>
        <v/>
      </c>
      <c r="F48" s="80" t="str">
        <f t="shared" si="18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17"/>
        <v>46223</v>
      </c>
      <c r="C49" s="79" t="str">
        <f t="shared" si="7"/>
        <v/>
      </c>
      <c r="D49" s="79" t="str">
        <f t="shared" si="8"/>
        <v/>
      </c>
      <c r="E49" s="79" t="str">
        <f t="shared" si="9"/>
        <v/>
      </c>
      <c r="F49" s="80" t="str">
        <f t="shared" si="18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17"/>
        <v>46230</v>
      </c>
      <c r="C50" s="79" t="str">
        <f t="shared" si="7"/>
        <v/>
      </c>
      <c r="D50" s="79" t="str">
        <f t="shared" si="8"/>
        <v/>
      </c>
      <c r="E50" s="79" t="str">
        <f t="shared" si="9"/>
        <v/>
      </c>
      <c r="F50" s="80" t="str">
        <f t="shared" si="18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17"/>
        <v>46237</v>
      </c>
      <c r="C51" s="79" t="str">
        <f t="shared" si="7"/>
        <v/>
      </c>
      <c r="D51" s="79" t="str">
        <f t="shared" si="8"/>
        <v/>
      </c>
      <c r="E51" s="79" t="str">
        <f t="shared" si="9"/>
        <v/>
      </c>
      <c r="F51" s="80" t="str">
        <f t="shared" si="18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17"/>
        <v>46244</v>
      </c>
      <c r="C52" s="79" t="str">
        <f t="shared" si="7"/>
        <v/>
      </c>
      <c r="D52" s="79" t="str">
        <f t="shared" si="8"/>
        <v/>
      </c>
      <c r="E52" s="79" t="str">
        <f t="shared" si="9"/>
        <v/>
      </c>
      <c r="F52" s="80" t="str">
        <f t="shared" si="18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17"/>
        <v>46251</v>
      </c>
      <c r="C53" s="79" t="str">
        <f t="shared" si="7"/>
        <v/>
      </c>
      <c r="D53" s="79" t="str">
        <f t="shared" si="8"/>
        <v/>
      </c>
      <c r="E53" s="79" t="str">
        <f t="shared" si="9"/>
        <v/>
      </c>
      <c r="F53" s="80" t="str">
        <f t="shared" si="18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17"/>
        <v>46258</v>
      </c>
      <c r="C54" s="79" t="str">
        <f t="shared" si="7"/>
        <v/>
      </c>
      <c r="D54" s="79" t="str">
        <f t="shared" si="8"/>
        <v/>
      </c>
      <c r="E54" s="79" t="str">
        <f t="shared" si="9"/>
        <v/>
      </c>
      <c r="F54" s="80" t="str">
        <f t="shared" si="18"/>
        <v/>
      </c>
      <c r="G54" s="81"/>
      <c r="H54" s="81"/>
      <c r="I54" s="82"/>
      <c r="J54" s="83"/>
      <c r="K54" s="84"/>
      <c r="L54" s="86"/>
    </row>
    <row r="55" spans="1:12" ht="15.75" customHeight="1" x14ac:dyDescent="0.25">
      <c r="A55" s="73"/>
      <c r="B55" s="66">
        <f t="shared" si="17"/>
        <v>46265</v>
      </c>
      <c r="C55" s="79" t="str">
        <f t="shared" si="7"/>
        <v/>
      </c>
      <c r="D55" s="79" t="str">
        <f t="shared" si="8"/>
        <v/>
      </c>
      <c r="E55" s="79" t="str">
        <f t="shared" si="9"/>
        <v/>
      </c>
      <c r="F55" s="80" t="str">
        <f t="shared" si="18"/>
        <v/>
      </c>
      <c r="G55" s="81"/>
      <c r="H55" s="81"/>
      <c r="I55" s="82"/>
      <c r="J55" s="83"/>
      <c r="K55" s="84"/>
      <c r="L55" s="86"/>
    </row>
    <row r="93" spans="2:3" ht="15.75" customHeight="1" x14ac:dyDescent="0.25">
      <c r="B93" s="67" t="e">
        <f>IF(#REF!="","",IF(#REF!+$C$10&lt;=$C$6,#REF!+$C$10,""))</f>
        <v>#REF!</v>
      </c>
      <c r="C93" s="76" t="e">
        <f>IF(B93&lt;&gt;"",#REF!-$C$2/COUNT($B$18:$B$511),"")</f>
        <v>#REF!</v>
      </c>
    </row>
    <row r="94" spans="2:3" ht="15.75" customHeight="1" x14ac:dyDescent="0.25">
      <c r="B94" s="67" t="e">
        <f t="shared" ref="B94:B157" si="19">IF(B93="","",IF(B93+$C$10&lt;=$C$6,B93+$C$10,""))</f>
        <v>#REF!</v>
      </c>
      <c r="C94" s="76" t="e">
        <f t="shared" ref="C94:C157" si="20">IF(B94&lt;&gt;"",C93-$C$2/COUNT($B$18:$B$511),"")</f>
        <v>#REF!</v>
      </c>
    </row>
    <row r="95" spans="2:3" ht="15.75" customHeight="1" x14ac:dyDescent="0.25">
      <c r="B95" s="67" t="e">
        <f t="shared" si="19"/>
        <v>#REF!</v>
      </c>
      <c r="C95" s="76" t="e">
        <f t="shared" si="20"/>
        <v>#REF!</v>
      </c>
    </row>
    <row r="96" spans="2:3" ht="15.75" customHeight="1" x14ac:dyDescent="0.25">
      <c r="B96" s="67" t="e">
        <f t="shared" si="19"/>
        <v>#REF!</v>
      </c>
      <c r="C96" s="76" t="e">
        <f t="shared" si="20"/>
        <v>#REF!</v>
      </c>
    </row>
    <row r="97" spans="2:3" ht="15.75" customHeight="1" x14ac:dyDescent="0.25">
      <c r="B97" s="67" t="e">
        <f t="shared" si="19"/>
        <v>#REF!</v>
      </c>
      <c r="C97" s="76" t="e">
        <f t="shared" si="20"/>
        <v>#REF!</v>
      </c>
    </row>
    <row r="98" spans="2:3" ht="15.75" customHeight="1" x14ac:dyDescent="0.25">
      <c r="B98" s="67" t="e">
        <f t="shared" si="19"/>
        <v>#REF!</v>
      </c>
      <c r="C98" s="76" t="e">
        <f t="shared" si="20"/>
        <v>#REF!</v>
      </c>
    </row>
    <row r="99" spans="2:3" ht="15.75" customHeight="1" x14ac:dyDescent="0.25">
      <c r="B99" s="67" t="e">
        <f t="shared" si="19"/>
        <v>#REF!</v>
      </c>
      <c r="C99" s="76" t="e">
        <f t="shared" si="20"/>
        <v>#REF!</v>
      </c>
    </row>
    <row r="100" spans="2:3" ht="15.75" customHeight="1" x14ac:dyDescent="0.25">
      <c r="B100" s="67" t="e">
        <f t="shared" si="19"/>
        <v>#REF!</v>
      </c>
      <c r="C100" s="76" t="e">
        <f t="shared" si="20"/>
        <v>#REF!</v>
      </c>
    </row>
    <row r="101" spans="2:3" ht="15.75" customHeight="1" x14ac:dyDescent="0.25">
      <c r="B101" s="67" t="e">
        <f t="shared" si="19"/>
        <v>#REF!</v>
      </c>
      <c r="C101" s="76" t="e">
        <f t="shared" si="20"/>
        <v>#REF!</v>
      </c>
    </row>
    <row r="102" spans="2:3" ht="15.75" customHeight="1" x14ac:dyDescent="0.25">
      <c r="B102" s="67" t="e">
        <f t="shared" si="19"/>
        <v>#REF!</v>
      </c>
      <c r="C102" s="76" t="e">
        <f t="shared" si="20"/>
        <v>#REF!</v>
      </c>
    </row>
    <row r="103" spans="2:3" ht="15.75" customHeight="1" x14ac:dyDescent="0.25">
      <c r="B103" s="67" t="e">
        <f t="shared" si="19"/>
        <v>#REF!</v>
      </c>
      <c r="C103" s="76" t="e">
        <f t="shared" si="20"/>
        <v>#REF!</v>
      </c>
    </row>
    <row r="104" spans="2:3" ht="15.75" customHeight="1" x14ac:dyDescent="0.25">
      <c r="B104" s="67" t="e">
        <f t="shared" si="19"/>
        <v>#REF!</v>
      </c>
      <c r="C104" s="76" t="e">
        <f t="shared" si="20"/>
        <v>#REF!</v>
      </c>
    </row>
    <row r="105" spans="2:3" ht="15.75" customHeight="1" x14ac:dyDescent="0.25">
      <c r="B105" s="67" t="e">
        <f t="shared" si="19"/>
        <v>#REF!</v>
      </c>
      <c r="C105" s="76" t="e">
        <f t="shared" si="20"/>
        <v>#REF!</v>
      </c>
    </row>
    <row r="106" spans="2:3" ht="15.75" customHeight="1" x14ac:dyDescent="0.25">
      <c r="B106" s="67" t="e">
        <f t="shared" si="19"/>
        <v>#REF!</v>
      </c>
      <c r="C106" s="76" t="e">
        <f t="shared" si="20"/>
        <v>#REF!</v>
      </c>
    </row>
    <row r="107" spans="2:3" ht="15.75" customHeight="1" x14ac:dyDescent="0.25">
      <c r="B107" s="67" t="e">
        <f t="shared" si="19"/>
        <v>#REF!</v>
      </c>
      <c r="C107" s="76" t="e">
        <f t="shared" si="20"/>
        <v>#REF!</v>
      </c>
    </row>
    <row r="108" spans="2:3" ht="15.75" customHeight="1" x14ac:dyDescent="0.25">
      <c r="B108" s="67" t="e">
        <f t="shared" si="19"/>
        <v>#REF!</v>
      </c>
      <c r="C108" s="76" t="e">
        <f t="shared" si="20"/>
        <v>#REF!</v>
      </c>
    </row>
    <row r="109" spans="2:3" ht="15.75" customHeight="1" x14ac:dyDescent="0.25">
      <c r="B109" s="67" t="e">
        <f t="shared" si="19"/>
        <v>#REF!</v>
      </c>
      <c r="C109" s="76" t="e">
        <f t="shared" si="20"/>
        <v>#REF!</v>
      </c>
    </row>
    <row r="110" spans="2:3" ht="15.75" customHeight="1" x14ac:dyDescent="0.25">
      <c r="B110" s="67" t="e">
        <f t="shared" si="19"/>
        <v>#REF!</v>
      </c>
      <c r="C110" s="76" t="e">
        <f t="shared" si="20"/>
        <v>#REF!</v>
      </c>
    </row>
    <row r="111" spans="2:3" ht="15.75" customHeight="1" x14ac:dyDescent="0.25">
      <c r="B111" s="67" t="e">
        <f t="shared" si="19"/>
        <v>#REF!</v>
      </c>
      <c r="C111" s="76" t="e">
        <f t="shared" si="20"/>
        <v>#REF!</v>
      </c>
    </row>
    <row r="112" spans="2:3" ht="15.75" customHeight="1" x14ac:dyDescent="0.25">
      <c r="B112" s="67" t="e">
        <f t="shared" si="19"/>
        <v>#REF!</v>
      </c>
      <c r="C112" s="76" t="e">
        <f t="shared" si="20"/>
        <v>#REF!</v>
      </c>
    </row>
    <row r="113" spans="2:3" ht="15.75" customHeight="1" x14ac:dyDescent="0.25">
      <c r="B113" s="67" t="e">
        <f t="shared" si="19"/>
        <v>#REF!</v>
      </c>
      <c r="C113" s="76" t="e">
        <f t="shared" si="20"/>
        <v>#REF!</v>
      </c>
    </row>
    <row r="114" spans="2:3" ht="15.75" customHeight="1" x14ac:dyDescent="0.25">
      <c r="B114" s="67" t="e">
        <f t="shared" si="19"/>
        <v>#REF!</v>
      </c>
      <c r="C114" s="76" t="e">
        <f t="shared" si="20"/>
        <v>#REF!</v>
      </c>
    </row>
    <row r="115" spans="2:3" ht="15.75" customHeight="1" x14ac:dyDescent="0.25">
      <c r="B115" s="67" t="e">
        <f t="shared" si="19"/>
        <v>#REF!</v>
      </c>
      <c r="C115" s="76" t="e">
        <f t="shared" si="20"/>
        <v>#REF!</v>
      </c>
    </row>
    <row r="116" spans="2:3" ht="15.75" customHeight="1" x14ac:dyDescent="0.25">
      <c r="B116" s="67" t="e">
        <f t="shared" si="19"/>
        <v>#REF!</v>
      </c>
      <c r="C116" s="76" t="e">
        <f t="shared" si="20"/>
        <v>#REF!</v>
      </c>
    </row>
    <row r="117" spans="2:3" ht="15.75" customHeight="1" x14ac:dyDescent="0.25">
      <c r="B117" s="67" t="e">
        <f t="shared" si="19"/>
        <v>#REF!</v>
      </c>
      <c r="C117" s="76" t="e">
        <f t="shared" si="20"/>
        <v>#REF!</v>
      </c>
    </row>
    <row r="118" spans="2:3" ht="15.75" customHeight="1" x14ac:dyDescent="0.25">
      <c r="B118" s="67" t="e">
        <f t="shared" si="19"/>
        <v>#REF!</v>
      </c>
      <c r="C118" s="76" t="e">
        <f t="shared" si="20"/>
        <v>#REF!</v>
      </c>
    </row>
    <row r="119" spans="2:3" ht="15.75" customHeight="1" x14ac:dyDescent="0.25">
      <c r="B119" s="67" t="e">
        <f t="shared" si="19"/>
        <v>#REF!</v>
      </c>
      <c r="C119" s="76" t="e">
        <f t="shared" si="20"/>
        <v>#REF!</v>
      </c>
    </row>
    <row r="120" spans="2:3" ht="15.75" customHeight="1" x14ac:dyDescent="0.25">
      <c r="B120" s="67" t="e">
        <f t="shared" si="19"/>
        <v>#REF!</v>
      </c>
      <c r="C120" s="76" t="e">
        <f t="shared" si="20"/>
        <v>#REF!</v>
      </c>
    </row>
    <row r="121" spans="2:3" ht="15.75" customHeight="1" x14ac:dyDescent="0.25">
      <c r="B121" s="67" t="e">
        <f t="shared" si="19"/>
        <v>#REF!</v>
      </c>
      <c r="C121" s="76" t="e">
        <f t="shared" si="20"/>
        <v>#REF!</v>
      </c>
    </row>
    <row r="122" spans="2:3" ht="15.75" customHeight="1" x14ac:dyDescent="0.25">
      <c r="B122" s="67" t="e">
        <f t="shared" si="19"/>
        <v>#REF!</v>
      </c>
      <c r="C122" s="76" t="e">
        <f t="shared" si="20"/>
        <v>#REF!</v>
      </c>
    </row>
    <row r="123" spans="2:3" ht="15.75" customHeight="1" x14ac:dyDescent="0.25">
      <c r="B123" s="67" t="e">
        <f t="shared" si="19"/>
        <v>#REF!</v>
      </c>
      <c r="C123" s="76" t="e">
        <f t="shared" si="20"/>
        <v>#REF!</v>
      </c>
    </row>
    <row r="124" spans="2:3" ht="15.75" customHeight="1" x14ac:dyDescent="0.25">
      <c r="B124" s="67" t="e">
        <f t="shared" si="19"/>
        <v>#REF!</v>
      </c>
      <c r="C124" s="76" t="e">
        <f t="shared" si="20"/>
        <v>#REF!</v>
      </c>
    </row>
    <row r="125" spans="2:3" ht="15.75" customHeight="1" x14ac:dyDescent="0.25">
      <c r="B125" s="67" t="e">
        <f t="shared" si="19"/>
        <v>#REF!</v>
      </c>
      <c r="C125" s="76" t="e">
        <f t="shared" si="20"/>
        <v>#REF!</v>
      </c>
    </row>
    <row r="126" spans="2:3" ht="15.75" customHeight="1" x14ac:dyDescent="0.25">
      <c r="B126" s="67" t="e">
        <f t="shared" si="19"/>
        <v>#REF!</v>
      </c>
      <c r="C126" s="76" t="e">
        <f t="shared" si="20"/>
        <v>#REF!</v>
      </c>
    </row>
    <row r="127" spans="2:3" ht="15.75" customHeight="1" x14ac:dyDescent="0.25">
      <c r="B127" s="67" t="e">
        <f t="shared" si="19"/>
        <v>#REF!</v>
      </c>
      <c r="C127" s="76" t="e">
        <f t="shared" si="20"/>
        <v>#REF!</v>
      </c>
    </row>
    <row r="128" spans="2:3" ht="15.75" customHeight="1" x14ac:dyDescent="0.25">
      <c r="B128" s="67" t="e">
        <f t="shared" si="19"/>
        <v>#REF!</v>
      </c>
      <c r="C128" s="76" t="e">
        <f t="shared" si="20"/>
        <v>#REF!</v>
      </c>
    </row>
    <row r="129" spans="2:3" ht="15.75" customHeight="1" x14ac:dyDescent="0.25">
      <c r="B129" s="67" t="e">
        <f t="shared" si="19"/>
        <v>#REF!</v>
      </c>
      <c r="C129" s="76" t="e">
        <f t="shared" si="20"/>
        <v>#REF!</v>
      </c>
    </row>
    <row r="130" spans="2:3" ht="15.75" customHeight="1" x14ac:dyDescent="0.25">
      <c r="B130" s="67" t="e">
        <f t="shared" si="19"/>
        <v>#REF!</v>
      </c>
      <c r="C130" s="76" t="e">
        <f t="shared" si="20"/>
        <v>#REF!</v>
      </c>
    </row>
    <row r="131" spans="2:3" ht="15.75" customHeight="1" x14ac:dyDescent="0.25">
      <c r="B131" s="67" t="e">
        <f t="shared" si="19"/>
        <v>#REF!</v>
      </c>
      <c r="C131" s="76" t="e">
        <f t="shared" si="20"/>
        <v>#REF!</v>
      </c>
    </row>
    <row r="132" spans="2:3" ht="15.75" customHeight="1" x14ac:dyDescent="0.25">
      <c r="B132" s="67" t="e">
        <f t="shared" si="19"/>
        <v>#REF!</v>
      </c>
      <c r="C132" s="76" t="e">
        <f t="shared" si="20"/>
        <v>#REF!</v>
      </c>
    </row>
    <row r="133" spans="2:3" ht="15.75" customHeight="1" x14ac:dyDescent="0.25">
      <c r="B133" s="67" t="e">
        <f t="shared" si="19"/>
        <v>#REF!</v>
      </c>
      <c r="C133" s="76" t="e">
        <f t="shared" si="20"/>
        <v>#REF!</v>
      </c>
    </row>
    <row r="134" spans="2:3" ht="15.75" customHeight="1" x14ac:dyDescent="0.25">
      <c r="B134" s="67" t="e">
        <f t="shared" si="19"/>
        <v>#REF!</v>
      </c>
      <c r="C134" s="76" t="e">
        <f t="shared" si="20"/>
        <v>#REF!</v>
      </c>
    </row>
    <row r="135" spans="2:3" ht="15.75" customHeight="1" x14ac:dyDescent="0.25">
      <c r="B135" s="67" t="e">
        <f t="shared" si="19"/>
        <v>#REF!</v>
      </c>
      <c r="C135" s="76" t="e">
        <f t="shared" si="20"/>
        <v>#REF!</v>
      </c>
    </row>
    <row r="136" spans="2:3" ht="15.75" customHeight="1" x14ac:dyDescent="0.25">
      <c r="B136" s="67" t="e">
        <f t="shared" si="19"/>
        <v>#REF!</v>
      </c>
      <c r="C136" s="76" t="e">
        <f t="shared" si="20"/>
        <v>#REF!</v>
      </c>
    </row>
    <row r="137" spans="2:3" ht="15.75" customHeight="1" x14ac:dyDescent="0.25">
      <c r="B137" s="67" t="e">
        <f t="shared" si="19"/>
        <v>#REF!</v>
      </c>
      <c r="C137" s="76" t="e">
        <f t="shared" si="20"/>
        <v>#REF!</v>
      </c>
    </row>
    <row r="138" spans="2:3" ht="15.75" customHeight="1" x14ac:dyDescent="0.25">
      <c r="B138" s="67" t="e">
        <f t="shared" si="19"/>
        <v>#REF!</v>
      </c>
      <c r="C138" s="76" t="e">
        <f t="shared" si="20"/>
        <v>#REF!</v>
      </c>
    </row>
    <row r="139" spans="2:3" ht="15.75" customHeight="1" x14ac:dyDescent="0.25">
      <c r="B139" s="67" t="e">
        <f t="shared" si="19"/>
        <v>#REF!</v>
      </c>
      <c r="C139" s="76" t="e">
        <f t="shared" si="20"/>
        <v>#REF!</v>
      </c>
    </row>
    <row r="140" spans="2:3" ht="15.75" customHeight="1" x14ac:dyDescent="0.25">
      <c r="B140" s="67" t="e">
        <f t="shared" si="19"/>
        <v>#REF!</v>
      </c>
      <c r="C140" s="76" t="e">
        <f t="shared" si="20"/>
        <v>#REF!</v>
      </c>
    </row>
    <row r="141" spans="2:3" ht="15.75" customHeight="1" x14ac:dyDescent="0.25">
      <c r="B141" s="67" t="e">
        <f t="shared" si="19"/>
        <v>#REF!</v>
      </c>
      <c r="C141" s="76" t="e">
        <f t="shared" si="20"/>
        <v>#REF!</v>
      </c>
    </row>
    <row r="142" spans="2:3" ht="15.75" customHeight="1" x14ac:dyDescent="0.25">
      <c r="B142" s="67" t="e">
        <f t="shared" si="19"/>
        <v>#REF!</v>
      </c>
      <c r="C142" s="76" t="e">
        <f t="shared" si="20"/>
        <v>#REF!</v>
      </c>
    </row>
    <row r="143" spans="2:3" ht="15.75" customHeight="1" x14ac:dyDescent="0.25">
      <c r="B143" s="67" t="e">
        <f t="shared" si="19"/>
        <v>#REF!</v>
      </c>
      <c r="C143" s="76" t="e">
        <f t="shared" si="20"/>
        <v>#REF!</v>
      </c>
    </row>
    <row r="144" spans="2:3" ht="15.75" customHeight="1" x14ac:dyDescent="0.25">
      <c r="B144" s="67" t="e">
        <f t="shared" si="19"/>
        <v>#REF!</v>
      </c>
      <c r="C144" s="76" t="e">
        <f t="shared" si="20"/>
        <v>#REF!</v>
      </c>
    </row>
    <row r="145" spans="2:3" ht="15.75" customHeight="1" x14ac:dyDescent="0.25">
      <c r="B145" s="67" t="e">
        <f t="shared" si="19"/>
        <v>#REF!</v>
      </c>
      <c r="C145" s="76" t="e">
        <f t="shared" si="20"/>
        <v>#REF!</v>
      </c>
    </row>
    <row r="146" spans="2:3" ht="15.75" customHeight="1" x14ac:dyDescent="0.25">
      <c r="B146" s="67" t="e">
        <f t="shared" si="19"/>
        <v>#REF!</v>
      </c>
      <c r="C146" s="76" t="e">
        <f t="shared" si="20"/>
        <v>#REF!</v>
      </c>
    </row>
    <row r="147" spans="2:3" ht="15.75" customHeight="1" x14ac:dyDescent="0.25">
      <c r="B147" s="67" t="e">
        <f t="shared" si="19"/>
        <v>#REF!</v>
      </c>
      <c r="C147" s="76" t="e">
        <f t="shared" si="20"/>
        <v>#REF!</v>
      </c>
    </row>
    <row r="148" spans="2:3" ht="15.75" customHeight="1" x14ac:dyDescent="0.25">
      <c r="B148" s="67" t="e">
        <f t="shared" si="19"/>
        <v>#REF!</v>
      </c>
      <c r="C148" s="76" t="e">
        <f t="shared" si="20"/>
        <v>#REF!</v>
      </c>
    </row>
    <row r="149" spans="2:3" ht="15.75" customHeight="1" x14ac:dyDescent="0.25">
      <c r="B149" s="67" t="e">
        <f t="shared" si="19"/>
        <v>#REF!</v>
      </c>
      <c r="C149" s="76" t="e">
        <f t="shared" si="20"/>
        <v>#REF!</v>
      </c>
    </row>
    <row r="150" spans="2:3" ht="15.75" customHeight="1" x14ac:dyDescent="0.25">
      <c r="B150" s="67" t="e">
        <f t="shared" si="19"/>
        <v>#REF!</v>
      </c>
      <c r="C150" s="76" t="e">
        <f t="shared" si="20"/>
        <v>#REF!</v>
      </c>
    </row>
    <row r="151" spans="2:3" ht="15.75" customHeight="1" x14ac:dyDescent="0.25">
      <c r="B151" s="67" t="e">
        <f t="shared" si="19"/>
        <v>#REF!</v>
      </c>
      <c r="C151" s="76" t="e">
        <f t="shared" si="20"/>
        <v>#REF!</v>
      </c>
    </row>
    <row r="152" spans="2:3" ht="15.75" customHeight="1" x14ac:dyDescent="0.25">
      <c r="B152" s="67" t="e">
        <f t="shared" si="19"/>
        <v>#REF!</v>
      </c>
      <c r="C152" s="76" t="e">
        <f t="shared" si="20"/>
        <v>#REF!</v>
      </c>
    </row>
    <row r="153" spans="2:3" ht="15.75" customHeight="1" x14ac:dyDescent="0.25">
      <c r="B153" s="67" t="e">
        <f t="shared" si="19"/>
        <v>#REF!</v>
      </c>
      <c r="C153" s="76" t="e">
        <f t="shared" si="20"/>
        <v>#REF!</v>
      </c>
    </row>
    <row r="154" spans="2:3" ht="15.75" customHeight="1" x14ac:dyDescent="0.25">
      <c r="B154" s="67" t="e">
        <f t="shared" si="19"/>
        <v>#REF!</v>
      </c>
      <c r="C154" s="76" t="e">
        <f t="shared" si="20"/>
        <v>#REF!</v>
      </c>
    </row>
    <row r="155" spans="2:3" ht="15.75" customHeight="1" x14ac:dyDescent="0.25">
      <c r="B155" s="67" t="e">
        <f t="shared" si="19"/>
        <v>#REF!</v>
      </c>
      <c r="C155" s="76" t="e">
        <f t="shared" si="20"/>
        <v>#REF!</v>
      </c>
    </row>
    <row r="156" spans="2:3" ht="15.75" customHeight="1" x14ac:dyDescent="0.25">
      <c r="B156" s="67" t="e">
        <f t="shared" si="19"/>
        <v>#REF!</v>
      </c>
      <c r="C156" s="76" t="e">
        <f t="shared" si="20"/>
        <v>#REF!</v>
      </c>
    </row>
    <row r="157" spans="2:3" ht="15.75" customHeight="1" x14ac:dyDescent="0.25">
      <c r="B157" s="67" t="e">
        <f t="shared" si="19"/>
        <v>#REF!</v>
      </c>
      <c r="C157" s="76" t="e">
        <f t="shared" si="20"/>
        <v>#REF!</v>
      </c>
    </row>
    <row r="158" spans="2:3" ht="15.75" customHeight="1" x14ac:dyDescent="0.25">
      <c r="B158" s="67" t="e">
        <f t="shared" ref="B158:B221" si="21">IF(B157="","",IF(B157+$C$10&lt;=$C$6,B157+$C$10,""))</f>
        <v>#REF!</v>
      </c>
      <c r="C158" s="76" t="e">
        <f t="shared" ref="C158:C221" si="22">IF(B158&lt;&gt;"",C157-$C$2/COUNT($B$18:$B$511),"")</f>
        <v>#REF!</v>
      </c>
    </row>
    <row r="159" spans="2:3" ht="15.75" customHeight="1" x14ac:dyDescent="0.25">
      <c r="B159" s="67" t="e">
        <f t="shared" si="21"/>
        <v>#REF!</v>
      </c>
      <c r="C159" s="76" t="e">
        <f t="shared" si="22"/>
        <v>#REF!</v>
      </c>
    </row>
    <row r="160" spans="2:3" ht="15.75" customHeight="1" x14ac:dyDescent="0.25">
      <c r="B160" s="67" t="e">
        <f t="shared" si="21"/>
        <v>#REF!</v>
      </c>
      <c r="C160" s="76" t="e">
        <f t="shared" si="22"/>
        <v>#REF!</v>
      </c>
    </row>
    <row r="161" spans="2:3" ht="15.75" customHeight="1" x14ac:dyDescent="0.25">
      <c r="B161" s="67" t="e">
        <f t="shared" si="21"/>
        <v>#REF!</v>
      </c>
      <c r="C161" s="76" t="e">
        <f t="shared" si="22"/>
        <v>#REF!</v>
      </c>
    </row>
    <row r="162" spans="2:3" ht="15.75" customHeight="1" x14ac:dyDescent="0.25">
      <c r="B162" s="67" t="e">
        <f t="shared" si="21"/>
        <v>#REF!</v>
      </c>
      <c r="C162" s="76" t="e">
        <f t="shared" si="22"/>
        <v>#REF!</v>
      </c>
    </row>
    <row r="163" spans="2:3" ht="15.75" customHeight="1" x14ac:dyDescent="0.25">
      <c r="B163" s="67" t="e">
        <f t="shared" si="21"/>
        <v>#REF!</v>
      </c>
      <c r="C163" s="76" t="e">
        <f t="shared" si="22"/>
        <v>#REF!</v>
      </c>
    </row>
    <row r="164" spans="2:3" ht="15.75" customHeight="1" x14ac:dyDescent="0.25">
      <c r="B164" s="67" t="e">
        <f t="shared" si="21"/>
        <v>#REF!</v>
      </c>
      <c r="C164" s="76" t="e">
        <f t="shared" si="22"/>
        <v>#REF!</v>
      </c>
    </row>
    <row r="165" spans="2:3" ht="15.75" customHeight="1" x14ac:dyDescent="0.25">
      <c r="B165" s="67" t="e">
        <f t="shared" si="21"/>
        <v>#REF!</v>
      </c>
      <c r="C165" s="76" t="e">
        <f t="shared" si="22"/>
        <v>#REF!</v>
      </c>
    </row>
    <row r="166" spans="2:3" ht="15.75" customHeight="1" x14ac:dyDescent="0.25">
      <c r="B166" s="67" t="e">
        <f t="shared" si="21"/>
        <v>#REF!</v>
      </c>
      <c r="C166" s="76" t="e">
        <f t="shared" si="22"/>
        <v>#REF!</v>
      </c>
    </row>
    <row r="167" spans="2:3" ht="15.75" customHeight="1" x14ac:dyDescent="0.25">
      <c r="B167" s="67" t="e">
        <f t="shared" si="21"/>
        <v>#REF!</v>
      </c>
      <c r="C167" s="76" t="e">
        <f t="shared" si="22"/>
        <v>#REF!</v>
      </c>
    </row>
    <row r="168" spans="2:3" ht="15.75" customHeight="1" x14ac:dyDescent="0.25">
      <c r="B168" s="67" t="e">
        <f t="shared" si="21"/>
        <v>#REF!</v>
      </c>
      <c r="C168" s="76" t="e">
        <f t="shared" si="22"/>
        <v>#REF!</v>
      </c>
    </row>
    <row r="169" spans="2:3" ht="15.75" customHeight="1" x14ac:dyDescent="0.25">
      <c r="B169" s="67" t="e">
        <f t="shared" si="21"/>
        <v>#REF!</v>
      </c>
      <c r="C169" s="76" t="e">
        <f t="shared" si="22"/>
        <v>#REF!</v>
      </c>
    </row>
    <row r="170" spans="2:3" ht="15.75" customHeight="1" x14ac:dyDescent="0.25">
      <c r="B170" s="67" t="e">
        <f t="shared" si="21"/>
        <v>#REF!</v>
      </c>
      <c r="C170" s="76" t="e">
        <f t="shared" si="22"/>
        <v>#REF!</v>
      </c>
    </row>
    <row r="171" spans="2:3" ht="15.75" customHeight="1" x14ac:dyDescent="0.25">
      <c r="B171" s="67" t="e">
        <f t="shared" si="21"/>
        <v>#REF!</v>
      </c>
      <c r="C171" s="76" t="e">
        <f t="shared" si="22"/>
        <v>#REF!</v>
      </c>
    </row>
    <row r="172" spans="2:3" ht="15.75" customHeight="1" x14ac:dyDescent="0.25">
      <c r="B172" s="67" t="e">
        <f t="shared" si="21"/>
        <v>#REF!</v>
      </c>
      <c r="C172" s="76" t="e">
        <f t="shared" si="22"/>
        <v>#REF!</v>
      </c>
    </row>
    <row r="173" spans="2:3" ht="15.75" customHeight="1" x14ac:dyDescent="0.25">
      <c r="B173" s="67" t="e">
        <f t="shared" si="21"/>
        <v>#REF!</v>
      </c>
      <c r="C173" s="76" t="e">
        <f t="shared" si="22"/>
        <v>#REF!</v>
      </c>
    </row>
    <row r="174" spans="2:3" ht="15.75" customHeight="1" x14ac:dyDescent="0.25">
      <c r="B174" s="67" t="e">
        <f t="shared" si="21"/>
        <v>#REF!</v>
      </c>
      <c r="C174" s="76" t="e">
        <f t="shared" si="22"/>
        <v>#REF!</v>
      </c>
    </row>
    <row r="175" spans="2:3" ht="15.75" customHeight="1" x14ac:dyDescent="0.25">
      <c r="B175" s="67" t="e">
        <f t="shared" si="21"/>
        <v>#REF!</v>
      </c>
      <c r="C175" s="76" t="e">
        <f t="shared" si="22"/>
        <v>#REF!</v>
      </c>
    </row>
    <row r="176" spans="2:3" ht="15.75" customHeight="1" x14ac:dyDescent="0.25">
      <c r="B176" s="67" t="e">
        <f t="shared" si="21"/>
        <v>#REF!</v>
      </c>
      <c r="C176" s="76" t="e">
        <f t="shared" si="22"/>
        <v>#REF!</v>
      </c>
    </row>
    <row r="177" spans="2:3" ht="15.75" customHeight="1" x14ac:dyDescent="0.25">
      <c r="B177" s="67" t="e">
        <f t="shared" si="21"/>
        <v>#REF!</v>
      </c>
      <c r="C177" s="76" t="e">
        <f t="shared" si="22"/>
        <v>#REF!</v>
      </c>
    </row>
    <row r="178" spans="2:3" ht="15.75" customHeight="1" x14ac:dyDescent="0.25">
      <c r="B178" s="67" t="e">
        <f t="shared" si="21"/>
        <v>#REF!</v>
      </c>
      <c r="C178" s="76" t="e">
        <f t="shared" si="22"/>
        <v>#REF!</v>
      </c>
    </row>
    <row r="179" spans="2:3" ht="15.75" customHeight="1" x14ac:dyDescent="0.25">
      <c r="B179" s="67" t="e">
        <f t="shared" si="21"/>
        <v>#REF!</v>
      </c>
      <c r="C179" s="76" t="e">
        <f t="shared" si="22"/>
        <v>#REF!</v>
      </c>
    </row>
    <row r="180" spans="2:3" ht="15.75" customHeight="1" x14ac:dyDescent="0.25">
      <c r="B180" s="67" t="e">
        <f t="shared" si="21"/>
        <v>#REF!</v>
      </c>
      <c r="C180" s="76" t="e">
        <f t="shared" si="22"/>
        <v>#REF!</v>
      </c>
    </row>
    <row r="181" spans="2:3" ht="15.75" customHeight="1" x14ac:dyDescent="0.25">
      <c r="B181" s="67" t="e">
        <f t="shared" si="21"/>
        <v>#REF!</v>
      </c>
      <c r="C181" s="76" t="e">
        <f t="shared" si="22"/>
        <v>#REF!</v>
      </c>
    </row>
    <row r="182" spans="2:3" ht="15.75" customHeight="1" x14ac:dyDescent="0.25">
      <c r="B182" s="67" t="e">
        <f t="shared" si="21"/>
        <v>#REF!</v>
      </c>
      <c r="C182" s="76" t="e">
        <f t="shared" si="22"/>
        <v>#REF!</v>
      </c>
    </row>
    <row r="183" spans="2:3" ht="15.75" customHeight="1" x14ac:dyDescent="0.25">
      <c r="B183" s="67" t="e">
        <f t="shared" si="21"/>
        <v>#REF!</v>
      </c>
      <c r="C183" s="76" t="e">
        <f t="shared" si="22"/>
        <v>#REF!</v>
      </c>
    </row>
    <row r="184" spans="2:3" ht="15.75" customHeight="1" x14ac:dyDescent="0.25">
      <c r="B184" s="67" t="e">
        <f t="shared" si="21"/>
        <v>#REF!</v>
      </c>
      <c r="C184" s="76" t="e">
        <f t="shared" si="22"/>
        <v>#REF!</v>
      </c>
    </row>
    <row r="185" spans="2:3" ht="15.75" customHeight="1" x14ac:dyDescent="0.25">
      <c r="B185" s="67" t="e">
        <f t="shared" si="21"/>
        <v>#REF!</v>
      </c>
      <c r="C185" s="76" t="e">
        <f t="shared" si="22"/>
        <v>#REF!</v>
      </c>
    </row>
    <row r="186" spans="2:3" ht="15.75" customHeight="1" x14ac:dyDescent="0.25">
      <c r="B186" s="67" t="e">
        <f t="shared" si="21"/>
        <v>#REF!</v>
      </c>
      <c r="C186" s="76" t="e">
        <f t="shared" si="22"/>
        <v>#REF!</v>
      </c>
    </row>
    <row r="187" spans="2:3" ht="15.75" customHeight="1" x14ac:dyDescent="0.25">
      <c r="B187" s="67" t="e">
        <f t="shared" si="21"/>
        <v>#REF!</v>
      </c>
      <c r="C187" s="76" t="e">
        <f t="shared" si="22"/>
        <v>#REF!</v>
      </c>
    </row>
    <row r="188" spans="2:3" ht="15.75" customHeight="1" x14ac:dyDescent="0.25">
      <c r="B188" s="67" t="e">
        <f t="shared" si="21"/>
        <v>#REF!</v>
      </c>
      <c r="C188" s="76" t="e">
        <f t="shared" si="22"/>
        <v>#REF!</v>
      </c>
    </row>
    <row r="189" spans="2:3" ht="15.75" customHeight="1" x14ac:dyDescent="0.25">
      <c r="B189" s="67" t="e">
        <f t="shared" si="21"/>
        <v>#REF!</v>
      </c>
      <c r="C189" s="76" t="e">
        <f t="shared" si="22"/>
        <v>#REF!</v>
      </c>
    </row>
    <row r="190" spans="2:3" ht="15.75" customHeight="1" x14ac:dyDescent="0.25">
      <c r="B190" s="67" t="e">
        <f t="shared" si="21"/>
        <v>#REF!</v>
      </c>
      <c r="C190" s="76" t="e">
        <f t="shared" si="22"/>
        <v>#REF!</v>
      </c>
    </row>
    <row r="191" spans="2:3" ht="15.75" customHeight="1" x14ac:dyDescent="0.25">
      <c r="B191" s="67" t="e">
        <f t="shared" si="21"/>
        <v>#REF!</v>
      </c>
      <c r="C191" s="76" t="e">
        <f t="shared" si="22"/>
        <v>#REF!</v>
      </c>
    </row>
    <row r="192" spans="2:3" ht="15.75" customHeight="1" x14ac:dyDescent="0.25">
      <c r="B192" s="67" t="e">
        <f t="shared" si="21"/>
        <v>#REF!</v>
      </c>
      <c r="C192" s="76" t="e">
        <f t="shared" si="22"/>
        <v>#REF!</v>
      </c>
    </row>
    <row r="193" spans="2:3" ht="15.75" customHeight="1" x14ac:dyDescent="0.25">
      <c r="B193" s="67" t="e">
        <f t="shared" si="21"/>
        <v>#REF!</v>
      </c>
      <c r="C193" s="76" t="e">
        <f t="shared" si="22"/>
        <v>#REF!</v>
      </c>
    </row>
    <row r="194" spans="2:3" ht="15.75" customHeight="1" x14ac:dyDescent="0.25">
      <c r="B194" s="67" t="e">
        <f t="shared" si="21"/>
        <v>#REF!</v>
      </c>
      <c r="C194" s="76" t="e">
        <f t="shared" si="22"/>
        <v>#REF!</v>
      </c>
    </row>
    <row r="195" spans="2:3" ht="15.75" customHeight="1" x14ac:dyDescent="0.25">
      <c r="B195" s="67" t="e">
        <f t="shared" si="21"/>
        <v>#REF!</v>
      </c>
      <c r="C195" s="76" t="e">
        <f t="shared" si="22"/>
        <v>#REF!</v>
      </c>
    </row>
    <row r="196" spans="2:3" ht="15.75" customHeight="1" x14ac:dyDescent="0.25">
      <c r="B196" s="67" t="e">
        <f t="shared" si="21"/>
        <v>#REF!</v>
      </c>
      <c r="C196" s="76" t="e">
        <f t="shared" si="22"/>
        <v>#REF!</v>
      </c>
    </row>
    <row r="197" spans="2:3" ht="15.75" customHeight="1" x14ac:dyDescent="0.25">
      <c r="B197" s="67" t="e">
        <f t="shared" si="21"/>
        <v>#REF!</v>
      </c>
      <c r="C197" s="76" t="e">
        <f t="shared" si="22"/>
        <v>#REF!</v>
      </c>
    </row>
    <row r="198" spans="2:3" ht="15.75" customHeight="1" x14ac:dyDescent="0.25">
      <c r="B198" s="67" t="e">
        <f t="shared" si="21"/>
        <v>#REF!</v>
      </c>
      <c r="C198" s="76" t="e">
        <f t="shared" si="22"/>
        <v>#REF!</v>
      </c>
    </row>
    <row r="199" spans="2:3" ht="15.75" customHeight="1" x14ac:dyDescent="0.25">
      <c r="B199" s="67" t="e">
        <f t="shared" si="21"/>
        <v>#REF!</v>
      </c>
      <c r="C199" s="76" t="e">
        <f t="shared" si="22"/>
        <v>#REF!</v>
      </c>
    </row>
    <row r="200" spans="2:3" ht="15.75" customHeight="1" x14ac:dyDescent="0.25">
      <c r="B200" s="67" t="e">
        <f t="shared" si="21"/>
        <v>#REF!</v>
      </c>
      <c r="C200" s="76" t="e">
        <f t="shared" si="22"/>
        <v>#REF!</v>
      </c>
    </row>
    <row r="201" spans="2:3" ht="15.75" customHeight="1" x14ac:dyDescent="0.25">
      <c r="B201" s="67" t="e">
        <f t="shared" si="21"/>
        <v>#REF!</v>
      </c>
      <c r="C201" s="76" t="e">
        <f t="shared" si="22"/>
        <v>#REF!</v>
      </c>
    </row>
    <row r="202" spans="2:3" ht="15.75" customHeight="1" x14ac:dyDescent="0.25">
      <c r="B202" s="67" t="e">
        <f t="shared" si="21"/>
        <v>#REF!</v>
      </c>
      <c r="C202" s="76" t="e">
        <f t="shared" si="22"/>
        <v>#REF!</v>
      </c>
    </row>
    <row r="203" spans="2:3" ht="15.75" customHeight="1" x14ac:dyDescent="0.25">
      <c r="B203" s="67" t="e">
        <f t="shared" si="21"/>
        <v>#REF!</v>
      </c>
      <c r="C203" s="76" t="e">
        <f t="shared" si="22"/>
        <v>#REF!</v>
      </c>
    </row>
    <row r="204" spans="2:3" ht="15.75" customHeight="1" x14ac:dyDescent="0.25">
      <c r="B204" s="67" t="e">
        <f t="shared" si="21"/>
        <v>#REF!</v>
      </c>
      <c r="C204" s="76" t="e">
        <f t="shared" si="22"/>
        <v>#REF!</v>
      </c>
    </row>
    <row r="205" spans="2:3" ht="15.75" customHeight="1" x14ac:dyDescent="0.25">
      <c r="B205" s="67" t="e">
        <f t="shared" si="21"/>
        <v>#REF!</v>
      </c>
      <c r="C205" s="76" t="e">
        <f t="shared" si="22"/>
        <v>#REF!</v>
      </c>
    </row>
    <row r="206" spans="2:3" ht="15.75" customHeight="1" x14ac:dyDescent="0.25">
      <c r="B206" s="67" t="e">
        <f t="shared" si="21"/>
        <v>#REF!</v>
      </c>
      <c r="C206" s="76" t="e">
        <f t="shared" si="22"/>
        <v>#REF!</v>
      </c>
    </row>
    <row r="207" spans="2:3" ht="15.75" customHeight="1" x14ac:dyDescent="0.25">
      <c r="B207" s="67" t="e">
        <f t="shared" si="21"/>
        <v>#REF!</v>
      </c>
      <c r="C207" s="76" t="e">
        <f t="shared" si="22"/>
        <v>#REF!</v>
      </c>
    </row>
    <row r="208" spans="2:3" ht="15.75" customHeight="1" x14ac:dyDescent="0.25">
      <c r="B208" s="67" t="e">
        <f t="shared" si="21"/>
        <v>#REF!</v>
      </c>
      <c r="C208" s="76" t="e">
        <f t="shared" si="22"/>
        <v>#REF!</v>
      </c>
    </row>
    <row r="209" spans="2:3" ht="15.75" customHeight="1" x14ac:dyDescent="0.25">
      <c r="B209" s="67" t="e">
        <f t="shared" si="21"/>
        <v>#REF!</v>
      </c>
      <c r="C209" s="76" t="e">
        <f t="shared" si="22"/>
        <v>#REF!</v>
      </c>
    </row>
    <row r="210" spans="2:3" ht="15.75" customHeight="1" x14ac:dyDescent="0.25">
      <c r="B210" s="67" t="e">
        <f t="shared" si="21"/>
        <v>#REF!</v>
      </c>
      <c r="C210" s="76" t="e">
        <f t="shared" si="22"/>
        <v>#REF!</v>
      </c>
    </row>
    <row r="211" spans="2:3" ht="15.75" customHeight="1" x14ac:dyDescent="0.25">
      <c r="B211" s="67" t="e">
        <f t="shared" si="21"/>
        <v>#REF!</v>
      </c>
      <c r="C211" s="76" t="e">
        <f t="shared" si="22"/>
        <v>#REF!</v>
      </c>
    </row>
    <row r="212" spans="2:3" ht="15.75" customHeight="1" x14ac:dyDescent="0.25">
      <c r="B212" s="67" t="e">
        <f t="shared" si="21"/>
        <v>#REF!</v>
      </c>
      <c r="C212" s="76" t="e">
        <f t="shared" si="22"/>
        <v>#REF!</v>
      </c>
    </row>
    <row r="213" spans="2:3" ht="15.75" customHeight="1" x14ac:dyDescent="0.25">
      <c r="B213" s="67" t="e">
        <f t="shared" si="21"/>
        <v>#REF!</v>
      </c>
      <c r="C213" s="76" t="e">
        <f t="shared" si="22"/>
        <v>#REF!</v>
      </c>
    </row>
    <row r="214" spans="2:3" ht="15.75" customHeight="1" x14ac:dyDescent="0.25">
      <c r="B214" s="67" t="e">
        <f t="shared" si="21"/>
        <v>#REF!</v>
      </c>
      <c r="C214" s="76" t="e">
        <f t="shared" si="22"/>
        <v>#REF!</v>
      </c>
    </row>
    <row r="215" spans="2:3" ht="15.75" customHeight="1" x14ac:dyDescent="0.25">
      <c r="B215" s="67" t="e">
        <f t="shared" si="21"/>
        <v>#REF!</v>
      </c>
      <c r="C215" s="76" t="e">
        <f t="shared" si="22"/>
        <v>#REF!</v>
      </c>
    </row>
    <row r="216" spans="2:3" ht="15.75" customHeight="1" x14ac:dyDescent="0.25">
      <c r="B216" s="67" t="e">
        <f t="shared" si="21"/>
        <v>#REF!</v>
      </c>
      <c r="C216" s="76" t="e">
        <f t="shared" si="22"/>
        <v>#REF!</v>
      </c>
    </row>
    <row r="217" spans="2:3" ht="15.75" customHeight="1" x14ac:dyDescent="0.25">
      <c r="B217" s="67" t="e">
        <f t="shared" si="21"/>
        <v>#REF!</v>
      </c>
      <c r="C217" s="76" t="e">
        <f t="shared" si="22"/>
        <v>#REF!</v>
      </c>
    </row>
    <row r="218" spans="2:3" ht="15.75" customHeight="1" x14ac:dyDescent="0.25">
      <c r="B218" s="67" t="e">
        <f t="shared" si="21"/>
        <v>#REF!</v>
      </c>
      <c r="C218" s="76" t="e">
        <f t="shared" si="22"/>
        <v>#REF!</v>
      </c>
    </row>
    <row r="219" spans="2:3" ht="15.75" customHeight="1" x14ac:dyDescent="0.25">
      <c r="B219" s="67" t="e">
        <f t="shared" si="21"/>
        <v>#REF!</v>
      </c>
      <c r="C219" s="76" t="e">
        <f t="shared" si="22"/>
        <v>#REF!</v>
      </c>
    </row>
    <row r="220" spans="2:3" ht="15.75" customHeight="1" x14ac:dyDescent="0.25">
      <c r="B220" s="67" t="e">
        <f t="shared" si="21"/>
        <v>#REF!</v>
      </c>
      <c r="C220" s="76" t="e">
        <f t="shared" si="22"/>
        <v>#REF!</v>
      </c>
    </row>
    <row r="221" spans="2:3" ht="15.75" customHeight="1" x14ac:dyDescent="0.25">
      <c r="B221" s="67" t="e">
        <f t="shared" si="21"/>
        <v>#REF!</v>
      </c>
      <c r="C221" s="76" t="e">
        <f t="shared" si="22"/>
        <v>#REF!</v>
      </c>
    </row>
    <row r="222" spans="2:3" ht="15.75" customHeight="1" x14ac:dyDescent="0.25">
      <c r="B222" s="67" t="e">
        <f t="shared" ref="B222:B285" si="23">IF(B221="","",IF(B221+$C$10&lt;=$C$6,B221+$C$10,""))</f>
        <v>#REF!</v>
      </c>
      <c r="C222" s="76" t="e">
        <f t="shared" ref="C222:C285" si="24">IF(B222&lt;&gt;"",C221-$C$2/COUNT($B$18:$B$511),"")</f>
        <v>#REF!</v>
      </c>
    </row>
    <row r="223" spans="2:3" ht="15.75" customHeight="1" x14ac:dyDescent="0.25">
      <c r="B223" s="67" t="e">
        <f t="shared" si="23"/>
        <v>#REF!</v>
      </c>
      <c r="C223" s="76" t="e">
        <f t="shared" si="24"/>
        <v>#REF!</v>
      </c>
    </row>
    <row r="224" spans="2:3" ht="15.75" customHeight="1" x14ac:dyDescent="0.25">
      <c r="B224" s="67" t="e">
        <f t="shared" si="23"/>
        <v>#REF!</v>
      </c>
      <c r="C224" s="76" t="e">
        <f t="shared" si="24"/>
        <v>#REF!</v>
      </c>
    </row>
    <row r="225" spans="2:3" ht="15.75" customHeight="1" x14ac:dyDescent="0.25">
      <c r="B225" s="67" t="e">
        <f t="shared" si="23"/>
        <v>#REF!</v>
      </c>
      <c r="C225" s="76" t="e">
        <f t="shared" si="24"/>
        <v>#REF!</v>
      </c>
    </row>
    <row r="226" spans="2:3" ht="15.75" customHeight="1" x14ac:dyDescent="0.25">
      <c r="B226" s="67" t="e">
        <f t="shared" si="23"/>
        <v>#REF!</v>
      </c>
      <c r="C226" s="76" t="e">
        <f t="shared" si="24"/>
        <v>#REF!</v>
      </c>
    </row>
    <row r="227" spans="2:3" ht="15.75" customHeight="1" x14ac:dyDescent="0.25">
      <c r="B227" s="67" t="e">
        <f t="shared" si="23"/>
        <v>#REF!</v>
      </c>
      <c r="C227" s="76" t="e">
        <f t="shared" si="24"/>
        <v>#REF!</v>
      </c>
    </row>
    <row r="228" spans="2:3" ht="15.75" customHeight="1" x14ac:dyDescent="0.25">
      <c r="B228" s="67" t="e">
        <f t="shared" si="23"/>
        <v>#REF!</v>
      </c>
      <c r="C228" s="76" t="e">
        <f t="shared" si="24"/>
        <v>#REF!</v>
      </c>
    </row>
    <row r="229" spans="2:3" ht="15.75" customHeight="1" x14ac:dyDescent="0.25">
      <c r="B229" s="67" t="e">
        <f t="shared" si="23"/>
        <v>#REF!</v>
      </c>
      <c r="C229" s="76" t="e">
        <f t="shared" si="24"/>
        <v>#REF!</v>
      </c>
    </row>
    <row r="230" spans="2:3" ht="15.75" customHeight="1" x14ac:dyDescent="0.25">
      <c r="B230" s="67" t="e">
        <f t="shared" si="23"/>
        <v>#REF!</v>
      </c>
      <c r="C230" s="76" t="e">
        <f t="shared" si="24"/>
        <v>#REF!</v>
      </c>
    </row>
    <row r="231" spans="2:3" ht="15.75" customHeight="1" x14ac:dyDescent="0.25">
      <c r="B231" s="67" t="e">
        <f t="shared" si="23"/>
        <v>#REF!</v>
      </c>
      <c r="C231" s="76" t="e">
        <f t="shared" si="24"/>
        <v>#REF!</v>
      </c>
    </row>
    <row r="232" spans="2:3" ht="15.75" customHeight="1" x14ac:dyDescent="0.25">
      <c r="B232" s="67" t="e">
        <f t="shared" si="23"/>
        <v>#REF!</v>
      </c>
      <c r="C232" s="76" t="e">
        <f t="shared" si="24"/>
        <v>#REF!</v>
      </c>
    </row>
    <row r="233" spans="2:3" ht="15.75" customHeight="1" x14ac:dyDescent="0.25">
      <c r="B233" s="67" t="e">
        <f t="shared" si="23"/>
        <v>#REF!</v>
      </c>
      <c r="C233" s="76" t="e">
        <f t="shared" si="24"/>
        <v>#REF!</v>
      </c>
    </row>
    <row r="234" spans="2:3" ht="15.75" customHeight="1" x14ac:dyDescent="0.25">
      <c r="B234" s="67" t="e">
        <f t="shared" si="23"/>
        <v>#REF!</v>
      </c>
      <c r="C234" s="76" t="e">
        <f t="shared" si="24"/>
        <v>#REF!</v>
      </c>
    </row>
    <row r="235" spans="2:3" ht="15.75" customHeight="1" x14ac:dyDescent="0.25">
      <c r="B235" s="67" t="e">
        <f t="shared" si="23"/>
        <v>#REF!</v>
      </c>
      <c r="C235" s="76" t="e">
        <f t="shared" si="24"/>
        <v>#REF!</v>
      </c>
    </row>
    <row r="236" spans="2:3" ht="15.75" customHeight="1" x14ac:dyDescent="0.25">
      <c r="B236" s="67" t="e">
        <f t="shared" si="23"/>
        <v>#REF!</v>
      </c>
      <c r="C236" s="76" t="e">
        <f t="shared" si="24"/>
        <v>#REF!</v>
      </c>
    </row>
    <row r="237" spans="2:3" ht="15.75" customHeight="1" x14ac:dyDescent="0.25">
      <c r="B237" s="67" t="e">
        <f t="shared" si="23"/>
        <v>#REF!</v>
      </c>
      <c r="C237" s="76" t="e">
        <f t="shared" si="24"/>
        <v>#REF!</v>
      </c>
    </row>
    <row r="238" spans="2:3" ht="15.75" customHeight="1" x14ac:dyDescent="0.25">
      <c r="B238" s="67" t="e">
        <f t="shared" si="23"/>
        <v>#REF!</v>
      </c>
      <c r="C238" s="76" t="e">
        <f t="shared" si="24"/>
        <v>#REF!</v>
      </c>
    </row>
    <row r="239" spans="2:3" ht="15.75" customHeight="1" x14ac:dyDescent="0.25">
      <c r="B239" s="67" t="e">
        <f t="shared" si="23"/>
        <v>#REF!</v>
      </c>
      <c r="C239" s="76" t="e">
        <f t="shared" si="24"/>
        <v>#REF!</v>
      </c>
    </row>
    <row r="240" spans="2:3" ht="15.75" customHeight="1" x14ac:dyDescent="0.25">
      <c r="B240" s="67" t="e">
        <f t="shared" si="23"/>
        <v>#REF!</v>
      </c>
      <c r="C240" s="76" t="e">
        <f t="shared" si="24"/>
        <v>#REF!</v>
      </c>
    </row>
    <row r="241" spans="2:3" ht="15.75" customHeight="1" x14ac:dyDescent="0.25">
      <c r="B241" s="67" t="e">
        <f t="shared" si="23"/>
        <v>#REF!</v>
      </c>
      <c r="C241" s="76" t="e">
        <f t="shared" si="24"/>
        <v>#REF!</v>
      </c>
    </row>
    <row r="242" spans="2:3" ht="15.75" customHeight="1" x14ac:dyDescent="0.25">
      <c r="B242" s="67" t="e">
        <f t="shared" si="23"/>
        <v>#REF!</v>
      </c>
      <c r="C242" s="76" t="e">
        <f t="shared" si="24"/>
        <v>#REF!</v>
      </c>
    </row>
    <row r="243" spans="2:3" ht="15.75" customHeight="1" x14ac:dyDescent="0.25">
      <c r="B243" s="67" t="e">
        <f t="shared" si="23"/>
        <v>#REF!</v>
      </c>
      <c r="C243" s="76" t="e">
        <f t="shared" si="24"/>
        <v>#REF!</v>
      </c>
    </row>
    <row r="244" spans="2:3" ht="15.75" customHeight="1" x14ac:dyDescent="0.25">
      <c r="B244" s="67" t="e">
        <f t="shared" si="23"/>
        <v>#REF!</v>
      </c>
      <c r="C244" s="76" t="e">
        <f t="shared" si="24"/>
        <v>#REF!</v>
      </c>
    </row>
    <row r="245" spans="2:3" ht="15.75" customHeight="1" x14ac:dyDescent="0.25">
      <c r="B245" s="67" t="e">
        <f t="shared" si="23"/>
        <v>#REF!</v>
      </c>
      <c r="C245" s="76" t="e">
        <f t="shared" si="24"/>
        <v>#REF!</v>
      </c>
    </row>
    <row r="246" spans="2:3" ht="15.75" customHeight="1" x14ac:dyDescent="0.25">
      <c r="B246" s="67" t="e">
        <f t="shared" si="23"/>
        <v>#REF!</v>
      </c>
      <c r="C246" s="76" t="e">
        <f t="shared" si="24"/>
        <v>#REF!</v>
      </c>
    </row>
    <row r="247" spans="2:3" ht="15.75" customHeight="1" x14ac:dyDescent="0.25">
      <c r="B247" s="67" t="e">
        <f t="shared" si="23"/>
        <v>#REF!</v>
      </c>
      <c r="C247" s="76" t="e">
        <f t="shared" si="24"/>
        <v>#REF!</v>
      </c>
    </row>
    <row r="248" spans="2:3" ht="15.75" customHeight="1" x14ac:dyDescent="0.25">
      <c r="B248" s="67" t="e">
        <f t="shared" si="23"/>
        <v>#REF!</v>
      </c>
      <c r="C248" s="76" t="e">
        <f t="shared" si="24"/>
        <v>#REF!</v>
      </c>
    </row>
    <row r="249" spans="2:3" ht="15.75" customHeight="1" x14ac:dyDescent="0.25">
      <c r="B249" s="67" t="e">
        <f t="shared" si="23"/>
        <v>#REF!</v>
      </c>
      <c r="C249" s="76" t="e">
        <f t="shared" si="24"/>
        <v>#REF!</v>
      </c>
    </row>
    <row r="250" spans="2:3" ht="15.75" customHeight="1" x14ac:dyDescent="0.25">
      <c r="B250" s="67" t="e">
        <f t="shared" si="23"/>
        <v>#REF!</v>
      </c>
      <c r="C250" s="76" t="e">
        <f t="shared" si="24"/>
        <v>#REF!</v>
      </c>
    </row>
    <row r="251" spans="2:3" ht="15.75" customHeight="1" x14ac:dyDescent="0.25">
      <c r="B251" s="67" t="e">
        <f t="shared" si="23"/>
        <v>#REF!</v>
      </c>
      <c r="C251" s="76" t="e">
        <f t="shared" si="24"/>
        <v>#REF!</v>
      </c>
    </row>
    <row r="252" spans="2:3" ht="15.75" customHeight="1" x14ac:dyDescent="0.25">
      <c r="B252" s="67" t="e">
        <f t="shared" si="23"/>
        <v>#REF!</v>
      </c>
      <c r="C252" s="76" t="e">
        <f t="shared" si="24"/>
        <v>#REF!</v>
      </c>
    </row>
    <row r="253" spans="2:3" ht="15.75" customHeight="1" x14ac:dyDescent="0.25">
      <c r="B253" s="67" t="e">
        <f t="shared" si="23"/>
        <v>#REF!</v>
      </c>
      <c r="C253" s="76" t="e">
        <f t="shared" si="24"/>
        <v>#REF!</v>
      </c>
    </row>
    <row r="254" spans="2:3" ht="15.75" customHeight="1" x14ac:dyDescent="0.25">
      <c r="B254" s="67" t="e">
        <f t="shared" si="23"/>
        <v>#REF!</v>
      </c>
      <c r="C254" s="76" t="e">
        <f t="shared" si="24"/>
        <v>#REF!</v>
      </c>
    </row>
    <row r="255" spans="2:3" ht="15.75" customHeight="1" x14ac:dyDescent="0.25">
      <c r="B255" s="67" t="e">
        <f t="shared" si="23"/>
        <v>#REF!</v>
      </c>
      <c r="C255" s="76" t="e">
        <f t="shared" si="24"/>
        <v>#REF!</v>
      </c>
    </row>
    <row r="256" spans="2:3" ht="15.75" customHeight="1" x14ac:dyDescent="0.25">
      <c r="B256" s="67" t="e">
        <f t="shared" si="23"/>
        <v>#REF!</v>
      </c>
      <c r="C256" s="76" t="e">
        <f t="shared" si="24"/>
        <v>#REF!</v>
      </c>
    </row>
    <row r="257" spans="2:3" ht="15.75" customHeight="1" x14ac:dyDescent="0.25">
      <c r="B257" s="67" t="e">
        <f t="shared" si="23"/>
        <v>#REF!</v>
      </c>
      <c r="C257" s="76" t="e">
        <f t="shared" si="24"/>
        <v>#REF!</v>
      </c>
    </row>
    <row r="258" spans="2:3" ht="15.75" customHeight="1" x14ac:dyDescent="0.25">
      <c r="B258" s="67" t="e">
        <f t="shared" si="23"/>
        <v>#REF!</v>
      </c>
      <c r="C258" s="76" t="e">
        <f t="shared" si="24"/>
        <v>#REF!</v>
      </c>
    </row>
    <row r="259" spans="2:3" ht="15.75" customHeight="1" x14ac:dyDescent="0.25">
      <c r="B259" s="67" t="e">
        <f t="shared" si="23"/>
        <v>#REF!</v>
      </c>
      <c r="C259" s="76" t="e">
        <f t="shared" si="24"/>
        <v>#REF!</v>
      </c>
    </row>
    <row r="260" spans="2:3" ht="15.75" customHeight="1" x14ac:dyDescent="0.25">
      <c r="B260" s="67" t="e">
        <f t="shared" si="23"/>
        <v>#REF!</v>
      </c>
      <c r="C260" s="76" t="e">
        <f t="shared" si="24"/>
        <v>#REF!</v>
      </c>
    </row>
    <row r="261" spans="2:3" ht="15.75" customHeight="1" x14ac:dyDescent="0.25">
      <c r="B261" s="67" t="e">
        <f t="shared" si="23"/>
        <v>#REF!</v>
      </c>
      <c r="C261" s="76" t="e">
        <f t="shared" si="24"/>
        <v>#REF!</v>
      </c>
    </row>
    <row r="262" spans="2:3" ht="15.75" customHeight="1" x14ac:dyDescent="0.25">
      <c r="B262" s="67" t="e">
        <f t="shared" si="23"/>
        <v>#REF!</v>
      </c>
      <c r="C262" s="76" t="e">
        <f t="shared" si="24"/>
        <v>#REF!</v>
      </c>
    </row>
    <row r="263" spans="2:3" ht="15.75" customHeight="1" x14ac:dyDescent="0.25">
      <c r="B263" s="67" t="e">
        <f t="shared" si="23"/>
        <v>#REF!</v>
      </c>
      <c r="C263" s="76" t="e">
        <f t="shared" si="24"/>
        <v>#REF!</v>
      </c>
    </row>
    <row r="264" spans="2:3" ht="15.75" customHeight="1" x14ac:dyDescent="0.25">
      <c r="B264" s="67" t="e">
        <f t="shared" si="23"/>
        <v>#REF!</v>
      </c>
      <c r="C264" s="76" t="e">
        <f t="shared" si="24"/>
        <v>#REF!</v>
      </c>
    </row>
    <row r="265" spans="2:3" ht="15.75" customHeight="1" x14ac:dyDescent="0.25">
      <c r="B265" s="67" t="e">
        <f t="shared" si="23"/>
        <v>#REF!</v>
      </c>
      <c r="C265" s="76" t="e">
        <f t="shared" si="24"/>
        <v>#REF!</v>
      </c>
    </row>
    <row r="266" spans="2:3" ht="15.75" customHeight="1" x14ac:dyDescent="0.25">
      <c r="B266" s="67" t="e">
        <f t="shared" si="23"/>
        <v>#REF!</v>
      </c>
      <c r="C266" s="76" t="e">
        <f t="shared" si="24"/>
        <v>#REF!</v>
      </c>
    </row>
    <row r="267" spans="2:3" ht="15.75" customHeight="1" x14ac:dyDescent="0.25">
      <c r="B267" s="67" t="e">
        <f t="shared" si="23"/>
        <v>#REF!</v>
      </c>
      <c r="C267" s="76" t="e">
        <f t="shared" si="24"/>
        <v>#REF!</v>
      </c>
    </row>
    <row r="268" spans="2:3" ht="15.75" customHeight="1" x14ac:dyDescent="0.25">
      <c r="B268" s="67" t="e">
        <f t="shared" si="23"/>
        <v>#REF!</v>
      </c>
      <c r="C268" s="76" t="e">
        <f t="shared" si="24"/>
        <v>#REF!</v>
      </c>
    </row>
    <row r="269" spans="2:3" ht="15.75" customHeight="1" x14ac:dyDescent="0.25">
      <c r="B269" s="67" t="e">
        <f t="shared" si="23"/>
        <v>#REF!</v>
      </c>
      <c r="C269" s="76" t="e">
        <f t="shared" si="24"/>
        <v>#REF!</v>
      </c>
    </row>
    <row r="270" spans="2:3" ht="15.75" customHeight="1" x14ac:dyDescent="0.25">
      <c r="B270" s="67" t="e">
        <f t="shared" si="23"/>
        <v>#REF!</v>
      </c>
      <c r="C270" s="76" t="e">
        <f t="shared" si="24"/>
        <v>#REF!</v>
      </c>
    </row>
    <row r="271" spans="2:3" ht="15.75" customHeight="1" x14ac:dyDescent="0.25">
      <c r="B271" s="67" t="e">
        <f t="shared" si="23"/>
        <v>#REF!</v>
      </c>
      <c r="C271" s="76" t="e">
        <f t="shared" si="24"/>
        <v>#REF!</v>
      </c>
    </row>
    <row r="272" spans="2:3" ht="15.75" customHeight="1" x14ac:dyDescent="0.25">
      <c r="B272" s="67" t="e">
        <f t="shared" si="23"/>
        <v>#REF!</v>
      </c>
      <c r="C272" s="76" t="e">
        <f t="shared" si="24"/>
        <v>#REF!</v>
      </c>
    </row>
    <row r="273" spans="2:3" ht="15.75" customHeight="1" x14ac:dyDescent="0.25">
      <c r="B273" s="67" t="e">
        <f t="shared" si="23"/>
        <v>#REF!</v>
      </c>
      <c r="C273" s="76" t="e">
        <f t="shared" si="24"/>
        <v>#REF!</v>
      </c>
    </row>
    <row r="274" spans="2:3" ht="15.75" customHeight="1" x14ac:dyDescent="0.25">
      <c r="B274" s="67" t="e">
        <f t="shared" si="23"/>
        <v>#REF!</v>
      </c>
      <c r="C274" s="76" t="e">
        <f t="shared" si="24"/>
        <v>#REF!</v>
      </c>
    </row>
    <row r="275" spans="2:3" ht="15.75" customHeight="1" x14ac:dyDescent="0.25">
      <c r="B275" s="67" t="e">
        <f t="shared" si="23"/>
        <v>#REF!</v>
      </c>
      <c r="C275" s="76" t="e">
        <f t="shared" si="24"/>
        <v>#REF!</v>
      </c>
    </row>
    <row r="276" spans="2:3" ht="15.75" customHeight="1" x14ac:dyDescent="0.25">
      <c r="B276" s="67" t="e">
        <f t="shared" si="23"/>
        <v>#REF!</v>
      </c>
      <c r="C276" s="76" t="e">
        <f t="shared" si="24"/>
        <v>#REF!</v>
      </c>
    </row>
    <row r="277" spans="2:3" ht="15.75" customHeight="1" x14ac:dyDescent="0.25">
      <c r="B277" s="67" t="e">
        <f t="shared" si="23"/>
        <v>#REF!</v>
      </c>
      <c r="C277" s="76" t="e">
        <f t="shared" si="24"/>
        <v>#REF!</v>
      </c>
    </row>
    <row r="278" spans="2:3" ht="15.75" customHeight="1" x14ac:dyDescent="0.25">
      <c r="B278" s="67" t="e">
        <f t="shared" si="23"/>
        <v>#REF!</v>
      </c>
      <c r="C278" s="76" t="e">
        <f t="shared" si="24"/>
        <v>#REF!</v>
      </c>
    </row>
    <row r="279" spans="2:3" ht="15.75" customHeight="1" x14ac:dyDescent="0.25">
      <c r="B279" s="67" t="e">
        <f t="shared" si="23"/>
        <v>#REF!</v>
      </c>
      <c r="C279" s="76" t="e">
        <f t="shared" si="24"/>
        <v>#REF!</v>
      </c>
    </row>
    <row r="280" spans="2:3" ht="15.75" customHeight="1" x14ac:dyDescent="0.25">
      <c r="B280" s="67" t="e">
        <f t="shared" si="23"/>
        <v>#REF!</v>
      </c>
      <c r="C280" s="76" t="e">
        <f t="shared" si="24"/>
        <v>#REF!</v>
      </c>
    </row>
    <row r="281" spans="2:3" ht="15.75" customHeight="1" x14ac:dyDescent="0.25">
      <c r="B281" s="67" t="e">
        <f t="shared" si="23"/>
        <v>#REF!</v>
      </c>
      <c r="C281" s="76" t="e">
        <f t="shared" si="24"/>
        <v>#REF!</v>
      </c>
    </row>
    <row r="282" spans="2:3" ht="15.75" customHeight="1" x14ac:dyDescent="0.25">
      <c r="B282" s="67" t="e">
        <f t="shared" si="23"/>
        <v>#REF!</v>
      </c>
      <c r="C282" s="76" t="e">
        <f t="shared" si="24"/>
        <v>#REF!</v>
      </c>
    </row>
    <row r="283" spans="2:3" ht="15.75" customHeight="1" x14ac:dyDescent="0.25">
      <c r="B283" s="67" t="e">
        <f t="shared" si="23"/>
        <v>#REF!</v>
      </c>
      <c r="C283" s="76" t="e">
        <f t="shared" si="24"/>
        <v>#REF!</v>
      </c>
    </row>
    <row r="284" spans="2:3" ht="15.75" customHeight="1" x14ac:dyDescent="0.25">
      <c r="B284" s="67" t="e">
        <f t="shared" si="23"/>
        <v>#REF!</v>
      </c>
      <c r="C284" s="76" t="e">
        <f t="shared" si="24"/>
        <v>#REF!</v>
      </c>
    </row>
    <row r="285" spans="2:3" ht="15.75" customHeight="1" x14ac:dyDescent="0.25">
      <c r="B285" s="67" t="e">
        <f t="shared" si="23"/>
        <v>#REF!</v>
      </c>
      <c r="C285" s="76" t="e">
        <f t="shared" si="24"/>
        <v>#REF!</v>
      </c>
    </row>
    <row r="286" spans="2:3" ht="15.75" customHeight="1" x14ac:dyDescent="0.25">
      <c r="B286" s="67" t="e">
        <f t="shared" ref="B286:B349" si="25">IF(B285="","",IF(B285+$C$10&lt;=$C$6,B285+$C$10,""))</f>
        <v>#REF!</v>
      </c>
      <c r="C286" s="76" t="e">
        <f t="shared" ref="C286:C349" si="26">IF(B286&lt;&gt;"",C285-$C$2/COUNT($B$18:$B$511),"")</f>
        <v>#REF!</v>
      </c>
    </row>
    <row r="287" spans="2:3" ht="15.75" customHeight="1" x14ac:dyDescent="0.25">
      <c r="B287" s="67" t="e">
        <f t="shared" si="25"/>
        <v>#REF!</v>
      </c>
      <c r="C287" s="76" t="e">
        <f t="shared" si="26"/>
        <v>#REF!</v>
      </c>
    </row>
    <row r="288" spans="2:3" ht="15.75" customHeight="1" x14ac:dyDescent="0.25">
      <c r="B288" s="67" t="e">
        <f t="shared" si="25"/>
        <v>#REF!</v>
      </c>
      <c r="C288" s="76" t="e">
        <f t="shared" si="26"/>
        <v>#REF!</v>
      </c>
    </row>
    <row r="289" spans="2:3" ht="15.75" customHeight="1" x14ac:dyDescent="0.25">
      <c r="B289" s="67" t="e">
        <f t="shared" si="25"/>
        <v>#REF!</v>
      </c>
      <c r="C289" s="76" t="e">
        <f t="shared" si="26"/>
        <v>#REF!</v>
      </c>
    </row>
    <row r="290" spans="2:3" ht="15.75" customHeight="1" x14ac:dyDescent="0.25">
      <c r="B290" s="67" t="e">
        <f t="shared" si="25"/>
        <v>#REF!</v>
      </c>
      <c r="C290" s="76" t="e">
        <f t="shared" si="26"/>
        <v>#REF!</v>
      </c>
    </row>
    <row r="291" spans="2:3" ht="15.75" customHeight="1" x14ac:dyDescent="0.25">
      <c r="B291" s="67" t="e">
        <f t="shared" si="25"/>
        <v>#REF!</v>
      </c>
      <c r="C291" s="76" t="e">
        <f t="shared" si="26"/>
        <v>#REF!</v>
      </c>
    </row>
    <row r="292" spans="2:3" ht="15.75" customHeight="1" x14ac:dyDescent="0.25">
      <c r="B292" s="67" t="e">
        <f t="shared" si="25"/>
        <v>#REF!</v>
      </c>
      <c r="C292" s="76" t="e">
        <f t="shared" si="26"/>
        <v>#REF!</v>
      </c>
    </row>
    <row r="293" spans="2:3" ht="15.75" customHeight="1" x14ac:dyDescent="0.25">
      <c r="B293" s="67" t="e">
        <f t="shared" si="25"/>
        <v>#REF!</v>
      </c>
      <c r="C293" s="76" t="e">
        <f t="shared" si="26"/>
        <v>#REF!</v>
      </c>
    </row>
    <row r="294" spans="2:3" ht="15.75" customHeight="1" x14ac:dyDescent="0.25">
      <c r="B294" s="67" t="e">
        <f t="shared" si="25"/>
        <v>#REF!</v>
      </c>
      <c r="C294" s="76" t="e">
        <f t="shared" si="26"/>
        <v>#REF!</v>
      </c>
    </row>
    <row r="295" spans="2:3" ht="15.75" customHeight="1" x14ac:dyDescent="0.25">
      <c r="B295" s="67" t="e">
        <f t="shared" si="25"/>
        <v>#REF!</v>
      </c>
      <c r="C295" s="76" t="e">
        <f t="shared" si="26"/>
        <v>#REF!</v>
      </c>
    </row>
    <row r="296" spans="2:3" ht="15.75" customHeight="1" x14ac:dyDescent="0.25">
      <c r="B296" s="67" t="e">
        <f t="shared" si="25"/>
        <v>#REF!</v>
      </c>
      <c r="C296" s="76" t="e">
        <f t="shared" si="26"/>
        <v>#REF!</v>
      </c>
    </row>
    <row r="297" spans="2:3" ht="15.75" customHeight="1" x14ac:dyDescent="0.25">
      <c r="B297" s="67" t="e">
        <f t="shared" si="25"/>
        <v>#REF!</v>
      </c>
      <c r="C297" s="76" t="e">
        <f t="shared" si="26"/>
        <v>#REF!</v>
      </c>
    </row>
    <row r="298" spans="2:3" ht="15.75" customHeight="1" x14ac:dyDescent="0.25">
      <c r="B298" s="67" t="e">
        <f t="shared" si="25"/>
        <v>#REF!</v>
      </c>
      <c r="C298" s="76" t="e">
        <f t="shared" si="26"/>
        <v>#REF!</v>
      </c>
    </row>
    <row r="299" spans="2:3" ht="15.75" customHeight="1" x14ac:dyDescent="0.25">
      <c r="B299" s="67" t="e">
        <f t="shared" si="25"/>
        <v>#REF!</v>
      </c>
      <c r="C299" s="76" t="e">
        <f t="shared" si="26"/>
        <v>#REF!</v>
      </c>
    </row>
    <row r="300" spans="2:3" ht="15.75" customHeight="1" x14ac:dyDescent="0.25">
      <c r="B300" s="67" t="e">
        <f t="shared" si="25"/>
        <v>#REF!</v>
      </c>
      <c r="C300" s="76" t="e">
        <f t="shared" si="26"/>
        <v>#REF!</v>
      </c>
    </row>
    <row r="301" spans="2:3" ht="15.75" customHeight="1" x14ac:dyDescent="0.25">
      <c r="B301" s="67" t="e">
        <f t="shared" si="25"/>
        <v>#REF!</v>
      </c>
      <c r="C301" s="76" t="e">
        <f t="shared" si="26"/>
        <v>#REF!</v>
      </c>
    </row>
    <row r="302" spans="2:3" ht="15.75" customHeight="1" x14ac:dyDescent="0.25">
      <c r="B302" s="67" t="e">
        <f t="shared" si="25"/>
        <v>#REF!</v>
      </c>
      <c r="C302" s="76" t="e">
        <f t="shared" si="26"/>
        <v>#REF!</v>
      </c>
    </row>
    <row r="303" spans="2:3" ht="15.75" customHeight="1" x14ac:dyDescent="0.25">
      <c r="B303" s="67" t="e">
        <f t="shared" si="25"/>
        <v>#REF!</v>
      </c>
      <c r="C303" s="76" t="e">
        <f t="shared" si="26"/>
        <v>#REF!</v>
      </c>
    </row>
    <row r="304" spans="2:3" ht="15.75" customHeight="1" x14ac:dyDescent="0.25">
      <c r="B304" s="67" t="e">
        <f t="shared" si="25"/>
        <v>#REF!</v>
      </c>
      <c r="C304" s="76" t="e">
        <f t="shared" si="26"/>
        <v>#REF!</v>
      </c>
    </row>
    <row r="305" spans="2:3" ht="15.75" customHeight="1" x14ac:dyDescent="0.25">
      <c r="B305" s="67" t="e">
        <f t="shared" si="25"/>
        <v>#REF!</v>
      </c>
      <c r="C305" s="76" t="e">
        <f t="shared" si="26"/>
        <v>#REF!</v>
      </c>
    </row>
    <row r="306" spans="2:3" ht="15.75" customHeight="1" x14ac:dyDescent="0.25">
      <c r="B306" s="67" t="e">
        <f t="shared" si="25"/>
        <v>#REF!</v>
      </c>
      <c r="C306" s="76" t="e">
        <f t="shared" si="26"/>
        <v>#REF!</v>
      </c>
    </row>
    <row r="307" spans="2:3" ht="15.75" customHeight="1" x14ac:dyDescent="0.25">
      <c r="B307" s="67" t="e">
        <f t="shared" si="25"/>
        <v>#REF!</v>
      </c>
      <c r="C307" s="76" t="e">
        <f t="shared" si="26"/>
        <v>#REF!</v>
      </c>
    </row>
    <row r="308" spans="2:3" ht="15.75" customHeight="1" x14ac:dyDescent="0.25">
      <c r="B308" s="67" t="e">
        <f t="shared" si="25"/>
        <v>#REF!</v>
      </c>
      <c r="C308" s="76" t="e">
        <f t="shared" si="26"/>
        <v>#REF!</v>
      </c>
    </row>
    <row r="309" spans="2:3" ht="15.75" customHeight="1" x14ac:dyDescent="0.25">
      <c r="B309" s="67" t="e">
        <f t="shared" si="25"/>
        <v>#REF!</v>
      </c>
      <c r="C309" s="76" t="e">
        <f t="shared" si="26"/>
        <v>#REF!</v>
      </c>
    </row>
    <row r="310" spans="2:3" ht="15.75" customHeight="1" x14ac:dyDescent="0.25">
      <c r="B310" s="67" t="e">
        <f t="shared" si="25"/>
        <v>#REF!</v>
      </c>
      <c r="C310" s="76" t="e">
        <f t="shared" si="26"/>
        <v>#REF!</v>
      </c>
    </row>
    <row r="311" spans="2:3" ht="15.75" customHeight="1" x14ac:dyDescent="0.25">
      <c r="B311" s="67" t="e">
        <f t="shared" si="25"/>
        <v>#REF!</v>
      </c>
      <c r="C311" s="76" t="e">
        <f t="shared" si="26"/>
        <v>#REF!</v>
      </c>
    </row>
    <row r="312" spans="2:3" ht="15.75" customHeight="1" x14ac:dyDescent="0.25">
      <c r="B312" s="67" t="e">
        <f t="shared" si="25"/>
        <v>#REF!</v>
      </c>
      <c r="C312" s="76" t="e">
        <f t="shared" si="26"/>
        <v>#REF!</v>
      </c>
    </row>
    <row r="313" spans="2:3" ht="15.75" customHeight="1" x14ac:dyDescent="0.25">
      <c r="B313" s="67" t="e">
        <f t="shared" si="25"/>
        <v>#REF!</v>
      </c>
      <c r="C313" s="76" t="e">
        <f t="shared" si="26"/>
        <v>#REF!</v>
      </c>
    </row>
    <row r="314" spans="2:3" ht="15.75" customHeight="1" x14ac:dyDescent="0.25">
      <c r="B314" s="67" t="e">
        <f t="shared" si="25"/>
        <v>#REF!</v>
      </c>
      <c r="C314" s="76" t="e">
        <f t="shared" si="26"/>
        <v>#REF!</v>
      </c>
    </row>
    <row r="315" spans="2:3" ht="15.75" customHeight="1" x14ac:dyDescent="0.25">
      <c r="B315" s="67" t="e">
        <f t="shared" si="25"/>
        <v>#REF!</v>
      </c>
      <c r="C315" s="76" t="e">
        <f t="shared" si="26"/>
        <v>#REF!</v>
      </c>
    </row>
    <row r="316" spans="2:3" ht="15.75" customHeight="1" x14ac:dyDescent="0.25">
      <c r="B316" s="67" t="e">
        <f t="shared" si="25"/>
        <v>#REF!</v>
      </c>
      <c r="C316" s="76" t="e">
        <f t="shared" si="26"/>
        <v>#REF!</v>
      </c>
    </row>
    <row r="317" spans="2:3" ht="15.75" customHeight="1" x14ac:dyDescent="0.25">
      <c r="B317" s="67" t="e">
        <f t="shared" si="25"/>
        <v>#REF!</v>
      </c>
      <c r="C317" s="76" t="e">
        <f t="shared" si="26"/>
        <v>#REF!</v>
      </c>
    </row>
    <row r="318" spans="2:3" ht="15.75" customHeight="1" x14ac:dyDescent="0.25">
      <c r="B318" s="67" t="e">
        <f t="shared" si="25"/>
        <v>#REF!</v>
      </c>
      <c r="C318" s="76" t="e">
        <f t="shared" si="26"/>
        <v>#REF!</v>
      </c>
    </row>
    <row r="319" spans="2:3" ht="15.75" customHeight="1" x14ac:dyDescent="0.25">
      <c r="B319" s="67" t="e">
        <f t="shared" si="25"/>
        <v>#REF!</v>
      </c>
      <c r="C319" s="76" t="e">
        <f t="shared" si="26"/>
        <v>#REF!</v>
      </c>
    </row>
    <row r="320" spans="2:3" ht="15.75" customHeight="1" x14ac:dyDescent="0.25">
      <c r="B320" s="67" t="e">
        <f t="shared" si="25"/>
        <v>#REF!</v>
      </c>
      <c r="C320" s="76" t="e">
        <f t="shared" si="26"/>
        <v>#REF!</v>
      </c>
    </row>
    <row r="321" spans="2:3" ht="15.75" customHeight="1" x14ac:dyDescent="0.25">
      <c r="B321" s="67" t="e">
        <f t="shared" si="25"/>
        <v>#REF!</v>
      </c>
      <c r="C321" s="76" t="e">
        <f t="shared" si="26"/>
        <v>#REF!</v>
      </c>
    </row>
    <row r="322" spans="2:3" ht="15.75" customHeight="1" x14ac:dyDescent="0.25">
      <c r="B322" s="67" t="e">
        <f t="shared" si="25"/>
        <v>#REF!</v>
      </c>
      <c r="C322" s="76" t="e">
        <f t="shared" si="26"/>
        <v>#REF!</v>
      </c>
    </row>
    <row r="323" spans="2:3" ht="15.75" customHeight="1" x14ac:dyDescent="0.25">
      <c r="B323" s="67" t="e">
        <f t="shared" si="25"/>
        <v>#REF!</v>
      </c>
      <c r="C323" s="76" t="e">
        <f t="shared" si="26"/>
        <v>#REF!</v>
      </c>
    </row>
    <row r="324" spans="2:3" ht="15.75" customHeight="1" x14ac:dyDescent="0.25">
      <c r="B324" s="67" t="e">
        <f t="shared" si="25"/>
        <v>#REF!</v>
      </c>
      <c r="C324" s="76" t="e">
        <f t="shared" si="26"/>
        <v>#REF!</v>
      </c>
    </row>
    <row r="325" spans="2:3" ht="15.75" customHeight="1" x14ac:dyDescent="0.25">
      <c r="B325" s="67" t="e">
        <f t="shared" si="25"/>
        <v>#REF!</v>
      </c>
      <c r="C325" s="76" t="e">
        <f t="shared" si="26"/>
        <v>#REF!</v>
      </c>
    </row>
    <row r="326" spans="2:3" ht="15.75" customHeight="1" x14ac:dyDescent="0.25">
      <c r="B326" s="67" t="e">
        <f t="shared" si="25"/>
        <v>#REF!</v>
      </c>
      <c r="C326" s="76" t="e">
        <f t="shared" si="26"/>
        <v>#REF!</v>
      </c>
    </row>
    <row r="327" spans="2:3" ht="15.75" customHeight="1" x14ac:dyDescent="0.25">
      <c r="B327" s="67" t="e">
        <f t="shared" si="25"/>
        <v>#REF!</v>
      </c>
      <c r="C327" s="76" t="e">
        <f t="shared" si="26"/>
        <v>#REF!</v>
      </c>
    </row>
    <row r="328" spans="2:3" ht="15.75" customHeight="1" x14ac:dyDescent="0.25">
      <c r="B328" s="67" t="e">
        <f t="shared" si="25"/>
        <v>#REF!</v>
      </c>
      <c r="C328" s="76" t="e">
        <f t="shared" si="26"/>
        <v>#REF!</v>
      </c>
    </row>
    <row r="329" spans="2:3" ht="15.75" customHeight="1" x14ac:dyDescent="0.25">
      <c r="B329" s="67" t="e">
        <f t="shared" si="25"/>
        <v>#REF!</v>
      </c>
      <c r="C329" s="76" t="e">
        <f t="shared" si="26"/>
        <v>#REF!</v>
      </c>
    </row>
    <row r="330" spans="2:3" ht="15.75" customHeight="1" x14ac:dyDescent="0.25">
      <c r="B330" s="67" t="e">
        <f t="shared" si="25"/>
        <v>#REF!</v>
      </c>
      <c r="C330" s="76" t="e">
        <f t="shared" si="26"/>
        <v>#REF!</v>
      </c>
    </row>
    <row r="331" spans="2:3" ht="15.75" customHeight="1" x14ac:dyDescent="0.25">
      <c r="B331" s="67" t="e">
        <f t="shared" si="25"/>
        <v>#REF!</v>
      </c>
      <c r="C331" s="76" t="e">
        <f t="shared" si="26"/>
        <v>#REF!</v>
      </c>
    </row>
    <row r="332" spans="2:3" ht="15.75" customHeight="1" x14ac:dyDescent="0.25">
      <c r="B332" s="67" t="e">
        <f t="shared" si="25"/>
        <v>#REF!</v>
      </c>
      <c r="C332" s="76" t="e">
        <f t="shared" si="26"/>
        <v>#REF!</v>
      </c>
    </row>
    <row r="333" spans="2:3" ht="15.75" customHeight="1" x14ac:dyDescent="0.25">
      <c r="B333" s="67" t="e">
        <f t="shared" si="25"/>
        <v>#REF!</v>
      </c>
      <c r="C333" s="76" t="e">
        <f t="shared" si="26"/>
        <v>#REF!</v>
      </c>
    </row>
    <row r="334" spans="2:3" ht="15.75" customHeight="1" x14ac:dyDescent="0.25">
      <c r="B334" s="67" t="e">
        <f t="shared" si="25"/>
        <v>#REF!</v>
      </c>
      <c r="C334" s="76" t="e">
        <f t="shared" si="26"/>
        <v>#REF!</v>
      </c>
    </row>
    <row r="335" spans="2:3" ht="15.75" customHeight="1" x14ac:dyDescent="0.25">
      <c r="B335" s="67" t="e">
        <f t="shared" si="25"/>
        <v>#REF!</v>
      </c>
      <c r="C335" s="76" t="e">
        <f t="shared" si="26"/>
        <v>#REF!</v>
      </c>
    </row>
    <row r="336" spans="2:3" ht="15.75" customHeight="1" x14ac:dyDescent="0.25">
      <c r="B336" s="67" t="e">
        <f t="shared" si="25"/>
        <v>#REF!</v>
      </c>
      <c r="C336" s="76" t="e">
        <f t="shared" si="26"/>
        <v>#REF!</v>
      </c>
    </row>
    <row r="337" spans="2:3" ht="15.75" customHeight="1" x14ac:dyDescent="0.25">
      <c r="B337" s="67" t="e">
        <f t="shared" si="25"/>
        <v>#REF!</v>
      </c>
      <c r="C337" s="76" t="e">
        <f t="shared" si="26"/>
        <v>#REF!</v>
      </c>
    </row>
    <row r="338" spans="2:3" ht="15.75" customHeight="1" x14ac:dyDescent="0.25">
      <c r="B338" s="67" t="e">
        <f t="shared" si="25"/>
        <v>#REF!</v>
      </c>
      <c r="C338" s="76" t="e">
        <f t="shared" si="26"/>
        <v>#REF!</v>
      </c>
    </row>
    <row r="339" spans="2:3" ht="15.75" customHeight="1" x14ac:dyDescent="0.25">
      <c r="B339" s="67" t="e">
        <f t="shared" si="25"/>
        <v>#REF!</v>
      </c>
      <c r="C339" s="76" t="e">
        <f t="shared" si="26"/>
        <v>#REF!</v>
      </c>
    </row>
    <row r="340" spans="2:3" ht="15.75" customHeight="1" x14ac:dyDescent="0.25">
      <c r="B340" s="67" t="e">
        <f t="shared" si="25"/>
        <v>#REF!</v>
      </c>
      <c r="C340" s="76" t="e">
        <f t="shared" si="26"/>
        <v>#REF!</v>
      </c>
    </row>
    <row r="341" spans="2:3" ht="15.75" customHeight="1" x14ac:dyDescent="0.25">
      <c r="B341" s="67" t="e">
        <f t="shared" si="25"/>
        <v>#REF!</v>
      </c>
      <c r="C341" s="76" t="e">
        <f t="shared" si="26"/>
        <v>#REF!</v>
      </c>
    </row>
    <row r="342" spans="2:3" ht="15.75" customHeight="1" x14ac:dyDescent="0.25">
      <c r="B342" s="67" t="e">
        <f t="shared" si="25"/>
        <v>#REF!</v>
      </c>
      <c r="C342" s="76" t="e">
        <f t="shared" si="26"/>
        <v>#REF!</v>
      </c>
    </row>
    <row r="343" spans="2:3" ht="15.75" customHeight="1" x14ac:dyDescent="0.25">
      <c r="B343" s="67" t="e">
        <f t="shared" si="25"/>
        <v>#REF!</v>
      </c>
      <c r="C343" s="76" t="e">
        <f t="shared" si="26"/>
        <v>#REF!</v>
      </c>
    </row>
    <row r="344" spans="2:3" ht="15.75" customHeight="1" x14ac:dyDescent="0.25">
      <c r="B344" s="67" t="e">
        <f t="shared" si="25"/>
        <v>#REF!</v>
      </c>
      <c r="C344" s="76" t="e">
        <f t="shared" si="26"/>
        <v>#REF!</v>
      </c>
    </row>
    <row r="345" spans="2:3" ht="15.75" customHeight="1" x14ac:dyDescent="0.25">
      <c r="B345" s="67" t="e">
        <f t="shared" si="25"/>
        <v>#REF!</v>
      </c>
      <c r="C345" s="76" t="e">
        <f t="shared" si="26"/>
        <v>#REF!</v>
      </c>
    </row>
    <row r="346" spans="2:3" ht="15.75" customHeight="1" x14ac:dyDescent="0.25">
      <c r="B346" s="67" t="e">
        <f t="shared" si="25"/>
        <v>#REF!</v>
      </c>
      <c r="C346" s="76" t="e">
        <f t="shared" si="26"/>
        <v>#REF!</v>
      </c>
    </row>
    <row r="347" spans="2:3" ht="15.75" customHeight="1" x14ac:dyDescent="0.25">
      <c r="B347" s="67" t="e">
        <f t="shared" si="25"/>
        <v>#REF!</v>
      </c>
      <c r="C347" s="76" t="e">
        <f t="shared" si="26"/>
        <v>#REF!</v>
      </c>
    </row>
    <row r="348" spans="2:3" ht="15.75" customHeight="1" x14ac:dyDescent="0.25">
      <c r="B348" s="67" t="e">
        <f t="shared" si="25"/>
        <v>#REF!</v>
      </c>
      <c r="C348" s="76" t="e">
        <f t="shared" si="26"/>
        <v>#REF!</v>
      </c>
    </row>
    <row r="349" spans="2:3" ht="15.75" customHeight="1" x14ac:dyDescent="0.25">
      <c r="B349" s="67" t="e">
        <f t="shared" si="25"/>
        <v>#REF!</v>
      </c>
      <c r="C349" s="76" t="e">
        <f t="shared" si="26"/>
        <v>#REF!</v>
      </c>
    </row>
    <row r="350" spans="2:3" ht="15.75" customHeight="1" x14ac:dyDescent="0.25">
      <c r="B350" s="67" t="e">
        <f t="shared" ref="B350:B413" si="27">IF(B349="","",IF(B349+$C$10&lt;=$C$6,B349+$C$10,""))</f>
        <v>#REF!</v>
      </c>
      <c r="C350" s="76" t="e">
        <f t="shared" ref="C350:C413" si="28">IF(B350&lt;&gt;"",C349-$C$2/COUNT($B$18:$B$511),"")</f>
        <v>#REF!</v>
      </c>
    </row>
    <row r="351" spans="2:3" ht="15.75" customHeight="1" x14ac:dyDescent="0.25">
      <c r="B351" s="67" t="e">
        <f t="shared" si="27"/>
        <v>#REF!</v>
      </c>
      <c r="C351" s="76" t="e">
        <f t="shared" si="28"/>
        <v>#REF!</v>
      </c>
    </row>
    <row r="352" spans="2:3" ht="15.75" customHeight="1" x14ac:dyDescent="0.25">
      <c r="B352" s="67" t="e">
        <f t="shared" si="27"/>
        <v>#REF!</v>
      </c>
      <c r="C352" s="76" t="e">
        <f t="shared" si="28"/>
        <v>#REF!</v>
      </c>
    </row>
    <row r="353" spans="2:3" ht="15.75" customHeight="1" x14ac:dyDescent="0.25">
      <c r="B353" s="67" t="e">
        <f t="shared" si="27"/>
        <v>#REF!</v>
      </c>
      <c r="C353" s="76" t="e">
        <f t="shared" si="28"/>
        <v>#REF!</v>
      </c>
    </row>
    <row r="354" spans="2:3" ht="15.75" customHeight="1" x14ac:dyDescent="0.25">
      <c r="B354" s="67" t="e">
        <f t="shared" si="27"/>
        <v>#REF!</v>
      </c>
      <c r="C354" s="76" t="e">
        <f t="shared" si="28"/>
        <v>#REF!</v>
      </c>
    </row>
    <row r="355" spans="2:3" ht="15.75" customHeight="1" x14ac:dyDescent="0.25">
      <c r="B355" s="67" t="e">
        <f t="shared" si="27"/>
        <v>#REF!</v>
      </c>
      <c r="C355" s="76" t="e">
        <f t="shared" si="28"/>
        <v>#REF!</v>
      </c>
    </row>
    <row r="356" spans="2:3" ht="15.75" customHeight="1" x14ac:dyDescent="0.25">
      <c r="B356" s="67" t="e">
        <f t="shared" si="27"/>
        <v>#REF!</v>
      </c>
      <c r="C356" s="76" t="e">
        <f t="shared" si="28"/>
        <v>#REF!</v>
      </c>
    </row>
    <row r="357" spans="2:3" ht="15.75" customHeight="1" x14ac:dyDescent="0.25">
      <c r="B357" s="67" t="e">
        <f t="shared" si="27"/>
        <v>#REF!</v>
      </c>
      <c r="C357" s="76" t="e">
        <f t="shared" si="28"/>
        <v>#REF!</v>
      </c>
    </row>
    <row r="358" spans="2:3" ht="15.75" customHeight="1" x14ac:dyDescent="0.25">
      <c r="B358" s="67" t="e">
        <f t="shared" si="27"/>
        <v>#REF!</v>
      </c>
      <c r="C358" s="76" t="e">
        <f t="shared" si="28"/>
        <v>#REF!</v>
      </c>
    </row>
    <row r="359" spans="2:3" ht="15.75" customHeight="1" x14ac:dyDescent="0.25">
      <c r="B359" s="67" t="e">
        <f t="shared" si="27"/>
        <v>#REF!</v>
      </c>
      <c r="C359" s="76" t="e">
        <f t="shared" si="28"/>
        <v>#REF!</v>
      </c>
    </row>
    <row r="360" spans="2:3" ht="15.75" customHeight="1" x14ac:dyDescent="0.25">
      <c r="B360" s="67" t="e">
        <f t="shared" si="27"/>
        <v>#REF!</v>
      </c>
      <c r="C360" s="76" t="e">
        <f t="shared" si="28"/>
        <v>#REF!</v>
      </c>
    </row>
    <row r="361" spans="2:3" ht="15.75" customHeight="1" x14ac:dyDescent="0.25">
      <c r="B361" s="67" t="e">
        <f t="shared" si="27"/>
        <v>#REF!</v>
      </c>
      <c r="C361" s="76" t="e">
        <f t="shared" si="28"/>
        <v>#REF!</v>
      </c>
    </row>
    <row r="362" spans="2:3" ht="15.75" customHeight="1" x14ac:dyDescent="0.25">
      <c r="B362" s="67" t="e">
        <f t="shared" si="27"/>
        <v>#REF!</v>
      </c>
      <c r="C362" s="76" t="e">
        <f t="shared" si="28"/>
        <v>#REF!</v>
      </c>
    </row>
    <row r="363" spans="2:3" ht="15.75" customHeight="1" x14ac:dyDescent="0.25">
      <c r="B363" s="67" t="e">
        <f t="shared" si="27"/>
        <v>#REF!</v>
      </c>
      <c r="C363" s="76" t="e">
        <f t="shared" si="28"/>
        <v>#REF!</v>
      </c>
    </row>
    <row r="364" spans="2:3" ht="15.75" customHeight="1" x14ac:dyDescent="0.25">
      <c r="B364" s="67" t="e">
        <f t="shared" si="27"/>
        <v>#REF!</v>
      </c>
      <c r="C364" s="76" t="e">
        <f t="shared" si="28"/>
        <v>#REF!</v>
      </c>
    </row>
    <row r="365" spans="2:3" ht="15.75" customHeight="1" x14ac:dyDescent="0.25">
      <c r="B365" s="67" t="e">
        <f t="shared" si="27"/>
        <v>#REF!</v>
      </c>
      <c r="C365" s="76" t="e">
        <f t="shared" si="28"/>
        <v>#REF!</v>
      </c>
    </row>
    <row r="366" spans="2:3" ht="15.75" customHeight="1" x14ac:dyDescent="0.25">
      <c r="B366" s="67" t="e">
        <f t="shared" si="27"/>
        <v>#REF!</v>
      </c>
      <c r="C366" s="76" t="e">
        <f t="shared" si="28"/>
        <v>#REF!</v>
      </c>
    </row>
    <row r="367" spans="2:3" ht="15.75" customHeight="1" x14ac:dyDescent="0.25">
      <c r="B367" s="67" t="e">
        <f t="shared" si="27"/>
        <v>#REF!</v>
      </c>
      <c r="C367" s="76" t="e">
        <f t="shared" si="28"/>
        <v>#REF!</v>
      </c>
    </row>
    <row r="368" spans="2:3" ht="15.75" customHeight="1" x14ac:dyDescent="0.25">
      <c r="B368" s="67" t="e">
        <f t="shared" si="27"/>
        <v>#REF!</v>
      </c>
      <c r="C368" s="76" t="e">
        <f t="shared" si="28"/>
        <v>#REF!</v>
      </c>
    </row>
    <row r="369" spans="2:3" ht="15.75" customHeight="1" x14ac:dyDescent="0.25">
      <c r="B369" s="67" t="e">
        <f t="shared" si="27"/>
        <v>#REF!</v>
      </c>
      <c r="C369" s="76" t="e">
        <f t="shared" si="28"/>
        <v>#REF!</v>
      </c>
    </row>
    <row r="370" spans="2:3" ht="15.75" customHeight="1" x14ac:dyDescent="0.25">
      <c r="B370" s="67" t="e">
        <f t="shared" si="27"/>
        <v>#REF!</v>
      </c>
      <c r="C370" s="76" t="e">
        <f t="shared" si="28"/>
        <v>#REF!</v>
      </c>
    </row>
    <row r="371" spans="2:3" ht="15.75" customHeight="1" x14ac:dyDescent="0.25">
      <c r="B371" s="67" t="e">
        <f t="shared" si="27"/>
        <v>#REF!</v>
      </c>
      <c r="C371" s="76" t="e">
        <f t="shared" si="28"/>
        <v>#REF!</v>
      </c>
    </row>
    <row r="372" spans="2:3" ht="15.75" customHeight="1" x14ac:dyDescent="0.25">
      <c r="B372" s="67" t="e">
        <f t="shared" si="27"/>
        <v>#REF!</v>
      </c>
      <c r="C372" s="76" t="e">
        <f t="shared" si="28"/>
        <v>#REF!</v>
      </c>
    </row>
    <row r="373" spans="2:3" ht="15.75" customHeight="1" x14ac:dyDescent="0.25">
      <c r="B373" s="67" t="e">
        <f t="shared" si="27"/>
        <v>#REF!</v>
      </c>
      <c r="C373" s="76" t="e">
        <f t="shared" si="28"/>
        <v>#REF!</v>
      </c>
    </row>
    <row r="374" spans="2:3" ht="15.75" customHeight="1" x14ac:dyDescent="0.25">
      <c r="B374" s="67" t="e">
        <f t="shared" si="27"/>
        <v>#REF!</v>
      </c>
      <c r="C374" s="76" t="e">
        <f t="shared" si="28"/>
        <v>#REF!</v>
      </c>
    </row>
    <row r="375" spans="2:3" ht="15.75" customHeight="1" x14ac:dyDescent="0.25">
      <c r="B375" s="67" t="e">
        <f t="shared" si="27"/>
        <v>#REF!</v>
      </c>
      <c r="C375" s="76" t="e">
        <f t="shared" si="28"/>
        <v>#REF!</v>
      </c>
    </row>
    <row r="376" spans="2:3" ht="15.75" customHeight="1" x14ac:dyDescent="0.25">
      <c r="B376" s="67" t="e">
        <f t="shared" si="27"/>
        <v>#REF!</v>
      </c>
      <c r="C376" s="76" t="e">
        <f t="shared" si="28"/>
        <v>#REF!</v>
      </c>
    </row>
    <row r="377" spans="2:3" ht="15.75" customHeight="1" x14ac:dyDescent="0.25">
      <c r="B377" s="67" t="e">
        <f t="shared" si="27"/>
        <v>#REF!</v>
      </c>
      <c r="C377" s="76" t="e">
        <f t="shared" si="28"/>
        <v>#REF!</v>
      </c>
    </row>
    <row r="378" spans="2:3" ht="15.75" customHeight="1" x14ac:dyDescent="0.25">
      <c r="B378" s="67" t="e">
        <f t="shared" si="27"/>
        <v>#REF!</v>
      </c>
      <c r="C378" s="76" t="e">
        <f t="shared" si="28"/>
        <v>#REF!</v>
      </c>
    </row>
    <row r="379" spans="2:3" ht="15.75" customHeight="1" x14ac:dyDescent="0.25">
      <c r="B379" s="67" t="e">
        <f t="shared" si="27"/>
        <v>#REF!</v>
      </c>
      <c r="C379" s="76" t="e">
        <f t="shared" si="28"/>
        <v>#REF!</v>
      </c>
    </row>
    <row r="380" spans="2:3" ht="15.75" customHeight="1" x14ac:dyDescent="0.25">
      <c r="B380" s="67" t="e">
        <f t="shared" si="27"/>
        <v>#REF!</v>
      </c>
      <c r="C380" s="76" t="e">
        <f t="shared" si="28"/>
        <v>#REF!</v>
      </c>
    </row>
    <row r="381" spans="2:3" ht="15.75" customHeight="1" x14ac:dyDescent="0.25">
      <c r="B381" s="67" t="e">
        <f t="shared" si="27"/>
        <v>#REF!</v>
      </c>
      <c r="C381" s="76" t="e">
        <f t="shared" si="28"/>
        <v>#REF!</v>
      </c>
    </row>
    <row r="382" spans="2:3" ht="15.75" customHeight="1" x14ac:dyDescent="0.25">
      <c r="B382" s="67" t="e">
        <f t="shared" si="27"/>
        <v>#REF!</v>
      </c>
      <c r="C382" s="76" t="e">
        <f t="shared" si="28"/>
        <v>#REF!</v>
      </c>
    </row>
    <row r="383" spans="2:3" ht="15.75" customHeight="1" x14ac:dyDescent="0.25">
      <c r="B383" s="67" t="e">
        <f t="shared" si="27"/>
        <v>#REF!</v>
      </c>
      <c r="C383" s="76" t="e">
        <f t="shared" si="28"/>
        <v>#REF!</v>
      </c>
    </row>
    <row r="384" spans="2:3" ht="15.75" customHeight="1" x14ac:dyDescent="0.25">
      <c r="B384" s="67" t="e">
        <f t="shared" si="27"/>
        <v>#REF!</v>
      </c>
      <c r="C384" s="76" t="e">
        <f t="shared" si="28"/>
        <v>#REF!</v>
      </c>
    </row>
    <row r="385" spans="2:3" ht="15.75" customHeight="1" x14ac:dyDescent="0.25">
      <c r="B385" s="67" t="e">
        <f t="shared" si="27"/>
        <v>#REF!</v>
      </c>
      <c r="C385" s="76" t="e">
        <f t="shared" si="28"/>
        <v>#REF!</v>
      </c>
    </row>
    <row r="386" spans="2:3" ht="15.75" customHeight="1" x14ac:dyDescent="0.25">
      <c r="B386" s="67" t="e">
        <f t="shared" si="27"/>
        <v>#REF!</v>
      </c>
      <c r="C386" s="76" t="e">
        <f t="shared" si="28"/>
        <v>#REF!</v>
      </c>
    </row>
    <row r="387" spans="2:3" ht="15.75" customHeight="1" x14ac:dyDescent="0.25">
      <c r="B387" s="67" t="e">
        <f t="shared" si="27"/>
        <v>#REF!</v>
      </c>
      <c r="C387" s="76" t="e">
        <f t="shared" si="28"/>
        <v>#REF!</v>
      </c>
    </row>
    <row r="388" spans="2:3" ht="15.75" customHeight="1" x14ac:dyDescent="0.25">
      <c r="B388" s="67" t="e">
        <f t="shared" si="27"/>
        <v>#REF!</v>
      </c>
      <c r="C388" s="76" t="e">
        <f t="shared" si="28"/>
        <v>#REF!</v>
      </c>
    </row>
    <row r="389" spans="2:3" ht="15.75" customHeight="1" x14ac:dyDescent="0.25">
      <c r="B389" s="67" t="e">
        <f t="shared" si="27"/>
        <v>#REF!</v>
      </c>
      <c r="C389" s="76" t="e">
        <f t="shared" si="28"/>
        <v>#REF!</v>
      </c>
    </row>
    <row r="390" spans="2:3" ht="15.75" customHeight="1" x14ac:dyDescent="0.25">
      <c r="B390" s="67" t="e">
        <f t="shared" si="27"/>
        <v>#REF!</v>
      </c>
      <c r="C390" s="76" t="e">
        <f t="shared" si="28"/>
        <v>#REF!</v>
      </c>
    </row>
    <row r="391" spans="2:3" ht="15.75" customHeight="1" x14ac:dyDescent="0.25">
      <c r="B391" s="67" t="e">
        <f t="shared" si="27"/>
        <v>#REF!</v>
      </c>
      <c r="C391" s="76" t="e">
        <f t="shared" si="28"/>
        <v>#REF!</v>
      </c>
    </row>
    <row r="392" spans="2:3" ht="15.75" customHeight="1" x14ac:dyDescent="0.25">
      <c r="B392" s="67" t="e">
        <f t="shared" si="27"/>
        <v>#REF!</v>
      </c>
      <c r="C392" s="76" t="e">
        <f t="shared" si="28"/>
        <v>#REF!</v>
      </c>
    </row>
    <row r="393" spans="2:3" ht="15.75" customHeight="1" x14ac:dyDescent="0.25">
      <c r="B393" s="67" t="e">
        <f t="shared" si="27"/>
        <v>#REF!</v>
      </c>
      <c r="C393" s="76" t="e">
        <f t="shared" si="28"/>
        <v>#REF!</v>
      </c>
    </row>
    <row r="394" spans="2:3" ht="15.75" customHeight="1" x14ac:dyDescent="0.25">
      <c r="B394" s="67" t="e">
        <f t="shared" si="27"/>
        <v>#REF!</v>
      </c>
      <c r="C394" s="76" t="e">
        <f t="shared" si="28"/>
        <v>#REF!</v>
      </c>
    </row>
    <row r="395" spans="2:3" ht="15.75" customHeight="1" x14ac:dyDescent="0.25">
      <c r="B395" s="67" t="e">
        <f t="shared" si="27"/>
        <v>#REF!</v>
      </c>
      <c r="C395" s="76" t="e">
        <f t="shared" si="28"/>
        <v>#REF!</v>
      </c>
    </row>
    <row r="396" spans="2:3" ht="15.75" customHeight="1" x14ac:dyDescent="0.25">
      <c r="B396" s="67" t="e">
        <f t="shared" si="27"/>
        <v>#REF!</v>
      </c>
      <c r="C396" s="76" t="e">
        <f t="shared" si="28"/>
        <v>#REF!</v>
      </c>
    </row>
    <row r="397" spans="2:3" ht="15.75" customHeight="1" x14ac:dyDescent="0.25">
      <c r="B397" s="67" t="e">
        <f t="shared" si="27"/>
        <v>#REF!</v>
      </c>
      <c r="C397" s="76" t="e">
        <f t="shared" si="28"/>
        <v>#REF!</v>
      </c>
    </row>
    <row r="398" spans="2:3" ht="15.75" customHeight="1" x14ac:dyDescent="0.25">
      <c r="B398" s="67" t="e">
        <f t="shared" si="27"/>
        <v>#REF!</v>
      </c>
      <c r="C398" s="76" t="e">
        <f t="shared" si="28"/>
        <v>#REF!</v>
      </c>
    </row>
    <row r="399" spans="2:3" ht="15.75" customHeight="1" x14ac:dyDescent="0.25">
      <c r="B399" s="67" t="e">
        <f t="shared" si="27"/>
        <v>#REF!</v>
      </c>
      <c r="C399" s="76" t="e">
        <f t="shared" si="28"/>
        <v>#REF!</v>
      </c>
    </row>
    <row r="400" spans="2:3" ht="15.75" customHeight="1" x14ac:dyDescent="0.25">
      <c r="B400" s="67" t="e">
        <f t="shared" si="27"/>
        <v>#REF!</v>
      </c>
      <c r="C400" s="76" t="e">
        <f t="shared" si="28"/>
        <v>#REF!</v>
      </c>
    </row>
    <row r="401" spans="2:3" ht="15.75" customHeight="1" x14ac:dyDescent="0.25">
      <c r="B401" s="67" t="e">
        <f t="shared" si="27"/>
        <v>#REF!</v>
      </c>
      <c r="C401" s="76" t="e">
        <f t="shared" si="28"/>
        <v>#REF!</v>
      </c>
    </row>
    <row r="402" spans="2:3" ht="15.75" customHeight="1" x14ac:dyDescent="0.25">
      <c r="B402" s="67" t="e">
        <f t="shared" si="27"/>
        <v>#REF!</v>
      </c>
      <c r="C402" s="76" t="e">
        <f t="shared" si="28"/>
        <v>#REF!</v>
      </c>
    </row>
    <row r="403" spans="2:3" ht="15.75" customHeight="1" x14ac:dyDescent="0.25">
      <c r="B403" s="67" t="e">
        <f t="shared" si="27"/>
        <v>#REF!</v>
      </c>
      <c r="C403" s="76" t="e">
        <f t="shared" si="28"/>
        <v>#REF!</v>
      </c>
    </row>
    <row r="404" spans="2:3" ht="15.75" customHeight="1" x14ac:dyDescent="0.25">
      <c r="B404" s="67" t="e">
        <f t="shared" si="27"/>
        <v>#REF!</v>
      </c>
      <c r="C404" s="76" t="e">
        <f t="shared" si="28"/>
        <v>#REF!</v>
      </c>
    </row>
    <row r="405" spans="2:3" ht="15.75" customHeight="1" x14ac:dyDescent="0.25">
      <c r="B405" s="67" t="e">
        <f t="shared" si="27"/>
        <v>#REF!</v>
      </c>
      <c r="C405" s="76" t="e">
        <f t="shared" si="28"/>
        <v>#REF!</v>
      </c>
    </row>
    <row r="406" spans="2:3" ht="15.75" customHeight="1" x14ac:dyDescent="0.25">
      <c r="B406" s="67" t="e">
        <f t="shared" si="27"/>
        <v>#REF!</v>
      </c>
      <c r="C406" s="76" t="e">
        <f t="shared" si="28"/>
        <v>#REF!</v>
      </c>
    </row>
    <row r="407" spans="2:3" ht="15.75" customHeight="1" x14ac:dyDescent="0.25">
      <c r="B407" s="67" t="e">
        <f t="shared" si="27"/>
        <v>#REF!</v>
      </c>
      <c r="C407" s="76" t="e">
        <f t="shared" si="28"/>
        <v>#REF!</v>
      </c>
    </row>
    <row r="408" spans="2:3" ht="15.75" customHeight="1" x14ac:dyDescent="0.25">
      <c r="B408" s="67" t="e">
        <f t="shared" si="27"/>
        <v>#REF!</v>
      </c>
      <c r="C408" s="76" t="e">
        <f t="shared" si="28"/>
        <v>#REF!</v>
      </c>
    </row>
    <row r="409" spans="2:3" ht="15.75" customHeight="1" x14ac:dyDescent="0.25">
      <c r="B409" s="67" t="e">
        <f t="shared" si="27"/>
        <v>#REF!</v>
      </c>
      <c r="C409" s="76" t="e">
        <f t="shared" si="28"/>
        <v>#REF!</v>
      </c>
    </row>
    <row r="410" spans="2:3" ht="15.75" customHeight="1" x14ac:dyDescent="0.25">
      <c r="B410" s="67" t="e">
        <f t="shared" si="27"/>
        <v>#REF!</v>
      </c>
      <c r="C410" s="76" t="e">
        <f t="shared" si="28"/>
        <v>#REF!</v>
      </c>
    </row>
    <row r="411" spans="2:3" ht="15.75" customHeight="1" x14ac:dyDescent="0.25">
      <c r="B411" s="67" t="e">
        <f t="shared" si="27"/>
        <v>#REF!</v>
      </c>
      <c r="C411" s="76" t="e">
        <f t="shared" si="28"/>
        <v>#REF!</v>
      </c>
    </row>
    <row r="412" spans="2:3" ht="15.75" customHeight="1" x14ac:dyDescent="0.25">
      <c r="B412" s="67" t="e">
        <f t="shared" si="27"/>
        <v>#REF!</v>
      </c>
      <c r="C412" s="76" t="e">
        <f t="shared" si="28"/>
        <v>#REF!</v>
      </c>
    </row>
    <row r="413" spans="2:3" ht="15.75" customHeight="1" x14ac:dyDescent="0.25">
      <c r="B413" s="67" t="e">
        <f t="shared" si="27"/>
        <v>#REF!</v>
      </c>
      <c r="C413" s="76" t="e">
        <f t="shared" si="28"/>
        <v>#REF!</v>
      </c>
    </row>
    <row r="414" spans="2:3" ht="15.75" customHeight="1" x14ac:dyDescent="0.25">
      <c r="B414" s="67" t="e">
        <f t="shared" ref="B414:B477" si="29">IF(B413="","",IF(B413+$C$10&lt;=$C$6,B413+$C$10,""))</f>
        <v>#REF!</v>
      </c>
      <c r="C414" s="76" t="e">
        <f t="shared" ref="C414:C477" si="30">IF(B414&lt;&gt;"",C413-$C$2/COUNT($B$18:$B$511),"")</f>
        <v>#REF!</v>
      </c>
    </row>
    <row r="415" spans="2:3" ht="15.75" customHeight="1" x14ac:dyDescent="0.25">
      <c r="B415" s="67" t="e">
        <f t="shared" si="29"/>
        <v>#REF!</v>
      </c>
      <c r="C415" s="76" t="e">
        <f t="shared" si="30"/>
        <v>#REF!</v>
      </c>
    </row>
    <row r="416" spans="2:3" ht="15.75" customHeight="1" x14ac:dyDescent="0.25">
      <c r="B416" s="67" t="e">
        <f t="shared" si="29"/>
        <v>#REF!</v>
      </c>
      <c r="C416" s="76" t="e">
        <f t="shared" si="30"/>
        <v>#REF!</v>
      </c>
    </row>
    <row r="417" spans="2:3" ht="15.75" customHeight="1" x14ac:dyDescent="0.25">
      <c r="B417" s="67" t="e">
        <f t="shared" si="29"/>
        <v>#REF!</v>
      </c>
      <c r="C417" s="76" t="e">
        <f t="shared" si="30"/>
        <v>#REF!</v>
      </c>
    </row>
    <row r="418" spans="2:3" ht="15.75" customHeight="1" x14ac:dyDescent="0.25">
      <c r="B418" s="67" t="e">
        <f t="shared" si="29"/>
        <v>#REF!</v>
      </c>
      <c r="C418" s="76" t="e">
        <f t="shared" si="30"/>
        <v>#REF!</v>
      </c>
    </row>
    <row r="419" spans="2:3" ht="15.75" customHeight="1" x14ac:dyDescent="0.25">
      <c r="B419" s="67" t="e">
        <f t="shared" si="29"/>
        <v>#REF!</v>
      </c>
      <c r="C419" s="76" t="e">
        <f t="shared" si="30"/>
        <v>#REF!</v>
      </c>
    </row>
    <row r="420" spans="2:3" ht="15.75" customHeight="1" x14ac:dyDescent="0.25">
      <c r="B420" s="67" t="e">
        <f t="shared" si="29"/>
        <v>#REF!</v>
      </c>
      <c r="C420" s="76" t="e">
        <f t="shared" si="30"/>
        <v>#REF!</v>
      </c>
    </row>
    <row r="421" spans="2:3" ht="15.75" customHeight="1" x14ac:dyDescent="0.25">
      <c r="B421" s="67" t="e">
        <f t="shared" si="29"/>
        <v>#REF!</v>
      </c>
      <c r="C421" s="76" t="e">
        <f t="shared" si="30"/>
        <v>#REF!</v>
      </c>
    </row>
    <row r="422" spans="2:3" ht="15.75" customHeight="1" x14ac:dyDescent="0.25">
      <c r="B422" s="67" t="e">
        <f t="shared" si="29"/>
        <v>#REF!</v>
      </c>
      <c r="C422" s="76" t="e">
        <f t="shared" si="30"/>
        <v>#REF!</v>
      </c>
    </row>
    <row r="423" spans="2:3" ht="15.75" customHeight="1" x14ac:dyDescent="0.25">
      <c r="B423" s="67" t="e">
        <f t="shared" si="29"/>
        <v>#REF!</v>
      </c>
      <c r="C423" s="76" t="e">
        <f t="shared" si="30"/>
        <v>#REF!</v>
      </c>
    </row>
    <row r="424" spans="2:3" ht="15.75" customHeight="1" x14ac:dyDescent="0.25">
      <c r="B424" s="67" t="e">
        <f t="shared" si="29"/>
        <v>#REF!</v>
      </c>
      <c r="C424" s="76" t="e">
        <f t="shared" si="30"/>
        <v>#REF!</v>
      </c>
    </row>
    <row r="425" spans="2:3" ht="15.75" customHeight="1" x14ac:dyDescent="0.25">
      <c r="B425" s="67" t="e">
        <f t="shared" si="29"/>
        <v>#REF!</v>
      </c>
      <c r="C425" s="76" t="e">
        <f t="shared" si="30"/>
        <v>#REF!</v>
      </c>
    </row>
    <row r="426" spans="2:3" ht="15.75" customHeight="1" x14ac:dyDescent="0.25">
      <c r="B426" s="67" t="e">
        <f t="shared" si="29"/>
        <v>#REF!</v>
      </c>
      <c r="C426" s="76" t="e">
        <f t="shared" si="30"/>
        <v>#REF!</v>
      </c>
    </row>
    <row r="427" spans="2:3" ht="15.75" customHeight="1" x14ac:dyDescent="0.25">
      <c r="B427" s="67" t="e">
        <f t="shared" si="29"/>
        <v>#REF!</v>
      </c>
      <c r="C427" s="76" t="e">
        <f t="shared" si="30"/>
        <v>#REF!</v>
      </c>
    </row>
    <row r="428" spans="2:3" ht="15.75" customHeight="1" x14ac:dyDescent="0.25">
      <c r="B428" s="67" t="e">
        <f t="shared" si="29"/>
        <v>#REF!</v>
      </c>
      <c r="C428" s="76" t="e">
        <f t="shared" si="30"/>
        <v>#REF!</v>
      </c>
    </row>
    <row r="429" spans="2:3" ht="15.75" customHeight="1" x14ac:dyDescent="0.25">
      <c r="B429" s="67" t="e">
        <f t="shared" si="29"/>
        <v>#REF!</v>
      </c>
      <c r="C429" s="76" t="e">
        <f t="shared" si="30"/>
        <v>#REF!</v>
      </c>
    </row>
    <row r="430" spans="2:3" ht="15.75" customHeight="1" x14ac:dyDescent="0.25">
      <c r="B430" s="67" t="e">
        <f t="shared" si="29"/>
        <v>#REF!</v>
      </c>
      <c r="C430" s="76" t="e">
        <f t="shared" si="30"/>
        <v>#REF!</v>
      </c>
    </row>
    <row r="431" spans="2:3" ht="15.75" customHeight="1" x14ac:dyDescent="0.25">
      <c r="B431" s="67" t="e">
        <f t="shared" si="29"/>
        <v>#REF!</v>
      </c>
      <c r="C431" s="76" t="e">
        <f t="shared" si="30"/>
        <v>#REF!</v>
      </c>
    </row>
    <row r="432" spans="2:3" ht="15.75" customHeight="1" x14ac:dyDescent="0.25">
      <c r="B432" s="67" t="e">
        <f t="shared" si="29"/>
        <v>#REF!</v>
      </c>
      <c r="C432" s="76" t="e">
        <f t="shared" si="30"/>
        <v>#REF!</v>
      </c>
    </row>
    <row r="433" spans="2:3" ht="15.75" customHeight="1" x14ac:dyDescent="0.25">
      <c r="B433" s="67" t="e">
        <f t="shared" si="29"/>
        <v>#REF!</v>
      </c>
      <c r="C433" s="76" t="e">
        <f t="shared" si="30"/>
        <v>#REF!</v>
      </c>
    </row>
    <row r="434" spans="2:3" ht="15.75" customHeight="1" x14ac:dyDescent="0.25">
      <c r="B434" s="67" t="e">
        <f t="shared" si="29"/>
        <v>#REF!</v>
      </c>
      <c r="C434" s="76" t="e">
        <f t="shared" si="30"/>
        <v>#REF!</v>
      </c>
    </row>
    <row r="435" spans="2:3" ht="15.75" customHeight="1" x14ac:dyDescent="0.25">
      <c r="B435" s="67" t="e">
        <f t="shared" si="29"/>
        <v>#REF!</v>
      </c>
      <c r="C435" s="76" t="e">
        <f t="shared" si="30"/>
        <v>#REF!</v>
      </c>
    </row>
    <row r="436" spans="2:3" ht="15.75" customHeight="1" x14ac:dyDescent="0.25">
      <c r="B436" s="67" t="e">
        <f t="shared" si="29"/>
        <v>#REF!</v>
      </c>
      <c r="C436" s="76" t="e">
        <f t="shared" si="30"/>
        <v>#REF!</v>
      </c>
    </row>
    <row r="437" spans="2:3" ht="15.75" customHeight="1" x14ac:dyDescent="0.25">
      <c r="B437" s="67" t="e">
        <f t="shared" si="29"/>
        <v>#REF!</v>
      </c>
      <c r="C437" s="76" t="e">
        <f t="shared" si="30"/>
        <v>#REF!</v>
      </c>
    </row>
    <row r="438" spans="2:3" ht="15.75" customHeight="1" x14ac:dyDescent="0.25">
      <c r="B438" s="67" t="e">
        <f t="shared" si="29"/>
        <v>#REF!</v>
      </c>
      <c r="C438" s="76" t="e">
        <f t="shared" si="30"/>
        <v>#REF!</v>
      </c>
    </row>
    <row r="439" spans="2:3" ht="15.75" customHeight="1" x14ac:dyDescent="0.25">
      <c r="B439" s="67" t="e">
        <f t="shared" si="29"/>
        <v>#REF!</v>
      </c>
      <c r="C439" s="76" t="e">
        <f t="shared" si="30"/>
        <v>#REF!</v>
      </c>
    </row>
    <row r="440" spans="2:3" ht="15.75" customHeight="1" x14ac:dyDescent="0.25">
      <c r="B440" s="67" t="e">
        <f t="shared" si="29"/>
        <v>#REF!</v>
      </c>
      <c r="C440" s="76" t="e">
        <f t="shared" si="30"/>
        <v>#REF!</v>
      </c>
    </row>
    <row r="441" spans="2:3" ht="15.75" customHeight="1" x14ac:dyDescent="0.25">
      <c r="B441" s="67" t="e">
        <f t="shared" si="29"/>
        <v>#REF!</v>
      </c>
      <c r="C441" s="76" t="e">
        <f t="shared" si="30"/>
        <v>#REF!</v>
      </c>
    </row>
    <row r="442" spans="2:3" ht="15.75" customHeight="1" x14ac:dyDescent="0.25">
      <c r="B442" s="67" t="e">
        <f t="shared" si="29"/>
        <v>#REF!</v>
      </c>
      <c r="C442" s="76" t="e">
        <f t="shared" si="30"/>
        <v>#REF!</v>
      </c>
    </row>
    <row r="443" spans="2:3" ht="15.75" customHeight="1" x14ac:dyDescent="0.25">
      <c r="B443" s="67" t="e">
        <f t="shared" si="29"/>
        <v>#REF!</v>
      </c>
      <c r="C443" s="76" t="e">
        <f t="shared" si="30"/>
        <v>#REF!</v>
      </c>
    </row>
    <row r="444" spans="2:3" ht="15.75" customHeight="1" x14ac:dyDescent="0.25">
      <c r="B444" s="67" t="e">
        <f t="shared" si="29"/>
        <v>#REF!</v>
      </c>
      <c r="C444" s="76" t="e">
        <f t="shared" si="30"/>
        <v>#REF!</v>
      </c>
    </row>
    <row r="445" spans="2:3" ht="15.75" customHeight="1" x14ac:dyDescent="0.25">
      <c r="B445" s="67" t="e">
        <f t="shared" si="29"/>
        <v>#REF!</v>
      </c>
      <c r="C445" s="76" t="e">
        <f t="shared" si="30"/>
        <v>#REF!</v>
      </c>
    </row>
    <row r="446" spans="2:3" ht="15.75" customHeight="1" x14ac:dyDescent="0.25">
      <c r="B446" s="67" t="e">
        <f t="shared" si="29"/>
        <v>#REF!</v>
      </c>
      <c r="C446" s="76" t="e">
        <f t="shared" si="30"/>
        <v>#REF!</v>
      </c>
    </row>
    <row r="447" spans="2:3" ht="15.75" customHeight="1" x14ac:dyDescent="0.25">
      <c r="B447" s="67" t="e">
        <f t="shared" si="29"/>
        <v>#REF!</v>
      </c>
      <c r="C447" s="76" t="e">
        <f t="shared" si="30"/>
        <v>#REF!</v>
      </c>
    </row>
    <row r="448" spans="2:3" ht="15.75" customHeight="1" x14ac:dyDescent="0.25">
      <c r="B448" s="67" t="e">
        <f t="shared" si="29"/>
        <v>#REF!</v>
      </c>
      <c r="C448" s="76" t="e">
        <f t="shared" si="30"/>
        <v>#REF!</v>
      </c>
    </row>
    <row r="449" spans="2:3" ht="15.75" customHeight="1" x14ac:dyDescent="0.25">
      <c r="B449" s="67" t="e">
        <f t="shared" si="29"/>
        <v>#REF!</v>
      </c>
      <c r="C449" s="76" t="e">
        <f t="shared" si="30"/>
        <v>#REF!</v>
      </c>
    </row>
    <row r="450" spans="2:3" ht="15.75" customHeight="1" x14ac:dyDescent="0.25">
      <c r="B450" s="67" t="e">
        <f t="shared" si="29"/>
        <v>#REF!</v>
      </c>
      <c r="C450" s="76" t="e">
        <f t="shared" si="30"/>
        <v>#REF!</v>
      </c>
    </row>
    <row r="451" spans="2:3" ht="15.75" customHeight="1" x14ac:dyDescent="0.25">
      <c r="B451" s="67" t="e">
        <f t="shared" si="29"/>
        <v>#REF!</v>
      </c>
      <c r="C451" s="76" t="e">
        <f t="shared" si="30"/>
        <v>#REF!</v>
      </c>
    </row>
    <row r="452" spans="2:3" ht="15.75" customHeight="1" x14ac:dyDescent="0.25">
      <c r="B452" s="67" t="e">
        <f t="shared" si="29"/>
        <v>#REF!</v>
      </c>
      <c r="C452" s="76" t="e">
        <f t="shared" si="30"/>
        <v>#REF!</v>
      </c>
    </row>
    <row r="453" spans="2:3" ht="15.75" customHeight="1" x14ac:dyDescent="0.25">
      <c r="B453" s="67" t="e">
        <f t="shared" si="29"/>
        <v>#REF!</v>
      </c>
      <c r="C453" s="76" t="e">
        <f t="shared" si="30"/>
        <v>#REF!</v>
      </c>
    </row>
    <row r="454" spans="2:3" ht="15.75" customHeight="1" x14ac:dyDescent="0.25">
      <c r="B454" s="67" t="e">
        <f t="shared" si="29"/>
        <v>#REF!</v>
      </c>
      <c r="C454" s="76" t="e">
        <f t="shared" si="30"/>
        <v>#REF!</v>
      </c>
    </row>
    <row r="455" spans="2:3" ht="15.75" customHeight="1" x14ac:dyDescent="0.25">
      <c r="B455" s="67" t="e">
        <f t="shared" si="29"/>
        <v>#REF!</v>
      </c>
      <c r="C455" s="76" t="e">
        <f t="shared" si="30"/>
        <v>#REF!</v>
      </c>
    </row>
    <row r="456" spans="2:3" ht="15.75" customHeight="1" x14ac:dyDescent="0.25">
      <c r="B456" s="67" t="e">
        <f t="shared" si="29"/>
        <v>#REF!</v>
      </c>
      <c r="C456" s="76" t="e">
        <f t="shared" si="30"/>
        <v>#REF!</v>
      </c>
    </row>
    <row r="457" spans="2:3" ht="15.75" customHeight="1" x14ac:dyDescent="0.25">
      <c r="B457" s="67" t="e">
        <f t="shared" si="29"/>
        <v>#REF!</v>
      </c>
      <c r="C457" s="76" t="e">
        <f t="shared" si="30"/>
        <v>#REF!</v>
      </c>
    </row>
    <row r="458" spans="2:3" ht="15.75" customHeight="1" x14ac:dyDescent="0.25">
      <c r="B458" s="67" t="e">
        <f t="shared" si="29"/>
        <v>#REF!</v>
      </c>
      <c r="C458" s="76" t="e">
        <f t="shared" si="30"/>
        <v>#REF!</v>
      </c>
    </row>
    <row r="459" spans="2:3" ht="15.75" customHeight="1" x14ac:dyDescent="0.25">
      <c r="B459" s="67" t="e">
        <f t="shared" si="29"/>
        <v>#REF!</v>
      </c>
      <c r="C459" s="76" t="e">
        <f t="shared" si="30"/>
        <v>#REF!</v>
      </c>
    </row>
    <row r="460" spans="2:3" ht="15.75" customHeight="1" x14ac:dyDescent="0.25">
      <c r="B460" s="67" t="e">
        <f t="shared" si="29"/>
        <v>#REF!</v>
      </c>
      <c r="C460" s="76" t="e">
        <f t="shared" si="30"/>
        <v>#REF!</v>
      </c>
    </row>
    <row r="461" spans="2:3" ht="15.75" customHeight="1" x14ac:dyDescent="0.25">
      <c r="B461" s="67" t="e">
        <f t="shared" si="29"/>
        <v>#REF!</v>
      </c>
      <c r="C461" s="76" t="e">
        <f t="shared" si="30"/>
        <v>#REF!</v>
      </c>
    </row>
    <row r="462" spans="2:3" ht="15.75" customHeight="1" x14ac:dyDescent="0.25">
      <c r="B462" s="67" t="e">
        <f t="shared" si="29"/>
        <v>#REF!</v>
      </c>
      <c r="C462" s="76" t="e">
        <f t="shared" si="30"/>
        <v>#REF!</v>
      </c>
    </row>
    <row r="463" spans="2:3" ht="15.75" customHeight="1" x14ac:dyDescent="0.25">
      <c r="B463" s="67" t="e">
        <f t="shared" si="29"/>
        <v>#REF!</v>
      </c>
      <c r="C463" s="76" t="e">
        <f t="shared" si="30"/>
        <v>#REF!</v>
      </c>
    </row>
    <row r="464" spans="2:3" ht="15.75" customHeight="1" x14ac:dyDescent="0.25">
      <c r="B464" s="67" t="e">
        <f t="shared" si="29"/>
        <v>#REF!</v>
      </c>
      <c r="C464" s="76" t="e">
        <f t="shared" si="30"/>
        <v>#REF!</v>
      </c>
    </row>
    <row r="465" spans="2:3" ht="15.75" customHeight="1" x14ac:dyDescent="0.25">
      <c r="B465" s="67" t="e">
        <f t="shared" si="29"/>
        <v>#REF!</v>
      </c>
      <c r="C465" s="76" t="e">
        <f t="shared" si="30"/>
        <v>#REF!</v>
      </c>
    </row>
    <row r="466" spans="2:3" ht="15.75" customHeight="1" x14ac:dyDescent="0.25">
      <c r="B466" s="67" t="e">
        <f t="shared" si="29"/>
        <v>#REF!</v>
      </c>
      <c r="C466" s="76" t="e">
        <f t="shared" si="30"/>
        <v>#REF!</v>
      </c>
    </row>
    <row r="467" spans="2:3" ht="15.75" customHeight="1" x14ac:dyDescent="0.25">
      <c r="B467" s="67" t="e">
        <f t="shared" si="29"/>
        <v>#REF!</v>
      </c>
      <c r="C467" s="76" t="e">
        <f t="shared" si="30"/>
        <v>#REF!</v>
      </c>
    </row>
    <row r="468" spans="2:3" ht="15.75" customHeight="1" x14ac:dyDescent="0.25">
      <c r="B468" s="67" t="e">
        <f t="shared" si="29"/>
        <v>#REF!</v>
      </c>
      <c r="C468" s="76" t="e">
        <f t="shared" si="30"/>
        <v>#REF!</v>
      </c>
    </row>
    <row r="469" spans="2:3" ht="15.75" customHeight="1" x14ac:dyDescent="0.25">
      <c r="B469" s="67" t="e">
        <f t="shared" si="29"/>
        <v>#REF!</v>
      </c>
      <c r="C469" s="76" t="e">
        <f t="shared" si="30"/>
        <v>#REF!</v>
      </c>
    </row>
    <row r="470" spans="2:3" ht="15.75" customHeight="1" x14ac:dyDescent="0.25">
      <c r="B470" s="67" t="e">
        <f t="shared" si="29"/>
        <v>#REF!</v>
      </c>
      <c r="C470" s="76" t="e">
        <f t="shared" si="30"/>
        <v>#REF!</v>
      </c>
    </row>
    <row r="471" spans="2:3" ht="15.75" customHeight="1" x14ac:dyDescent="0.25">
      <c r="B471" s="67" t="e">
        <f t="shared" si="29"/>
        <v>#REF!</v>
      </c>
      <c r="C471" s="76" t="e">
        <f t="shared" si="30"/>
        <v>#REF!</v>
      </c>
    </row>
    <row r="472" spans="2:3" ht="15.75" customHeight="1" x14ac:dyDescent="0.25">
      <c r="B472" s="67" t="e">
        <f t="shared" si="29"/>
        <v>#REF!</v>
      </c>
      <c r="C472" s="76" t="e">
        <f t="shared" si="30"/>
        <v>#REF!</v>
      </c>
    </row>
    <row r="473" spans="2:3" ht="15.75" customHeight="1" x14ac:dyDescent="0.25">
      <c r="B473" s="67" t="e">
        <f t="shared" si="29"/>
        <v>#REF!</v>
      </c>
      <c r="C473" s="76" t="e">
        <f t="shared" si="30"/>
        <v>#REF!</v>
      </c>
    </row>
    <row r="474" spans="2:3" ht="15.75" customHeight="1" x14ac:dyDescent="0.25">
      <c r="B474" s="67" t="e">
        <f t="shared" si="29"/>
        <v>#REF!</v>
      </c>
      <c r="C474" s="76" t="e">
        <f t="shared" si="30"/>
        <v>#REF!</v>
      </c>
    </row>
    <row r="475" spans="2:3" ht="15.75" customHeight="1" x14ac:dyDescent="0.25">
      <c r="B475" s="67" t="e">
        <f t="shared" si="29"/>
        <v>#REF!</v>
      </c>
      <c r="C475" s="76" t="e">
        <f t="shared" si="30"/>
        <v>#REF!</v>
      </c>
    </row>
    <row r="476" spans="2:3" ht="15.75" customHeight="1" x14ac:dyDescent="0.25">
      <c r="B476" s="67" t="e">
        <f t="shared" si="29"/>
        <v>#REF!</v>
      </c>
      <c r="C476" s="76" t="e">
        <f t="shared" si="30"/>
        <v>#REF!</v>
      </c>
    </row>
    <row r="477" spans="2:3" ht="15.75" customHeight="1" x14ac:dyDescent="0.25">
      <c r="B477" s="67" t="e">
        <f t="shared" si="29"/>
        <v>#REF!</v>
      </c>
      <c r="C477" s="76" t="e">
        <f t="shared" si="30"/>
        <v>#REF!</v>
      </c>
    </row>
    <row r="478" spans="2:3" ht="15.75" customHeight="1" x14ac:dyDescent="0.25">
      <c r="B478" s="67" t="e">
        <f t="shared" ref="B478:B512" si="31">IF(B477="","",IF(B477+$C$10&lt;=$C$6,B477+$C$10,""))</f>
        <v>#REF!</v>
      </c>
      <c r="C478" s="76" t="e">
        <f t="shared" ref="C478:C512" si="32">IF(B478&lt;&gt;"",C477-$C$2/COUNT($B$18:$B$511),"")</f>
        <v>#REF!</v>
      </c>
    </row>
    <row r="479" spans="2:3" ht="15.75" customHeight="1" x14ac:dyDescent="0.25">
      <c r="B479" s="67" t="e">
        <f t="shared" si="31"/>
        <v>#REF!</v>
      </c>
      <c r="C479" s="76" t="e">
        <f t="shared" si="32"/>
        <v>#REF!</v>
      </c>
    </row>
    <row r="480" spans="2:3" ht="15.75" customHeight="1" x14ac:dyDescent="0.25">
      <c r="B480" s="67" t="e">
        <f t="shared" si="31"/>
        <v>#REF!</v>
      </c>
      <c r="C480" s="76" t="e">
        <f t="shared" si="32"/>
        <v>#REF!</v>
      </c>
    </row>
    <row r="481" spans="2:3" ht="15.75" customHeight="1" x14ac:dyDescent="0.25">
      <c r="B481" s="67" t="e">
        <f t="shared" si="31"/>
        <v>#REF!</v>
      </c>
      <c r="C481" s="76" t="e">
        <f t="shared" si="32"/>
        <v>#REF!</v>
      </c>
    </row>
    <row r="482" spans="2:3" ht="15.75" customHeight="1" x14ac:dyDescent="0.25">
      <c r="B482" s="67" t="e">
        <f t="shared" si="31"/>
        <v>#REF!</v>
      </c>
      <c r="C482" s="76" t="e">
        <f t="shared" si="32"/>
        <v>#REF!</v>
      </c>
    </row>
    <row r="483" spans="2:3" ht="15.75" customHeight="1" x14ac:dyDescent="0.25">
      <c r="B483" s="67" t="e">
        <f t="shared" si="31"/>
        <v>#REF!</v>
      </c>
      <c r="C483" s="76" t="e">
        <f t="shared" si="32"/>
        <v>#REF!</v>
      </c>
    </row>
    <row r="484" spans="2:3" ht="15.75" customHeight="1" x14ac:dyDescent="0.25">
      <c r="B484" s="67" t="e">
        <f t="shared" si="31"/>
        <v>#REF!</v>
      </c>
      <c r="C484" s="76" t="e">
        <f t="shared" si="32"/>
        <v>#REF!</v>
      </c>
    </row>
    <row r="485" spans="2:3" ht="15.75" customHeight="1" x14ac:dyDescent="0.25">
      <c r="B485" s="67" t="e">
        <f t="shared" si="31"/>
        <v>#REF!</v>
      </c>
      <c r="C485" s="76" t="e">
        <f t="shared" si="32"/>
        <v>#REF!</v>
      </c>
    </row>
    <row r="486" spans="2:3" ht="15.75" customHeight="1" x14ac:dyDescent="0.25">
      <c r="B486" s="67" t="e">
        <f t="shared" si="31"/>
        <v>#REF!</v>
      </c>
      <c r="C486" s="76" t="e">
        <f t="shared" si="32"/>
        <v>#REF!</v>
      </c>
    </row>
    <row r="487" spans="2:3" ht="15.75" customHeight="1" x14ac:dyDescent="0.25">
      <c r="B487" s="67" t="e">
        <f t="shared" si="31"/>
        <v>#REF!</v>
      </c>
      <c r="C487" s="76" t="e">
        <f t="shared" si="32"/>
        <v>#REF!</v>
      </c>
    </row>
    <row r="488" spans="2:3" ht="15.75" customHeight="1" x14ac:dyDescent="0.25">
      <c r="B488" s="67" t="e">
        <f t="shared" si="31"/>
        <v>#REF!</v>
      </c>
      <c r="C488" s="76" t="e">
        <f t="shared" si="32"/>
        <v>#REF!</v>
      </c>
    </row>
    <row r="489" spans="2:3" ht="15.75" customHeight="1" x14ac:dyDescent="0.25">
      <c r="B489" s="67" t="e">
        <f t="shared" si="31"/>
        <v>#REF!</v>
      </c>
      <c r="C489" s="76" t="e">
        <f t="shared" si="32"/>
        <v>#REF!</v>
      </c>
    </row>
    <row r="490" spans="2:3" ht="15.75" customHeight="1" x14ac:dyDescent="0.25">
      <c r="B490" s="67" t="e">
        <f t="shared" si="31"/>
        <v>#REF!</v>
      </c>
      <c r="C490" s="76" t="e">
        <f t="shared" si="32"/>
        <v>#REF!</v>
      </c>
    </row>
    <row r="491" spans="2:3" ht="15.75" customHeight="1" x14ac:dyDescent="0.25">
      <c r="B491" s="67" t="e">
        <f t="shared" si="31"/>
        <v>#REF!</v>
      </c>
      <c r="C491" s="76" t="e">
        <f t="shared" si="32"/>
        <v>#REF!</v>
      </c>
    </row>
    <row r="492" spans="2:3" ht="15.75" customHeight="1" x14ac:dyDescent="0.25">
      <c r="B492" s="67" t="e">
        <f t="shared" si="31"/>
        <v>#REF!</v>
      </c>
      <c r="C492" s="76" t="e">
        <f t="shared" si="32"/>
        <v>#REF!</v>
      </c>
    </row>
    <row r="493" spans="2:3" ht="15.75" customHeight="1" x14ac:dyDescent="0.25">
      <c r="B493" s="67" t="e">
        <f t="shared" si="31"/>
        <v>#REF!</v>
      </c>
      <c r="C493" s="76" t="e">
        <f t="shared" si="32"/>
        <v>#REF!</v>
      </c>
    </row>
    <row r="494" spans="2:3" ht="15.75" customHeight="1" x14ac:dyDescent="0.25">
      <c r="B494" s="67" t="e">
        <f t="shared" si="31"/>
        <v>#REF!</v>
      </c>
      <c r="C494" s="76" t="e">
        <f t="shared" si="32"/>
        <v>#REF!</v>
      </c>
    </row>
    <row r="495" spans="2:3" ht="15.75" customHeight="1" x14ac:dyDescent="0.25">
      <c r="B495" s="67" t="e">
        <f t="shared" si="31"/>
        <v>#REF!</v>
      </c>
      <c r="C495" s="76" t="e">
        <f t="shared" si="32"/>
        <v>#REF!</v>
      </c>
    </row>
    <row r="496" spans="2:3" ht="15.75" customHeight="1" x14ac:dyDescent="0.25">
      <c r="B496" s="67" t="e">
        <f t="shared" si="31"/>
        <v>#REF!</v>
      </c>
      <c r="C496" s="76" t="e">
        <f t="shared" si="32"/>
        <v>#REF!</v>
      </c>
    </row>
    <row r="497" spans="2:3" ht="15.75" customHeight="1" x14ac:dyDescent="0.25">
      <c r="B497" s="67" t="e">
        <f t="shared" si="31"/>
        <v>#REF!</v>
      </c>
      <c r="C497" s="76" t="e">
        <f t="shared" si="32"/>
        <v>#REF!</v>
      </c>
    </row>
    <row r="498" spans="2:3" ht="15.75" customHeight="1" x14ac:dyDescent="0.25">
      <c r="B498" s="67" t="e">
        <f t="shared" si="31"/>
        <v>#REF!</v>
      </c>
      <c r="C498" s="76" t="e">
        <f t="shared" si="32"/>
        <v>#REF!</v>
      </c>
    </row>
    <row r="499" spans="2:3" ht="15.75" customHeight="1" x14ac:dyDescent="0.25">
      <c r="B499" s="67" t="e">
        <f t="shared" si="31"/>
        <v>#REF!</v>
      </c>
      <c r="C499" s="76" t="e">
        <f t="shared" si="32"/>
        <v>#REF!</v>
      </c>
    </row>
    <row r="500" spans="2:3" ht="15.75" customHeight="1" x14ac:dyDescent="0.25">
      <c r="B500" s="67" t="e">
        <f t="shared" si="31"/>
        <v>#REF!</v>
      </c>
      <c r="C500" s="76" t="e">
        <f t="shared" si="32"/>
        <v>#REF!</v>
      </c>
    </row>
    <row r="501" spans="2:3" ht="15.75" customHeight="1" x14ac:dyDescent="0.25">
      <c r="B501" s="67" t="e">
        <f t="shared" si="31"/>
        <v>#REF!</v>
      </c>
      <c r="C501" s="76" t="e">
        <f t="shared" si="32"/>
        <v>#REF!</v>
      </c>
    </row>
    <row r="502" spans="2:3" ht="15.75" customHeight="1" x14ac:dyDescent="0.25">
      <c r="B502" s="67" t="e">
        <f t="shared" si="31"/>
        <v>#REF!</v>
      </c>
      <c r="C502" s="76" t="e">
        <f t="shared" si="32"/>
        <v>#REF!</v>
      </c>
    </row>
    <row r="503" spans="2:3" ht="15.75" customHeight="1" x14ac:dyDescent="0.25">
      <c r="B503" s="67" t="e">
        <f t="shared" si="31"/>
        <v>#REF!</v>
      </c>
      <c r="C503" s="76" t="e">
        <f t="shared" si="32"/>
        <v>#REF!</v>
      </c>
    </row>
    <row r="504" spans="2:3" ht="15.75" customHeight="1" x14ac:dyDescent="0.25">
      <c r="B504" s="67" t="e">
        <f t="shared" si="31"/>
        <v>#REF!</v>
      </c>
      <c r="C504" s="76" t="e">
        <f t="shared" si="32"/>
        <v>#REF!</v>
      </c>
    </row>
    <row r="505" spans="2:3" ht="15.75" customHeight="1" x14ac:dyDescent="0.25">
      <c r="B505" s="67" t="e">
        <f t="shared" si="31"/>
        <v>#REF!</v>
      </c>
      <c r="C505" s="76" t="e">
        <f t="shared" si="32"/>
        <v>#REF!</v>
      </c>
    </row>
    <row r="506" spans="2:3" ht="15.75" customHeight="1" x14ac:dyDescent="0.25">
      <c r="B506" s="67" t="e">
        <f t="shared" si="31"/>
        <v>#REF!</v>
      </c>
      <c r="C506" s="76" t="e">
        <f t="shared" si="32"/>
        <v>#REF!</v>
      </c>
    </row>
    <row r="507" spans="2:3" ht="15.75" customHeight="1" x14ac:dyDescent="0.25">
      <c r="B507" s="67" t="e">
        <f t="shared" si="31"/>
        <v>#REF!</v>
      </c>
      <c r="C507" s="76" t="e">
        <f t="shared" si="32"/>
        <v>#REF!</v>
      </c>
    </row>
    <row r="508" spans="2:3" ht="15.75" customHeight="1" x14ac:dyDescent="0.25">
      <c r="B508" s="67" t="e">
        <f t="shared" si="31"/>
        <v>#REF!</v>
      </c>
      <c r="C508" s="76" t="e">
        <f t="shared" si="32"/>
        <v>#REF!</v>
      </c>
    </row>
    <row r="509" spans="2:3" ht="15.75" customHeight="1" x14ac:dyDescent="0.25">
      <c r="B509" s="67" t="e">
        <f t="shared" si="31"/>
        <v>#REF!</v>
      </c>
      <c r="C509" s="76" t="e">
        <f t="shared" si="32"/>
        <v>#REF!</v>
      </c>
    </row>
    <row r="510" spans="2:3" ht="15.75" customHeight="1" x14ac:dyDescent="0.25">
      <c r="B510" s="67" t="e">
        <f t="shared" si="31"/>
        <v>#REF!</v>
      </c>
      <c r="C510" s="76" t="e">
        <f t="shared" si="32"/>
        <v>#REF!</v>
      </c>
    </row>
    <row r="511" spans="2:3" ht="15.75" customHeight="1" x14ac:dyDescent="0.25">
      <c r="B511" s="67" t="e">
        <f t="shared" si="31"/>
        <v>#REF!</v>
      </c>
      <c r="C511" s="76" t="e">
        <f t="shared" si="32"/>
        <v>#REF!</v>
      </c>
    </row>
    <row r="512" spans="2:3" ht="15.75" customHeight="1" x14ac:dyDescent="0.25">
      <c r="B512" s="67" t="e">
        <f t="shared" si="31"/>
        <v>#REF!</v>
      </c>
      <c r="C512" s="76" t="e">
        <f t="shared" si="32"/>
        <v>#REF!</v>
      </c>
    </row>
  </sheetData>
  <mergeCells count="3">
    <mergeCell ref="A1:K1"/>
    <mergeCell ref="B13:F13"/>
    <mergeCell ref="G13:L13"/>
  </mergeCells>
  <conditionalFormatting sqref="A15:F15 L15 H15:H33 A16:A48">
    <cfRule type="expression" dxfId="80" priority="16">
      <formula>AND(TODAY()&gt;=$B$15,TODAY()&lt;$B$16)</formula>
    </cfRule>
  </conditionalFormatting>
  <conditionalFormatting sqref="B15:B21 B23:B55">
    <cfRule type="cellIs" dxfId="79" priority="13" operator="greaterThan">
      <formula>$C$6</formula>
    </cfRule>
  </conditionalFormatting>
  <conditionalFormatting sqref="B16:B21 B23:B48 A49:B55 G15:G33 J32 J33:L33 F34:L55">
    <cfRule type="expression" dxfId="78" priority="14">
      <formula>AND(TODAY()&gt;=$B15,TODAY()&lt;$B16)</formula>
    </cfRule>
  </conditionalFormatting>
  <conditionalFormatting sqref="C2:C3">
    <cfRule type="expression" dxfId="77" priority="7">
      <formula>AND(TODAY()&gt;=$B$15,TODAY()&lt;$B$16)</formula>
    </cfRule>
  </conditionalFormatting>
  <conditionalFormatting sqref="C16:E55">
    <cfRule type="expression" dxfId="76" priority="1">
      <formula>AND(TODAY()&gt;=$B16,TODAY()&lt;$B17)</formula>
    </cfRule>
  </conditionalFormatting>
  <conditionalFormatting sqref="I15:I33">
    <cfRule type="expression" dxfId="75" priority="15">
      <formula>AND(TODAY()&gt;=$B15,TODAY()&lt;$B16)</formula>
    </cfRule>
  </conditionalFormatting>
  <conditionalFormatting sqref="J15:J31">
    <cfRule type="expression" dxfId="74" priority="10">
      <formula>AND(TODAY()&gt;=$B$15,TODAY()&lt;$B$16)</formula>
    </cfRule>
  </conditionalFormatting>
  <conditionalFormatting sqref="K15:K32">
    <cfRule type="expression" dxfId="73" priority="11">
      <formula>AND(TODAY()&gt;=$B$15,TODAY()&lt;$B$16)</formula>
    </cfRule>
  </conditionalFormatting>
  <conditionalFormatting sqref="L16:L21 F16:F33 L23:L32">
    <cfRule type="expression" dxfId="72" priority="12">
      <formula>AND(TODAY()&gt;=$B16,TODAY()&lt;$B17)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1C8E93A-E865-419E-8ED2-219AC342A12A}">
          <x14:formula1>
            <xm:f>'LEIA-ME'!$C$2:$C$6</xm:f>
          </x14:formula1>
          <xm:sqref>C3</xm:sqref>
        </x14:dataValidation>
        <x14:dataValidation type="list" allowBlank="1" showInputMessage="1" showErrorMessage="1" xr:uid="{79E5F4AF-9BA6-47F9-83C4-44332371DCE5}">
          <x14:formula1>
            <xm:f>'LEIA-ME'!$B:$B</xm:f>
          </x14:formula1>
          <xm:sqref>C2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A411-3B47-42C8-8C5D-405903CBB52A}">
  <sheetPr>
    <tabColor theme="9" tint="-0.499984740745262"/>
  </sheetPr>
  <dimension ref="A1:N512"/>
  <sheetViews>
    <sheetView topLeftCell="A24" zoomScaleNormal="100" zoomScaleSheetLayoutView="100" workbookViewId="0">
      <selection activeCell="B46" sqref="B46"/>
    </sheetView>
  </sheetViews>
  <sheetFormatPr defaultRowHeight="15.75" x14ac:dyDescent="0.25"/>
  <cols>
    <col min="1" max="1" width="12.25" customWidth="1"/>
    <col min="3" max="3" width="13.75" customWidth="1"/>
    <col min="12" max="12" width="14.375" customWidth="1"/>
  </cols>
  <sheetData>
    <row r="1" spans="1:14" ht="19.5" x14ac:dyDescent="0.25">
      <c r="A1" s="154" t="s">
        <v>20</v>
      </c>
      <c r="B1" s="167"/>
      <c r="C1" s="167"/>
      <c r="D1" s="155"/>
      <c r="E1" s="155"/>
      <c r="F1" s="155"/>
      <c r="G1" s="155"/>
      <c r="H1" s="155"/>
      <c r="I1" s="155"/>
      <c r="J1" s="155"/>
      <c r="K1" s="156"/>
      <c r="L1" s="59"/>
      <c r="M1" s="59"/>
      <c r="N1" s="59"/>
    </row>
    <row r="2" spans="1:14" ht="19.5" x14ac:dyDescent="0.25">
      <c r="A2" s="68"/>
      <c r="B2" s="119" t="s">
        <v>66</v>
      </c>
      <c r="C2" s="120" t="s">
        <v>69</v>
      </c>
      <c r="D2" s="70"/>
      <c r="E2" s="71"/>
      <c r="F2" s="71"/>
      <c r="G2" s="65"/>
      <c r="H2" s="65"/>
      <c r="I2" s="65"/>
      <c r="J2" s="65"/>
      <c r="K2" s="65"/>
      <c r="L2" s="65"/>
      <c r="M2" s="59"/>
      <c r="N2" s="59"/>
    </row>
    <row r="3" spans="1:14" ht="19.5" x14ac:dyDescent="0.25">
      <c r="A3" s="59"/>
      <c r="B3" s="121" t="s">
        <v>2494</v>
      </c>
      <c r="C3" s="125">
        <f>COUNTIFS(release, "*" &amp; C2 &amp; "*",Item, "&lt;&gt;BUG")</f>
        <v>540</v>
      </c>
      <c r="D3" s="70" t="s">
        <v>25</v>
      </c>
      <c r="E3" s="71" t="s">
        <v>26</v>
      </c>
      <c r="F3" s="71"/>
      <c r="G3" s="65"/>
      <c r="H3" s="65"/>
      <c r="I3" s="65"/>
      <c r="J3" s="65"/>
      <c r="K3" s="65"/>
      <c r="L3" s="65"/>
      <c r="M3" s="59"/>
      <c r="N3" s="59"/>
    </row>
    <row r="4" spans="1:14" ht="19.5" x14ac:dyDescent="0.25">
      <c r="A4" s="59"/>
      <c r="B4" s="122" t="s">
        <v>27</v>
      </c>
      <c r="C4" s="107">
        <v>45936</v>
      </c>
      <c r="D4" s="70" t="s">
        <v>28</v>
      </c>
      <c r="E4" s="65"/>
      <c r="F4" s="65"/>
      <c r="G4" s="65"/>
      <c r="H4" s="65"/>
      <c r="I4" s="65"/>
      <c r="J4" s="65"/>
      <c r="K4" s="65"/>
      <c r="L4" s="65"/>
      <c r="M4" s="59"/>
      <c r="N4" s="59"/>
    </row>
    <row r="5" spans="1:14" ht="19.5" x14ac:dyDescent="0.25">
      <c r="A5" s="59"/>
      <c r="B5" s="122" t="s">
        <v>29</v>
      </c>
      <c r="C5" s="107">
        <v>46113</v>
      </c>
      <c r="D5" s="70" t="s">
        <v>30</v>
      </c>
      <c r="E5" s="65"/>
      <c r="F5" s="65"/>
      <c r="G5" s="65"/>
      <c r="H5" s="65"/>
      <c r="I5" s="65"/>
      <c r="J5" s="65"/>
      <c r="K5" s="65"/>
      <c r="L5" s="65"/>
      <c r="M5" s="59"/>
      <c r="N5" s="59"/>
    </row>
    <row r="6" spans="1:14" ht="19.5" x14ac:dyDescent="0.25">
      <c r="A6" s="59"/>
      <c r="B6" s="119" t="s">
        <v>31</v>
      </c>
      <c r="C6" s="108" cm="1">
        <f t="array" ref="C6">IF((PERCENTILE(INDEX(J:J,LARGE(IF(J:J&lt;&gt;"",ROW(J:J)),{1;2;3;4;5;6;7;8})),0.85)&lt; 1),
  1,
  ROUND(PERCENTILE(INDEX(J:J,LARGE(IF(J:J&lt;&gt;"",ROW(J:J)),{1;2;3;4;5;6;7;8})),0.85),0))</f>
        <v>22</v>
      </c>
      <c r="D6" s="70" t="s">
        <v>32</v>
      </c>
      <c r="E6" s="71" t="s">
        <v>33</v>
      </c>
      <c r="F6" s="71"/>
      <c r="G6" s="65"/>
      <c r="H6" s="65"/>
      <c r="I6" s="65"/>
      <c r="J6" s="65"/>
      <c r="K6" s="65"/>
      <c r="L6" s="65"/>
      <c r="M6" s="59"/>
      <c r="N6" s="59"/>
    </row>
    <row r="7" spans="1:14" ht="19.5" x14ac:dyDescent="0.25">
      <c r="A7" s="59"/>
      <c r="B7" s="119" t="s">
        <v>34</v>
      </c>
      <c r="C7" s="108" cm="1">
        <f t="array" ref="C7">IF(PERCENTILE(INDEX(J:J, LARGE(IF(J:J&lt;&gt;"", ROW(J:J)), {1;2;3;4;5;6;7;8})),0.15)&lt;1,
  1,
  PERCENTILE(INDEX(J:J, LARGE(IF(J:J&lt;&gt;"", ROW(J:J)), {1;2;3;4;5;6;7;8})),0.15))</f>
        <v>12.05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  <c r="M7" s="59"/>
      <c r="N7" s="59"/>
    </row>
    <row r="8" spans="1:14" ht="19.5" x14ac:dyDescent="0.25">
      <c r="A8" s="59"/>
      <c r="B8" s="122" t="s">
        <v>35</v>
      </c>
      <c r="C8" s="108">
        <v>8</v>
      </c>
      <c r="D8" s="70" t="s">
        <v>32</v>
      </c>
      <c r="E8" s="65"/>
      <c r="F8" s="65"/>
      <c r="G8" s="65"/>
      <c r="H8" s="65"/>
      <c r="I8" s="65"/>
      <c r="J8" s="65"/>
      <c r="K8" s="65"/>
      <c r="L8" s="65"/>
      <c r="M8" s="59"/>
      <c r="N8" s="59"/>
    </row>
    <row r="9" spans="1:14" ht="19.5" x14ac:dyDescent="0.25">
      <c r="A9" s="59"/>
      <c r="B9" s="122" t="s">
        <v>36</v>
      </c>
      <c r="C9" s="109">
        <v>7</v>
      </c>
      <c r="D9" s="70" t="s">
        <v>37</v>
      </c>
      <c r="E9" s="65"/>
      <c r="F9" s="65"/>
      <c r="G9" s="65"/>
      <c r="H9" s="65"/>
      <c r="I9" s="65"/>
      <c r="J9" s="65"/>
      <c r="K9" s="65"/>
      <c r="L9" s="65"/>
      <c r="M9" s="59"/>
      <c r="N9" s="59"/>
    </row>
    <row r="10" spans="1:14" ht="19.5" x14ac:dyDescent="0.25">
      <c r="A10" s="59"/>
      <c r="B10" s="112"/>
      <c r="C10" s="65"/>
      <c r="D10" s="113"/>
      <c r="E10" s="65"/>
      <c r="F10" s="65"/>
      <c r="G10" s="65"/>
      <c r="H10" s="65"/>
      <c r="I10" s="65"/>
      <c r="J10" s="65"/>
      <c r="K10" s="65"/>
      <c r="L10" s="65"/>
      <c r="M10" s="59"/>
      <c r="N10" s="59"/>
    </row>
    <row r="11" spans="1:14" ht="115.5" x14ac:dyDescent="0.45">
      <c r="A11" s="103"/>
      <c r="B11" s="61" t="s">
        <v>38</v>
      </c>
      <c r="C11" s="60" t="s">
        <v>39</v>
      </c>
      <c r="D11" s="60" t="s">
        <v>40</v>
      </c>
      <c r="E11" s="60" t="s">
        <v>41</v>
      </c>
      <c r="F11" s="60" t="s">
        <v>42</v>
      </c>
      <c r="G11" s="60" t="s">
        <v>43</v>
      </c>
      <c r="H11" s="60" t="s">
        <v>44</v>
      </c>
      <c r="I11" s="60" t="s">
        <v>45</v>
      </c>
      <c r="J11" s="60" t="s">
        <v>46</v>
      </c>
      <c r="K11" s="60" t="s">
        <v>47</v>
      </c>
      <c r="L11" s="60" t="s">
        <v>48</v>
      </c>
      <c r="M11" s="39"/>
      <c r="N11" s="39"/>
    </row>
    <row r="12" spans="1:14" ht="19.5" x14ac:dyDescent="0.25">
      <c r="A12" s="91"/>
      <c r="B12" s="162" t="s">
        <v>49</v>
      </c>
      <c r="C12" s="163"/>
      <c r="D12" s="163"/>
      <c r="E12" s="163"/>
      <c r="F12" s="164"/>
      <c r="G12" s="165" t="s">
        <v>50</v>
      </c>
      <c r="H12" s="166"/>
      <c r="I12" s="166"/>
      <c r="J12" s="166"/>
      <c r="K12" s="166"/>
      <c r="L12" s="166"/>
      <c r="M12" s="59"/>
      <c r="N12" s="59"/>
    </row>
    <row r="13" spans="1:14" ht="71.25" x14ac:dyDescent="0.25">
      <c r="A13" s="44" t="s">
        <v>51</v>
      </c>
      <c r="B13" s="45" t="s">
        <v>52</v>
      </c>
      <c r="C13" s="46" t="s">
        <v>2495</v>
      </c>
      <c r="D13" s="46" t="s">
        <v>2496</v>
      </c>
      <c r="E13" s="46" t="s">
        <v>55</v>
      </c>
      <c r="F13" s="58" t="s">
        <v>56</v>
      </c>
      <c r="G13" s="47" t="s">
        <v>57</v>
      </c>
      <c r="H13" s="47" t="s">
        <v>58</v>
      </c>
      <c r="I13" s="48" t="s">
        <v>2561</v>
      </c>
      <c r="J13" s="54" t="s">
        <v>60</v>
      </c>
      <c r="K13" s="87" t="s">
        <v>2562</v>
      </c>
      <c r="L13" s="77" t="s">
        <v>62</v>
      </c>
      <c r="M13" s="59"/>
      <c r="N13" s="59"/>
    </row>
    <row r="14" spans="1:14" ht="19.5" x14ac:dyDescent="0.25">
      <c r="A14" s="73" t="s">
        <v>2543</v>
      </c>
      <c r="B14" s="66">
        <f>C4</f>
        <v>45936</v>
      </c>
      <c r="C14" s="150">
        <f>$C$3</f>
        <v>540</v>
      </c>
      <c r="D14" s="150">
        <f>$C$3</f>
        <v>540</v>
      </c>
      <c r="E14" s="150">
        <f>$C$3</f>
        <v>540</v>
      </c>
      <c r="F14" s="80"/>
      <c r="G14" s="118">
        <f t="shared" ref="G14:G36" si="0">COUNTIFS(dtc, "&gt;=" &amp; INT(B14),
  dtc, "&lt;"  &amp; INT(B14)+1,release, "*" &amp; $C$2 &amp; "*",
  Item, "&lt;&gt;BUG")</f>
        <v>0</v>
      </c>
      <c r="H14" s="118">
        <f t="shared" ref="H14:H36" si="1">COUNTIFS(dtc, "&gt;=" &amp;(INT(B14)+1),dtc,
 "&lt;"  &amp;(INT(B14)+7),release, "*" &amp; $C$2 &amp; "*",Item,
 "&lt;&gt;BUG")</f>
        <v>0</v>
      </c>
      <c r="I14" s="82">
        <f t="shared" ref="I14:I36" si="2">COUNTIFS(release, "*" &amp; $C$2 &amp; "*",Item,
 "BUG",criado,
 "&gt;=" &amp; INT(B14),criado,
 "&lt;"  &amp; INT(B14)+7)</f>
        <v>0</v>
      </c>
      <c r="J14" s="126">
        <f t="shared" ref="J14:J36" si="3">COUNTIFS(release, "*" &amp; $C$2 &amp; "*",resolvido,
 "&lt;&gt;" &amp; "",resolvido,
 "&gt;=" &amp; INT(B14),resolvido,
 "&lt;"  &amp; INT(B14)+7)+K14</f>
        <v>0</v>
      </c>
      <c r="K14" s="84">
        <f t="shared" ref="K14:K36" si="4">-COUNTIFS(resolvido, "&gt;=" &amp; INT(B14),resolvido, "&lt;"  &amp; INT(B14)+7,status, "Descartado",release, "*" &amp; $C$2 &amp; "*")</f>
        <v>0</v>
      </c>
      <c r="L14" s="86"/>
      <c r="M14" s="59"/>
      <c r="N14" s="59"/>
    </row>
    <row r="15" spans="1:14" ht="19.5" x14ac:dyDescent="0.25">
      <c r="A15" s="73" t="s">
        <v>2544</v>
      </c>
      <c r="B15" s="66">
        <f t="shared" ref="B15:B67" si="5">B14+$C$9</f>
        <v>45943</v>
      </c>
      <c r="C15" s="150">
        <f>IF(OR(C14="",C14=0),"",IF(ISBLANK($J14),IF(C14+$K14+$I14-$C$6&lt;=0,IF(AND(C14&gt;0,C14&lt;&gt;""),0,""),C14+$K14+$I14-$C$6),IF((C14-$J14)+$K14+$I14&lt;=0,IF(AND(C14&gt;0,C14&lt;&gt;""),0,""),(C14-$J14)+$K14+$I14)))</f>
        <v>540</v>
      </c>
      <c r="D15" s="150">
        <f t="shared" ref="D15:D67" si="6">IF(OR(D14="",D14=0),"",IF(ISBLANK($J14),IF(D14+$K14+$I14-$C$7&lt;=0,IF(AND(D14&gt;0,D14&lt;&gt;""),0,""),D14+$K14+$I14-$C$7),IF((D14-$J14)+$K14+$I14&lt;=0,IF(AND(D14&gt;0,D14&lt;&gt;""),0,""),(D14-$J14)+$K14+$I14)))</f>
        <v>540</v>
      </c>
      <c r="E15" s="150">
        <f t="shared" ref="E15:E67" si="7">IF(OR(E14="",E14=0),"",IF(ISBLANK($J14),IF(E14+$K14+$I14-$C$8&lt;=0,IF(AND(E14&gt;0,E14&lt;&gt;""),0,""),E14+$K14+$I14-$C$8),IF((E14-$J14)+$K14+$I14&lt;=0,IF(AND(E14&gt;0,E14&lt;&gt;""),0,""),(E14-$J14)+$K14+$I14)))</f>
        <v>540</v>
      </c>
      <c r="F15" s="80">
        <f>IF(J14="","",IF(G14+F14+H14+I14+K14-J14&lt;0,0,G14+F14+H14+I14+K14-J14))</f>
        <v>0</v>
      </c>
      <c r="G15" s="118">
        <f t="shared" si="0"/>
        <v>4</v>
      </c>
      <c r="H15" s="118">
        <f t="shared" si="1"/>
        <v>8</v>
      </c>
      <c r="I15" s="82">
        <f t="shared" si="2"/>
        <v>1</v>
      </c>
      <c r="J15" s="126">
        <f t="shared" si="3"/>
        <v>2</v>
      </c>
      <c r="K15" s="84">
        <f t="shared" si="4"/>
        <v>0</v>
      </c>
      <c r="L15" s="86"/>
      <c r="M15" s="59"/>
      <c r="N15" s="59"/>
    </row>
    <row r="16" spans="1:14" ht="19.5" x14ac:dyDescent="0.25">
      <c r="A16" s="73" t="s">
        <v>2545</v>
      </c>
      <c r="B16" s="66">
        <f t="shared" si="5"/>
        <v>45950</v>
      </c>
      <c r="C16" s="151">
        <f t="shared" ref="C16:C67" si="8">IF(OR(C15="",C15=0),"",IF(ISBLANK(J15),IF(C15+K15+I15-$C$6&lt;=0,IF(AND(C15&gt;0,C15&lt;&gt;""),0,""),C15+K15+I15-$C$6),IF((C15-J15)+K15+I15&lt;=0,IF(AND(C15&gt;0,C15&lt;&gt;""),0,""),(C15-J15)+K15+I15)))</f>
        <v>539</v>
      </c>
      <c r="D16" s="151">
        <f t="shared" si="6"/>
        <v>539</v>
      </c>
      <c r="E16" s="151">
        <f t="shared" si="7"/>
        <v>539</v>
      </c>
      <c r="F16" s="80">
        <f t="shared" ref="F16:F27" si="9">IF(J15="","",IF(G15+F15+H15+I15+K15-J15&lt;0,0,G15+F15+H15+I15+K15-J15))</f>
        <v>11</v>
      </c>
      <c r="G16" s="118">
        <f t="shared" si="0"/>
        <v>4</v>
      </c>
      <c r="H16" s="118">
        <f t="shared" si="1"/>
        <v>9</v>
      </c>
      <c r="I16" s="82">
        <f t="shared" si="2"/>
        <v>2</v>
      </c>
      <c r="J16" s="126">
        <f t="shared" si="3"/>
        <v>11</v>
      </c>
      <c r="K16" s="84">
        <f t="shared" si="4"/>
        <v>-2</v>
      </c>
      <c r="L16" s="86"/>
      <c r="M16" s="59"/>
      <c r="N16" s="59"/>
    </row>
    <row r="17" spans="1:14" ht="19.5" x14ac:dyDescent="0.25">
      <c r="A17" s="73" t="s">
        <v>2546</v>
      </c>
      <c r="B17" s="66">
        <f t="shared" si="5"/>
        <v>45957</v>
      </c>
      <c r="C17" s="151">
        <f t="shared" si="8"/>
        <v>528</v>
      </c>
      <c r="D17" s="151">
        <f t="shared" si="6"/>
        <v>528</v>
      </c>
      <c r="E17" s="151">
        <f t="shared" si="7"/>
        <v>528</v>
      </c>
      <c r="F17" s="80">
        <f t="shared" si="9"/>
        <v>13</v>
      </c>
      <c r="G17" s="118">
        <f t="shared" si="0"/>
        <v>10</v>
      </c>
      <c r="H17" s="118">
        <f t="shared" si="1"/>
        <v>0</v>
      </c>
      <c r="I17" s="82">
        <f t="shared" si="2"/>
        <v>0</v>
      </c>
      <c r="J17" s="126">
        <f t="shared" si="3"/>
        <v>6</v>
      </c>
      <c r="K17" s="84">
        <f t="shared" si="4"/>
        <v>0</v>
      </c>
      <c r="L17" s="111"/>
      <c r="M17" s="59"/>
      <c r="N17" s="59"/>
    </row>
    <row r="18" spans="1:14" ht="19.5" x14ac:dyDescent="0.25">
      <c r="A18" s="73" t="s">
        <v>2547</v>
      </c>
      <c r="B18" s="66">
        <f t="shared" si="5"/>
        <v>45964</v>
      </c>
      <c r="C18" s="151">
        <f t="shared" si="8"/>
        <v>522</v>
      </c>
      <c r="D18" s="151">
        <f t="shared" si="6"/>
        <v>522</v>
      </c>
      <c r="E18" s="151">
        <f t="shared" si="7"/>
        <v>522</v>
      </c>
      <c r="F18" s="80">
        <f t="shared" si="9"/>
        <v>17</v>
      </c>
      <c r="G18" s="118">
        <f t="shared" si="0"/>
        <v>9</v>
      </c>
      <c r="H18" s="118">
        <f t="shared" si="1"/>
        <v>2</v>
      </c>
      <c r="I18" s="82">
        <f t="shared" si="2"/>
        <v>1</v>
      </c>
      <c r="J18" s="126">
        <f t="shared" si="3"/>
        <v>6</v>
      </c>
      <c r="K18" s="84">
        <f t="shared" si="4"/>
        <v>0</v>
      </c>
      <c r="L18" s="86"/>
      <c r="M18" s="59"/>
      <c r="N18" s="59"/>
    </row>
    <row r="19" spans="1:14" ht="19.5" x14ac:dyDescent="0.25">
      <c r="A19" s="73" t="s">
        <v>2548</v>
      </c>
      <c r="B19" s="66">
        <f t="shared" si="5"/>
        <v>45971</v>
      </c>
      <c r="C19" s="151">
        <f t="shared" si="8"/>
        <v>517</v>
      </c>
      <c r="D19" s="151">
        <f t="shared" si="6"/>
        <v>517</v>
      </c>
      <c r="E19" s="151">
        <f t="shared" si="7"/>
        <v>517</v>
      </c>
      <c r="F19" s="80">
        <f t="shared" si="9"/>
        <v>23</v>
      </c>
      <c r="G19" s="118">
        <f t="shared" si="0"/>
        <v>5</v>
      </c>
      <c r="H19" s="118">
        <f t="shared" si="1"/>
        <v>12</v>
      </c>
      <c r="I19" s="82">
        <f t="shared" si="2"/>
        <v>1</v>
      </c>
      <c r="J19" s="126">
        <f t="shared" si="3"/>
        <v>16</v>
      </c>
      <c r="K19" s="84">
        <f t="shared" si="4"/>
        <v>0</v>
      </c>
      <c r="L19" s="86"/>
      <c r="M19" s="59"/>
      <c r="N19" s="59"/>
    </row>
    <row r="20" spans="1:14" ht="19.5" x14ac:dyDescent="0.25">
      <c r="A20" s="73" t="s">
        <v>2549</v>
      </c>
      <c r="B20" s="66">
        <f t="shared" si="5"/>
        <v>45978</v>
      </c>
      <c r="C20" s="151">
        <f t="shared" si="8"/>
        <v>502</v>
      </c>
      <c r="D20" s="151">
        <f t="shared" si="6"/>
        <v>502</v>
      </c>
      <c r="E20" s="151">
        <f t="shared" si="7"/>
        <v>502</v>
      </c>
      <c r="F20" s="80">
        <f t="shared" si="9"/>
        <v>25</v>
      </c>
      <c r="G20" s="118">
        <f t="shared" si="0"/>
        <v>10</v>
      </c>
      <c r="H20" s="118">
        <f t="shared" si="1"/>
        <v>6</v>
      </c>
      <c r="I20" s="82">
        <f t="shared" si="2"/>
        <v>1</v>
      </c>
      <c r="J20" s="126">
        <f t="shared" si="3"/>
        <v>14</v>
      </c>
      <c r="K20" s="84">
        <f t="shared" si="4"/>
        <v>0</v>
      </c>
      <c r="L20" s="86"/>
      <c r="M20" s="59"/>
      <c r="N20" s="59"/>
    </row>
    <row r="21" spans="1:14" ht="19.5" x14ac:dyDescent="0.25">
      <c r="A21" s="73" t="s">
        <v>2550</v>
      </c>
      <c r="B21" s="66">
        <f t="shared" si="5"/>
        <v>45985</v>
      </c>
      <c r="C21" s="151">
        <f t="shared" si="8"/>
        <v>489</v>
      </c>
      <c r="D21" s="151">
        <f t="shared" si="6"/>
        <v>489</v>
      </c>
      <c r="E21" s="151">
        <f t="shared" si="7"/>
        <v>489</v>
      </c>
      <c r="F21" s="80">
        <f t="shared" si="9"/>
        <v>28</v>
      </c>
      <c r="G21" s="118">
        <f t="shared" si="0"/>
        <v>12</v>
      </c>
      <c r="H21" s="118">
        <f t="shared" si="1"/>
        <v>8</v>
      </c>
      <c r="I21" s="82">
        <f t="shared" si="2"/>
        <v>1</v>
      </c>
      <c r="J21" s="126">
        <f t="shared" si="3"/>
        <v>26</v>
      </c>
      <c r="K21" s="84">
        <f t="shared" si="4"/>
        <v>-1</v>
      </c>
      <c r="L21" s="86"/>
      <c r="M21" s="59"/>
      <c r="N21" s="59"/>
    </row>
    <row r="22" spans="1:14" ht="19.5" x14ac:dyDescent="0.25">
      <c r="A22" s="73" t="s">
        <v>2551</v>
      </c>
      <c r="B22" s="66">
        <f t="shared" si="5"/>
        <v>45992</v>
      </c>
      <c r="C22" s="151">
        <f t="shared" si="8"/>
        <v>463</v>
      </c>
      <c r="D22" s="151">
        <f t="shared" si="6"/>
        <v>463</v>
      </c>
      <c r="E22" s="151">
        <f t="shared" si="7"/>
        <v>463</v>
      </c>
      <c r="F22" s="80">
        <f t="shared" si="9"/>
        <v>22</v>
      </c>
      <c r="G22" s="118">
        <f t="shared" si="0"/>
        <v>7</v>
      </c>
      <c r="H22" s="118">
        <f t="shared" si="1"/>
        <v>6</v>
      </c>
      <c r="I22" s="82">
        <f t="shared" si="2"/>
        <v>1</v>
      </c>
      <c r="J22" s="126">
        <f t="shared" si="3"/>
        <v>9</v>
      </c>
      <c r="K22" s="84">
        <f t="shared" si="4"/>
        <v>-3</v>
      </c>
      <c r="L22" s="86"/>
      <c r="M22" s="59"/>
      <c r="N22" s="59"/>
    </row>
    <row r="23" spans="1:14" ht="19.5" x14ac:dyDescent="0.25">
      <c r="A23" s="73" t="s">
        <v>2552</v>
      </c>
      <c r="B23" s="66">
        <f t="shared" si="5"/>
        <v>45999</v>
      </c>
      <c r="C23" s="151">
        <f t="shared" si="8"/>
        <v>452</v>
      </c>
      <c r="D23" s="151">
        <f t="shared" si="6"/>
        <v>452</v>
      </c>
      <c r="E23" s="151">
        <f t="shared" si="7"/>
        <v>452</v>
      </c>
      <c r="F23" s="80">
        <f t="shared" si="9"/>
        <v>24</v>
      </c>
      <c r="G23" s="118">
        <f t="shared" si="0"/>
        <v>11</v>
      </c>
      <c r="H23" s="118">
        <f t="shared" si="1"/>
        <v>15</v>
      </c>
      <c r="I23" s="82">
        <f t="shared" si="2"/>
        <v>2</v>
      </c>
      <c r="J23" s="126">
        <f t="shared" si="3"/>
        <v>25</v>
      </c>
      <c r="K23" s="84">
        <f t="shared" si="4"/>
        <v>-3</v>
      </c>
      <c r="L23" s="86"/>
      <c r="M23" s="59"/>
      <c r="N23" s="59"/>
    </row>
    <row r="24" spans="1:14" ht="19.5" x14ac:dyDescent="0.25">
      <c r="A24" s="73" t="s">
        <v>2553</v>
      </c>
      <c r="B24" s="66">
        <f t="shared" si="5"/>
        <v>46006</v>
      </c>
      <c r="C24" s="151">
        <f t="shared" si="8"/>
        <v>426</v>
      </c>
      <c r="D24" s="151">
        <f t="shared" si="6"/>
        <v>426</v>
      </c>
      <c r="E24" s="151">
        <f t="shared" si="7"/>
        <v>426</v>
      </c>
      <c r="F24" s="80">
        <f t="shared" si="9"/>
        <v>24</v>
      </c>
      <c r="G24" s="118">
        <f t="shared" si="0"/>
        <v>11</v>
      </c>
      <c r="H24" s="118">
        <f t="shared" si="1"/>
        <v>18</v>
      </c>
      <c r="I24" s="82">
        <f t="shared" si="2"/>
        <v>3</v>
      </c>
      <c r="J24" s="126">
        <f t="shared" si="3"/>
        <v>16</v>
      </c>
      <c r="K24" s="84">
        <f t="shared" si="4"/>
        <v>-8</v>
      </c>
      <c r="L24" s="86"/>
      <c r="M24" s="59"/>
      <c r="N24" s="59"/>
    </row>
    <row r="25" spans="1:14" ht="19.5" x14ac:dyDescent="0.25">
      <c r="A25" s="73" t="s">
        <v>2554</v>
      </c>
      <c r="B25" s="66">
        <f t="shared" si="5"/>
        <v>46013</v>
      </c>
      <c r="C25" s="151">
        <f t="shared" si="8"/>
        <v>405</v>
      </c>
      <c r="D25" s="151">
        <f t="shared" si="6"/>
        <v>405</v>
      </c>
      <c r="E25" s="151">
        <f t="shared" si="7"/>
        <v>405</v>
      </c>
      <c r="F25" s="80">
        <f t="shared" si="9"/>
        <v>32</v>
      </c>
      <c r="G25" s="118">
        <f t="shared" si="0"/>
        <v>1</v>
      </c>
      <c r="H25" s="118">
        <f t="shared" si="1"/>
        <v>21</v>
      </c>
      <c r="I25" s="82">
        <f t="shared" si="2"/>
        <v>4</v>
      </c>
      <c r="J25" s="126">
        <f t="shared" si="3"/>
        <v>30</v>
      </c>
      <c r="K25" s="84">
        <f t="shared" si="4"/>
        <v>-5</v>
      </c>
      <c r="L25" s="86"/>
      <c r="M25" s="59"/>
      <c r="N25" s="59"/>
    </row>
    <row r="26" spans="1:14" ht="19.5" x14ac:dyDescent="0.25">
      <c r="A26" s="73" t="s">
        <v>2555</v>
      </c>
      <c r="B26" s="66">
        <f t="shared" si="5"/>
        <v>46020</v>
      </c>
      <c r="C26" s="151">
        <f t="shared" si="8"/>
        <v>374</v>
      </c>
      <c r="D26" s="151">
        <f t="shared" si="6"/>
        <v>374</v>
      </c>
      <c r="E26" s="151">
        <f t="shared" si="7"/>
        <v>374</v>
      </c>
      <c r="F26" s="80">
        <f t="shared" si="9"/>
        <v>23</v>
      </c>
      <c r="G26" s="118">
        <f t="shared" si="0"/>
        <v>6</v>
      </c>
      <c r="H26" s="118">
        <f t="shared" si="1"/>
        <v>4</v>
      </c>
      <c r="I26" s="82">
        <f t="shared" si="2"/>
        <v>5</v>
      </c>
      <c r="J26" s="126">
        <f t="shared" si="3"/>
        <v>20</v>
      </c>
      <c r="K26" s="84">
        <f t="shared" si="4"/>
        <v>-2</v>
      </c>
      <c r="L26" s="86"/>
      <c r="M26" s="59"/>
      <c r="N26" s="59"/>
    </row>
    <row r="27" spans="1:14" ht="19.5" x14ac:dyDescent="0.25">
      <c r="A27" s="73" t="s">
        <v>2556</v>
      </c>
      <c r="B27" s="66">
        <f t="shared" si="5"/>
        <v>46027</v>
      </c>
      <c r="C27" s="151">
        <f t="shared" si="8"/>
        <v>357</v>
      </c>
      <c r="D27" s="151">
        <f t="shared" si="6"/>
        <v>357</v>
      </c>
      <c r="E27" s="151">
        <f t="shared" si="7"/>
        <v>357</v>
      </c>
      <c r="F27" s="80">
        <f t="shared" si="9"/>
        <v>16</v>
      </c>
      <c r="G27" s="118">
        <f t="shared" si="0"/>
        <v>4</v>
      </c>
      <c r="H27" s="118">
        <f t="shared" si="1"/>
        <v>11</v>
      </c>
      <c r="I27" s="82">
        <f t="shared" si="2"/>
        <v>2</v>
      </c>
      <c r="J27" s="126">
        <f t="shared" si="3"/>
        <v>23</v>
      </c>
      <c r="K27" s="84">
        <f t="shared" si="4"/>
        <v>-1</v>
      </c>
      <c r="L27" s="86"/>
      <c r="M27" s="59"/>
      <c r="N27" s="59"/>
    </row>
    <row r="28" spans="1:14" ht="19.5" x14ac:dyDescent="0.25">
      <c r="A28" s="73" t="s">
        <v>2557</v>
      </c>
      <c r="B28" s="66">
        <f t="shared" si="5"/>
        <v>46034</v>
      </c>
      <c r="C28" s="151">
        <f t="shared" si="8"/>
        <v>335</v>
      </c>
      <c r="D28" s="151">
        <f t="shared" si="6"/>
        <v>335</v>
      </c>
      <c r="E28" s="151">
        <f t="shared" si="7"/>
        <v>335</v>
      </c>
      <c r="F28" s="80">
        <f t="shared" ref="F28:F67" si="10">IF(J27="","",IF(G27+F27+H27+I27-J27&lt;0,0,G27+F27+H27+I27-J27))</f>
        <v>10</v>
      </c>
      <c r="G28" s="118">
        <f t="shared" si="0"/>
        <v>8</v>
      </c>
      <c r="H28" s="118">
        <f t="shared" si="1"/>
        <v>8</v>
      </c>
      <c r="I28" s="82">
        <f t="shared" si="2"/>
        <v>1</v>
      </c>
      <c r="J28" s="126">
        <f t="shared" si="3"/>
        <v>19</v>
      </c>
      <c r="K28" s="84">
        <f t="shared" si="4"/>
        <v>-1</v>
      </c>
      <c r="L28" s="86"/>
      <c r="M28" s="59"/>
      <c r="N28" s="59"/>
    </row>
    <row r="29" spans="1:14" ht="19.5" x14ac:dyDescent="0.25">
      <c r="A29" s="73" t="s">
        <v>2558</v>
      </c>
      <c r="B29" s="66">
        <f t="shared" si="5"/>
        <v>46041</v>
      </c>
      <c r="C29" s="151">
        <f t="shared" si="8"/>
        <v>316</v>
      </c>
      <c r="D29" s="151">
        <f t="shared" si="6"/>
        <v>316</v>
      </c>
      <c r="E29" s="151">
        <f t="shared" si="7"/>
        <v>316</v>
      </c>
      <c r="F29" s="80">
        <f t="shared" si="10"/>
        <v>8</v>
      </c>
      <c r="G29" s="118">
        <f t="shared" si="0"/>
        <v>8</v>
      </c>
      <c r="H29" s="118">
        <f t="shared" si="1"/>
        <v>8</v>
      </c>
      <c r="I29" s="82">
        <f t="shared" si="2"/>
        <v>0</v>
      </c>
      <c r="J29" s="126">
        <f t="shared" si="3"/>
        <v>13</v>
      </c>
      <c r="K29" s="84">
        <f t="shared" si="4"/>
        <v>-2</v>
      </c>
      <c r="L29" s="86"/>
      <c r="M29" s="59"/>
      <c r="N29" s="59"/>
    </row>
    <row r="30" spans="1:14" ht="19.5" x14ac:dyDescent="0.25">
      <c r="A30" s="73" t="s">
        <v>2559</v>
      </c>
      <c r="B30" s="66">
        <f t="shared" si="5"/>
        <v>46048</v>
      </c>
      <c r="C30" s="151">
        <f t="shared" si="8"/>
        <v>301</v>
      </c>
      <c r="D30" s="151">
        <f t="shared" si="6"/>
        <v>301</v>
      </c>
      <c r="E30" s="151">
        <f t="shared" si="7"/>
        <v>301</v>
      </c>
      <c r="F30" s="80">
        <f t="shared" si="10"/>
        <v>11</v>
      </c>
      <c r="G30" s="118">
        <f t="shared" si="0"/>
        <v>5</v>
      </c>
      <c r="H30" s="118">
        <f t="shared" si="1"/>
        <v>20</v>
      </c>
      <c r="I30" s="82">
        <f t="shared" si="2"/>
        <v>10</v>
      </c>
      <c r="J30" s="126">
        <f t="shared" si="3"/>
        <v>12</v>
      </c>
      <c r="K30" s="84">
        <f t="shared" si="4"/>
        <v>-4</v>
      </c>
      <c r="L30" s="86"/>
      <c r="M30" s="59"/>
      <c r="N30" s="59"/>
    </row>
    <row r="31" spans="1:14" ht="19.5" x14ac:dyDescent="0.25">
      <c r="A31" s="73" t="s">
        <v>2560</v>
      </c>
      <c r="B31" s="66">
        <f t="shared" si="5"/>
        <v>46055</v>
      </c>
      <c r="C31" s="151">
        <f t="shared" si="8"/>
        <v>295</v>
      </c>
      <c r="D31" s="151">
        <f t="shared" si="6"/>
        <v>295</v>
      </c>
      <c r="E31" s="151">
        <f t="shared" si="7"/>
        <v>295</v>
      </c>
      <c r="F31" s="80">
        <f t="shared" si="10"/>
        <v>34</v>
      </c>
      <c r="G31" s="118">
        <f t="shared" si="0"/>
        <v>9</v>
      </c>
      <c r="H31" s="118">
        <f t="shared" si="1"/>
        <v>9</v>
      </c>
      <c r="I31" s="82">
        <f t="shared" si="2"/>
        <v>9</v>
      </c>
      <c r="J31" s="126">
        <f t="shared" si="3"/>
        <v>16</v>
      </c>
      <c r="K31" s="84">
        <f t="shared" si="4"/>
        <v>-10</v>
      </c>
      <c r="L31" s="86"/>
      <c r="M31" s="59"/>
      <c r="N31" s="59"/>
    </row>
    <row r="32" spans="1:14" ht="19.5" x14ac:dyDescent="0.25">
      <c r="A32" s="73" t="s">
        <v>2563</v>
      </c>
      <c r="B32" s="66">
        <f t="shared" si="5"/>
        <v>46062</v>
      </c>
      <c r="C32" s="151">
        <f t="shared" si="8"/>
        <v>278</v>
      </c>
      <c r="D32" s="151">
        <f t="shared" si="6"/>
        <v>278</v>
      </c>
      <c r="E32" s="151">
        <f t="shared" si="7"/>
        <v>278</v>
      </c>
      <c r="F32" s="80">
        <f t="shared" si="10"/>
        <v>45</v>
      </c>
      <c r="G32" s="118">
        <f t="shared" si="0"/>
        <v>10</v>
      </c>
      <c r="H32" s="118">
        <f t="shared" si="1"/>
        <v>5</v>
      </c>
      <c r="I32" s="82">
        <f t="shared" si="2"/>
        <v>6</v>
      </c>
      <c r="J32" s="126">
        <f t="shared" si="3"/>
        <v>18</v>
      </c>
      <c r="K32" s="84">
        <f t="shared" si="4"/>
        <v>-2</v>
      </c>
      <c r="L32" s="86"/>
      <c r="M32" s="59"/>
      <c r="N32" s="59"/>
    </row>
    <row r="33" spans="1:14" ht="19.5" x14ac:dyDescent="0.25">
      <c r="A33" s="73" t="s">
        <v>2564</v>
      </c>
      <c r="B33" s="66">
        <f t="shared" si="5"/>
        <v>46069</v>
      </c>
      <c r="C33" s="151">
        <f t="shared" si="8"/>
        <v>264</v>
      </c>
      <c r="D33" s="151">
        <f t="shared" si="6"/>
        <v>264</v>
      </c>
      <c r="E33" s="151">
        <f t="shared" si="7"/>
        <v>264</v>
      </c>
      <c r="F33" s="80">
        <f t="shared" si="10"/>
        <v>48</v>
      </c>
      <c r="G33" s="118">
        <f t="shared" si="0"/>
        <v>0</v>
      </c>
      <c r="H33" s="118">
        <f t="shared" si="1"/>
        <v>6</v>
      </c>
      <c r="I33" s="82">
        <f t="shared" si="2"/>
        <v>4</v>
      </c>
      <c r="J33" s="126">
        <f t="shared" si="3"/>
        <v>16</v>
      </c>
      <c r="K33" s="84">
        <f t="shared" si="4"/>
        <v>0</v>
      </c>
      <c r="L33" s="86"/>
      <c r="M33" s="59"/>
      <c r="N33" s="59"/>
    </row>
    <row r="34" spans="1:14" ht="19.5" x14ac:dyDescent="0.25">
      <c r="A34" s="73" t="s">
        <v>2565</v>
      </c>
      <c r="B34" s="66">
        <f t="shared" si="5"/>
        <v>46076</v>
      </c>
      <c r="C34" s="151">
        <f t="shared" si="8"/>
        <v>252</v>
      </c>
      <c r="D34" s="151">
        <f t="shared" si="6"/>
        <v>252</v>
      </c>
      <c r="E34" s="151">
        <f t="shared" si="7"/>
        <v>252</v>
      </c>
      <c r="F34" s="80">
        <f t="shared" si="10"/>
        <v>42</v>
      </c>
      <c r="G34" s="118">
        <f t="shared" si="0"/>
        <v>3</v>
      </c>
      <c r="H34" s="118">
        <f t="shared" si="1"/>
        <v>4</v>
      </c>
      <c r="I34" s="82">
        <f t="shared" si="2"/>
        <v>10</v>
      </c>
      <c r="J34" s="126">
        <f t="shared" si="3"/>
        <v>11</v>
      </c>
      <c r="K34" s="84">
        <f t="shared" si="4"/>
        <v>-4</v>
      </c>
      <c r="L34" s="86"/>
      <c r="M34" s="59"/>
      <c r="N34" s="59"/>
    </row>
    <row r="35" spans="1:14" ht="19.5" x14ac:dyDescent="0.25">
      <c r="A35" s="73" t="s">
        <v>2566</v>
      </c>
      <c r="B35" s="66">
        <f t="shared" si="5"/>
        <v>46083</v>
      </c>
      <c r="C35" s="151">
        <f t="shared" si="8"/>
        <v>247</v>
      </c>
      <c r="D35" s="151">
        <f t="shared" si="6"/>
        <v>247</v>
      </c>
      <c r="E35" s="151">
        <f t="shared" si="7"/>
        <v>247</v>
      </c>
      <c r="F35" s="80">
        <f t="shared" si="10"/>
        <v>48</v>
      </c>
      <c r="G35" s="118">
        <f t="shared" si="0"/>
        <v>11</v>
      </c>
      <c r="H35" s="118">
        <f t="shared" si="1"/>
        <v>15</v>
      </c>
      <c r="I35" s="82">
        <f t="shared" si="2"/>
        <v>1</v>
      </c>
      <c r="J35" s="126">
        <f t="shared" si="3"/>
        <v>30</v>
      </c>
      <c r="K35" s="84">
        <f t="shared" si="4"/>
        <v>-2</v>
      </c>
      <c r="L35" s="86"/>
      <c r="M35" s="59"/>
      <c r="N35" s="59"/>
    </row>
    <row r="36" spans="1:14" ht="19.5" x14ac:dyDescent="0.25">
      <c r="A36" s="73" t="s">
        <v>2567</v>
      </c>
      <c r="B36" s="66">
        <f t="shared" si="5"/>
        <v>46090</v>
      </c>
      <c r="C36" s="151">
        <f t="shared" si="8"/>
        <v>216</v>
      </c>
      <c r="D36" s="151">
        <f t="shared" si="6"/>
        <v>216</v>
      </c>
      <c r="E36" s="151">
        <f t="shared" si="7"/>
        <v>216</v>
      </c>
      <c r="F36" s="80">
        <f t="shared" si="10"/>
        <v>45</v>
      </c>
      <c r="G36" s="118">
        <f t="shared" si="0"/>
        <v>11</v>
      </c>
      <c r="H36" s="118">
        <f t="shared" si="1"/>
        <v>13</v>
      </c>
      <c r="I36" s="82">
        <f t="shared" si="2"/>
        <v>6</v>
      </c>
      <c r="J36" s="126">
        <f t="shared" si="3"/>
        <v>22</v>
      </c>
      <c r="K36" s="84">
        <f t="shared" si="4"/>
        <v>-4</v>
      </c>
      <c r="L36" s="86"/>
      <c r="M36" s="59"/>
      <c r="N36" s="59"/>
    </row>
    <row r="37" spans="1:14" ht="19.5" x14ac:dyDescent="0.25">
      <c r="A37" s="73" t="s">
        <v>2568</v>
      </c>
      <c r="B37" s="66">
        <f t="shared" si="5"/>
        <v>46097</v>
      </c>
      <c r="C37" s="151">
        <f t="shared" si="8"/>
        <v>196</v>
      </c>
      <c r="D37" s="151">
        <f t="shared" si="6"/>
        <v>196</v>
      </c>
      <c r="E37" s="151">
        <f t="shared" si="7"/>
        <v>196</v>
      </c>
      <c r="F37" s="80">
        <f t="shared" si="10"/>
        <v>53</v>
      </c>
      <c r="G37" s="81"/>
      <c r="H37" s="81"/>
      <c r="I37" s="82"/>
      <c r="J37" s="83"/>
      <c r="K37" s="84"/>
      <c r="L37" s="86"/>
      <c r="M37" s="59"/>
      <c r="N37" s="59"/>
    </row>
    <row r="38" spans="1:14" ht="19.5" x14ac:dyDescent="0.25">
      <c r="A38" s="73" t="s">
        <v>2569</v>
      </c>
      <c r="B38" s="66">
        <f t="shared" si="5"/>
        <v>46104</v>
      </c>
      <c r="C38" s="151">
        <f t="shared" si="8"/>
        <v>174</v>
      </c>
      <c r="D38" s="151">
        <f t="shared" si="6"/>
        <v>183.95</v>
      </c>
      <c r="E38" s="151">
        <f t="shared" si="7"/>
        <v>188</v>
      </c>
      <c r="F38" s="80" t="str">
        <f t="shared" si="10"/>
        <v/>
      </c>
      <c r="G38" s="81"/>
      <c r="H38" s="81"/>
      <c r="I38" s="82"/>
      <c r="J38" s="83"/>
      <c r="K38" s="84"/>
      <c r="L38" s="86"/>
      <c r="M38" s="59"/>
      <c r="N38" s="59"/>
    </row>
    <row r="39" spans="1:14" ht="19.5" x14ac:dyDescent="0.25">
      <c r="A39" s="73" t="s">
        <v>2570</v>
      </c>
      <c r="B39" s="66">
        <f t="shared" si="5"/>
        <v>46111</v>
      </c>
      <c r="C39" s="151">
        <f t="shared" si="8"/>
        <v>152</v>
      </c>
      <c r="D39" s="151">
        <f t="shared" si="6"/>
        <v>171.89999999999998</v>
      </c>
      <c r="E39" s="151">
        <f t="shared" si="7"/>
        <v>180</v>
      </c>
      <c r="F39" s="80" t="str">
        <f t="shared" si="10"/>
        <v/>
      </c>
      <c r="G39" s="81"/>
      <c r="H39" s="81"/>
      <c r="I39" s="82"/>
      <c r="J39" s="83"/>
      <c r="K39" s="84"/>
      <c r="L39" s="86"/>
      <c r="M39" s="59"/>
      <c r="N39" s="59"/>
    </row>
    <row r="40" spans="1:14" ht="19.5" x14ac:dyDescent="0.25">
      <c r="A40" s="73" t="s">
        <v>2571</v>
      </c>
      <c r="B40" s="66">
        <f t="shared" si="5"/>
        <v>46118</v>
      </c>
      <c r="C40" s="151">
        <f t="shared" si="8"/>
        <v>130</v>
      </c>
      <c r="D40" s="151">
        <f t="shared" si="6"/>
        <v>159.84999999999997</v>
      </c>
      <c r="E40" s="151">
        <f t="shared" si="7"/>
        <v>172</v>
      </c>
      <c r="F40" s="80" t="str">
        <f t="shared" si="10"/>
        <v/>
      </c>
      <c r="G40" s="81"/>
      <c r="H40" s="81"/>
      <c r="I40" s="82"/>
      <c r="J40" s="83"/>
      <c r="K40" s="84"/>
      <c r="L40" s="86"/>
      <c r="M40" s="59"/>
      <c r="N40" s="59"/>
    </row>
    <row r="41" spans="1:14" ht="19.5" x14ac:dyDescent="0.25">
      <c r="A41" s="73" t="s">
        <v>2572</v>
      </c>
      <c r="B41" s="66">
        <f t="shared" si="5"/>
        <v>46125</v>
      </c>
      <c r="C41" s="151">
        <f t="shared" si="8"/>
        <v>108</v>
      </c>
      <c r="D41" s="151">
        <f t="shared" si="6"/>
        <v>147.79999999999995</v>
      </c>
      <c r="E41" s="151">
        <f t="shared" si="7"/>
        <v>164</v>
      </c>
      <c r="F41" s="80" t="str">
        <f t="shared" si="10"/>
        <v/>
      </c>
      <c r="G41" s="81"/>
      <c r="H41" s="81"/>
      <c r="I41" s="82"/>
      <c r="J41" s="83"/>
      <c r="K41" s="84"/>
      <c r="L41" s="86"/>
      <c r="M41" s="59"/>
      <c r="N41" s="59"/>
    </row>
    <row r="42" spans="1:14" ht="19.5" x14ac:dyDescent="0.25">
      <c r="A42" s="73" t="s">
        <v>2573</v>
      </c>
      <c r="B42" s="66">
        <f t="shared" si="5"/>
        <v>46132</v>
      </c>
      <c r="C42" s="151">
        <f t="shared" si="8"/>
        <v>86</v>
      </c>
      <c r="D42" s="151">
        <f t="shared" si="6"/>
        <v>135.74999999999994</v>
      </c>
      <c r="E42" s="151">
        <f t="shared" si="7"/>
        <v>156</v>
      </c>
      <c r="F42" s="80" t="str">
        <f t="shared" si="10"/>
        <v/>
      </c>
      <c r="G42" s="81"/>
      <c r="H42" s="81"/>
      <c r="I42" s="82"/>
      <c r="J42" s="83"/>
      <c r="K42" s="84"/>
      <c r="L42" s="86"/>
      <c r="M42" s="59"/>
      <c r="N42" s="59"/>
    </row>
    <row r="43" spans="1:14" ht="19.5" x14ac:dyDescent="0.25">
      <c r="A43" s="73" t="s">
        <v>2574</v>
      </c>
      <c r="B43" s="66">
        <f t="shared" si="5"/>
        <v>46139</v>
      </c>
      <c r="C43" s="151">
        <f t="shared" si="8"/>
        <v>64</v>
      </c>
      <c r="D43" s="151">
        <f t="shared" si="6"/>
        <v>123.69999999999995</v>
      </c>
      <c r="E43" s="151">
        <f t="shared" si="7"/>
        <v>148</v>
      </c>
      <c r="F43" s="80" t="str">
        <f t="shared" si="10"/>
        <v/>
      </c>
      <c r="G43" s="81"/>
      <c r="H43" s="81"/>
      <c r="I43" s="82"/>
      <c r="J43" s="83"/>
      <c r="K43" s="84"/>
      <c r="L43" s="86"/>
      <c r="M43" s="59"/>
      <c r="N43" s="59"/>
    </row>
    <row r="44" spans="1:14" ht="19.5" x14ac:dyDescent="0.25">
      <c r="A44" s="73" t="s">
        <v>2575</v>
      </c>
      <c r="B44" s="66">
        <f t="shared" si="5"/>
        <v>46146</v>
      </c>
      <c r="C44" s="151">
        <f t="shared" si="8"/>
        <v>42</v>
      </c>
      <c r="D44" s="151">
        <f t="shared" si="6"/>
        <v>111.64999999999995</v>
      </c>
      <c r="E44" s="151">
        <f t="shared" si="7"/>
        <v>140</v>
      </c>
      <c r="F44" s="80" t="str">
        <f t="shared" si="10"/>
        <v/>
      </c>
      <c r="G44" s="81"/>
      <c r="H44" s="81"/>
      <c r="I44" s="82"/>
      <c r="J44" s="83"/>
      <c r="K44" s="84"/>
      <c r="L44" s="86"/>
      <c r="M44" s="59"/>
      <c r="N44" s="59"/>
    </row>
    <row r="45" spans="1:14" ht="19.5" x14ac:dyDescent="0.25">
      <c r="A45" s="73" t="s">
        <v>2576</v>
      </c>
      <c r="B45" s="66">
        <f t="shared" si="5"/>
        <v>46153</v>
      </c>
      <c r="C45" s="151">
        <f t="shared" si="8"/>
        <v>20</v>
      </c>
      <c r="D45" s="151">
        <f t="shared" si="6"/>
        <v>99.599999999999952</v>
      </c>
      <c r="E45" s="151">
        <f t="shared" si="7"/>
        <v>132</v>
      </c>
      <c r="F45" s="80" t="str">
        <f t="shared" si="10"/>
        <v/>
      </c>
      <c r="G45" s="81"/>
      <c r="H45" s="81"/>
      <c r="I45" s="82"/>
      <c r="J45" s="83"/>
      <c r="K45" s="84"/>
      <c r="L45" s="86"/>
      <c r="M45" s="59"/>
      <c r="N45" s="59"/>
    </row>
    <row r="46" spans="1:14" ht="19.5" x14ac:dyDescent="0.25">
      <c r="A46" s="73" t="s">
        <v>2577</v>
      </c>
      <c r="B46" s="66">
        <f t="shared" si="5"/>
        <v>46160</v>
      </c>
      <c r="C46" s="151">
        <f t="shared" si="8"/>
        <v>0</v>
      </c>
      <c r="D46" s="151">
        <f t="shared" si="6"/>
        <v>87.549999999999955</v>
      </c>
      <c r="E46" s="151">
        <f t="shared" si="7"/>
        <v>124</v>
      </c>
      <c r="F46" s="80" t="str">
        <f t="shared" si="10"/>
        <v/>
      </c>
      <c r="G46" s="81"/>
      <c r="H46" s="81"/>
      <c r="I46" s="82"/>
      <c r="J46" s="83"/>
      <c r="K46" s="84"/>
      <c r="L46" s="86"/>
      <c r="M46" s="59"/>
      <c r="N46" s="59"/>
    </row>
    <row r="47" spans="1:14" ht="19.5" x14ac:dyDescent="0.25">
      <c r="A47" s="73" t="s">
        <v>2578</v>
      </c>
      <c r="B47" s="66">
        <f t="shared" si="5"/>
        <v>46167</v>
      </c>
      <c r="C47" s="151" t="str">
        <f t="shared" si="8"/>
        <v/>
      </c>
      <c r="D47" s="151">
        <f t="shared" si="6"/>
        <v>75.499999999999957</v>
      </c>
      <c r="E47" s="151">
        <f t="shared" si="7"/>
        <v>116</v>
      </c>
      <c r="F47" s="80" t="str">
        <f t="shared" si="10"/>
        <v/>
      </c>
      <c r="G47" s="81"/>
      <c r="H47" s="81"/>
      <c r="I47" s="82"/>
      <c r="J47" s="83"/>
      <c r="K47" s="84"/>
      <c r="L47" s="86"/>
      <c r="M47" s="59"/>
      <c r="N47" s="59"/>
    </row>
    <row r="48" spans="1:14" ht="19.5" x14ac:dyDescent="0.25">
      <c r="A48" s="73" t="s">
        <v>2579</v>
      </c>
      <c r="B48" s="66">
        <f t="shared" si="5"/>
        <v>46174</v>
      </c>
      <c r="C48" s="151" t="str">
        <f t="shared" si="8"/>
        <v/>
      </c>
      <c r="D48" s="151">
        <f t="shared" si="6"/>
        <v>63.44999999999996</v>
      </c>
      <c r="E48" s="151">
        <f t="shared" si="7"/>
        <v>108</v>
      </c>
      <c r="F48" s="80" t="str">
        <f t="shared" si="10"/>
        <v/>
      </c>
      <c r="G48" s="81"/>
      <c r="H48" s="81"/>
      <c r="I48" s="82"/>
      <c r="J48" s="83"/>
      <c r="K48" s="84"/>
      <c r="L48" s="86"/>
      <c r="M48" s="59"/>
      <c r="N48" s="59"/>
    </row>
    <row r="49" spans="1:14" ht="19.5" x14ac:dyDescent="0.25">
      <c r="A49" s="73" t="s">
        <v>2580</v>
      </c>
      <c r="B49" s="66">
        <f t="shared" si="5"/>
        <v>46181</v>
      </c>
      <c r="C49" s="151" t="str">
        <f t="shared" si="8"/>
        <v/>
      </c>
      <c r="D49" s="151">
        <f t="shared" si="6"/>
        <v>51.399999999999963</v>
      </c>
      <c r="E49" s="151">
        <f t="shared" si="7"/>
        <v>100</v>
      </c>
      <c r="F49" s="80" t="str">
        <f t="shared" si="10"/>
        <v/>
      </c>
      <c r="G49" s="81"/>
      <c r="H49" s="81"/>
      <c r="I49" s="82"/>
      <c r="J49" s="83"/>
      <c r="K49" s="84"/>
      <c r="L49" s="86"/>
      <c r="M49" s="59"/>
      <c r="N49" s="59"/>
    </row>
    <row r="50" spans="1:14" ht="19.5" x14ac:dyDescent="0.25">
      <c r="A50" s="73" t="s">
        <v>2581</v>
      </c>
      <c r="B50" s="66">
        <f t="shared" si="5"/>
        <v>46188</v>
      </c>
      <c r="C50" s="151" t="str">
        <f t="shared" si="8"/>
        <v/>
      </c>
      <c r="D50" s="151">
        <f t="shared" si="6"/>
        <v>39.349999999999966</v>
      </c>
      <c r="E50" s="151">
        <f t="shared" si="7"/>
        <v>92</v>
      </c>
      <c r="F50" s="80" t="str">
        <f t="shared" si="10"/>
        <v/>
      </c>
      <c r="G50" s="81"/>
      <c r="H50" s="81"/>
      <c r="I50" s="82"/>
      <c r="J50" s="83"/>
      <c r="K50" s="84"/>
      <c r="L50" s="86"/>
      <c r="M50" s="59"/>
      <c r="N50" s="59"/>
    </row>
    <row r="51" spans="1:14" ht="19.5" x14ac:dyDescent="0.25">
      <c r="A51" s="73" t="s">
        <v>2582</v>
      </c>
      <c r="B51" s="66">
        <f t="shared" si="5"/>
        <v>46195</v>
      </c>
      <c r="C51" s="151" t="str">
        <f t="shared" si="8"/>
        <v/>
      </c>
      <c r="D51" s="151">
        <f t="shared" si="6"/>
        <v>27.299999999999965</v>
      </c>
      <c r="E51" s="151">
        <f t="shared" si="7"/>
        <v>84</v>
      </c>
      <c r="F51" s="80" t="str">
        <f t="shared" si="10"/>
        <v/>
      </c>
      <c r="G51" s="81"/>
      <c r="H51" s="81"/>
      <c r="I51" s="82"/>
      <c r="J51" s="83"/>
      <c r="K51" s="84"/>
      <c r="L51" s="86"/>
      <c r="M51" s="59"/>
      <c r="N51" s="59"/>
    </row>
    <row r="52" spans="1:14" ht="19.5" x14ac:dyDescent="0.25">
      <c r="A52" s="73" t="s">
        <v>2583</v>
      </c>
      <c r="B52" s="66">
        <f t="shared" si="5"/>
        <v>46202</v>
      </c>
      <c r="C52" s="151" t="str">
        <f t="shared" si="8"/>
        <v/>
      </c>
      <c r="D52" s="151">
        <f t="shared" si="6"/>
        <v>15.249999999999964</v>
      </c>
      <c r="E52" s="151">
        <f t="shared" si="7"/>
        <v>76</v>
      </c>
      <c r="F52" s="80" t="str">
        <f t="shared" si="10"/>
        <v/>
      </c>
      <c r="G52" s="81"/>
      <c r="H52" s="81"/>
      <c r="I52" s="82"/>
      <c r="J52" s="83"/>
      <c r="K52" s="84"/>
      <c r="L52" s="86"/>
      <c r="M52" s="59"/>
      <c r="N52" s="59"/>
    </row>
    <row r="53" spans="1:14" ht="19.5" x14ac:dyDescent="0.25">
      <c r="A53" s="73"/>
      <c r="B53" s="66">
        <f t="shared" si="5"/>
        <v>46209</v>
      </c>
      <c r="C53" s="151" t="str">
        <f t="shared" si="8"/>
        <v/>
      </c>
      <c r="D53" s="151">
        <f t="shared" si="6"/>
        <v>3.1999999999999638</v>
      </c>
      <c r="E53" s="151">
        <f t="shared" si="7"/>
        <v>68</v>
      </c>
      <c r="F53" s="80" t="str">
        <f t="shared" si="10"/>
        <v/>
      </c>
      <c r="G53" s="81"/>
      <c r="H53" s="81"/>
      <c r="I53" s="82"/>
      <c r="J53" s="83"/>
      <c r="K53" s="84"/>
      <c r="L53" s="86"/>
      <c r="M53" s="59"/>
      <c r="N53" s="59"/>
    </row>
    <row r="54" spans="1:14" ht="19.5" x14ac:dyDescent="0.25">
      <c r="A54" s="73"/>
      <c r="B54" s="66">
        <f t="shared" si="5"/>
        <v>46216</v>
      </c>
      <c r="C54" s="151" t="str">
        <f t="shared" si="8"/>
        <v/>
      </c>
      <c r="D54" s="151">
        <f t="shared" si="6"/>
        <v>0</v>
      </c>
      <c r="E54" s="151">
        <f t="shared" si="7"/>
        <v>60</v>
      </c>
      <c r="F54" s="80" t="str">
        <f t="shared" si="10"/>
        <v/>
      </c>
      <c r="G54" s="81"/>
      <c r="H54" s="81"/>
      <c r="I54" s="82"/>
      <c r="J54" s="83"/>
      <c r="K54" s="84"/>
      <c r="L54" s="86"/>
      <c r="M54" s="59"/>
      <c r="N54" s="59"/>
    </row>
    <row r="55" spans="1:14" ht="19.5" x14ac:dyDescent="0.25">
      <c r="A55" s="73"/>
      <c r="B55" s="66">
        <f t="shared" si="5"/>
        <v>46223</v>
      </c>
      <c r="C55" s="151" t="str">
        <f t="shared" si="8"/>
        <v/>
      </c>
      <c r="D55" s="151" t="str">
        <f t="shared" si="6"/>
        <v/>
      </c>
      <c r="E55" s="151">
        <f t="shared" si="7"/>
        <v>52</v>
      </c>
      <c r="F55" s="80" t="str">
        <f t="shared" si="10"/>
        <v/>
      </c>
      <c r="G55" s="81"/>
      <c r="H55" s="81"/>
      <c r="I55" s="82"/>
      <c r="J55" s="83"/>
      <c r="K55" s="84"/>
      <c r="L55" s="86"/>
      <c r="M55" s="59"/>
      <c r="N55" s="59"/>
    </row>
    <row r="56" spans="1:14" ht="19.5" x14ac:dyDescent="0.25">
      <c r="A56" s="73"/>
      <c r="B56" s="66">
        <f t="shared" si="5"/>
        <v>46230</v>
      </c>
      <c r="C56" s="151" t="str">
        <f t="shared" si="8"/>
        <v/>
      </c>
      <c r="D56" s="151" t="str">
        <f t="shared" si="6"/>
        <v/>
      </c>
      <c r="E56" s="151">
        <f t="shared" si="7"/>
        <v>44</v>
      </c>
      <c r="F56" s="80" t="str">
        <f t="shared" si="10"/>
        <v/>
      </c>
      <c r="G56" s="81"/>
      <c r="H56" s="81"/>
      <c r="I56" s="82"/>
      <c r="J56" s="83"/>
      <c r="K56" s="84"/>
      <c r="L56" s="86"/>
      <c r="M56" s="59"/>
      <c r="N56" s="59"/>
    </row>
    <row r="57" spans="1:14" ht="19.5" x14ac:dyDescent="0.25">
      <c r="A57" s="73"/>
      <c r="B57" s="66">
        <f t="shared" si="5"/>
        <v>46237</v>
      </c>
      <c r="C57" s="151" t="str">
        <f t="shared" si="8"/>
        <v/>
      </c>
      <c r="D57" s="151" t="str">
        <f t="shared" si="6"/>
        <v/>
      </c>
      <c r="E57" s="151">
        <f t="shared" si="7"/>
        <v>36</v>
      </c>
      <c r="F57" s="80" t="str">
        <f t="shared" si="10"/>
        <v/>
      </c>
      <c r="G57" s="81"/>
      <c r="H57" s="81"/>
      <c r="I57" s="82"/>
      <c r="J57" s="83"/>
      <c r="K57" s="84"/>
      <c r="L57" s="86"/>
      <c r="M57" s="59"/>
      <c r="N57" s="59"/>
    </row>
    <row r="58" spans="1:14" ht="19.5" x14ac:dyDescent="0.25">
      <c r="A58" s="73"/>
      <c r="B58" s="66">
        <f t="shared" si="5"/>
        <v>46244</v>
      </c>
      <c r="C58" s="151" t="str">
        <f t="shared" si="8"/>
        <v/>
      </c>
      <c r="D58" s="151" t="str">
        <f t="shared" si="6"/>
        <v/>
      </c>
      <c r="E58" s="151">
        <f t="shared" si="7"/>
        <v>28</v>
      </c>
      <c r="F58" s="80" t="str">
        <f t="shared" si="10"/>
        <v/>
      </c>
      <c r="G58" s="81"/>
      <c r="H58" s="81"/>
      <c r="I58" s="82"/>
      <c r="J58" s="83"/>
      <c r="K58" s="84"/>
      <c r="L58" s="86"/>
      <c r="M58" s="59"/>
      <c r="N58" s="59"/>
    </row>
    <row r="59" spans="1:14" ht="19.5" x14ac:dyDescent="0.25">
      <c r="A59" s="73"/>
      <c r="B59" s="66">
        <f t="shared" si="5"/>
        <v>46251</v>
      </c>
      <c r="C59" s="151" t="str">
        <f t="shared" si="8"/>
        <v/>
      </c>
      <c r="D59" s="151" t="str">
        <f t="shared" si="6"/>
        <v/>
      </c>
      <c r="E59" s="151">
        <f t="shared" si="7"/>
        <v>20</v>
      </c>
      <c r="F59" s="80" t="str">
        <f t="shared" si="10"/>
        <v/>
      </c>
      <c r="G59" s="81"/>
      <c r="H59" s="81"/>
      <c r="I59" s="82"/>
      <c r="J59" s="83"/>
      <c r="K59" s="84"/>
      <c r="L59" s="86"/>
      <c r="M59" s="59"/>
      <c r="N59" s="59"/>
    </row>
    <row r="60" spans="1:14" ht="19.5" x14ac:dyDescent="0.25">
      <c r="A60" s="73"/>
      <c r="B60" s="66">
        <f t="shared" si="5"/>
        <v>46258</v>
      </c>
      <c r="C60" s="151" t="str">
        <f t="shared" si="8"/>
        <v/>
      </c>
      <c r="D60" s="151" t="str">
        <f t="shared" si="6"/>
        <v/>
      </c>
      <c r="E60" s="151">
        <f t="shared" si="7"/>
        <v>12</v>
      </c>
      <c r="F60" s="80" t="str">
        <f t="shared" si="10"/>
        <v/>
      </c>
      <c r="G60" s="81"/>
      <c r="H60" s="81"/>
      <c r="I60" s="82"/>
      <c r="J60" s="83"/>
      <c r="K60" s="84"/>
      <c r="L60" s="86"/>
      <c r="M60" s="59"/>
      <c r="N60" s="59"/>
    </row>
    <row r="61" spans="1:14" ht="19.5" x14ac:dyDescent="0.25">
      <c r="A61" s="73"/>
      <c r="B61" s="66">
        <f t="shared" si="5"/>
        <v>46265</v>
      </c>
      <c r="C61" s="151" t="str">
        <f t="shared" si="8"/>
        <v/>
      </c>
      <c r="D61" s="151" t="str">
        <f t="shared" si="6"/>
        <v/>
      </c>
      <c r="E61" s="151">
        <f t="shared" si="7"/>
        <v>4</v>
      </c>
      <c r="F61" s="80" t="str">
        <f t="shared" si="10"/>
        <v/>
      </c>
      <c r="G61" s="81"/>
      <c r="H61" s="81"/>
      <c r="I61" s="82"/>
      <c r="J61" s="83"/>
      <c r="K61" s="84"/>
      <c r="L61" s="86"/>
      <c r="M61" s="59"/>
      <c r="N61" s="59"/>
    </row>
    <row r="62" spans="1:14" ht="19.5" x14ac:dyDescent="0.25">
      <c r="A62" s="73"/>
      <c r="B62" s="66">
        <f t="shared" si="5"/>
        <v>46272</v>
      </c>
      <c r="C62" s="151" t="str">
        <f t="shared" si="8"/>
        <v/>
      </c>
      <c r="D62" s="151" t="str">
        <f t="shared" si="6"/>
        <v/>
      </c>
      <c r="E62" s="151">
        <f t="shared" si="7"/>
        <v>0</v>
      </c>
      <c r="F62" s="80" t="str">
        <f t="shared" si="10"/>
        <v/>
      </c>
      <c r="G62" s="81"/>
      <c r="H62" s="81"/>
      <c r="I62" s="82"/>
      <c r="J62" s="83"/>
      <c r="K62" s="84"/>
      <c r="L62" s="86"/>
      <c r="M62" s="59"/>
      <c r="N62" s="59"/>
    </row>
    <row r="63" spans="1:14" ht="19.5" x14ac:dyDescent="0.25">
      <c r="A63" s="73"/>
      <c r="B63" s="66">
        <f t="shared" si="5"/>
        <v>46279</v>
      </c>
      <c r="C63" s="151" t="str">
        <f t="shared" si="8"/>
        <v/>
      </c>
      <c r="D63" s="151" t="str">
        <f t="shared" si="6"/>
        <v/>
      </c>
      <c r="E63" s="151" t="str">
        <f t="shared" si="7"/>
        <v/>
      </c>
      <c r="F63" s="80" t="str">
        <f t="shared" si="10"/>
        <v/>
      </c>
      <c r="G63" s="81"/>
      <c r="H63" s="81"/>
      <c r="I63" s="82"/>
      <c r="J63" s="83"/>
      <c r="K63" s="84"/>
      <c r="L63" s="86"/>
      <c r="M63" s="59"/>
      <c r="N63" s="59"/>
    </row>
    <row r="64" spans="1:14" ht="19.5" x14ac:dyDescent="0.25">
      <c r="A64" s="73"/>
      <c r="B64" s="66">
        <f t="shared" si="5"/>
        <v>46286</v>
      </c>
      <c r="C64" s="151" t="str">
        <f t="shared" si="8"/>
        <v/>
      </c>
      <c r="D64" s="151" t="str">
        <f t="shared" si="6"/>
        <v/>
      </c>
      <c r="E64" s="151" t="str">
        <f t="shared" si="7"/>
        <v/>
      </c>
      <c r="F64" s="80" t="str">
        <f t="shared" si="10"/>
        <v/>
      </c>
      <c r="G64" s="81"/>
      <c r="H64" s="81"/>
      <c r="I64" s="82"/>
      <c r="J64" s="83"/>
      <c r="K64" s="84"/>
      <c r="L64" s="86"/>
      <c r="M64" s="59"/>
      <c r="N64" s="59"/>
    </row>
    <row r="65" spans="1:14" ht="19.5" x14ac:dyDescent="0.25">
      <c r="A65" s="73"/>
      <c r="B65" s="66">
        <f t="shared" si="5"/>
        <v>46293</v>
      </c>
      <c r="C65" s="151" t="str">
        <f t="shared" si="8"/>
        <v/>
      </c>
      <c r="D65" s="151" t="str">
        <f t="shared" si="6"/>
        <v/>
      </c>
      <c r="E65" s="151" t="str">
        <f t="shared" si="7"/>
        <v/>
      </c>
      <c r="F65" s="80" t="str">
        <f t="shared" si="10"/>
        <v/>
      </c>
      <c r="G65" s="81"/>
      <c r="H65" s="81"/>
      <c r="I65" s="82"/>
      <c r="J65" s="83"/>
      <c r="K65" s="84"/>
      <c r="L65" s="86"/>
      <c r="M65" s="59"/>
      <c r="N65" s="59"/>
    </row>
    <row r="66" spans="1:14" ht="19.5" x14ac:dyDescent="0.25">
      <c r="A66" s="73"/>
      <c r="B66" s="66">
        <f t="shared" si="5"/>
        <v>46300</v>
      </c>
      <c r="C66" s="151" t="str">
        <f t="shared" si="8"/>
        <v/>
      </c>
      <c r="D66" s="151" t="str">
        <f t="shared" si="6"/>
        <v/>
      </c>
      <c r="E66" s="151" t="str">
        <f t="shared" si="7"/>
        <v/>
      </c>
      <c r="F66" s="80" t="str">
        <f t="shared" si="10"/>
        <v/>
      </c>
      <c r="G66" s="81"/>
      <c r="H66" s="81"/>
      <c r="I66" s="82"/>
      <c r="J66" s="83"/>
      <c r="K66" s="84"/>
      <c r="L66" s="86"/>
      <c r="M66" s="59"/>
      <c r="N66" s="59"/>
    </row>
    <row r="67" spans="1:14" ht="19.5" x14ac:dyDescent="0.25">
      <c r="A67" s="73"/>
      <c r="B67" s="66">
        <f t="shared" si="5"/>
        <v>46307</v>
      </c>
      <c r="C67" s="151" t="str">
        <f t="shared" si="8"/>
        <v/>
      </c>
      <c r="D67" s="151" t="str">
        <f t="shared" si="6"/>
        <v/>
      </c>
      <c r="E67" s="151" t="str">
        <f t="shared" si="7"/>
        <v/>
      </c>
      <c r="F67" s="80" t="str">
        <f t="shared" si="10"/>
        <v/>
      </c>
      <c r="G67" s="81"/>
      <c r="H67" s="81"/>
      <c r="I67" s="82"/>
      <c r="J67" s="83"/>
      <c r="K67" s="84"/>
      <c r="L67" s="86"/>
      <c r="M67" s="59"/>
      <c r="N67" s="59"/>
    </row>
    <row r="68" spans="1:14" ht="19.5" x14ac:dyDescent="0.2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</row>
    <row r="69" spans="1:14" ht="19.5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</row>
    <row r="70" spans="1:14" ht="19.5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</row>
    <row r="71" spans="1:14" ht="19.5" x14ac:dyDescent="0.2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</row>
    <row r="72" spans="1:14" ht="19.5" x14ac:dyDescent="0.2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</row>
    <row r="73" spans="1:14" ht="19.5" x14ac:dyDescent="0.2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</row>
    <row r="74" spans="1:14" ht="19.5" x14ac:dyDescent="0.2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</row>
    <row r="75" spans="1:14" ht="19.5" x14ac:dyDescent="0.2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</row>
    <row r="76" spans="1:14" ht="19.5" x14ac:dyDescent="0.2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spans="1:14" ht="19.5" x14ac:dyDescent="0.2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</row>
    <row r="78" spans="1:14" ht="19.5" x14ac:dyDescent="0.2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</row>
    <row r="79" spans="1:14" ht="19.5" x14ac:dyDescent="0.2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</row>
    <row r="80" spans="1:14" ht="19.5" x14ac:dyDescent="0.2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</row>
    <row r="81" spans="1:14" ht="19.5" x14ac:dyDescent="0.2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spans="1:14" ht="19.5" x14ac:dyDescent="0.2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</row>
    <row r="83" spans="1:14" ht="19.5" x14ac:dyDescent="0.2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spans="1:14" ht="19.5" x14ac:dyDescent="0.2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</row>
    <row r="85" spans="1:14" ht="19.5" x14ac:dyDescent="0.2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</row>
    <row r="86" spans="1:14" ht="19.5" x14ac:dyDescent="0.2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</row>
    <row r="87" spans="1:14" ht="19.5" x14ac:dyDescent="0.2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</row>
    <row r="88" spans="1:14" ht="19.5" x14ac:dyDescent="0.2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</row>
    <row r="89" spans="1:14" ht="19.5" x14ac:dyDescent="0.2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</row>
    <row r="90" spans="1:14" ht="19.5" x14ac:dyDescent="0.2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</row>
    <row r="91" spans="1:14" ht="19.5" x14ac:dyDescent="0.2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</row>
    <row r="92" spans="1:14" ht="19.5" x14ac:dyDescent="0.25">
      <c r="A92" s="59"/>
      <c r="B92" s="67" t="e">
        <f>IF(#REF!="","",IF(#REF!+$C$9&lt;=$C$5,#REF!+$C$9,""))</f>
        <v>#REF!</v>
      </c>
      <c r="C92" s="76" t="e">
        <f>IF(B92&lt;&gt;"",#REF!-#REF!/COUNT($B$17:$B$510),"")</f>
        <v>#REF!</v>
      </c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</row>
    <row r="93" spans="1:14" ht="19.5" x14ac:dyDescent="0.25">
      <c r="A93" s="59"/>
      <c r="B93" s="67" t="e">
        <f t="shared" ref="B93:B156" si="11">IF(B92="","",IF(B92+$C$9&lt;=$C$5,B92+$C$9,""))</f>
        <v>#REF!</v>
      </c>
      <c r="C93" s="76" t="e">
        <f>IF(B93&lt;&gt;"",C92-#REF!/COUNT($B$17:$B$510),"")</f>
        <v>#REF!</v>
      </c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</row>
    <row r="94" spans="1:14" ht="19.5" x14ac:dyDescent="0.25">
      <c r="A94" s="59"/>
      <c r="B94" s="67" t="e">
        <f t="shared" si="11"/>
        <v>#REF!</v>
      </c>
      <c r="C94" s="76" t="e">
        <f>IF(B94&lt;&gt;"",C93-#REF!/COUNT($B$17:$B$510),"")</f>
        <v>#REF!</v>
      </c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</row>
    <row r="95" spans="1:14" ht="19.5" x14ac:dyDescent="0.25">
      <c r="A95" s="59"/>
      <c r="B95" s="67" t="e">
        <f t="shared" si="11"/>
        <v>#REF!</v>
      </c>
      <c r="C95" s="76" t="e">
        <f>IF(B95&lt;&gt;"",C94-#REF!/COUNT($B$17:$B$510),"")</f>
        <v>#REF!</v>
      </c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</row>
    <row r="96" spans="1:14" ht="19.5" x14ac:dyDescent="0.25">
      <c r="A96" s="59"/>
      <c r="B96" s="67" t="e">
        <f t="shared" si="11"/>
        <v>#REF!</v>
      </c>
      <c r="C96" s="76" t="e">
        <f>IF(B96&lt;&gt;"",C95-#REF!/COUNT($B$17:$B$510),"")</f>
        <v>#REF!</v>
      </c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</row>
    <row r="97" spans="1:14" ht="19.5" x14ac:dyDescent="0.25">
      <c r="A97" s="59"/>
      <c r="B97" s="67" t="e">
        <f t="shared" si="11"/>
        <v>#REF!</v>
      </c>
      <c r="C97" s="76" t="e">
        <f>IF(B97&lt;&gt;"",C96-#REF!/COUNT($B$17:$B$510),"")</f>
        <v>#REF!</v>
      </c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</row>
    <row r="98" spans="1:14" ht="19.5" x14ac:dyDescent="0.25">
      <c r="A98" s="59"/>
      <c r="B98" s="67" t="e">
        <f t="shared" si="11"/>
        <v>#REF!</v>
      </c>
      <c r="C98" s="76" t="e">
        <f>IF(B98&lt;&gt;"",C97-#REF!/COUNT($B$17:$B$510),"")</f>
        <v>#REF!</v>
      </c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</row>
    <row r="99" spans="1:14" ht="19.5" x14ac:dyDescent="0.25">
      <c r="A99" s="59"/>
      <c r="B99" s="67" t="e">
        <f t="shared" si="11"/>
        <v>#REF!</v>
      </c>
      <c r="C99" s="76" t="e">
        <f>IF(B99&lt;&gt;"",C98-#REF!/COUNT($B$17:$B$510),"")</f>
        <v>#REF!</v>
      </c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</row>
    <row r="100" spans="1:14" ht="19.5" x14ac:dyDescent="0.25">
      <c r="A100" s="59"/>
      <c r="B100" s="67" t="e">
        <f t="shared" si="11"/>
        <v>#REF!</v>
      </c>
      <c r="C100" s="76" t="e">
        <f>IF(B100&lt;&gt;"",C99-#REF!/COUNT($B$17:$B$510),"")</f>
        <v>#REF!</v>
      </c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</row>
    <row r="101" spans="1:14" ht="19.5" x14ac:dyDescent="0.25">
      <c r="A101" s="59"/>
      <c r="B101" s="67" t="e">
        <f t="shared" si="11"/>
        <v>#REF!</v>
      </c>
      <c r="C101" s="76" t="e">
        <f>IF(B101&lt;&gt;"",C100-#REF!/COUNT($B$17:$B$510),"")</f>
        <v>#REF!</v>
      </c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</row>
    <row r="102" spans="1:14" ht="19.5" x14ac:dyDescent="0.25">
      <c r="A102" s="59"/>
      <c r="B102" s="67" t="e">
        <f t="shared" si="11"/>
        <v>#REF!</v>
      </c>
      <c r="C102" s="76" t="e">
        <f>IF(B102&lt;&gt;"",C101-#REF!/COUNT($B$17:$B$510),"")</f>
        <v>#REF!</v>
      </c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</row>
    <row r="103" spans="1:14" ht="19.5" x14ac:dyDescent="0.25">
      <c r="A103" s="59"/>
      <c r="B103" s="67" t="e">
        <f t="shared" si="11"/>
        <v>#REF!</v>
      </c>
      <c r="C103" s="76" t="e">
        <f>IF(B103&lt;&gt;"",C102-#REF!/COUNT($B$17:$B$510),"")</f>
        <v>#REF!</v>
      </c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</row>
    <row r="104" spans="1:14" ht="19.5" x14ac:dyDescent="0.25">
      <c r="A104" s="59"/>
      <c r="B104" s="67" t="e">
        <f t="shared" si="11"/>
        <v>#REF!</v>
      </c>
      <c r="C104" s="76" t="e">
        <f>IF(B104&lt;&gt;"",C103-#REF!/COUNT($B$17:$B$510),"")</f>
        <v>#REF!</v>
      </c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</row>
    <row r="105" spans="1:14" ht="19.5" x14ac:dyDescent="0.25">
      <c r="A105" s="59"/>
      <c r="B105" s="67" t="e">
        <f t="shared" si="11"/>
        <v>#REF!</v>
      </c>
      <c r="C105" s="76" t="e">
        <f>IF(B105&lt;&gt;"",C104-#REF!/COUNT($B$17:$B$510),"")</f>
        <v>#REF!</v>
      </c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</row>
    <row r="106" spans="1:14" ht="19.5" x14ac:dyDescent="0.25">
      <c r="A106" s="59"/>
      <c r="B106" s="67" t="e">
        <f t="shared" si="11"/>
        <v>#REF!</v>
      </c>
      <c r="C106" s="76" t="e">
        <f>IF(B106&lt;&gt;"",C105-#REF!/COUNT($B$17:$B$510),"")</f>
        <v>#REF!</v>
      </c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</row>
    <row r="107" spans="1:14" ht="19.5" x14ac:dyDescent="0.25">
      <c r="A107" s="59"/>
      <c r="B107" s="67" t="e">
        <f t="shared" si="11"/>
        <v>#REF!</v>
      </c>
      <c r="C107" s="76" t="e">
        <f>IF(B107&lt;&gt;"",C106-#REF!/COUNT($B$17:$B$510),"")</f>
        <v>#REF!</v>
      </c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</row>
    <row r="108" spans="1:14" ht="19.5" x14ac:dyDescent="0.25">
      <c r="A108" s="59"/>
      <c r="B108" s="67" t="e">
        <f t="shared" si="11"/>
        <v>#REF!</v>
      </c>
      <c r="C108" s="76" t="e">
        <f>IF(B108&lt;&gt;"",C107-#REF!/COUNT($B$17:$B$510),"")</f>
        <v>#REF!</v>
      </c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</row>
    <row r="109" spans="1:14" ht="19.5" x14ac:dyDescent="0.25">
      <c r="A109" s="59"/>
      <c r="B109" s="67" t="e">
        <f t="shared" si="11"/>
        <v>#REF!</v>
      </c>
      <c r="C109" s="76" t="e">
        <f>IF(B109&lt;&gt;"",C108-#REF!/COUNT($B$17:$B$510),"")</f>
        <v>#REF!</v>
      </c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</row>
    <row r="110" spans="1:14" ht="19.5" x14ac:dyDescent="0.25">
      <c r="A110" s="59"/>
      <c r="B110" s="67" t="e">
        <f t="shared" si="11"/>
        <v>#REF!</v>
      </c>
      <c r="C110" s="76" t="e">
        <f>IF(B110&lt;&gt;"",C109-#REF!/COUNT($B$17:$B$510),"")</f>
        <v>#REF!</v>
      </c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</row>
    <row r="111" spans="1:14" ht="19.5" x14ac:dyDescent="0.25">
      <c r="A111" s="59"/>
      <c r="B111" s="67" t="e">
        <f t="shared" si="11"/>
        <v>#REF!</v>
      </c>
      <c r="C111" s="76" t="e">
        <f>IF(B111&lt;&gt;"",C110-#REF!/COUNT($B$17:$B$510),"")</f>
        <v>#REF!</v>
      </c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</row>
    <row r="112" spans="1:14" ht="19.5" x14ac:dyDescent="0.25">
      <c r="A112" s="59"/>
      <c r="B112" s="67" t="e">
        <f t="shared" si="11"/>
        <v>#REF!</v>
      </c>
      <c r="C112" s="76" t="e">
        <f>IF(B112&lt;&gt;"",C111-#REF!/COUNT($B$17:$B$510),"")</f>
        <v>#REF!</v>
      </c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</row>
    <row r="113" spans="1:14" ht="19.5" x14ac:dyDescent="0.25">
      <c r="A113" s="59"/>
      <c r="B113" s="67" t="e">
        <f t="shared" si="11"/>
        <v>#REF!</v>
      </c>
      <c r="C113" s="76" t="e">
        <f>IF(B113&lt;&gt;"",C112-#REF!/COUNT($B$17:$B$510),"")</f>
        <v>#REF!</v>
      </c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</row>
    <row r="114" spans="1:14" ht="19.5" x14ac:dyDescent="0.25">
      <c r="A114" s="59"/>
      <c r="B114" s="67" t="e">
        <f t="shared" si="11"/>
        <v>#REF!</v>
      </c>
      <c r="C114" s="76" t="e">
        <f>IF(B114&lt;&gt;"",C113-#REF!/COUNT($B$17:$B$510),"")</f>
        <v>#REF!</v>
      </c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</row>
    <row r="115" spans="1:14" ht="19.5" x14ac:dyDescent="0.25">
      <c r="A115" s="59"/>
      <c r="B115" s="67" t="e">
        <f t="shared" si="11"/>
        <v>#REF!</v>
      </c>
      <c r="C115" s="76" t="e">
        <f>IF(B115&lt;&gt;"",C114-#REF!/COUNT($B$17:$B$510),"")</f>
        <v>#REF!</v>
      </c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</row>
    <row r="116" spans="1:14" ht="19.5" x14ac:dyDescent="0.25">
      <c r="A116" s="59"/>
      <c r="B116" s="67" t="e">
        <f t="shared" si="11"/>
        <v>#REF!</v>
      </c>
      <c r="C116" s="76" t="e">
        <f>IF(B116&lt;&gt;"",C115-#REF!/COUNT($B$17:$B$510),"")</f>
        <v>#REF!</v>
      </c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</row>
    <row r="117" spans="1:14" ht="19.5" x14ac:dyDescent="0.25">
      <c r="A117" s="59"/>
      <c r="B117" s="67" t="e">
        <f t="shared" si="11"/>
        <v>#REF!</v>
      </c>
      <c r="C117" s="76" t="e">
        <f>IF(B117&lt;&gt;"",C116-#REF!/COUNT($B$17:$B$510),"")</f>
        <v>#REF!</v>
      </c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</row>
    <row r="118" spans="1:14" ht="19.5" x14ac:dyDescent="0.25">
      <c r="A118" s="59"/>
      <c r="B118" s="67" t="e">
        <f t="shared" si="11"/>
        <v>#REF!</v>
      </c>
      <c r="C118" s="76" t="e">
        <f>IF(B118&lt;&gt;"",C117-#REF!/COUNT($B$17:$B$510),"")</f>
        <v>#REF!</v>
      </c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</row>
    <row r="119" spans="1:14" ht="19.5" x14ac:dyDescent="0.25">
      <c r="A119" s="59"/>
      <c r="B119" s="67" t="e">
        <f t="shared" si="11"/>
        <v>#REF!</v>
      </c>
      <c r="C119" s="76" t="e">
        <f>IF(B119&lt;&gt;"",C118-#REF!/COUNT($B$17:$B$510),"")</f>
        <v>#REF!</v>
      </c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</row>
    <row r="120" spans="1:14" ht="19.5" x14ac:dyDescent="0.25">
      <c r="A120" s="59"/>
      <c r="B120" s="67" t="e">
        <f t="shared" si="11"/>
        <v>#REF!</v>
      </c>
      <c r="C120" s="76" t="e">
        <f>IF(B120&lt;&gt;"",C119-#REF!/COUNT($B$17:$B$510),"")</f>
        <v>#REF!</v>
      </c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</row>
    <row r="121" spans="1:14" ht="19.5" x14ac:dyDescent="0.25">
      <c r="A121" s="59"/>
      <c r="B121" s="67" t="e">
        <f t="shared" si="11"/>
        <v>#REF!</v>
      </c>
      <c r="C121" s="76" t="e">
        <f>IF(B121&lt;&gt;"",C120-#REF!/COUNT($B$17:$B$510),"")</f>
        <v>#REF!</v>
      </c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</row>
    <row r="122" spans="1:14" ht="19.5" x14ac:dyDescent="0.25">
      <c r="A122" s="59"/>
      <c r="B122" s="67" t="e">
        <f t="shared" si="11"/>
        <v>#REF!</v>
      </c>
      <c r="C122" s="76" t="e">
        <f>IF(B122&lt;&gt;"",C121-#REF!/COUNT($B$17:$B$510),"")</f>
        <v>#REF!</v>
      </c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</row>
    <row r="123" spans="1:14" ht="19.5" x14ac:dyDescent="0.25">
      <c r="A123" s="59"/>
      <c r="B123" s="67" t="e">
        <f t="shared" si="11"/>
        <v>#REF!</v>
      </c>
      <c r="C123" s="76" t="e">
        <f>IF(B123&lt;&gt;"",C122-#REF!/COUNT($B$17:$B$510),"")</f>
        <v>#REF!</v>
      </c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</row>
    <row r="124" spans="1:14" ht="19.5" x14ac:dyDescent="0.25">
      <c r="A124" s="59"/>
      <c r="B124" s="67" t="e">
        <f t="shared" si="11"/>
        <v>#REF!</v>
      </c>
      <c r="C124" s="76" t="e">
        <f>IF(B124&lt;&gt;"",C123-#REF!/COUNT($B$17:$B$510),"")</f>
        <v>#REF!</v>
      </c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</row>
    <row r="125" spans="1:14" ht="19.5" x14ac:dyDescent="0.25">
      <c r="A125" s="59"/>
      <c r="B125" s="67" t="e">
        <f t="shared" si="11"/>
        <v>#REF!</v>
      </c>
      <c r="C125" s="76" t="e">
        <f>IF(B125&lt;&gt;"",C124-#REF!/COUNT($B$17:$B$510),"")</f>
        <v>#REF!</v>
      </c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</row>
    <row r="126" spans="1:14" ht="19.5" x14ac:dyDescent="0.25">
      <c r="A126" s="59"/>
      <c r="B126" s="67" t="e">
        <f t="shared" si="11"/>
        <v>#REF!</v>
      </c>
      <c r="C126" s="76" t="e">
        <f>IF(B126&lt;&gt;"",C125-#REF!/COUNT($B$17:$B$510),"")</f>
        <v>#REF!</v>
      </c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</row>
    <row r="127" spans="1:14" ht="19.5" x14ac:dyDescent="0.25">
      <c r="A127" s="59"/>
      <c r="B127" s="67" t="e">
        <f t="shared" si="11"/>
        <v>#REF!</v>
      </c>
      <c r="C127" s="76" t="e">
        <f>IF(B127&lt;&gt;"",C126-#REF!/COUNT($B$17:$B$510),"")</f>
        <v>#REF!</v>
      </c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</row>
    <row r="128" spans="1:14" ht="19.5" x14ac:dyDescent="0.25">
      <c r="A128" s="59"/>
      <c r="B128" s="67" t="e">
        <f t="shared" si="11"/>
        <v>#REF!</v>
      </c>
      <c r="C128" s="76" t="e">
        <f>IF(B128&lt;&gt;"",C127-#REF!/COUNT($B$17:$B$510),"")</f>
        <v>#REF!</v>
      </c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</row>
    <row r="129" spans="1:14" ht="19.5" x14ac:dyDescent="0.25">
      <c r="A129" s="59"/>
      <c r="B129" s="67" t="e">
        <f t="shared" si="11"/>
        <v>#REF!</v>
      </c>
      <c r="C129" s="76" t="e">
        <f>IF(B129&lt;&gt;"",C128-#REF!/COUNT($B$17:$B$510),"")</f>
        <v>#REF!</v>
      </c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</row>
    <row r="130" spans="1:14" ht="19.5" x14ac:dyDescent="0.25">
      <c r="A130" s="59"/>
      <c r="B130" s="67" t="e">
        <f t="shared" si="11"/>
        <v>#REF!</v>
      </c>
      <c r="C130" s="76" t="e">
        <f>IF(B130&lt;&gt;"",C129-#REF!/COUNT($B$17:$B$510),"")</f>
        <v>#REF!</v>
      </c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</row>
    <row r="131" spans="1:14" ht="19.5" x14ac:dyDescent="0.25">
      <c r="A131" s="59"/>
      <c r="B131" s="67" t="e">
        <f t="shared" si="11"/>
        <v>#REF!</v>
      </c>
      <c r="C131" s="76" t="e">
        <f>IF(B131&lt;&gt;"",C130-#REF!/COUNT($B$17:$B$510),"")</f>
        <v>#REF!</v>
      </c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</row>
    <row r="132" spans="1:14" ht="19.5" x14ac:dyDescent="0.25">
      <c r="A132" s="59"/>
      <c r="B132" s="67" t="e">
        <f t="shared" si="11"/>
        <v>#REF!</v>
      </c>
      <c r="C132" s="76" t="e">
        <f>IF(B132&lt;&gt;"",C131-#REF!/COUNT($B$17:$B$510),"")</f>
        <v>#REF!</v>
      </c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</row>
    <row r="133" spans="1:14" ht="19.5" x14ac:dyDescent="0.25">
      <c r="A133" s="59"/>
      <c r="B133" s="67" t="e">
        <f t="shared" si="11"/>
        <v>#REF!</v>
      </c>
      <c r="C133" s="76" t="e">
        <f>IF(B133&lt;&gt;"",C132-#REF!/COUNT($B$17:$B$510),"")</f>
        <v>#REF!</v>
      </c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</row>
    <row r="134" spans="1:14" ht="19.5" x14ac:dyDescent="0.25">
      <c r="A134" s="59"/>
      <c r="B134" s="67" t="e">
        <f t="shared" si="11"/>
        <v>#REF!</v>
      </c>
      <c r="C134" s="76" t="e">
        <f>IF(B134&lt;&gt;"",C133-#REF!/COUNT($B$17:$B$510),"")</f>
        <v>#REF!</v>
      </c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</row>
    <row r="135" spans="1:14" ht="19.5" x14ac:dyDescent="0.25">
      <c r="A135" s="59"/>
      <c r="B135" s="67" t="e">
        <f t="shared" si="11"/>
        <v>#REF!</v>
      </c>
      <c r="C135" s="76" t="e">
        <f>IF(B135&lt;&gt;"",C134-#REF!/COUNT($B$17:$B$510),"")</f>
        <v>#REF!</v>
      </c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</row>
    <row r="136" spans="1:14" ht="19.5" x14ac:dyDescent="0.25">
      <c r="A136" s="59"/>
      <c r="B136" s="67" t="e">
        <f t="shared" si="11"/>
        <v>#REF!</v>
      </c>
      <c r="C136" s="76" t="e">
        <f>IF(B136&lt;&gt;"",C135-#REF!/COUNT($B$17:$B$510),"")</f>
        <v>#REF!</v>
      </c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</row>
    <row r="137" spans="1:14" ht="19.5" x14ac:dyDescent="0.25">
      <c r="A137" s="59"/>
      <c r="B137" s="67" t="e">
        <f t="shared" si="11"/>
        <v>#REF!</v>
      </c>
      <c r="C137" s="76" t="e">
        <f>IF(B137&lt;&gt;"",C136-#REF!/COUNT($B$17:$B$510),"")</f>
        <v>#REF!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</row>
    <row r="138" spans="1:14" ht="19.5" x14ac:dyDescent="0.25">
      <c r="A138" s="59"/>
      <c r="B138" s="67" t="e">
        <f t="shared" si="11"/>
        <v>#REF!</v>
      </c>
      <c r="C138" s="76" t="e">
        <f>IF(B138&lt;&gt;"",C137-#REF!/COUNT($B$17:$B$510),"")</f>
        <v>#REF!</v>
      </c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</row>
    <row r="139" spans="1:14" ht="19.5" x14ac:dyDescent="0.25">
      <c r="A139" s="59"/>
      <c r="B139" s="67" t="e">
        <f t="shared" si="11"/>
        <v>#REF!</v>
      </c>
      <c r="C139" s="76" t="e">
        <f>IF(B139&lt;&gt;"",C138-#REF!/COUNT($B$17:$B$510),"")</f>
        <v>#REF!</v>
      </c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</row>
    <row r="140" spans="1:14" ht="19.5" x14ac:dyDescent="0.25">
      <c r="A140" s="59"/>
      <c r="B140" s="67" t="e">
        <f t="shared" si="11"/>
        <v>#REF!</v>
      </c>
      <c r="C140" s="76" t="e">
        <f>IF(B140&lt;&gt;"",C139-#REF!/COUNT($B$17:$B$510),"")</f>
        <v>#REF!</v>
      </c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</row>
    <row r="141" spans="1:14" ht="19.5" x14ac:dyDescent="0.25">
      <c r="A141" s="59"/>
      <c r="B141" s="67" t="e">
        <f t="shared" si="11"/>
        <v>#REF!</v>
      </c>
      <c r="C141" s="76" t="e">
        <f>IF(B141&lt;&gt;"",C140-#REF!/COUNT($B$17:$B$510),"")</f>
        <v>#REF!</v>
      </c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</row>
    <row r="142" spans="1:14" ht="19.5" x14ac:dyDescent="0.25">
      <c r="A142" s="59"/>
      <c r="B142" s="67" t="e">
        <f t="shared" si="11"/>
        <v>#REF!</v>
      </c>
      <c r="C142" s="76" t="e">
        <f>IF(B142&lt;&gt;"",C141-#REF!/COUNT($B$17:$B$510),"")</f>
        <v>#REF!</v>
      </c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</row>
    <row r="143" spans="1:14" ht="19.5" x14ac:dyDescent="0.25">
      <c r="A143" s="59"/>
      <c r="B143" s="67" t="e">
        <f t="shared" si="11"/>
        <v>#REF!</v>
      </c>
      <c r="C143" s="76" t="e">
        <f>IF(B143&lt;&gt;"",C142-#REF!/COUNT($B$17:$B$510),"")</f>
        <v>#REF!</v>
      </c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</row>
    <row r="144" spans="1:14" ht="19.5" x14ac:dyDescent="0.25">
      <c r="A144" s="59"/>
      <c r="B144" s="67" t="e">
        <f t="shared" si="11"/>
        <v>#REF!</v>
      </c>
      <c r="C144" s="76" t="e">
        <f>IF(B144&lt;&gt;"",C143-#REF!/COUNT($B$17:$B$510),"")</f>
        <v>#REF!</v>
      </c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</row>
    <row r="145" spans="1:14" ht="19.5" x14ac:dyDescent="0.25">
      <c r="A145" s="59"/>
      <c r="B145" s="67" t="e">
        <f t="shared" si="11"/>
        <v>#REF!</v>
      </c>
      <c r="C145" s="76" t="e">
        <f>IF(B145&lt;&gt;"",C144-#REF!/COUNT($B$17:$B$510),"")</f>
        <v>#REF!</v>
      </c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</row>
    <row r="146" spans="1:14" ht="19.5" x14ac:dyDescent="0.25">
      <c r="A146" s="59"/>
      <c r="B146" s="67" t="e">
        <f t="shared" si="11"/>
        <v>#REF!</v>
      </c>
      <c r="C146" s="76" t="e">
        <f>IF(B146&lt;&gt;"",C145-#REF!/COUNT($B$17:$B$510),"")</f>
        <v>#REF!</v>
      </c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</row>
    <row r="147" spans="1:14" ht="19.5" x14ac:dyDescent="0.25">
      <c r="A147" s="59"/>
      <c r="B147" s="67" t="e">
        <f t="shared" si="11"/>
        <v>#REF!</v>
      </c>
      <c r="C147" s="76" t="e">
        <f>IF(B147&lt;&gt;"",C146-#REF!/COUNT($B$17:$B$510),"")</f>
        <v>#REF!</v>
      </c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</row>
    <row r="148" spans="1:14" ht="19.5" x14ac:dyDescent="0.25">
      <c r="A148" s="59"/>
      <c r="B148" s="67" t="e">
        <f t="shared" si="11"/>
        <v>#REF!</v>
      </c>
      <c r="C148" s="76" t="e">
        <f>IF(B148&lt;&gt;"",C147-#REF!/COUNT($B$17:$B$510),"")</f>
        <v>#REF!</v>
      </c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</row>
    <row r="149" spans="1:14" ht="19.5" x14ac:dyDescent="0.25">
      <c r="A149" s="59"/>
      <c r="B149" s="67" t="e">
        <f t="shared" si="11"/>
        <v>#REF!</v>
      </c>
      <c r="C149" s="76" t="e">
        <f>IF(B149&lt;&gt;"",C148-#REF!/COUNT($B$17:$B$510),"")</f>
        <v>#REF!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</row>
    <row r="150" spans="1:14" ht="19.5" x14ac:dyDescent="0.25">
      <c r="A150" s="59"/>
      <c r="B150" s="67" t="e">
        <f t="shared" si="11"/>
        <v>#REF!</v>
      </c>
      <c r="C150" s="76" t="e">
        <f>IF(B150&lt;&gt;"",C149-#REF!/COUNT($B$17:$B$510),"")</f>
        <v>#REF!</v>
      </c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</row>
    <row r="151" spans="1:14" ht="19.5" x14ac:dyDescent="0.25">
      <c r="A151" s="59"/>
      <c r="B151" s="67" t="e">
        <f t="shared" si="11"/>
        <v>#REF!</v>
      </c>
      <c r="C151" s="76" t="e">
        <f>IF(B151&lt;&gt;"",C150-#REF!/COUNT($B$17:$B$510),"")</f>
        <v>#REF!</v>
      </c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</row>
    <row r="152" spans="1:14" ht="19.5" x14ac:dyDescent="0.25">
      <c r="A152" s="59"/>
      <c r="B152" s="67" t="e">
        <f t="shared" si="11"/>
        <v>#REF!</v>
      </c>
      <c r="C152" s="76" t="e">
        <f>IF(B152&lt;&gt;"",C151-#REF!/COUNT($B$17:$B$510),"")</f>
        <v>#REF!</v>
      </c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</row>
    <row r="153" spans="1:14" ht="19.5" x14ac:dyDescent="0.25">
      <c r="A153" s="59"/>
      <c r="B153" s="67" t="e">
        <f t="shared" si="11"/>
        <v>#REF!</v>
      </c>
      <c r="C153" s="76" t="e">
        <f>IF(B153&lt;&gt;"",C152-#REF!/COUNT($B$17:$B$510),"")</f>
        <v>#REF!</v>
      </c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</row>
    <row r="154" spans="1:14" ht="19.5" x14ac:dyDescent="0.25">
      <c r="A154" s="59"/>
      <c r="B154" s="67" t="e">
        <f t="shared" si="11"/>
        <v>#REF!</v>
      </c>
      <c r="C154" s="76" t="e">
        <f>IF(B154&lt;&gt;"",C153-#REF!/COUNT($B$17:$B$510),"")</f>
        <v>#REF!</v>
      </c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</row>
    <row r="155" spans="1:14" ht="19.5" x14ac:dyDescent="0.25">
      <c r="A155" s="59"/>
      <c r="B155" s="67" t="e">
        <f t="shared" si="11"/>
        <v>#REF!</v>
      </c>
      <c r="C155" s="76" t="e">
        <f>IF(B155&lt;&gt;"",C154-#REF!/COUNT($B$17:$B$510),"")</f>
        <v>#REF!</v>
      </c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</row>
    <row r="156" spans="1:14" ht="19.5" x14ac:dyDescent="0.25">
      <c r="A156" s="59"/>
      <c r="B156" s="67" t="e">
        <f t="shared" si="11"/>
        <v>#REF!</v>
      </c>
      <c r="C156" s="76" t="e">
        <f>IF(B156&lt;&gt;"",C155-#REF!/COUNT($B$17:$B$510),"")</f>
        <v>#REF!</v>
      </c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</row>
    <row r="157" spans="1:14" ht="19.5" x14ac:dyDescent="0.25">
      <c r="A157" s="59"/>
      <c r="B157" s="67" t="e">
        <f t="shared" ref="B157:B220" si="12">IF(B156="","",IF(B156+$C$9&lt;=$C$5,B156+$C$9,""))</f>
        <v>#REF!</v>
      </c>
      <c r="C157" s="76" t="e">
        <f>IF(B157&lt;&gt;"",C156-#REF!/COUNT($B$17:$B$510),"")</f>
        <v>#REF!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</row>
    <row r="158" spans="1:14" ht="19.5" x14ac:dyDescent="0.25">
      <c r="A158" s="59"/>
      <c r="B158" s="67" t="e">
        <f t="shared" si="12"/>
        <v>#REF!</v>
      </c>
      <c r="C158" s="76" t="e">
        <f>IF(B158&lt;&gt;"",C157-#REF!/COUNT($B$17:$B$510),"")</f>
        <v>#REF!</v>
      </c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</row>
    <row r="159" spans="1:14" ht="19.5" x14ac:dyDescent="0.25">
      <c r="A159" s="59"/>
      <c r="B159" s="67" t="e">
        <f t="shared" si="12"/>
        <v>#REF!</v>
      </c>
      <c r="C159" s="76" t="e">
        <f>IF(B159&lt;&gt;"",C158-#REF!/COUNT($B$17:$B$510),"")</f>
        <v>#REF!</v>
      </c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</row>
    <row r="160" spans="1:14" ht="19.5" x14ac:dyDescent="0.25">
      <c r="A160" s="59"/>
      <c r="B160" s="67" t="e">
        <f t="shared" si="12"/>
        <v>#REF!</v>
      </c>
      <c r="C160" s="76" t="e">
        <f>IF(B160&lt;&gt;"",C159-#REF!/COUNT($B$17:$B$510),"")</f>
        <v>#REF!</v>
      </c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</row>
    <row r="161" spans="1:14" ht="19.5" x14ac:dyDescent="0.25">
      <c r="A161" s="59"/>
      <c r="B161" s="67" t="e">
        <f t="shared" si="12"/>
        <v>#REF!</v>
      </c>
      <c r="C161" s="76" t="e">
        <f>IF(B161&lt;&gt;"",C160-#REF!/COUNT($B$17:$B$510),"")</f>
        <v>#REF!</v>
      </c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</row>
    <row r="162" spans="1:14" ht="19.5" x14ac:dyDescent="0.25">
      <c r="A162" s="59"/>
      <c r="B162" s="67" t="e">
        <f t="shared" si="12"/>
        <v>#REF!</v>
      </c>
      <c r="C162" s="76" t="e">
        <f>IF(B162&lt;&gt;"",C161-#REF!/COUNT($B$17:$B$510),"")</f>
        <v>#REF!</v>
      </c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</row>
    <row r="163" spans="1:14" ht="19.5" x14ac:dyDescent="0.25">
      <c r="A163" s="59"/>
      <c r="B163" s="67" t="e">
        <f t="shared" si="12"/>
        <v>#REF!</v>
      </c>
      <c r="C163" s="76" t="e">
        <f>IF(B163&lt;&gt;"",C162-#REF!/COUNT($B$17:$B$510),"")</f>
        <v>#REF!</v>
      </c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</row>
    <row r="164" spans="1:14" ht="19.5" x14ac:dyDescent="0.25">
      <c r="A164" s="59"/>
      <c r="B164" s="67" t="e">
        <f t="shared" si="12"/>
        <v>#REF!</v>
      </c>
      <c r="C164" s="76" t="e">
        <f>IF(B164&lt;&gt;"",C163-#REF!/COUNT($B$17:$B$510),"")</f>
        <v>#REF!</v>
      </c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</row>
    <row r="165" spans="1:14" ht="19.5" x14ac:dyDescent="0.25">
      <c r="A165" s="59"/>
      <c r="B165" s="67" t="e">
        <f t="shared" si="12"/>
        <v>#REF!</v>
      </c>
      <c r="C165" s="76" t="e">
        <f>IF(B165&lt;&gt;"",C164-#REF!/COUNT($B$17:$B$510),"")</f>
        <v>#REF!</v>
      </c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</row>
    <row r="166" spans="1:14" ht="19.5" x14ac:dyDescent="0.25">
      <c r="A166" s="59"/>
      <c r="B166" s="67" t="e">
        <f t="shared" si="12"/>
        <v>#REF!</v>
      </c>
      <c r="C166" s="76" t="e">
        <f>IF(B166&lt;&gt;"",C165-#REF!/COUNT($B$17:$B$510),"")</f>
        <v>#REF!</v>
      </c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</row>
    <row r="167" spans="1:14" ht="19.5" x14ac:dyDescent="0.25">
      <c r="A167" s="59"/>
      <c r="B167" s="67" t="e">
        <f t="shared" si="12"/>
        <v>#REF!</v>
      </c>
      <c r="C167" s="76" t="e">
        <f>IF(B167&lt;&gt;"",C166-#REF!/COUNT($B$17:$B$510),"")</f>
        <v>#REF!</v>
      </c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</row>
    <row r="168" spans="1:14" ht="19.5" x14ac:dyDescent="0.25">
      <c r="A168" s="59"/>
      <c r="B168" s="67" t="e">
        <f t="shared" si="12"/>
        <v>#REF!</v>
      </c>
      <c r="C168" s="76" t="e">
        <f>IF(B168&lt;&gt;"",C167-#REF!/COUNT($B$17:$B$510),"")</f>
        <v>#REF!</v>
      </c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</row>
    <row r="169" spans="1:14" ht="19.5" x14ac:dyDescent="0.25">
      <c r="A169" s="59"/>
      <c r="B169" s="67" t="e">
        <f t="shared" si="12"/>
        <v>#REF!</v>
      </c>
      <c r="C169" s="76" t="e">
        <f>IF(B169&lt;&gt;"",C168-#REF!/COUNT($B$17:$B$510),"")</f>
        <v>#REF!</v>
      </c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</row>
    <row r="170" spans="1:14" ht="19.5" x14ac:dyDescent="0.25">
      <c r="A170" s="59"/>
      <c r="B170" s="67" t="e">
        <f t="shared" si="12"/>
        <v>#REF!</v>
      </c>
      <c r="C170" s="76" t="e">
        <f>IF(B170&lt;&gt;"",C169-#REF!/COUNT($B$17:$B$510),"")</f>
        <v>#REF!</v>
      </c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</row>
    <row r="171" spans="1:14" ht="19.5" x14ac:dyDescent="0.25">
      <c r="A171" s="59"/>
      <c r="B171" s="67" t="e">
        <f t="shared" si="12"/>
        <v>#REF!</v>
      </c>
      <c r="C171" s="76" t="e">
        <f>IF(B171&lt;&gt;"",C170-#REF!/COUNT($B$17:$B$510),"")</f>
        <v>#REF!</v>
      </c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</row>
    <row r="172" spans="1:14" ht="19.5" x14ac:dyDescent="0.25">
      <c r="A172" s="59"/>
      <c r="B172" s="67" t="e">
        <f t="shared" si="12"/>
        <v>#REF!</v>
      </c>
      <c r="C172" s="76" t="e">
        <f>IF(B172&lt;&gt;"",C171-#REF!/COUNT($B$17:$B$510),"")</f>
        <v>#REF!</v>
      </c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</row>
    <row r="173" spans="1:14" ht="19.5" x14ac:dyDescent="0.25">
      <c r="A173" s="59"/>
      <c r="B173" s="67" t="e">
        <f t="shared" si="12"/>
        <v>#REF!</v>
      </c>
      <c r="C173" s="76" t="e">
        <f>IF(B173&lt;&gt;"",C172-#REF!/COUNT($B$17:$B$510),"")</f>
        <v>#REF!</v>
      </c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</row>
    <row r="174" spans="1:14" ht="19.5" x14ac:dyDescent="0.25">
      <c r="A174" s="59"/>
      <c r="B174" s="67" t="e">
        <f t="shared" si="12"/>
        <v>#REF!</v>
      </c>
      <c r="C174" s="76" t="e">
        <f>IF(B174&lt;&gt;"",C173-#REF!/COUNT($B$17:$B$510),"")</f>
        <v>#REF!</v>
      </c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</row>
    <row r="175" spans="1:14" ht="19.5" x14ac:dyDescent="0.25">
      <c r="A175" s="59"/>
      <c r="B175" s="67" t="e">
        <f t="shared" si="12"/>
        <v>#REF!</v>
      </c>
      <c r="C175" s="76" t="e">
        <f>IF(B175&lt;&gt;"",C174-#REF!/COUNT($B$17:$B$510),"")</f>
        <v>#REF!</v>
      </c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</row>
    <row r="176" spans="1:14" ht="19.5" x14ac:dyDescent="0.25">
      <c r="A176" s="59"/>
      <c r="B176" s="67" t="e">
        <f t="shared" si="12"/>
        <v>#REF!</v>
      </c>
      <c r="C176" s="76" t="e">
        <f>IF(B176&lt;&gt;"",C175-#REF!/COUNT($B$17:$B$510),"")</f>
        <v>#REF!</v>
      </c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</row>
    <row r="177" spans="1:14" ht="19.5" x14ac:dyDescent="0.25">
      <c r="A177" s="59"/>
      <c r="B177" s="67" t="e">
        <f t="shared" si="12"/>
        <v>#REF!</v>
      </c>
      <c r="C177" s="76" t="e">
        <f>IF(B177&lt;&gt;"",C176-#REF!/COUNT($B$17:$B$510),"")</f>
        <v>#REF!</v>
      </c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</row>
    <row r="178" spans="1:14" ht="19.5" x14ac:dyDescent="0.25">
      <c r="A178" s="59"/>
      <c r="B178" s="67" t="e">
        <f t="shared" si="12"/>
        <v>#REF!</v>
      </c>
      <c r="C178" s="76" t="e">
        <f>IF(B178&lt;&gt;"",C177-#REF!/COUNT($B$17:$B$510),"")</f>
        <v>#REF!</v>
      </c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</row>
    <row r="179" spans="1:14" ht="19.5" x14ac:dyDescent="0.25">
      <c r="A179" s="59"/>
      <c r="B179" s="67" t="e">
        <f t="shared" si="12"/>
        <v>#REF!</v>
      </c>
      <c r="C179" s="76" t="e">
        <f>IF(B179&lt;&gt;"",C178-#REF!/COUNT($B$17:$B$510),"")</f>
        <v>#REF!</v>
      </c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</row>
    <row r="180" spans="1:14" ht="19.5" x14ac:dyDescent="0.25">
      <c r="A180" s="59"/>
      <c r="B180" s="67" t="e">
        <f t="shared" si="12"/>
        <v>#REF!</v>
      </c>
      <c r="C180" s="76" t="e">
        <f>IF(B180&lt;&gt;"",C179-#REF!/COUNT($B$17:$B$510),"")</f>
        <v>#REF!</v>
      </c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</row>
    <row r="181" spans="1:14" ht="19.5" x14ac:dyDescent="0.25">
      <c r="A181" s="59"/>
      <c r="B181" s="67" t="e">
        <f t="shared" si="12"/>
        <v>#REF!</v>
      </c>
      <c r="C181" s="76" t="e">
        <f>IF(B181&lt;&gt;"",C180-#REF!/COUNT($B$17:$B$510),"")</f>
        <v>#REF!</v>
      </c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</row>
    <row r="182" spans="1:14" ht="19.5" x14ac:dyDescent="0.25">
      <c r="A182" s="59"/>
      <c r="B182" s="67" t="e">
        <f t="shared" si="12"/>
        <v>#REF!</v>
      </c>
      <c r="C182" s="76" t="e">
        <f>IF(B182&lt;&gt;"",C181-#REF!/COUNT($B$17:$B$510),"")</f>
        <v>#REF!</v>
      </c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</row>
    <row r="183" spans="1:14" ht="19.5" x14ac:dyDescent="0.25">
      <c r="A183" s="59"/>
      <c r="B183" s="67" t="e">
        <f t="shared" si="12"/>
        <v>#REF!</v>
      </c>
      <c r="C183" s="76" t="e">
        <f>IF(B183&lt;&gt;"",C182-#REF!/COUNT($B$17:$B$510),"")</f>
        <v>#REF!</v>
      </c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</row>
    <row r="184" spans="1:14" ht="19.5" x14ac:dyDescent="0.25">
      <c r="A184" s="59"/>
      <c r="B184" s="67" t="e">
        <f t="shared" si="12"/>
        <v>#REF!</v>
      </c>
      <c r="C184" s="76" t="e">
        <f>IF(B184&lt;&gt;"",C183-#REF!/COUNT($B$17:$B$510),"")</f>
        <v>#REF!</v>
      </c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</row>
    <row r="185" spans="1:14" ht="19.5" x14ac:dyDescent="0.25">
      <c r="A185" s="59"/>
      <c r="B185" s="67" t="e">
        <f t="shared" si="12"/>
        <v>#REF!</v>
      </c>
      <c r="C185" s="76" t="e">
        <f>IF(B185&lt;&gt;"",C184-#REF!/COUNT($B$17:$B$510),"")</f>
        <v>#REF!</v>
      </c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</row>
    <row r="186" spans="1:14" ht="19.5" x14ac:dyDescent="0.25">
      <c r="A186" s="59"/>
      <c r="B186" s="67" t="e">
        <f t="shared" si="12"/>
        <v>#REF!</v>
      </c>
      <c r="C186" s="76" t="e">
        <f>IF(B186&lt;&gt;"",C185-#REF!/COUNT($B$17:$B$510),"")</f>
        <v>#REF!</v>
      </c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</row>
    <row r="187" spans="1:14" ht="19.5" x14ac:dyDescent="0.25">
      <c r="A187" s="59"/>
      <c r="B187" s="67" t="e">
        <f t="shared" si="12"/>
        <v>#REF!</v>
      </c>
      <c r="C187" s="76" t="e">
        <f>IF(B187&lt;&gt;"",C186-#REF!/COUNT($B$17:$B$510),"")</f>
        <v>#REF!</v>
      </c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</row>
    <row r="188" spans="1:14" ht="19.5" x14ac:dyDescent="0.25">
      <c r="A188" s="59"/>
      <c r="B188" s="67" t="e">
        <f t="shared" si="12"/>
        <v>#REF!</v>
      </c>
      <c r="C188" s="76" t="e">
        <f>IF(B188&lt;&gt;"",C187-#REF!/COUNT($B$17:$B$510),"")</f>
        <v>#REF!</v>
      </c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</row>
    <row r="189" spans="1:14" ht="19.5" x14ac:dyDescent="0.25">
      <c r="A189" s="59"/>
      <c r="B189" s="67" t="e">
        <f t="shared" si="12"/>
        <v>#REF!</v>
      </c>
      <c r="C189" s="76" t="e">
        <f>IF(B189&lt;&gt;"",C188-#REF!/COUNT($B$17:$B$510),"")</f>
        <v>#REF!</v>
      </c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</row>
    <row r="190" spans="1:14" ht="19.5" x14ac:dyDescent="0.25">
      <c r="A190" s="59"/>
      <c r="B190" s="67" t="e">
        <f t="shared" si="12"/>
        <v>#REF!</v>
      </c>
      <c r="C190" s="76" t="e">
        <f>IF(B190&lt;&gt;"",C189-#REF!/COUNT($B$17:$B$510),"")</f>
        <v>#REF!</v>
      </c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</row>
    <row r="191" spans="1:14" ht="19.5" x14ac:dyDescent="0.25">
      <c r="A191" s="59"/>
      <c r="B191" s="67" t="e">
        <f t="shared" si="12"/>
        <v>#REF!</v>
      </c>
      <c r="C191" s="76" t="e">
        <f>IF(B191&lt;&gt;"",C190-#REF!/COUNT($B$17:$B$510),"")</f>
        <v>#REF!</v>
      </c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</row>
    <row r="192" spans="1:14" ht="19.5" x14ac:dyDescent="0.25">
      <c r="A192" s="59"/>
      <c r="B192" s="67" t="e">
        <f t="shared" si="12"/>
        <v>#REF!</v>
      </c>
      <c r="C192" s="76" t="e">
        <f>IF(B192&lt;&gt;"",C191-#REF!/COUNT($B$17:$B$510),"")</f>
        <v>#REF!</v>
      </c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</row>
    <row r="193" spans="1:14" ht="19.5" x14ac:dyDescent="0.25">
      <c r="A193" s="59"/>
      <c r="B193" s="67" t="e">
        <f t="shared" si="12"/>
        <v>#REF!</v>
      </c>
      <c r="C193" s="76" t="e">
        <f>IF(B193&lt;&gt;"",C192-#REF!/COUNT($B$17:$B$510),"")</f>
        <v>#REF!</v>
      </c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</row>
    <row r="194" spans="1:14" ht="19.5" x14ac:dyDescent="0.25">
      <c r="A194" s="59"/>
      <c r="B194" s="67" t="e">
        <f t="shared" si="12"/>
        <v>#REF!</v>
      </c>
      <c r="C194" s="76" t="e">
        <f>IF(B194&lt;&gt;"",C193-#REF!/COUNT($B$17:$B$510),"")</f>
        <v>#REF!</v>
      </c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</row>
    <row r="195" spans="1:14" ht="19.5" x14ac:dyDescent="0.25">
      <c r="A195" s="59"/>
      <c r="B195" s="67" t="e">
        <f t="shared" si="12"/>
        <v>#REF!</v>
      </c>
      <c r="C195" s="76" t="e">
        <f>IF(B195&lt;&gt;"",C194-#REF!/COUNT($B$17:$B$510),"")</f>
        <v>#REF!</v>
      </c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</row>
    <row r="196" spans="1:14" ht="19.5" x14ac:dyDescent="0.25">
      <c r="A196" s="59"/>
      <c r="B196" s="67" t="e">
        <f t="shared" si="12"/>
        <v>#REF!</v>
      </c>
      <c r="C196" s="76" t="e">
        <f>IF(B196&lt;&gt;"",C195-#REF!/COUNT($B$17:$B$510),"")</f>
        <v>#REF!</v>
      </c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</row>
    <row r="197" spans="1:14" ht="19.5" x14ac:dyDescent="0.25">
      <c r="A197" s="59"/>
      <c r="B197" s="67" t="e">
        <f t="shared" si="12"/>
        <v>#REF!</v>
      </c>
      <c r="C197" s="76" t="e">
        <f>IF(B197&lt;&gt;"",C196-#REF!/COUNT($B$17:$B$510),"")</f>
        <v>#REF!</v>
      </c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</row>
    <row r="198" spans="1:14" ht="19.5" x14ac:dyDescent="0.25">
      <c r="A198" s="59"/>
      <c r="B198" s="67" t="e">
        <f t="shared" si="12"/>
        <v>#REF!</v>
      </c>
      <c r="C198" s="76" t="e">
        <f>IF(B198&lt;&gt;"",C197-#REF!/COUNT($B$17:$B$510),"")</f>
        <v>#REF!</v>
      </c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</row>
    <row r="199" spans="1:14" ht="19.5" x14ac:dyDescent="0.25">
      <c r="A199" s="59"/>
      <c r="B199" s="67" t="e">
        <f t="shared" si="12"/>
        <v>#REF!</v>
      </c>
      <c r="C199" s="76" t="e">
        <f>IF(B199&lt;&gt;"",C198-#REF!/COUNT($B$17:$B$510),"")</f>
        <v>#REF!</v>
      </c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</row>
    <row r="200" spans="1:14" ht="19.5" x14ac:dyDescent="0.25">
      <c r="A200" s="59"/>
      <c r="B200" s="67" t="e">
        <f t="shared" si="12"/>
        <v>#REF!</v>
      </c>
      <c r="C200" s="76" t="e">
        <f>IF(B200&lt;&gt;"",C199-#REF!/COUNT($B$17:$B$510),"")</f>
        <v>#REF!</v>
      </c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</row>
    <row r="201" spans="1:14" ht="19.5" x14ac:dyDescent="0.25">
      <c r="A201" s="59"/>
      <c r="B201" s="67" t="e">
        <f t="shared" si="12"/>
        <v>#REF!</v>
      </c>
      <c r="C201" s="76" t="e">
        <f>IF(B201&lt;&gt;"",C200-#REF!/COUNT($B$17:$B$510),"")</f>
        <v>#REF!</v>
      </c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</row>
    <row r="202" spans="1:14" ht="19.5" x14ac:dyDescent="0.25">
      <c r="A202" s="59"/>
      <c r="B202" s="67" t="e">
        <f t="shared" si="12"/>
        <v>#REF!</v>
      </c>
      <c r="C202" s="76" t="e">
        <f>IF(B202&lt;&gt;"",C201-#REF!/COUNT($B$17:$B$510),"")</f>
        <v>#REF!</v>
      </c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</row>
    <row r="203" spans="1:14" ht="19.5" x14ac:dyDescent="0.25">
      <c r="A203" s="59"/>
      <c r="B203" s="67" t="e">
        <f t="shared" si="12"/>
        <v>#REF!</v>
      </c>
      <c r="C203" s="76" t="e">
        <f>IF(B203&lt;&gt;"",C202-#REF!/COUNT($B$17:$B$510),"")</f>
        <v>#REF!</v>
      </c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</row>
    <row r="204" spans="1:14" ht="19.5" x14ac:dyDescent="0.25">
      <c r="A204" s="59"/>
      <c r="B204" s="67" t="e">
        <f t="shared" si="12"/>
        <v>#REF!</v>
      </c>
      <c r="C204" s="76" t="e">
        <f>IF(B204&lt;&gt;"",C203-#REF!/COUNT($B$17:$B$510),"")</f>
        <v>#REF!</v>
      </c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</row>
    <row r="205" spans="1:14" ht="19.5" x14ac:dyDescent="0.25">
      <c r="A205" s="59"/>
      <c r="B205" s="67" t="e">
        <f t="shared" si="12"/>
        <v>#REF!</v>
      </c>
      <c r="C205" s="76" t="e">
        <f>IF(B205&lt;&gt;"",C204-#REF!/COUNT($B$17:$B$510),"")</f>
        <v>#REF!</v>
      </c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</row>
    <row r="206" spans="1:14" ht="19.5" x14ac:dyDescent="0.25">
      <c r="A206" s="59"/>
      <c r="B206" s="67" t="e">
        <f t="shared" si="12"/>
        <v>#REF!</v>
      </c>
      <c r="C206" s="76" t="e">
        <f>IF(B206&lt;&gt;"",C205-#REF!/COUNT($B$17:$B$510),"")</f>
        <v>#REF!</v>
      </c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</row>
    <row r="207" spans="1:14" ht="19.5" x14ac:dyDescent="0.25">
      <c r="A207" s="59"/>
      <c r="B207" s="67" t="e">
        <f t="shared" si="12"/>
        <v>#REF!</v>
      </c>
      <c r="C207" s="76" t="e">
        <f>IF(B207&lt;&gt;"",C206-#REF!/COUNT($B$17:$B$510),"")</f>
        <v>#REF!</v>
      </c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</row>
    <row r="208" spans="1:14" ht="19.5" x14ac:dyDescent="0.25">
      <c r="A208" s="59"/>
      <c r="B208" s="67" t="e">
        <f t="shared" si="12"/>
        <v>#REF!</v>
      </c>
      <c r="C208" s="76" t="e">
        <f>IF(B208&lt;&gt;"",C207-#REF!/COUNT($B$17:$B$510),"")</f>
        <v>#REF!</v>
      </c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</row>
    <row r="209" spans="1:14" ht="19.5" x14ac:dyDescent="0.25">
      <c r="A209" s="59"/>
      <c r="B209" s="67" t="e">
        <f t="shared" si="12"/>
        <v>#REF!</v>
      </c>
      <c r="C209" s="76" t="e">
        <f>IF(B209&lt;&gt;"",C208-#REF!/COUNT($B$17:$B$510),"")</f>
        <v>#REF!</v>
      </c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</row>
    <row r="210" spans="1:14" ht="19.5" x14ac:dyDescent="0.25">
      <c r="A210" s="59"/>
      <c r="B210" s="67" t="e">
        <f t="shared" si="12"/>
        <v>#REF!</v>
      </c>
      <c r="C210" s="76" t="e">
        <f>IF(B210&lt;&gt;"",C209-#REF!/COUNT($B$17:$B$510),"")</f>
        <v>#REF!</v>
      </c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</row>
    <row r="211" spans="1:14" ht="19.5" x14ac:dyDescent="0.25">
      <c r="A211" s="59"/>
      <c r="B211" s="67" t="e">
        <f t="shared" si="12"/>
        <v>#REF!</v>
      </c>
      <c r="C211" s="76" t="e">
        <f>IF(B211&lt;&gt;"",C210-#REF!/COUNT($B$17:$B$510),"")</f>
        <v>#REF!</v>
      </c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</row>
    <row r="212" spans="1:14" ht="19.5" x14ac:dyDescent="0.25">
      <c r="A212" s="59"/>
      <c r="B212" s="67" t="e">
        <f t="shared" si="12"/>
        <v>#REF!</v>
      </c>
      <c r="C212" s="76" t="e">
        <f>IF(B212&lt;&gt;"",C211-#REF!/COUNT($B$17:$B$510),"")</f>
        <v>#REF!</v>
      </c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</row>
    <row r="213" spans="1:14" ht="19.5" x14ac:dyDescent="0.25">
      <c r="A213" s="59"/>
      <c r="B213" s="67" t="e">
        <f t="shared" si="12"/>
        <v>#REF!</v>
      </c>
      <c r="C213" s="76" t="e">
        <f>IF(B213&lt;&gt;"",C212-#REF!/COUNT($B$17:$B$510),"")</f>
        <v>#REF!</v>
      </c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</row>
    <row r="214" spans="1:14" ht="19.5" x14ac:dyDescent="0.25">
      <c r="A214" s="59"/>
      <c r="B214" s="67" t="e">
        <f t="shared" si="12"/>
        <v>#REF!</v>
      </c>
      <c r="C214" s="76" t="e">
        <f>IF(B214&lt;&gt;"",C213-#REF!/COUNT($B$17:$B$510),"")</f>
        <v>#REF!</v>
      </c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</row>
    <row r="215" spans="1:14" ht="19.5" x14ac:dyDescent="0.25">
      <c r="A215" s="59"/>
      <c r="B215" s="67" t="e">
        <f t="shared" si="12"/>
        <v>#REF!</v>
      </c>
      <c r="C215" s="76" t="e">
        <f>IF(B215&lt;&gt;"",C214-#REF!/COUNT($B$17:$B$510),"")</f>
        <v>#REF!</v>
      </c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</row>
    <row r="216" spans="1:14" ht="19.5" x14ac:dyDescent="0.25">
      <c r="A216" s="59"/>
      <c r="B216" s="67" t="e">
        <f t="shared" si="12"/>
        <v>#REF!</v>
      </c>
      <c r="C216" s="76" t="e">
        <f>IF(B216&lt;&gt;"",C215-#REF!/COUNT($B$17:$B$510),"")</f>
        <v>#REF!</v>
      </c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</row>
    <row r="217" spans="1:14" ht="19.5" x14ac:dyDescent="0.25">
      <c r="A217" s="59"/>
      <c r="B217" s="67" t="e">
        <f t="shared" si="12"/>
        <v>#REF!</v>
      </c>
      <c r="C217" s="76" t="e">
        <f>IF(B217&lt;&gt;"",C216-#REF!/COUNT($B$17:$B$510),"")</f>
        <v>#REF!</v>
      </c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</row>
    <row r="218" spans="1:14" ht="19.5" x14ac:dyDescent="0.25">
      <c r="A218" s="59"/>
      <c r="B218" s="67" t="e">
        <f t="shared" si="12"/>
        <v>#REF!</v>
      </c>
      <c r="C218" s="76" t="e">
        <f>IF(B218&lt;&gt;"",C217-#REF!/COUNT($B$17:$B$510),"")</f>
        <v>#REF!</v>
      </c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</row>
    <row r="219" spans="1:14" ht="19.5" x14ac:dyDescent="0.25">
      <c r="A219" s="59"/>
      <c r="B219" s="67" t="e">
        <f t="shared" si="12"/>
        <v>#REF!</v>
      </c>
      <c r="C219" s="76" t="e">
        <f>IF(B219&lt;&gt;"",C218-#REF!/COUNT($B$17:$B$510),"")</f>
        <v>#REF!</v>
      </c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</row>
    <row r="220" spans="1:14" ht="19.5" x14ac:dyDescent="0.25">
      <c r="A220" s="59"/>
      <c r="B220" s="67" t="e">
        <f t="shared" si="12"/>
        <v>#REF!</v>
      </c>
      <c r="C220" s="76" t="e">
        <f>IF(B220&lt;&gt;"",C219-#REF!/COUNT($B$17:$B$510),"")</f>
        <v>#REF!</v>
      </c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</row>
    <row r="221" spans="1:14" ht="19.5" x14ac:dyDescent="0.25">
      <c r="A221" s="59"/>
      <c r="B221" s="67" t="e">
        <f t="shared" ref="B221:B284" si="13">IF(B220="","",IF(B220+$C$9&lt;=$C$5,B220+$C$9,""))</f>
        <v>#REF!</v>
      </c>
      <c r="C221" s="76" t="e">
        <f>IF(B221&lt;&gt;"",C220-#REF!/COUNT($B$17:$B$510),"")</f>
        <v>#REF!</v>
      </c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</row>
    <row r="222" spans="1:14" ht="19.5" x14ac:dyDescent="0.25">
      <c r="A222" s="59"/>
      <c r="B222" s="67" t="e">
        <f t="shared" si="13"/>
        <v>#REF!</v>
      </c>
      <c r="C222" s="76" t="e">
        <f>IF(B222&lt;&gt;"",C221-#REF!/COUNT($B$17:$B$510),"")</f>
        <v>#REF!</v>
      </c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</row>
    <row r="223" spans="1:14" ht="19.5" x14ac:dyDescent="0.25">
      <c r="A223" s="59"/>
      <c r="B223" s="67" t="e">
        <f t="shared" si="13"/>
        <v>#REF!</v>
      </c>
      <c r="C223" s="76" t="e">
        <f>IF(B223&lt;&gt;"",C222-#REF!/COUNT($B$17:$B$510),"")</f>
        <v>#REF!</v>
      </c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</row>
    <row r="224" spans="1:14" ht="19.5" x14ac:dyDescent="0.25">
      <c r="A224" s="59"/>
      <c r="B224" s="67" t="e">
        <f t="shared" si="13"/>
        <v>#REF!</v>
      </c>
      <c r="C224" s="76" t="e">
        <f>IF(B224&lt;&gt;"",C223-#REF!/COUNT($B$17:$B$510),"")</f>
        <v>#REF!</v>
      </c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</row>
    <row r="225" spans="1:14" ht="19.5" x14ac:dyDescent="0.25">
      <c r="A225" s="59"/>
      <c r="B225" s="67" t="e">
        <f t="shared" si="13"/>
        <v>#REF!</v>
      </c>
      <c r="C225" s="76" t="e">
        <f>IF(B225&lt;&gt;"",C224-#REF!/COUNT($B$17:$B$510),"")</f>
        <v>#REF!</v>
      </c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</row>
    <row r="226" spans="1:14" ht="19.5" x14ac:dyDescent="0.25">
      <c r="A226" s="59"/>
      <c r="B226" s="67" t="e">
        <f t="shared" si="13"/>
        <v>#REF!</v>
      </c>
      <c r="C226" s="76" t="e">
        <f>IF(B226&lt;&gt;"",C225-#REF!/COUNT($B$17:$B$510),"")</f>
        <v>#REF!</v>
      </c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</row>
    <row r="227" spans="1:14" ht="19.5" x14ac:dyDescent="0.25">
      <c r="A227" s="59"/>
      <c r="B227" s="67" t="e">
        <f t="shared" si="13"/>
        <v>#REF!</v>
      </c>
      <c r="C227" s="76" t="e">
        <f>IF(B227&lt;&gt;"",C226-#REF!/COUNT($B$17:$B$510),"")</f>
        <v>#REF!</v>
      </c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</row>
    <row r="228" spans="1:14" ht="19.5" x14ac:dyDescent="0.25">
      <c r="A228" s="59"/>
      <c r="B228" s="67" t="e">
        <f t="shared" si="13"/>
        <v>#REF!</v>
      </c>
      <c r="C228" s="76" t="e">
        <f>IF(B228&lt;&gt;"",C227-#REF!/COUNT($B$17:$B$510),"")</f>
        <v>#REF!</v>
      </c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</row>
    <row r="229" spans="1:14" ht="19.5" x14ac:dyDescent="0.25">
      <c r="A229" s="59"/>
      <c r="B229" s="67" t="e">
        <f t="shared" si="13"/>
        <v>#REF!</v>
      </c>
      <c r="C229" s="76" t="e">
        <f>IF(B229&lt;&gt;"",C228-#REF!/COUNT($B$17:$B$510),"")</f>
        <v>#REF!</v>
      </c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</row>
    <row r="230" spans="1:14" ht="19.5" x14ac:dyDescent="0.25">
      <c r="A230" s="59"/>
      <c r="B230" s="67" t="e">
        <f t="shared" si="13"/>
        <v>#REF!</v>
      </c>
      <c r="C230" s="76" t="e">
        <f>IF(B230&lt;&gt;"",C229-#REF!/COUNT($B$17:$B$510),"")</f>
        <v>#REF!</v>
      </c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</row>
    <row r="231" spans="1:14" ht="19.5" x14ac:dyDescent="0.25">
      <c r="A231" s="59"/>
      <c r="B231" s="67" t="e">
        <f t="shared" si="13"/>
        <v>#REF!</v>
      </c>
      <c r="C231" s="76" t="e">
        <f>IF(B231&lt;&gt;"",C230-#REF!/COUNT($B$17:$B$510),"")</f>
        <v>#REF!</v>
      </c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</row>
    <row r="232" spans="1:14" ht="19.5" x14ac:dyDescent="0.25">
      <c r="A232" s="59"/>
      <c r="B232" s="67" t="e">
        <f t="shared" si="13"/>
        <v>#REF!</v>
      </c>
      <c r="C232" s="76" t="e">
        <f>IF(B232&lt;&gt;"",C231-#REF!/COUNT($B$17:$B$510),"")</f>
        <v>#REF!</v>
      </c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</row>
    <row r="233" spans="1:14" ht="19.5" x14ac:dyDescent="0.25">
      <c r="A233" s="59"/>
      <c r="B233" s="67" t="e">
        <f t="shared" si="13"/>
        <v>#REF!</v>
      </c>
      <c r="C233" s="76" t="e">
        <f>IF(B233&lt;&gt;"",C232-#REF!/COUNT($B$17:$B$510),"")</f>
        <v>#REF!</v>
      </c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</row>
    <row r="234" spans="1:14" ht="19.5" x14ac:dyDescent="0.25">
      <c r="A234" s="59"/>
      <c r="B234" s="67" t="e">
        <f t="shared" si="13"/>
        <v>#REF!</v>
      </c>
      <c r="C234" s="76" t="e">
        <f>IF(B234&lt;&gt;"",C233-#REF!/COUNT($B$17:$B$510),"")</f>
        <v>#REF!</v>
      </c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</row>
    <row r="235" spans="1:14" ht="19.5" x14ac:dyDescent="0.25">
      <c r="A235" s="59"/>
      <c r="B235" s="67" t="e">
        <f t="shared" si="13"/>
        <v>#REF!</v>
      </c>
      <c r="C235" s="76" t="e">
        <f>IF(B235&lt;&gt;"",C234-#REF!/COUNT($B$17:$B$510),"")</f>
        <v>#REF!</v>
      </c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</row>
    <row r="236" spans="1:14" ht="19.5" x14ac:dyDescent="0.25">
      <c r="A236" s="59"/>
      <c r="B236" s="67" t="e">
        <f t="shared" si="13"/>
        <v>#REF!</v>
      </c>
      <c r="C236" s="76" t="e">
        <f>IF(B236&lt;&gt;"",C235-#REF!/COUNT($B$17:$B$510),"")</f>
        <v>#REF!</v>
      </c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</row>
    <row r="237" spans="1:14" ht="19.5" x14ac:dyDescent="0.25">
      <c r="A237" s="59"/>
      <c r="B237" s="67" t="e">
        <f t="shared" si="13"/>
        <v>#REF!</v>
      </c>
      <c r="C237" s="76" t="e">
        <f>IF(B237&lt;&gt;"",C236-#REF!/COUNT($B$17:$B$510),"")</f>
        <v>#REF!</v>
      </c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</row>
    <row r="238" spans="1:14" ht="19.5" x14ac:dyDescent="0.25">
      <c r="A238" s="59"/>
      <c r="B238" s="67" t="e">
        <f t="shared" si="13"/>
        <v>#REF!</v>
      </c>
      <c r="C238" s="76" t="e">
        <f>IF(B238&lt;&gt;"",C237-#REF!/COUNT($B$17:$B$510),"")</f>
        <v>#REF!</v>
      </c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</row>
    <row r="239" spans="1:14" ht="19.5" x14ac:dyDescent="0.25">
      <c r="A239" s="59"/>
      <c r="B239" s="67" t="e">
        <f t="shared" si="13"/>
        <v>#REF!</v>
      </c>
      <c r="C239" s="76" t="e">
        <f>IF(B239&lt;&gt;"",C238-#REF!/COUNT($B$17:$B$510),"")</f>
        <v>#REF!</v>
      </c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</row>
    <row r="240" spans="1:14" ht="19.5" x14ac:dyDescent="0.25">
      <c r="A240" s="59"/>
      <c r="B240" s="67" t="e">
        <f t="shared" si="13"/>
        <v>#REF!</v>
      </c>
      <c r="C240" s="76" t="e">
        <f>IF(B240&lt;&gt;"",C239-#REF!/COUNT($B$17:$B$510),"")</f>
        <v>#REF!</v>
      </c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</row>
    <row r="241" spans="1:14" ht="19.5" x14ac:dyDescent="0.25">
      <c r="A241" s="59"/>
      <c r="B241" s="67" t="e">
        <f t="shared" si="13"/>
        <v>#REF!</v>
      </c>
      <c r="C241" s="76" t="e">
        <f>IF(B241&lt;&gt;"",C240-#REF!/COUNT($B$17:$B$510),"")</f>
        <v>#REF!</v>
      </c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</row>
    <row r="242" spans="1:14" ht="19.5" x14ac:dyDescent="0.25">
      <c r="A242" s="59"/>
      <c r="B242" s="67" t="e">
        <f t="shared" si="13"/>
        <v>#REF!</v>
      </c>
      <c r="C242" s="76" t="e">
        <f>IF(B242&lt;&gt;"",C241-#REF!/COUNT($B$17:$B$510),"")</f>
        <v>#REF!</v>
      </c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</row>
    <row r="243" spans="1:14" ht="19.5" x14ac:dyDescent="0.25">
      <c r="A243" s="59"/>
      <c r="B243" s="67" t="e">
        <f t="shared" si="13"/>
        <v>#REF!</v>
      </c>
      <c r="C243" s="76" t="e">
        <f>IF(B243&lt;&gt;"",C242-#REF!/COUNT($B$17:$B$510),"")</f>
        <v>#REF!</v>
      </c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</row>
    <row r="244" spans="1:14" ht="19.5" x14ac:dyDescent="0.25">
      <c r="A244" s="59"/>
      <c r="B244" s="67" t="e">
        <f t="shared" si="13"/>
        <v>#REF!</v>
      </c>
      <c r="C244" s="76" t="e">
        <f>IF(B244&lt;&gt;"",C243-#REF!/COUNT($B$17:$B$510),"")</f>
        <v>#REF!</v>
      </c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</row>
    <row r="245" spans="1:14" ht="19.5" x14ac:dyDescent="0.25">
      <c r="A245" s="59"/>
      <c r="B245" s="67" t="e">
        <f t="shared" si="13"/>
        <v>#REF!</v>
      </c>
      <c r="C245" s="76" t="e">
        <f>IF(B245&lt;&gt;"",C244-#REF!/COUNT($B$17:$B$510),"")</f>
        <v>#REF!</v>
      </c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</row>
    <row r="246" spans="1:14" ht="19.5" x14ac:dyDescent="0.25">
      <c r="A246" s="59"/>
      <c r="B246" s="67" t="e">
        <f t="shared" si="13"/>
        <v>#REF!</v>
      </c>
      <c r="C246" s="76" t="e">
        <f>IF(B246&lt;&gt;"",C245-#REF!/COUNT($B$17:$B$510),"")</f>
        <v>#REF!</v>
      </c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</row>
    <row r="247" spans="1:14" ht="19.5" x14ac:dyDescent="0.25">
      <c r="A247" s="59"/>
      <c r="B247" s="67" t="e">
        <f t="shared" si="13"/>
        <v>#REF!</v>
      </c>
      <c r="C247" s="76" t="e">
        <f>IF(B247&lt;&gt;"",C246-#REF!/COUNT($B$17:$B$510),"")</f>
        <v>#REF!</v>
      </c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</row>
    <row r="248" spans="1:14" ht="19.5" x14ac:dyDescent="0.25">
      <c r="A248" s="59"/>
      <c r="B248" s="67" t="e">
        <f t="shared" si="13"/>
        <v>#REF!</v>
      </c>
      <c r="C248" s="76" t="e">
        <f>IF(B248&lt;&gt;"",C247-#REF!/COUNT($B$17:$B$510),"")</f>
        <v>#REF!</v>
      </c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</row>
    <row r="249" spans="1:14" ht="19.5" x14ac:dyDescent="0.25">
      <c r="A249" s="59"/>
      <c r="B249" s="67" t="e">
        <f t="shared" si="13"/>
        <v>#REF!</v>
      </c>
      <c r="C249" s="76" t="e">
        <f>IF(B249&lt;&gt;"",C248-#REF!/COUNT($B$17:$B$510),"")</f>
        <v>#REF!</v>
      </c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</row>
    <row r="250" spans="1:14" ht="19.5" x14ac:dyDescent="0.25">
      <c r="A250" s="59"/>
      <c r="B250" s="67" t="e">
        <f t="shared" si="13"/>
        <v>#REF!</v>
      </c>
      <c r="C250" s="76" t="e">
        <f>IF(B250&lt;&gt;"",C249-#REF!/COUNT($B$17:$B$510),"")</f>
        <v>#REF!</v>
      </c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</row>
    <row r="251" spans="1:14" ht="19.5" x14ac:dyDescent="0.25">
      <c r="A251" s="59"/>
      <c r="B251" s="67" t="e">
        <f t="shared" si="13"/>
        <v>#REF!</v>
      </c>
      <c r="C251" s="76" t="e">
        <f>IF(B251&lt;&gt;"",C250-#REF!/COUNT($B$17:$B$510),"")</f>
        <v>#REF!</v>
      </c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</row>
    <row r="252" spans="1:14" ht="19.5" x14ac:dyDescent="0.25">
      <c r="A252" s="59"/>
      <c r="B252" s="67" t="e">
        <f t="shared" si="13"/>
        <v>#REF!</v>
      </c>
      <c r="C252" s="76" t="e">
        <f>IF(B252&lt;&gt;"",C251-#REF!/COUNT($B$17:$B$510),"")</f>
        <v>#REF!</v>
      </c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</row>
    <row r="253" spans="1:14" ht="19.5" x14ac:dyDescent="0.25">
      <c r="A253" s="59"/>
      <c r="B253" s="67" t="e">
        <f t="shared" si="13"/>
        <v>#REF!</v>
      </c>
      <c r="C253" s="76" t="e">
        <f>IF(B253&lt;&gt;"",C252-#REF!/COUNT($B$17:$B$510),"")</f>
        <v>#REF!</v>
      </c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</row>
    <row r="254" spans="1:14" ht="19.5" x14ac:dyDescent="0.25">
      <c r="A254" s="59"/>
      <c r="B254" s="67" t="e">
        <f t="shared" si="13"/>
        <v>#REF!</v>
      </c>
      <c r="C254" s="76" t="e">
        <f>IF(B254&lt;&gt;"",C253-#REF!/COUNT($B$17:$B$510),"")</f>
        <v>#REF!</v>
      </c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</row>
    <row r="255" spans="1:14" ht="19.5" x14ac:dyDescent="0.25">
      <c r="A255" s="59"/>
      <c r="B255" s="67" t="e">
        <f t="shared" si="13"/>
        <v>#REF!</v>
      </c>
      <c r="C255" s="76" t="e">
        <f>IF(B255&lt;&gt;"",C254-#REF!/COUNT($B$17:$B$510),"")</f>
        <v>#REF!</v>
      </c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</row>
    <row r="256" spans="1:14" ht="19.5" x14ac:dyDescent="0.25">
      <c r="A256" s="59"/>
      <c r="B256" s="67" t="e">
        <f t="shared" si="13"/>
        <v>#REF!</v>
      </c>
      <c r="C256" s="76" t="e">
        <f>IF(B256&lt;&gt;"",C255-#REF!/COUNT($B$17:$B$510),"")</f>
        <v>#REF!</v>
      </c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</row>
    <row r="257" spans="1:14" ht="19.5" x14ac:dyDescent="0.25">
      <c r="A257" s="59"/>
      <c r="B257" s="67" t="e">
        <f t="shared" si="13"/>
        <v>#REF!</v>
      </c>
      <c r="C257" s="76" t="e">
        <f>IF(B257&lt;&gt;"",C256-#REF!/COUNT($B$17:$B$510),"")</f>
        <v>#REF!</v>
      </c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</row>
    <row r="258" spans="1:14" ht="19.5" x14ac:dyDescent="0.25">
      <c r="A258" s="59"/>
      <c r="B258" s="67" t="e">
        <f t="shared" si="13"/>
        <v>#REF!</v>
      </c>
      <c r="C258" s="76" t="e">
        <f>IF(B258&lt;&gt;"",C257-#REF!/COUNT($B$17:$B$510),"")</f>
        <v>#REF!</v>
      </c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</row>
    <row r="259" spans="1:14" ht="19.5" x14ac:dyDescent="0.25">
      <c r="A259" s="59"/>
      <c r="B259" s="67" t="e">
        <f t="shared" si="13"/>
        <v>#REF!</v>
      </c>
      <c r="C259" s="76" t="e">
        <f>IF(B259&lt;&gt;"",C258-#REF!/COUNT($B$17:$B$510),"")</f>
        <v>#REF!</v>
      </c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</row>
    <row r="260" spans="1:14" ht="19.5" x14ac:dyDescent="0.25">
      <c r="A260" s="59"/>
      <c r="B260" s="67" t="e">
        <f t="shared" si="13"/>
        <v>#REF!</v>
      </c>
      <c r="C260" s="76" t="e">
        <f>IF(B260&lt;&gt;"",C259-#REF!/COUNT($B$17:$B$510),"")</f>
        <v>#REF!</v>
      </c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</row>
    <row r="261" spans="1:14" ht="19.5" x14ac:dyDescent="0.25">
      <c r="A261" s="59"/>
      <c r="B261" s="67" t="e">
        <f t="shared" si="13"/>
        <v>#REF!</v>
      </c>
      <c r="C261" s="76" t="e">
        <f>IF(B261&lt;&gt;"",C260-#REF!/COUNT($B$17:$B$510),"")</f>
        <v>#REF!</v>
      </c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</row>
    <row r="262" spans="1:14" ht="19.5" x14ac:dyDescent="0.25">
      <c r="A262" s="59"/>
      <c r="B262" s="67" t="e">
        <f t="shared" si="13"/>
        <v>#REF!</v>
      </c>
      <c r="C262" s="76" t="e">
        <f>IF(B262&lt;&gt;"",C261-#REF!/COUNT($B$17:$B$510),"")</f>
        <v>#REF!</v>
      </c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</row>
    <row r="263" spans="1:14" ht="19.5" x14ac:dyDescent="0.25">
      <c r="A263" s="59"/>
      <c r="B263" s="67" t="e">
        <f t="shared" si="13"/>
        <v>#REF!</v>
      </c>
      <c r="C263" s="76" t="e">
        <f>IF(B263&lt;&gt;"",C262-#REF!/COUNT($B$17:$B$510),"")</f>
        <v>#REF!</v>
      </c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</row>
    <row r="264" spans="1:14" ht="19.5" x14ac:dyDescent="0.25">
      <c r="A264" s="59"/>
      <c r="B264" s="67" t="e">
        <f t="shared" si="13"/>
        <v>#REF!</v>
      </c>
      <c r="C264" s="76" t="e">
        <f>IF(B264&lt;&gt;"",C263-#REF!/COUNT($B$17:$B$510),"")</f>
        <v>#REF!</v>
      </c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</row>
    <row r="265" spans="1:14" ht="19.5" x14ac:dyDescent="0.25">
      <c r="A265" s="59"/>
      <c r="B265" s="67" t="e">
        <f t="shared" si="13"/>
        <v>#REF!</v>
      </c>
      <c r="C265" s="76" t="e">
        <f>IF(B265&lt;&gt;"",C264-#REF!/COUNT($B$17:$B$510),"")</f>
        <v>#REF!</v>
      </c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</row>
    <row r="266" spans="1:14" ht="19.5" x14ac:dyDescent="0.25">
      <c r="A266" s="59"/>
      <c r="B266" s="67" t="e">
        <f t="shared" si="13"/>
        <v>#REF!</v>
      </c>
      <c r="C266" s="76" t="e">
        <f>IF(B266&lt;&gt;"",C265-#REF!/COUNT($B$17:$B$510),"")</f>
        <v>#REF!</v>
      </c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</row>
    <row r="267" spans="1:14" ht="19.5" x14ac:dyDescent="0.25">
      <c r="A267" s="59"/>
      <c r="B267" s="67" t="e">
        <f t="shared" si="13"/>
        <v>#REF!</v>
      </c>
      <c r="C267" s="76" t="e">
        <f>IF(B267&lt;&gt;"",C266-#REF!/COUNT($B$17:$B$510),"")</f>
        <v>#REF!</v>
      </c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</row>
    <row r="268" spans="1:14" ht="19.5" x14ac:dyDescent="0.25">
      <c r="A268" s="59"/>
      <c r="B268" s="67" t="e">
        <f t="shared" si="13"/>
        <v>#REF!</v>
      </c>
      <c r="C268" s="76" t="e">
        <f>IF(B268&lt;&gt;"",C267-#REF!/COUNT($B$17:$B$510),"")</f>
        <v>#REF!</v>
      </c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</row>
    <row r="269" spans="1:14" ht="19.5" x14ac:dyDescent="0.25">
      <c r="A269" s="59"/>
      <c r="B269" s="67" t="e">
        <f t="shared" si="13"/>
        <v>#REF!</v>
      </c>
      <c r="C269" s="76" t="e">
        <f>IF(B269&lt;&gt;"",C268-#REF!/COUNT($B$17:$B$510),"")</f>
        <v>#REF!</v>
      </c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</row>
    <row r="270" spans="1:14" ht="19.5" x14ac:dyDescent="0.25">
      <c r="A270" s="59"/>
      <c r="B270" s="67" t="e">
        <f t="shared" si="13"/>
        <v>#REF!</v>
      </c>
      <c r="C270" s="76" t="e">
        <f>IF(B270&lt;&gt;"",C269-#REF!/COUNT($B$17:$B$510),"")</f>
        <v>#REF!</v>
      </c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</row>
    <row r="271" spans="1:14" ht="19.5" x14ac:dyDescent="0.25">
      <c r="A271" s="59"/>
      <c r="B271" s="67" t="e">
        <f t="shared" si="13"/>
        <v>#REF!</v>
      </c>
      <c r="C271" s="76" t="e">
        <f>IF(B271&lt;&gt;"",C270-#REF!/COUNT($B$17:$B$510),"")</f>
        <v>#REF!</v>
      </c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</row>
    <row r="272" spans="1:14" ht="19.5" x14ac:dyDescent="0.25">
      <c r="A272" s="59"/>
      <c r="B272" s="67" t="e">
        <f t="shared" si="13"/>
        <v>#REF!</v>
      </c>
      <c r="C272" s="76" t="e">
        <f>IF(B272&lt;&gt;"",C271-#REF!/COUNT($B$17:$B$510),"")</f>
        <v>#REF!</v>
      </c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</row>
    <row r="273" spans="1:14" ht="19.5" x14ac:dyDescent="0.25">
      <c r="A273" s="59"/>
      <c r="B273" s="67" t="e">
        <f t="shared" si="13"/>
        <v>#REF!</v>
      </c>
      <c r="C273" s="76" t="e">
        <f>IF(B273&lt;&gt;"",C272-#REF!/COUNT($B$17:$B$510),"")</f>
        <v>#REF!</v>
      </c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</row>
    <row r="274" spans="1:14" ht="19.5" x14ac:dyDescent="0.25">
      <c r="A274" s="59"/>
      <c r="B274" s="67" t="e">
        <f t="shared" si="13"/>
        <v>#REF!</v>
      </c>
      <c r="C274" s="76" t="e">
        <f>IF(B274&lt;&gt;"",C273-#REF!/COUNT($B$17:$B$510),"")</f>
        <v>#REF!</v>
      </c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</row>
    <row r="275" spans="1:14" ht="19.5" x14ac:dyDescent="0.25">
      <c r="A275" s="59"/>
      <c r="B275" s="67" t="e">
        <f t="shared" si="13"/>
        <v>#REF!</v>
      </c>
      <c r="C275" s="76" t="e">
        <f>IF(B275&lt;&gt;"",C274-#REF!/COUNT($B$17:$B$510),"")</f>
        <v>#REF!</v>
      </c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</row>
    <row r="276" spans="1:14" ht="19.5" x14ac:dyDescent="0.25">
      <c r="A276" s="59"/>
      <c r="B276" s="67" t="e">
        <f t="shared" si="13"/>
        <v>#REF!</v>
      </c>
      <c r="C276" s="76" t="e">
        <f>IF(B276&lt;&gt;"",C275-#REF!/COUNT($B$17:$B$510),"")</f>
        <v>#REF!</v>
      </c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</row>
    <row r="277" spans="1:14" ht="19.5" x14ac:dyDescent="0.25">
      <c r="A277" s="59"/>
      <c r="B277" s="67" t="e">
        <f t="shared" si="13"/>
        <v>#REF!</v>
      </c>
      <c r="C277" s="76" t="e">
        <f>IF(B277&lt;&gt;"",C276-#REF!/COUNT($B$17:$B$510),"")</f>
        <v>#REF!</v>
      </c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</row>
    <row r="278" spans="1:14" ht="19.5" x14ac:dyDescent="0.25">
      <c r="A278" s="59"/>
      <c r="B278" s="67" t="e">
        <f t="shared" si="13"/>
        <v>#REF!</v>
      </c>
      <c r="C278" s="76" t="e">
        <f>IF(B278&lt;&gt;"",C277-#REF!/COUNT($B$17:$B$510),"")</f>
        <v>#REF!</v>
      </c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</row>
    <row r="279" spans="1:14" ht="19.5" x14ac:dyDescent="0.25">
      <c r="A279" s="59"/>
      <c r="B279" s="67" t="e">
        <f t="shared" si="13"/>
        <v>#REF!</v>
      </c>
      <c r="C279" s="76" t="e">
        <f>IF(B279&lt;&gt;"",C278-#REF!/COUNT($B$17:$B$510),"")</f>
        <v>#REF!</v>
      </c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</row>
    <row r="280" spans="1:14" ht="19.5" x14ac:dyDescent="0.25">
      <c r="A280" s="59"/>
      <c r="B280" s="67" t="e">
        <f t="shared" si="13"/>
        <v>#REF!</v>
      </c>
      <c r="C280" s="76" t="e">
        <f>IF(B280&lt;&gt;"",C279-#REF!/COUNT($B$17:$B$510),"")</f>
        <v>#REF!</v>
      </c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</row>
    <row r="281" spans="1:14" ht="19.5" x14ac:dyDescent="0.25">
      <c r="A281" s="59"/>
      <c r="B281" s="67" t="e">
        <f t="shared" si="13"/>
        <v>#REF!</v>
      </c>
      <c r="C281" s="76" t="e">
        <f>IF(B281&lt;&gt;"",C280-#REF!/COUNT($B$17:$B$510),"")</f>
        <v>#REF!</v>
      </c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</row>
    <row r="282" spans="1:14" ht="19.5" x14ac:dyDescent="0.25">
      <c r="A282" s="59"/>
      <c r="B282" s="67" t="e">
        <f t="shared" si="13"/>
        <v>#REF!</v>
      </c>
      <c r="C282" s="76" t="e">
        <f>IF(B282&lt;&gt;"",C281-#REF!/COUNT($B$17:$B$510),"")</f>
        <v>#REF!</v>
      </c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</row>
    <row r="283" spans="1:14" ht="19.5" x14ac:dyDescent="0.25">
      <c r="A283" s="59"/>
      <c r="B283" s="67" t="e">
        <f t="shared" si="13"/>
        <v>#REF!</v>
      </c>
      <c r="C283" s="76" t="e">
        <f>IF(B283&lt;&gt;"",C282-#REF!/COUNT($B$17:$B$510),"")</f>
        <v>#REF!</v>
      </c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</row>
    <row r="284" spans="1:14" ht="19.5" x14ac:dyDescent="0.25">
      <c r="A284" s="59"/>
      <c r="B284" s="67" t="e">
        <f t="shared" si="13"/>
        <v>#REF!</v>
      </c>
      <c r="C284" s="76" t="e">
        <f>IF(B284&lt;&gt;"",C283-#REF!/COUNT($B$17:$B$510),"")</f>
        <v>#REF!</v>
      </c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</row>
    <row r="285" spans="1:14" ht="19.5" x14ac:dyDescent="0.25">
      <c r="A285" s="59"/>
      <c r="B285" s="67" t="e">
        <f t="shared" ref="B285:B348" si="14">IF(B284="","",IF(B284+$C$9&lt;=$C$5,B284+$C$9,""))</f>
        <v>#REF!</v>
      </c>
      <c r="C285" s="76" t="e">
        <f>IF(B285&lt;&gt;"",C284-#REF!/COUNT($B$17:$B$510),"")</f>
        <v>#REF!</v>
      </c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</row>
    <row r="286" spans="1:14" ht="19.5" x14ac:dyDescent="0.25">
      <c r="A286" s="59"/>
      <c r="B286" s="67" t="e">
        <f t="shared" si="14"/>
        <v>#REF!</v>
      </c>
      <c r="C286" s="76" t="e">
        <f>IF(B286&lt;&gt;"",C285-#REF!/COUNT($B$17:$B$510),"")</f>
        <v>#REF!</v>
      </c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</row>
    <row r="287" spans="1:14" ht="19.5" x14ac:dyDescent="0.25">
      <c r="A287" s="59"/>
      <c r="B287" s="67" t="e">
        <f t="shared" si="14"/>
        <v>#REF!</v>
      </c>
      <c r="C287" s="76" t="e">
        <f>IF(B287&lt;&gt;"",C286-#REF!/COUNT($B$17:$B$510),"")</f>
        <v>#REF!</v>
      </c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</row>
    <row r="288" spans="1:14" ht="19.5" x14ac:dyDescent="0.25">
      <c r="A288" s="59"/>
      <c r="B288" s="67" t="e">
        <f t="shared" si="14"/>
        <v>#REF!</v>
      </c>
      <c r="C288" s="76" t="e">
        <f>IF(B288&lt;&gt;"",C287-#REF!/COUNT($B$17:$B$510),"")</f>
        <v>#REF!</v>
      </c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</row>
    <row r="289" spans="1:14" ht="19.5" x14ac:dyDescent="0.25">
      <c r="A289" s="59"/>
      <c r="B289" s="67" t="e">
        <f t="shared" si="14"/>
        <v>#REF!</v>
      </c>
      <c r="C289" s="76" t="e">
        <f>IF(B289&lt;&gt;"",C288-#REF!/COUNT($B$17:$B$510),"")</f>
        <v>#REF!</v>
      </c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</row>
    <row r="290" spans="1:14" ht="19.5" x14ac:dyDescent="0.25">
      <c r="A290" s="59"/>
      <c r="B290" s="67" t="e">
        <f t="shared" si="14"/>
        <v>#REF!</v>
      </c>
      <c r="C290" s="76" t="e">
        <f>IF(B290&lt;&gt;"",C289-#REF!/COUNT($B$17:$B$510),"")</f>
        <v>#REF!</v>
      </c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</row>
    <row r="291" spans="1:14" ht="19.5" x14ac:dyDescent="0.25">
      <c r="A291" s="59"/>
      <c r="B291" s="67" t="e">
        <f t="shared" si="14"/>
        <v>#REF!</v>
      </c>
      <c r="C291" s="76" t="e">
        <f>IF(B291&lt;&gt;"",C290-#REF!/COUNT($B$17:$B$510),"")</f>
        <v>#REF!</v>
      </c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</row>
    <row r="292" spans="1:14" ht="19.5" x14ac:dyDescent="0.25">
      <c r="A292" s="59"/>
      <c r="B292" s="67" t="e">
        <f t="shared" si="14"/>
        <v>#REF!</v>
      </c>
      <c r="C292" s="76" t="e">
        <f>IF(B292&lt;&gt;"",C291-#REF!/COUNT($B$17:$B$510),"")</f>
        <v>#REF!</v>
      </c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</row>
    <row r="293" spans="1:14" ht="19.5" x14ac:dyDescent="0.25">
      <c r="A293" s="59"/>
      <c r="B293" s="67" t="e">
        <f t="shared" si="14"/>
        <v>#REF!</v>
      </c>
      <c r="C293" s="76" t="e">
        <f>IF(B293&lt;&gt;"",C292-#REF!/COUNT($B$17:$B$510),"")</f>
        <v>#REF!</v>
      </c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</row>
    <row r="294" spans="1:14" ht="19.5" x14ac:dyDescent="0.25">
      <c r="A294" s="59"/>
      <c r="B294" s="67" t="e">
        <f t="shared" si="14"/>
        <v>#REF!</v>
      </c>
      <c r="C294" s="76" t="e">
        <f>IF(B294&lt;&gt;"",C293-#REF!/COUNT($B$17:$B$510),"")</f>
        <v>#REF!</v>
      </c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</row>
    <row r="295" spans="1:14" ht="19.5" x14ac:dyDescent="0.25">
      <c r="A295" s="59"/>
      <c r="B295" s="67" t="e">
        <f t="shared" si="14"/>
        <v>#REF!</v>
      </c>
      <c r="C295" s="76" t="e">
        <f>IF(B295&lt;&gt;"",C294-#REF!/COUNT($B$17:$B$510),"")</f>
        <v>#REF!</v>
      </c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</row>
    <row r="296" spans="1:14" ht="19.5" x14ac:dyDescent="0.25">
      <c r="A296" s="59"/>
      <c r="B296" s="67" t="e">
        <f t="shared" si="14"/>
        <v>#REF!</v>
      </c>
      <c r="C296" s="76" t="e">
        <f>IF(B296&lt;&gt;"",C295-#REF!/COUNT($B$17:$B$510),"")</f>
        <v>#REF!</v>
      </c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</row>
    <row r="297" spans="1:14" ht="19.5" x14ac:dyDescent="0.25">
      <c r="A297" s="59"/>
      <c r="B297" s="67" t="e">
        <f t="shared" si="14"/>
        <v>#REF!</v>
      </c>
      <c r="C297" s="76" t="e">
        <f>IF(B297&lt;&gt;"",C296-#REF!/COUNT($B$17:$B$510),"")</f>
        <v>#REF!</v>
      </c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</row>
    <row r="298" spans="1:14" ht="19.5" x14ac:dyDescent="0.25">
      <c r="A298" s="59"/>
      <c r="B298" s="67" t="e">
        <f t="shared" si="14"/>
        <v>#REF!</v>
      </c>
      <c r="C298" s="76" t="e">
        <f>IF(B298&lt;&gt;"",C297-#REF!/COUNT($B$17:$B$510),"")</f>
        <v>#REF!</v>
      </c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</row>
    <row r="299" spans="1:14" ht="19.5" x14ac:dyDescent="0.25">
      <c r="A299" s="59"/>
      <c r="B299" s="67" t="e">
        <f t="shared" si="14"/>
        <v>#REF!</v>
      </c>
      <c r="C299" s="76" t="e">
        <f>IF(B299&lt;&gt;"",C298-#REF!/COUNT($B$17:$B$510),"")</f>
        <v>#REF!</v>
      </c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</row>
    <row r="300" spans="1:14" ht="19.5" x14ac:dyDescent="0.25">
      <c r="A300" s="59"/>
      <c r="B300" s="67" t="e">
        <f t="shared" si="14"/>
        <v>#REF!</v>
      </c>
      <c r="C300" s="76" t="e">
        <f>IF(B300&lt;&gt;"",C299-#REF!/COUNT($B$17:$B$510),"")</f>
        <v>#REF!</v>
      </c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</row>
    <row r="301" spans="1:14" ht="19.5" x14ac:dyDescent="0.25">
      <c r="A301" s="59"/>
      <c r="B301" s="67" t="e">
        <f t="shared" si="14"/>
        <v>#REF!</v>
      </c>
      <c r="C301" s="76" t="e">
        <f>IF(B301&lt;&gt;"",C300-#REF!/COUNT($B$17:$B$510),"")</f>
        <v>#REF!</v>
      </c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</row>
    <row r="302" spans="1:14" ht="19.5" x14ac:dyDescent="0.25">
      <c r="A302" s="59"/>
      <c r="B302" s="67" t="e">
        <f t="shared" si="14"/>
        <v>#REF!</v>
      </c>
      <c r="C302" s="76" t="e">
        <f>IF(B302&lt;&gt;"",C301-#REF!/COUNT($B$17:$B$510),"")</f>
        <v>#REF!</v>
      </c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</row>
    <row r="303" spans="1:14" ht="19.5" x14ac:dyDescent="0.25">
      <c r="A303" s="59"/>
      <c r="B303" s="67" t="e">
        <f t="shared" si="14"/>
        <v>#REF!</v>
      </c>
      <c r="C303" s="76" t="e">
        <f>IF(B303&lt;&gt;"",C302-#REF!/COUNT($B$17:$B$510),"")</f>
        <v>#REF!</v>
      </c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</row>
    <row r="304" spans="1:14" ht="19.5" x14ac:dyDescent="0.25">
      <c r="A304" s="59"/>
      <c r="B304" s="67" t="e">
        <f t="shared" si="14"/>
        <v>#REF!</v>
      </c>
      <c r="C304" s="76" t="e">
        <f>IF(B304&lt;&gt;"",C303-#REF!/COUNT($B$17:$B$510),"")</f>
        <v>#REF!</v>
      </c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</row>
    <row r="305" spans="1:14" ht="19.5" x14ac:dyDescent="0.25">
      <c r="A305" s="59"/>
      <c r="B305" s="67" t="e">
        <f t="shared" si="14"/>
        <v>#REF!</v>
      </c>
      <c r="C305" s="76" t="e">
        <f>IF(B305&lt;&gt;"",C304-#REF!/COUNT($B$17:$B$510),"")</f>
        <v>#REF!</v>
      </c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</row>
    <row r="306" spans="1:14" ht="19.5" x14ac:dyDescent="0.25">
      <c r="A306" s="59"/>
      <c r="B306" s="67" t="e">
        <f t="shared" si="14"/>
        <v>#REF!</v>
      </c>
      <c r="C306" s="76" t="e">
        <f>IF(B306&lt;&gt;"",C305-#REF!/COUNT($B$17:$B$510),"")</f>
        <v>#REF!</v>
      </c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</row>
    <row r="307" spans="1:14" ht="19.5" x14ac:dyDescent="0.25">
      <c r="A307" s="59"/>
      <c r="B307" s="67" t="e">
        <f t="shared" si="14"/>
        <v>#REF!</v>
      </c>
      <c r="C307" s="76" t="e">
        <f>IF(B307&lt;&gt;"",C306-#REF!/COUNT($B$17:$B$510),"")</f>
        <v>#REF!</v>
      </c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</row>
    <row r="308" spans="1:14" ht="19.5" x14ac:dyDescent="0.25">
      <c r="A308" s="59"/>
      <c r="B308" s="67" t="e">
        <f t="shared" si="14"/>
        <v>#REF!</v>
      </c>
      <c r="C308" s="76" t="e">
        <f>IF(B308&lt;&gt;"",C307-#REF!/COUNT($B$17:$B$510),"")</f>
        <v>#REF!</v>
      </c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</row>
    <row r="309" spans="1:14" ht="19.5" x14ac:dyDescent="0.25">
      <c r="A309" s="59"/>
      <c r="B309" s="67" t="e">
        <f t="shared" si="14"/>
        <v>#REF!</v>
      </c>
      <c r="C309" s="76" t="e">
        <f>IF(B309&lt;&gt;"",C308-#REF!/COUNT($B$17:$B$510),"")</f>
        <v>#REF!</v>
      </c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</row>
    <row r="310" spans="1:14" ht="19.5" x14ac:dyDescent="0.25">
      <c r="A310" s="59"/>
      <c r="B310" s="67" t="e">
        <f t="shared" si="14"/>
        <v>#REF!</v>
      </c>
      <c r="C310" s="76" t="e">
        <f>IF(B310&lt;&gt;"",C309-#REF!/COUNT($B$17:$B$510),"")</f>
        <v>#REF!</v>
      </c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</row>
    <row r="311" spans="1:14" ht="19.5" x14ac:dyDescent="0.25">
      <c r="A311" s="59"/>
      <c r="B311" s="67" t="e">
        <f t="shared" si="14"/>
        <v>#REF!</v>
      </c>
      <c r="C311" s="76" t="e">
        <f>IF(B311&lt;&gt;"",C310-#REF!/COUNT($B$17:$B$510),"")</f>
        <v>#REF!</v>
      </c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</row>
    <row r="312" spans="1:14" ht="19.5" x14ac:dyDescent="0.25">
      <c r="A312" s="59"/>
      <c r="B312" s="67" t="e">
        <f t="shared" si="14"/>
        <v>#REF!</v>
      </c>
      <c r="C312" s="76" t="e">
        <f>IF(B312&lt;&gt;"",C311-#REF!/COUNT($B$17:$B$510),"")</f>
        <v>#REF!</v>
      </c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</row>
    <row r="313" spans="1:14" ht="19.5" x14ac:dyDescent="0.25">
      <c r="A313" s="59"/>
      <c r="B313" s="67" t="e">
        <f t="shared" si="14"/>
        <v>#REF!</v>
      </c>
      <c r="C313" s="76" t="e">
        <f>IF(B313&lt;&gt;"",C312-#REF!/COUNT($B$17:$B$510),"")</f>
        <v>#REF!</v>
      </c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</row>
    <row r="314" spans="1:14" ht="19.5" x14ac:dyDescent="0.25">
      <c r="A314" s="59"/>
      <c r="B314" s="67" t="e">
        <f t="shared" si="14"/>
        <v>#REF!</v>
      </c>
      <c r="C314" s="76" t="e">
        <f>IF(B314&lt;&gt;"",C313-#REF!/COUNT($B$17:$B$510),"")</f>
        <v>#REF!</v>
      </c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</row>
    <row r="315" spans="1:14" ht="19.5" x14ac:dyDescent="0.25">
      <c r="A315" s="59"/>
      <c r="B315" s="67" t="e">
        <f t="shared" si="14"/>
        <v>#REF!</v>
      </c>
      <c r="C315" s="76" t="e">
        <f>IF(B315&lt;&gt;"",C314-#REF!/COUNT($B$17:$B$510),"")</f>
        <v>#REF!</v>
      </c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</row>
    <row r="316" spans="1:14" ht="19.5" x14ac:dyDescent="0.25">
      <c r="A316" s="59"/>
      <c r="B316" s="67" t="e">
        <f t="shared" si="14"/>
        <v>#REF!</v>
      </c>
      <c r="C316" s="76" t="e">
        <f>IF(B316&lt;&gt;"",C315-#REF!/COUNT($B$17:$B$510),"")</f>
        <v>#REF!</v>
      </c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</row>
    <row r="317" spans="1:14" ht="19.5" x14ac:dyDescent="0.25">
      <c r="A317" s="59"/>
      <c r="B317" s="67" t="e">
        <f t="shared" si="14"/>
        <v>#REF!</v>
      </c>
      <c r="C317" s="76" t="e">
        <f>IF(B317&lt;&gt;"",C316-#REF!/COUNT($B$17:$B$510),"")</f>
        <v>#REF!</v>
      </c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</row>
    <row r="318" spans="1:14" ht="19.5" x14ac:dyDescent="0.25">
      <c r="A318" s="59"/>
      <c r="B318" s="67" t="e">
        <f t="shared" si="14"/>
        <v>#REF!</v>
      </c>
      <c r="C318" s="76" t="e">
        <f>IF(B318&lt;&gt;"",C317-#REF!/COUNT($B$17:$B$510),"")</f>
        <v>#REF!</v>
      </c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</row>
    <row r="319" spans="1:14" ht="19.5" x14ac:dyDescent="0.25">
      <c r="A319" s="59"/>
      <c r="B319" s="67" t="e">
        <f t="shared" si="14"/>
        <v>#REF!</v>
      </c>
      <c r="C319" s="76" t="e">
        <f>IF(B319&lt;&gt;"",C318-#REF!/COUNT($B$17:$B$510),"")</f>
        <v>#REF!</v>
      </c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</row>
    <row r="320" spans="1:14" ht="19.5" x14ac:dyDescent="0.25">
      <c r="A320" s="59"/>
      <c r="B320" s="67" t="e">
        <f t="shared" si="14"/>
        <v>#REF!</v>
      </c>
      <c r="C320" s="76" t="e">
        <f>IF(B320&lt;&gt;"",C319-#REF!/COUNT($B$17:$B$510),"")</f>
        <v>#REF!</v>
      </c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</row>
    <row r="321" spans="1:14" ht="19.5" x14ac:dyDescent="0.25">
      <c r="A321" s="59"/>
      <c r="B321" s="67" t="e">
        <f t="shared" si="14"/>
        <v>#REF!</v>
      </c>
      <c r="C321" s="76" t="e">
        <f>IF(B321&lt;&gt;"",C320-#REF!/COUNT($B$17:$B$510),"")</f>
        <v>#REF!</v>
      </c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</row>
    <row r="322" spans="1:14" ht="19.5" x14ac:dyDescent="0.25">
      <c r="A322" s="59"/>
      <c r="B322" s="67" t="e">
        <f t="shared" si="14"/>
        <v>#REF!</v>
      </c>
      <c r="C322" s="76" t="e">
        <f>IF(B322&lt;&gt;"",C321-#REF!/COUNT($B$17:$B$510),"")</f>
        <v>#REF!</v>
      </c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</row>
    <row r="323" spans="1:14" ht="19.5" x14ac:dyDescent="0.25">
      <c r="A323" s="59"/>
      <c r="B323" s="67" t="e">
        <f t="shared" si="14"/>
        <v>#REF!</v>
      </c>
      <c r="C323" s="76" t="e">
        <f>IF(B323&lt;&gt;"",C322-#REF!/COUNT($B$17:$B$510),"")</f>
        <v>#REF!</v>
      </c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</row>
    <row r="324" spans="1:14" ht="19.5" x14ac:dyDescent="0.25">
      <c r="A324" s="59"/>
      <c r="B324" s="67" t="e">
        <f t="shared" si="14"/>
        <v>#REF!</v>
      </c>
      <c r="C324" s="76" t="e">
        <f>IF(B324&lt;&gt;"",C323-#REF!/COUNT($B$17:$B$510),"")</f>
        <v>#REF!</v>
      </c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</row>
    <row r="325" spans="1:14" ht="19.5" x14ac:dyDescent="0.25">
      <c r="A325" s="59"/>
      <c r="B325" s="67" t="e">
        <f t="shared" si="14"/>
        <v>#REF!</v>
      </c>
      <c r="C325" s="76" t="e">
        <f>IF(B325&lt;&gt;"",C324-#REF!/COUNT($B$17:$B$510),"")</f>
        <v>#REF!</v>
      </c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</row>
    <row r="326" spans="1:14" ht="19.5" x14ac:dyDescent="0.25">
      <c r="A326" s="59"/>
      <c r="B326" s="67" t="e">
        <f t="shared" si="14"/>
        <v>#REF!</v>
      </c>
      <c r="C326" s="76" t="e">
        <f>IF(B326&lt;&gt;"",C325-#REF!/COUNT($B$17:$B$510),"")</f>
        <v>#REF!</v>
      </c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</row>
    <row r="327" spans="1:14" ht="19.5" x14ac:dyDescent="0.25">
      <c r="A327" s="59"/>
      <c r="B327" s="67" t="e">
        <f t="shared" si="14"/>
        <v>#REF!</v>
      </c>
      <c r="C327" s="76" t="e">
        <f>IF(B327&lt;&gt;"",C326-#REF!/COUNT($B$17:$B$510),"")</f>
        <v>#REF!</v>
      </c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</row>
    <row r="328" spans="1:14" ht="19.5" x14ac:dyDescent="0.25">
      <c r="A328" s="59"/>
      <c r="B328" s="67" t="e">
        <f t="shared" si="14"/>
        <v>#REF!</v>
      </c>
      <c r="C328" s="76" t="e">
        <f>IF(B328&lt;&gt;"",C327-#REF!/COUNT($B$17:$B$510),"")</f>
        <v>#REF!</v>
      </c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</row>
    <row r="329" spans="1:14" ht="19.5" x14ac:dyDescent="0.25">
      <c r="A329" s="59"/>
      <c r="B329" s="67" t="e">
        <f t="shared" si="14"/>
        <v>#REF!</v>
      </c>
      <c r="C329" s="76" t="e">
        <f>IF(B329&lt;&gt;"",C328-#REF!/COUNT($B$17:$B$510),"")</f>
        <v>#REF!</v>
      </c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</row>
    <row r="330" spans="1:14" ht="19.5" x14ac:dyDescent="0.25">
      <c r="A330" s="59"/>
      <c r="B330" s="67" t="e">
        <f t="shared" si="14"/>
        <v>#REF!</v>
      </c>
      <c r="C330" s="76" t="e">
        <f>IF(B330&lt;&gt;"",C329-#REF!/COUNT($B$17:$B$510),"")</f>
        <v>#REF!</v>
      </c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</row>
    <row r="331" spans="1:14" ht="19.5" x14ac:dyDescent="0.25">
      <c r="A331" s="59"/>
      <c r="B331" s="67" t="e">
        <f t="shared" si="14"/>
        <v>#REF!</v>
      </c>
      <c r="C331" s="76" t="e">
        <f>IF(B331&lt;&gt;"",C330-#REF!/COUNT($B$17:$B$510),"")</f>
        <v>#REF!</v>
      </c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</row>
    <row r="332" spans="1:14" ht="19.5" x14ac:dyDescent="0.25">
      <c r="A332" s="59"/>
      <c r="B332" s="67" t="e">
        <f t="shared" si="14"/>
        <v>#REF!</v>
      </c>
      <c r="C332" s="76" t="e">
        <f>IF(B332&lt;&gt;"",C331-#REF!/COUNT($B$17:$B$510),"")</f>
        <v>#REF!</v>
      </c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</row>
    <row r="333" spans="1:14" ht="19.5" x14ac:dyDescent="0.25">
      <c r="A333" s="59"/>
      <c r="B333" s="67" t="e">
        <f t="shared" si="14"/>
        <v>#REF!</v>
      </c>
      <c r="C333" s="76" t="e">
        <f>IF(B333&lt;&gt;"",C332-#REF!/COUNT($B$17:$B$510),"")</f>
        <v>#REF!</v>
      </c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</row>
    <row r="334" spans="1:14" ht="19.5" x14ac:dyDescent="0.25">
      <c r="A334" s="59"/>
      <c r="B334" s="67" t="e">
        <f t="shared" si="14"/>
        <v>#REF!</v>
      </c>
      <c r="C334" s="76" t="e">
        <f>IF(B334&lt;&gt;"",C333-#REF!/COUNT($B$17:$B$510),"")</f>
        <v>#REF!</v>
      </c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</row>
    <row r="335" spans="1:14" ht="19.5" x14ac:dyDescent="0.25">
      <c r="A335" s="59"/>
      <c r="B335" s="67" t="e">
        <f t="shared" si="14"/>
        <v>#REF!</v>
      </c>
      <c r="C335" s="76" t="e">
        <f>IF(B335&lt;&gt;"",C334-#REF!/COUNT($B$17:$B$510),"")</f>
        <v>#REF!</v>
      </c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</row>
    <row r="336" spans="1:14" ht="19.5" x14ac:dyDescent="0.25">
      <c r="A336" s="59"/>
      <c r="B336" s="67" t="e">
        <f t="shared" si="14"/>
        <v>#REF!</v>
      </c>
      <c r="C336" s="76" t="e">
        <f>IF(B336&lt;&gt;"",C335-#REF!/COUNT($B$17:$B$510),"")</f>
        <v>#REF!</v>
      </c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</row>
    <row r="337" spans="1:14" ht="19.5" x14ac:dyDescent="0.25">
      <c r="A337" s="59"/>
      <c r="B337" s="67" t="e">
        <f t="shared" si="14"/>
        <v>#REF!</v>
      </c>
      <c r="C337" s="76" t="e">
        <f>IF(B337&lt;&gt;"",C336-#REF!/COUNT($B$17:$B$510),"")</f>
        <v>#REF!</v>
      </c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</row>
    <row r="338" spans="1:14" ht="19.5" x14ac:dyDescent="0.25">
      <c r="A338" s="59"/>
      <c r="B338" s="67" t="e">
        <f t="shared" si="14"/>
        <v>#REF!</v>
      </c>
      <c r="C338" s="76" t="e">
        <f>IF(B338&lt;&gt;"",C337-#REF!/COUNT($B$17:$B$510),"")</f>
        <v>#REF!</v>
      </c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</row>
    <row r="339" spans="1:14" ht="19.5" x14ac:dyDescent="0.25">
      <c r="A339" s="59"/>
      <c r="B339" s="67" t="e">
        <f t="shared" si="14"/>
        <v>#REF!</v>
      </c>
      <c r="C339" s="76" t="e">
        <f>IF(B339&lt;&gt;"",C338-#REF!/COUNT($B$17:$B$510),"")</f>
        <v>#REF!</v>
      </c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</row>
    <row r="340" spans="1:14" ht="19.5" x14ac:dyDescent="0.25">
      <c r="A340" s="59"/>
      <c r="B340" s="67" t="e">
        <f t="shared" si="14"/>
        <v>#REF!</v>
      </c>
      <c r="C340" s="76" t="e">
        <f>IF(B340&lt;&gt;"",C339-#REF!/COUNT($B$17:$B$510),"")</f>
        <v>#REF!</v>
      </c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</row>
    <row r="341" spans="1:14" ht="19.5" x14ac:dyDescent="0.25">
      <c r="A341" s="59"/>
      <c r="B341" s="67" t="e">
        <f t="shared" si="14"/>
        <v>#REF!</v>
      </c>
      <c r="C341" s="76" t="e">
        <f>IF(B341&lt;&gt;"",C340-#REF!/COUNT($B$17:$B$510),"")</f>
        <v>#REF!</v>
      </c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</row>
    <row r="342" spans="1:14" ht="19.5" x14ac:dyDescent="0.25">
      <c r="A342" s="59"/>
      <c r="B342" s="67" t="e">
        <f t="shared" si="14"/>
        <v>#REF!</v>
      </c>
      <c r="C342" s="76" t="e">
        <f>IF(B342&lt;&gt;"",C341-#REF!/COUNT($B$17:$B$510),"")</f>
        <v>#REF!</v>
      </c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</row>
    <row r="343" spans="1:14" ht="19.5" x14ac:dyDescent="0.25">
      <c r="A343" s="59"/>
      <c r="B343" s="67" t="e">
        <f t="shared" si="14"/>
        <v>#REF!</v>
      </c>
      <c r="C343" s="76" t="e">
        <f>IF(B343&lt;&gt;"",C342-#REF!/COUNT($B$17:$B$510),"")</f>
        <v>#REF!</v>
      </c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</row>
    <row r="344" spans="1:14" ht="19.5" x14ac:dyDescent="0.25">
      <c r="A344" s="59"/>
      <c r="B344" s="67" t="e">
        <f t="shared" si="14"/>
        <v>#REF!</v>
      </c>
      <c r="C344" s="76" t="e">
        <f>IF(B344&lt;&gt;"",C343-#REF!/COUNT($B$17:$B$510),"")</f>
        <v>#REF!</v>
      </c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</row>
    <row r="345" spans="1:14" ht="19.5" x14ac:dyDescent="0.25">
      <c r="A345" s="59"/>
      <c r="B345" s="67" t="e">
        <f t="shared" si="14"/>
        <v>#REF!</v>
      </c>
      <c r="C345" s="76" t="e">
        <f>IF(B345&lt;&gt;"",C344-#REF!/COUNT($B$17:$B$510),"")</f>
        <v>#REF!</v>
      </c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</row>
    <row r="346" spans="1:14" ht="19.5" x14ac:dyDescent="0.25">
      <c r="A346" s="59"/>
      <c r="B346" s="67" t="e">
        <f t="shared" si="14"/>
        <v>#REF!</v>
      </c>
      <c r="C346" s="76" t="e">
        <f>IF(B346&lt;&gt;"",C345-#REF!/COUNT($B$17:$B$510),"")</f>
        <v>#REF!</v>
      </c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</row>
    <row r="347" spans="1:14" ht="19.5" x14ac:dyDescent="0.25">
      <c r="A347" s="59"/>
      <c r="B347" s="67" t="e">
        <f t="shared" si="14"/>
        <v>#REF!</v>
      </c>
      <c r="C347" s="76" t="e">
        <f>IF(B347&lt;&gt;"",C346-#REF!/COUNT($B$17:$B$510),"")</f>
        <v>#REF!</v>
      </c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</row>
    <row r="348" spans="1:14" ht="19.5" x14ac:dyDescent="0.25">
      <c r="A348" s="59"/>
      <c r="B348" s="67" t="e">
        <f t="shared" si="14"/>
        <v>#REF!</v>
      </c>
      <c r="C348" s="76" t="e">
        <f>IF(B348&lt;&gt;"",C347-#REF!/COUNT($B$17:$B$510),"")</f>
        <v>#REF!</v>
      </c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</row>
    <row r="349" spans="1:14" ht="19.5" x14ac:dyDescent="0.25">
      <c r="A349" s="59"/>
      <c r="B349" s="67" t="e">
        <f t="shared" ref="B349:B412" si="15">IF(B348="","",IF(B348+$C$9&lt;=$C$5,B348+$C$9,""))</f>
        <v>#REF!</v>
      </c>
      <c r="C349" s="76" t="e">
        <f>IF(B349&lt;&gt;"",C348-#REF!/COUNT($B$17:$B$510),"")</f>
        <v>#REF!</v>
      </c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</row>
    <row r="350" spans="1:14" ht="19.5" x14ac:dyDescent="0.25">
      <c r="A350" s="59"/>
      <c r="B350" s="67" t="e">
        <f t="shared" si="15"/>
        <v>#REF!</v>
      </c>
      <c r="C350" s="76" t="e">
        <f>IF(B350&lt;&gt;"",C349-#REF!/COUNT($B$17:$B$510),"")</f>
        <v>#REF!</v>
      </c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</row>
    <row r="351" spans="1:14" ht="19.5" x14ac:dyDescent="0.25">
      <c r="A351" s="59"/>
      <c r="B351" s="67" t="e">
        <f t="shared" si="15"/>
        <v>#REF!</v>
      </c>
      <c r="C351" s="76" t="e">
        <f>IF(B351&lt;&gt;"",C350-#REF!/COUNT($B$17:$B$510),"")</f>
        <v>#REF!</v>
      </c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</row>
    <row r="352" spans="1:14" ht="19.5" x14ac:dyDescent="0.25">
      <c r="A352" s="59"/>
      <c r="B352" s="67" t="e">
        <f t="shared" si="15"/>
        <v>#REF!</v>
      </c>
      <c r="C352" s="76" t="e">
        <f>IF(B352&lt;&gt;"",C351-#REF!/COUNT($B$17:$B$510),"")</f>
        <v>#REF!</v>
      </c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</row>
    <row r="353" spans="1:14" ht="19.5" x14ac:dyDescent="0.25">
      <c r="A353" s="59"/>
      <c r="B353" s="67" t="e">
        <f t="shared" si="15"/>
        <v>#REF!</v>
      </c>
      <c r="C353" s="76" t="e">
        <f>IF(B353&lt;&gt;"",C352-#REF!/COUNT($B$17:$B$510),"")</f>
        <v>#REF!</v>
      </c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</row>
    <row r="354" spans="1:14" ht="19.5" x14ac:dyDescent="0.25">
      <c r="A354" s="59"/>
      <c r="B354" s="67" t="e">
        <f t="shared" si="15"/>
        <v>#REF!</v>
      </c>
      <c r="C354" s="76" t="e">
        <f>IF(B354&lt;&gt;"",C353-#REF!/COUNT($B$17:$B$510),"")</f>
        <v>#REF!</v>
      </c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</row>
    <row r="355" spans="1:14" ht="19.5" x14ac:dyDescent="0.25">
      <c r="A355" s="59"/>
      <c r="B355" s="67" t="e">
        <f t="shared" si="15"/>
        <v>#REF!</v>
      </c>
      <c r="C355" s="76" t="e">
        <f>IF(B355&lt;&gt;"",C354-#REF!/COUNT($B$17:$B$510),"")</f>
        <v>#REF!</v>
      </c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</row>
    <row r="356" spans="1:14" ht="19.5" x14ac:dyDescent="0.25">
      <c r="A356" s="59"/>
      <c r="B356" s="67" t="e">
        <f t="shared" si="15"/>
        <v>#REF!</v>
      </c>
      <c r="C356" s="76" t="e">
        <f>IF(B356&lt;&gt;"",C355-#REF!/COUNT($B$17:$B$510),"")</f>
        <v>#REF!</v>
      </c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</row>
    <row r="357" spans="1:14" ht="19.5" x14ac:dyDescent="0.25">
      <c r="A357" s="59"/>
      <c r="B357" s="67" t="e">
        <f t="shared" si="15"/>
        <v>#REF!</v>
      </c>
      <c r="C357" s="76" t="e">
        <f>IF(B357&lt;&gt;"",C356-#REF!/COUNT($B$17:$B$510),"")</f>
        <v>#REF!</v>
      </c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</row>
    <row r="358" spans="1:14" ht="19.5" x14ac:dyDescent="0.25">
      <c r="A358" s="59"/>
      <c r="B358" s="67" t="e">
        <f t="shared" si="15"/>
        <v>#REF!</v>
      </c>
      <c r="C358" s="76" t="e">
        <f>IF(B358&lt;&gt;"",C357-#REF!/COUNT($B$17:$B$510),"")</f>
        <v>#REF!</v>
      </c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</row>
    <row r="359" spans="1:14" ht="19.5" x14ac:dyDescent="0.25">
      <c r="A359" s="59"/>
      <c r="B359" s="67" t="e">
        <f t="shared" si="15"/>
        <v>#REF!</v>
      </c>
      <c r="C359" s="76" t="e">
        <f>IF(B359&lt;&gt;"",C358-#REF!/COUNT($B$17:$B$510),"")</f>
        <v>#REF!</v>
      </c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</row>
    <row r="360" spans="1:14" ht="19.5" x14ac:dyDescent="0.25">
      <c r="A360" s="59"/>
      <c r="B360" s="67" t="e">
        <f t="shared" si="15"/>
        <v>#REF!</v>
      </c>
      <c r="C360" s="76" t="e">
        <f>IF(B360&lt;&gt;"",C359-#REF!/COUNT($B$17:$B$510),"")</f>
        <v>#REF!</v>
      </c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</row>
    <row r="361" spans="1:14" ht="19.5" x14ac:dyDescent="0.25">
      <c r="A361" s="59"/>
      <c r="B361" s="67" t="e">
        <f t="shared" si="15"/>
        <v>#REF!</v>
      </c>
      <c r="C361" s="76" t="e">
        <f>IF(B361&lt;&gt;"",C360-#REF!/COUNT($B$17:$B$510),"")</f>
        <v>#REF!</v>
      </c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</row>
    <row r="362" spans="1:14" ht="19.5" x14ac:dyDescent="0.25">
      <c r="A362" s="59"/>
      <c r="B362" s="67" t="e">
        <f t="shared" si="15"/>
        <v>#REF!</v>
      </c>
      <c r="C362" s="76" t="e">
        <f>IF(B362&lt;&gt;"",C361-#REF!/COUNT($B$17:$B$510),"")</f>
        <v>#REF!</v>
      </c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</row>
    <row r="363" spans="1:14" ht="19.5" x14ac:dyDescent="0.25">
      <c r="A363" s="59"/>
      <c r="B363" s="67" t="e">
        <f t="shared" si="15"/>
        <v>#REF!</v>
      </c>
      <c r="C363" s="76" t="e">
        <f>IF(B363&lt;&gt;"",C362-#REF!/COUNT($B$17:$B$510),"")</f>
        <v>#REF!</v>
      </c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</row>
    <row r="364" spans="1:14" ht="19.5" x14ac:dyDescent="0.25">
      <c r="A364" s="59"/>
      <c r="B364" s="67" t="e">
        <f t="shared" si="15"/>
        <v>#REF!</v>
      </c>
      <c r="C364" s="76" t="e">
        <f>IF(B364&lt;&gt;"",C363-#REF!/COUNT($B$17:$B$510),"")</f>
        <v>#REF!</v>
      </c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</row>
    <row r="365" spans="1:14" ht="19.5" x14ac:dyDescent="0.25">
      <c r="A365" s="59"/>
      <c r="B365" s="67" t="e">
        <f t="shared" si="15"/>
        <v>#REF!</v>
      </c>
      <c r="C365" s="76" t="e">
        <f>IF(B365&lt;&gt;"",C364-#REF!/COUNT($B$17:$B$510),"")</f>
        <v>#REF!</v>
      </c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</row>
    <row r="366" spans="1:14" ht="19.5" x14ac:dyDescent="0.25">
      <c r="A366" s="59"/>
      <c r="B366" s="67" t="e">
        <f t="shared" si="15"/>
        <v>#REF!</v>
      </c>
      <c r="C366" s="76" t="e">
        <f>IF(B366&lt;&gt;"",C365-#REF!/COUNT($B$17:$B$510),"")</f>
        <v>#REF!</v>
      </c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</row>
    <row r="367" spans="1:14" ht="19.5" x14ac:dyDescent="0.25">
      <c r="A367" s="59"/>
      <c r="B367" s="67" t="e">
        <f t="shared" si="15"/>
        <v>#REF!</v>
      </c>
      <c r="C367" s="76" t="e">
        <f>IF(B367&lt;&gt;"",C366-#REF!/COUNT($B$17:$B$510),"")</f>
        <v>#REF!</v>
      </c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</row>
    <row r="368" spans="1:14" ht="19.5" x14ac:dyDescent="0.25">
      <c r="A368" s="59"/>
      <c r="B368" s="67" t="e">
        <f t="shared" si="15"/>
        <v>#REF!</v>
      </c>
      <c r="C368" s="76" t="e">
        <f>IF(B368&lt;&gt;"",C367-#REF!/COUNT($B$17:$B$510),"")</f>
        <v>#REF!</v>
      </c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</row>
    <row r="369" spans="1:14" ht="19.5" x14ac:dyDescent="0.25">
      <c r="A369" s="59"/>
      <c r="B369" s="67" t="e">
        <f t="shared" si="15"/>
        <v>#REF!</v>
      </c>
      <c r="C369" s="76" t="e">
        <f>IF(B369&lt;&gt;"",C368-#REF!/COUNT($B$17:$B$510),"")</f>
        <v>#REF!</v>
      </c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</row>
    <row r="370" spans="1:14" ht="19.5" x14ac:dyDescent="0.25">
      <c r="A370" s="59"/>
      <c r="B370" s="67" t="e">
        <f t="shared" si="15"/>
        <v>#REF!</v>
      </c>
      <c r="C370" s="76" t="e">
        <f>IF(B370&lt;&gt;"",C369-#REF!/COUNT($B$17:$B$510),"")</f>
        <v>#REF!</v>
      </c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</row>
    <row r="371" spans="1:14" ht="19.5" x14ac:dyDescent="0.25">
      <c r="A371" s="59"/>
      <c r="B371" s="67" t="e">
        <f t="shared" si="15"/>
        <v>#REF!</v>
      </c>
      <c r="C371" s="76" t="e">
        <f>IF(B371&lt;&gt;"",C370-#REF!/COUNT($B$17:$B$510),"")</f>
        <v>#REF!</v>
      </c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</row>
    <row r="372" spans="1:14" ht="19.5" x14ac:dyDescent="0.25">
      <c r="A372" s="59"/>
      <c r="B372" s="67" t="e">
        <f t="shared" si="15"/>
        <v>#REF!</v>
      </c>
      <c r="C372" s="76" t="e">
        <f>IF(B372&lt;&gt;"",C371-#REF!/COUNT($B$17:$B$510),"")</f>
        <v>#REF!</v>
      </c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</row>
    <row r="373" spans="1:14" ht="19.5" x14ac:dyDescent="0.25">
      <c r="A373" s="59"/>
      <c r="B373" s="67" t="e">
        <f t="shared" si="15"/>
        <v>#REF!</v>
      </c>
      <c r="C373" s="76" t="e">
        <f>IF(B373&lt;&gt;"",C372-#REF!/COUNT($B$17:$B$510),"")</f>
        <v>#REF!</v>
      </c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</row>
    <row r="374" spans="1:14" ht="19.5" x14ac:dyDescent="0.25">
      <c r="A374" s="59"/>
      <c r="B374" s="67" t="e">
        <f t="shared" si="15"/>
        <v>#REF!</v>
      </c>
      <c r="C374" s="76" t="e">
        <f>IF(B374&lt;&gt;"",C373-#REF!/COUNT($B$17:$B$510),"")</f>
        <v>#REF!</v>
      </c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</row>
    <row r="375" spans="1:14" ht="19.5" x14ac:dyDescent="0.25">
      <c r="A375" s="59"/>
      <c r="B375" s="67" t="e">
        <f t="shared" si="15"/>
        <v>#REF!</v>
      </c>
      <c r="C375" s="76" t="e">
        <f>IF(B375&lt;&gt;"",C374-#REF!/COUNT($B$17:$B$510),"")</f>
        <v>#REF!</v>
      </c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</row>
    <row r="376" spans="1:14" ht="19.5" x14ac:dyDescent="0.25">
      <c r="A376" s="59"/>
      <c r="B376" s="67" t="e">
        <f t="shared" si="15"/>
        <v>#REF!</v>
      </c>
      <c r="C376" s="76" t="e">
        <f>IF(B376&lt;&gt;"",C375-#REF!/COUNT($B$17:$B$510),"")</f>
        <v>#REF!</v>
      </c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</row>
    <row r="377" spans="1:14" ht="19.5" x14ac:dyDescent="0.25">
      <c r="A377" s="59"/>
      <c r="B377" s="67" t="e">
        <f t="shared" si="15"/>
        <v>#REF!</v>
      </c>
      <c r="C377" s="76" t="e">
        <f>IF(B377&lt;&gt;"",C376-#REF!/COUNT($B$17:$B$510),"")</f>
        <v>#REF!</v>
      </c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</row>
    <row r="378" spans="1:14" ht="19.5" x14ac:dyDescent="0.25">
      <c r="A378" s="59"/>
      <c r="B378" s="67" t="e">
        <f t="shared" si="15"/>
        <v>#REF!</v>
      </c>
      <c r="C378" s="76" t="e">
        <f>IF(B378&lt;&gt;"",C377-#REF!/COUNT($B$17:$B$510),"")</f>
        <v>#REF!</v>
      </c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</row>
    <row r="379" spans="1:14" ht="19.5" x14ac:dyDescent="0.25">
      <c r="A379" s="59"/>
      <c r="B379" s="67" t="e">
        <f t="shared" si="15"/>
        <v>#REF!</v>
      </c>
      <c r="C379" s="76" t="e">
        <f>IF(B379&lt;&gt;"",C378-#REF!/COUNT($B$17:$B$510),"")</f>
        <v>#REF!</v>
      </c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</row>
    <row r="380" spans="1:14" ht="19.5" x14ac:dyDescent="0.25">
      <c r="A380" s="59"/>
      <c r="B380" s="67" t="e">
        <f t="shared" si="15"/>
        <v>#REF!</v>
      </c>
      <c r="C380" s="76" t="e">
        <f>IF(B380&lt;&gt;"",C379-#REF!/COUNT($B$17:$B$510),"")</f>
        <v>#REF!</v>
      </c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</row>
    <row r="381" spans="1:14" ht="19.5" x14ac:dyDescent="0.25">
      <c r="A381" s="59"/>
      <c r="B381" s="67" t="e">
        <f t="shared" si="15"/>
        <v>#REF!</v>
      </c>
      <c r="C381" s="76" t="e">
        <f>IF(B381&lt;&gt;"",C380-#REF!/COUNT($B$17:$B$510),"")</f>
        <v>#REF!</v>
      </c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</row>
    <row r="382" spans="1:14" ht="19.5" x14ac:dyDescent="0.25">
      <c r="A382" s="59"/>
      <c r="B382" s="67" t="e">
        <f t="shared" si="15"/>
        <v>#REF!</v>
      </c>
      <c r="C382" s="76" t="e">
        <f>IF(B382&lt;&gt;"",C381-#REF!/COUNT($B$17:$B$510),"")</f>
        <v>#REF!</v>
      </c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</row>
    <row r="383" spans="1:14" ht="19.5" x14ac:dyDescent="0.25">
      <c r="A383" s="59"/>
      <c r="B383" s="67" t="e">
        <f t="shared" si="15"/>
        <v>#REF!</v>
      </c>
      <c r="C383" s="76" t="e">
        <f>IF(B383&lt;&gt;"",C382-#REF!/COUNT($B$17:$B$510),"")</f>
        <v>#REF!</v>
      </c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</row>
    <row r="384" spans="1:14" ht="19.5" x14ac:dyDescent="0.25">
      <c r="A384" s="59"/>
      <c r="B384" s="67" t="e">
        <f t="shared" si="15"/>
        <v>#REF!</v>
      </c>
      <c r="C384" s="76" t="e">
        <f>IF(B384&lt;&gt;"",C383-#REF!/COUNT($B$17:$B$510),"")</f>
        <v>#REF!</v>
      </c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</row>
    <row r="385" spans="1:14" ht="19.5" x14ac:dyDescent="0.25">
      <c r="A385" s="59"/>
      <c r="B385" s="67" t="e">
        <f t="shared" si="15"/>
        <v>#REF!</v>
      </c>
      <c r="C385" s="76" t="e">
        <f>IF(B385&lt;&gt;"",C384-#REF!/COUNT($B$17:$B$510),"")</f>
        <v>#REF!</v>
      </c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</row>
    <row r="386" spans="1:14" ht="19.5" x14ac:dyDescent="0.25">
      <c r="A386" s="59"/>
      <c r="B386" s="67" t="e">
        <f t="shared" si="15"/>
        <v>#REF!</v>
      </c>
      <c r="C386" s="76" t="e">
        <f>IF(B386&lt;&gt;"",C385-#REF!/COUNT($B$17:$B$510),"")</f>
        <v>#REF!</v>
      </c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</row>
    <row r="387" spans="1:14" ht="19.5" x14ac:dyDescent="0.25">
      <c r="A387" s="59"/>
      <c r="B387" s="67" t="e">
        <f t="shared" si="15"/>
        <v>#REF!</v>
      </c>
      <c r="C387" s="76" t="e">
        <f>IF(B387&lt;&gt;"",C386-#REF!/COUNT($B$17:$B$510),"")</f>
        <v>#REF!</v>
      </c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</row>
    <row r="388" spans="1:14" ht="19.5" x14ac:dyDescent="0.25">
      <c r="A388" s="59"/>
      <c r="B388" s="67" t="e">
        <f t="shared" si="15"/>
        <v>#REF!</v>
      </c>
      <c r="C388" s="76" t="e">
        <f>IF(B388&lt;&gt;"",C387-#REF!/COUNT($B$17:$B$510),"")</f>
        <v>#REF!</v>
      </c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</row>
    <row r="389" spans="1:14" ht="19.5" x14ac:dyDescent="0.25">
      <c r="A389" s="59"/>
      <c r="B389" s="67" t="e">
        <f t="shared" si="15"/>
        <v>#REF!</v>
      </c>
      <c r="C389" s="76" t="e">
        <f>IF(B389&lt;&gt;"",C388-#REF!/COUNT($B$17:$B$510),"")</f>
        <v>#REF!</v>
      </c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</row>
    <row r="390" spans="1:14" ht="19.5" x14ac:dyDescent="0.25">
      <c r="A390" s="59"/>
      <c r="B390" s="67" t="e">
        <f t="shared" si="15"/>
        <v>#REF!</v>
      </c>
      <c r="C390" s="76" t="e">
        <f>IF(B390&lt;&gt;"",C389-#REF!/COUNT($B$17:$B$510),"")</f>
        <v>#REF!</v>
      </c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</row>
    <row r="391" spans="1:14" ht="19.5" x14ac:dyDescent="0.25">
      <c r="A391" s="59"/>
      <c r="B391" s="67" t="e">
        <f t="shared" si="15"/>
        <v>#REF!</v>
      </c>
      <c r="C391" s="76" t="e">
        <f>IF(B391&lt;&gt;"",C390-#REF!/COUNT($B$17:$B$510),"")</f>
        <v>#REF!</v>
      </c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</row>
    <row r="392" spans="1:14" ht="19.5" x14ac:dyDescent="0.25">
      <c r="A392" s="59"/>
      <c r="B392" s="67" t="e">
        <f t="shared" si="15"/>
        <v>#REF!</v>
      </c>
      <c r="C392" s="76" t="e">
        <f>IF(B392&lt;&gt;"",C391-#REF!/COUNT($B$17:$B$510),"")</f>
        <v>#REF!</v>
      </c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</row>
    <row r="393" spans="1:14" ht="19.5" x14ac:dyDescent="0.25">
      <c r="A393" s="59"/>
      <c r="B393" s="67" t="e">
        <f t="shared" si="15"/>
        <v>#REF!</v>
      </c>
      <c r="C393" s="76" t="e">
        <f>IF(B393&lt;&gt;"",C392-#REF!/COUNT($B$17:$B$510),"")</f>
        <v>#REF!</v>
      </c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</row>
    <row r="394" spans="1:14" ht="19.5" x14ac:dyDescent="0.25">
      <c r="A394" s="59"/>
      <c r="B394" s="67" t="e">
        <f t="shared" si="15"/>
        <v>#REF!</v>
      </c>
      <c r="C394" s="76" t="e">
        <f>IF(B394&lt;&gt;"",C393-#REF!/COUNT($B$17:$B$510),"")</f>
        <v>#REF!</v>
      </c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</row>
    <row r="395" spans="1:14" ht="19.5" x14ac:dyDescent="0.25">
      <c r="A395" s="59"/>
      <c r="B395" s="67" t="e">
        <f t="shared" si="15"/>
        <v>#REF!</v>
      </c>
      <c r="C395" s="76" t="e">
        <f>IF(B395&lt;&gt;"",C394-#REF!/COUNT($B$17:$B$510),"")</f>
        <v>#REF!</v>
      </c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</row>
    <row r="396" spans="1:14" ht="19.5" x14ac:dyDescent="0.25">
      <c r="A396" s="59"/>
      <c r="B396" s="67" t="e">
        <f t="shared" si="15"/>
        <v>#REF!</v>
      </c>
      <c r="C396" s="76" t="e">
        <f>IF(B396&lt;&gt;"",C395-#REF!/COUNT($B$17:$B$510),"")</f>
        <v>#REF!</v>
      </c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</row>
    <row r="397" spans="1:14" ht="19.5" x14ac:dyDescent="0.25">
      <c r="A397" s="59"/>
      <c r="B397" s="67" t="e">
        <f t="shared" si="15"/>
        <v>#REF!</v>
      </c>
      <c r="C397" s="76" t="e">
        <f>IF(B397&lt;&gt;"",C396-#REF!/COUNT($B$17:$B$510),"")</f>
        <v>#REF!</v>
      </c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</row>
    <row r="398" spans="1:14" ht="19.5" x14ac:dyDescent="0.25">
      <c r="A398" s="59"/>
      <c r="B398" s="67" t="e">
        <f t="shared" si="15"/>
        <v>#REF!</v>
      </c>
      <c r="C398" s="76" t="e">
        <f>IF(B398&lt;&gt;"",C397-#REF!/COUNT($B$17:$B$510),"")</f>
        <v>#REF!</v>
      </c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</row>
    <row r="399" spans="1:14" ht="19.5" x14ac:dyDescent="0.25">
      <c r="A399" s="59"/>
      <c r="B399" s="67" t="e">
        <f t="shared" si="15"/>
        <v>#REF!</v>
      </c>
      <c r="C399" s="76" t="e">
        <f>IF(B399&lt;&gt;"",C398-#REF!/COUNT($B$17:$B$510),"")</f>
        <v>#REF!</v>
      </c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</row>
    <row r="400" spans="1:14" ht="19.5" x14ac:dyDescent="0.25">
      <c r="A400" s="59"/>
      <c r="B400" s="67" t="e">
        <f t="shared" si="15"/>
        <v>#REF!</v>
      </c>
      <c r="C400" s="76" t="e">
        <f>IF(B400&lt;&gt;"",C399-#REF!/COUNT($B$17:$B$510),"")</f>
        <v>#REF!</v>
      </c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</row>
    <row r="401" spans="1:14" ht="19.5" x14ac:dyDescent="0.25">
      <c r="A401" s="59"/>
      <c r="B401" s="67" t="e">
        <f t="shared" si="15"/>
        <v>#REF!</v>
      </c>
      <c r="C401" s="76" t="e">
        <f>IF(B401&lt;&gt;"",C400-#REF!/COUNT($B$17:$B$510),"")</f>
        <v>#REF!</v>
      </c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</row>
    <row r="402" spans="1:14" ht="19.5" x14ac:dyDescent="0.25">
      <c r="A402" s="59"/>
      <c r="B402" s="67" t="e">
        <f t="shared" si="15"/>
        <v>#REF!</v>
      </c>
      <c r="C402" s="76" t="e">
        <f>IF(B402&lt;&gt;"",C401-#REF!/COUNT($B$17:$B$510),"")</f>
        <v>#REF!</v>
      </c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</row>
    <row r="403" spans="1:14" ht="19.5" x14ac:dyDescent="0.25">
      <c r="A403" s="59"/>
      <c r="B403" s="67" t="e">
        <f t="shared" si="15"/>
        <v>#REF!</v>
      </c>
      <c r="C403" s="76" t="e">
        <f>IF(B403&lt;&gt;"",C402-#REF!/COUNT($B$17:$B$510),"")</f>
        <v>#REF!</v>
      </c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</row>
    <row r="404" spans="1:14" ht="19.5" x14ac:dyDescent="0.25">
      <c r="A404" s="59"/>
      <c r="B404" s="67" t="e">
        <f t="shared" si="15"/>
        <v>#REF!</v>
      </c>
      <c r="C404" s="76" t="e">
        <f>IF(B404&lt;&gt;"",C403-#REF!/COUNT($B$17:$B$510),"")</f>
        <v>#REF!</v>
      </c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</row>
    <row r="405" spans="1:14" ht="19.5" x14ac:dyDescent="0.25">
      <c r="A405" s="59"/>
      <c r="B405" s="67" t="e">
        <f t="shared" si="15"/>
        <v>#REF!</v>
      </c>
      <c r="C405" s="76" t="e">
        <f>IF(B405&lt;&gt;"",C404-#REF!/COUNT($B$17:$B$510),"")</f>
        <v>#REF!</v>
      </c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</row>
    <row r="406" spans="1:14" ht="19.5" x14ac:dyDescent="0.25">
      <c r="A406" s="59"/>
      <c r="B406" s="67" t="e">
        <f t="shared" si="15"/>
        <v>#REF!</v>
      </c>
      <c r="C406" s="76" t="e">
        <f>IF(B406&lt;&gt;"",C405-#REF!/COUNT($B$17:$B$510),"")</f>
        <v>#REF!</v>
      </c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</row>
    <row r="407" spans="1:14" ht="19.5" x14ac:dyDescent="0.25">
      <c r="A407" s="59"/>
      <c r="B407" s="67" t="e">
        <f t="shared" si="15"/>
        <v>#REF!</v>
      </c>
      <c r="C407" s="76" t="e">
        <f>IF(B407&lt;&gt;"",C406-#REF!/COUNT($B$17:$B$510),"")</f>
        <v>#REF!</v>
      </c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</row>
    <row r="408" spans="1:14" ht="19.5" x14ac:dyDescent="0.25">
      <c r="A408" s="59"/>
      <c r="B408" s="67" t="e">
        <f t="shared" si="15"/>
        <v>#REF!</v>
      </c>
      <c r="C408" s="76" t="e">
        <f>IF(B408&lt;&gt;"",C407-#REF!/COUNT($B$17:$B$510),"")</f>
        <v>#REF!</v>
      </c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</row>
    <row r="409" spans="1:14" ht="19.5" x14ac:dyDescent="0.25">
      <c r="A409" s="59"/>
      <c r="B409" s="67" t="e">
        <f t="shared" si="15"/>
        <v>#REF!</v>
      </c>
      <c r="C409" s="76" t="e">
        <f>IF(B409&lt;&gt;"",C408-#REF!/COUNT($B$17:$B$510),"")</f>
        <v>#REF!</v>
      </c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</row>
    <row r="410" spans="1:14" ht="19.5" x14ac:dyDescent="0.25">
      <c r="A410" s="59"/>
      <c r="B410" s="67" t="e">
        <f t="shared" si="15"/>
        <v>#REF!</v>
      </c>
      <c r="C410" s="76" t="e">
        <f>IF(B410&lt;&gt;"",C409-#REF!/COUNT($B$17:$B$510),"")</f>
        <v>#REF!</v>
      </c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</row>
    <row r="411" spans="1:14" ht="19.5" x14ac:dyDescent="0.25">
      <c r="A411" s="59"/>
      <c r="B411" s="67" t="e">
        <f t="shared" si="15"/>
        <v>#REF!</v>
      </c>
      <c r="C411" s="76" t="e">
        <f>IF(B411&lt;&gt;"",C410-#REF!/COUNT($B$17:$B$510),"")</f>
        <v>#REF!</v>
      </c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</row>
    <row r="412" spans="1:14" ht="19.5" x14ac:dyDescent="0.25">
      <c r="A412" s="59"/>
      <c r="B412" s="67" t="e">
        <f t="shared" si="15"/>
        <v>#REF!</v>
      </c>
      <c r="C412" s="76" t="e">
        <f>IF(B412&lt;&gt;"",C411-#REF!/COUNT($B$17:$B$510),"")</f>
        <v>#REF!</v>
      </c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</row>
    <row r="413" spans="1:14" ht="19.5" x14ac:dyDescent="0.25">
      <c r="A413" s="59"/>
      <c r="B413" s="67" t="e">
        <f t="shared" ref="B413:B476" si="16">IF(B412="","",IF(B412+$C$9&lt;=$C$5,B412+$C$9,""))</f>
        <v>#REF!</v>
      </c>
      <c r="C413" s="76" t="e">
        <f>IF(B413&lt;&gt;"",C412-#REF!/COUNT($B$17:$B$510),"")</f>
        <v>#REF!</v>
      </c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</row>
    <row r="414" spans="1:14" ht="19.5" x14ac:dyDescent="0.25">
      <c r="A414" s="59"/>
      <c r="B414" s="67" t="e">
        <f t="shared" si="16"/>
        <v>#REF!</v>
      </c>
      <c r="C414" s="76" t="e">
        <f>IF(B414&lt;&gt;"",C413-#REF!/COUNT($B$17:$B$510),"")</f>
        <v>#REF!</v>
      </c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</row>
    <row r="415" spans="1:14" ht="19.5" x14ac:dyDescent="0.25">
      <c r="A415" s="59"/>
      <c r="B415" s="67" t="e">
        <f t="shared" si="16"/>
        <v>#REF!</v>
      </c>
      <c r="C415" s="76" t="e">
        <f>IF(B415&lt;&gt;"",C414-#REF!/COUNT($B$17:$B$510),"")</f>
        <v>#REF!</v>
      </c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</row>
    <row r="416" spans="1:14" ht="19.5" x14ac:dyDescent="0.25">
      <c r="A416" s="59"/>
      <c r="B416" s="67" t="e">
        <f t="shared" si="16"/>
        <v>#REF!</v>
      </c>
      <c r="C416" s="76" t="e">
        <f>IF(B416&lt;&gt;"",C415-#REF!/COUNT($B$17:$B$510),"")</f>
        <v>#REF!</v>
      </c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</row>
    <row r="417" spans="1:14" ht="19.5" x14ac:dyDescent="0.25">
      <c r="A417" s="59"/>
      <c r="B417" s="67" t="e">
        <f t="shared" si="16"/>
        <v>#REF!</v>
      </c>
      <c r="C417" s="76" t="e">
        <f>IF(B417&lt;&gt;"",C416-#REF!/COUNT($B$17:$B$510),"")</f>
        <v>#REF!</v>
      </c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</row>
    <row r="418" spans="1:14" ht="19.5" x14ac:dyDescent="0.25">
      <c r="A418" s="59"/>
      <c r="B418" s="67" t="e">
        <f t="shared" si="16"/>
        <v>#REF!</v>
      </c>
      <c r="C418" s="76" t="e">
        <f>IF(B418&lt;&gt;"",C417-#REF!/COUNT($B$17:$B$510),"")</f>
        <v>#REF!</v>
      </c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</row>
    <row r="419" spans="1:14" ht="19.5" x14ac:dyDescent="0.25">
      <c r="A419" s="59"/>
      <c r="B419" s="67" t="e">
        <f t="shared" si="16"/>
        <v>#REF!</v>
      </c>
      <c r="C419" s="76" t="e">
        <f>IF(B419&lt;&gt;"",C418-#REF!/COUNT($B$17:$B$510),"")</f>
        <v>#REF!</v>
      </c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</row>
    <row r="420" spans="1:14" ht="19.5" x14ac:dyDescent="0.25">
      <c r="A420" s="59"/>
      <c r="B420" s="67" t="e">
        <f t="shared" si="16"/>
        <v>#REF!</v>
      </c>
      <c r="C420" s="76" t="e">
        <f>IF(B420&lt;&gt;"",C419-#REF!/COUNT($B$17:$B$510),"")</f>
        <v>#REF!</v>
      </c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</row>
    <row r="421" spans="1:14" ht="19.5" x14ac:dyDescent="0.25">
      <c r="A421" s="59"/>
      <c r="B421" s="67" t="e">
        <f t="shared" si="16"/>
        <v>#REF!</v>
      </c>
      <c r="C421" s="76" t="e">
        <f>IF(B421&lt;&gt;"",C420-#REF!/COUNT($B$17:$B$510),"")</f>
        <v>#REF!</v>
      </c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</row>
    <row r="422" spans="1:14" ht="19.5" x14ac:dyDescent="0.25">
      <c r="A422" s="59"/>
      <c r="B422" s="67" t="e">
        <f t="shared" si="16"/>
        <v>#REF!</v>
      </c>
      <c r="C422" s="76" t="e">
        <f>IF(B422&lt;&gt;"",C421-#REF!/COUNT($B$17:$B$510),"")</f>
        <v>#REF!</v>
      </c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</row>
    <row r="423" spans="1:14" ht="19.5" x14ac:dyDescent="0.25">
      <c r="A423" s="59"/>
      <c r="B423" s="67" t="e">
        <f t="shared" si="16"/>
        <v>#REF!</v>
      </c>
      <c r="C423" s="76" t="e">
        <f>IF(B423&lt;&gt;"",C422-#REF!/COUNT($B$17:$B$510),"")</f>
        <v>#REF!</v>
      </c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</row>
    <row r="424" spans="1:14" ht="19.5" x14ac:dyDescent="0.25">
      <c r="A424" s="59"/>
      <c r="B424" s="67" t="e">
        <f t="shared" si="16"/>
        <v>#REF!</v>
      </c>
      <c r="C424" s="76" t="e">
        <f>IF(B424&lt;&gt;"",C423-#REF!/COUNT($B$17:$B$510),"")</f>
        <v>#REF!</v>
      </c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</row>
    <row r="425" spans="1:14" ht="19.5" x14ac:dyDescent="0.25">
      <c r="A425" s="59"/>
      <c r="B425" s="67" t="e">
        <f t="shared" si="16"/>
        <v>#REF!</v>
      </c>
      <c r="C425" s="76" t="e">
        <f>IF(B425&lt;&gt;"",C424-#REF!/COUNT($B$17:$B$510),"")</f>
        <v>#REF!</v>
      </c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</row>
    <row r="426" spans="1:14" ht="19.5" x14ac:dyDescent="0.25">
      <c r="A426" s="59"/>
      <c r="B426" s="67" t="e">
        <f t="shared" si="16"/>
        <v>#REF!</v>
      </c>
      <c r="C426" s="76" t="e">
        <f>IF(B426&lt;&gt;"",C425-#REF!/COUNT($B$17:$B$510),"")</f>
        <v>#REF!</v>
      </c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</row>
    <row r="427" spans="1:14" ht="19.5" x14ac:dyDescent="0.25">
      <c r="A427" s="59"/>
      <c r="B427" s="67" t="e">
        <f t="shared" si="16"/>
        <v>#REF!</v>
      </c>
      <c r="C427" s="76" t="e">
        <f>IF(B427&lt;&gt;"",C426-#REF!/COUNT($B$17:$B$510),"")</f>
        <v>#REF!</v>
      </c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</row>
    <row r="428" spans="1:14" ht="19.5" x14ac:dyDescent="0.25">
      <c r="A428" s="59"/>
      <c r="B428" s="67" t="e">
        <f t="shared" si="16"/>
        <v>#REF!</v>
      </c>
      <c r="C428" s="76" t="e">
        <f>IF(B428&lt;&gt;"",C427-#REF!/COUNT($B$17:$B$510),"")</f>
        <v>#REF!</v>
      </c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</row>
    <row r="429" spans="1:14" ht="19.5" x14ac:dyDescent="0.25">
      <c r="A429" s="59"/>
      <c r="B429" s="67" t="e">
        <f t="shared" si="16"/>
        <v>#REF!</v>
      </c>
      <c r="C429" s="76" t="e">
        <f>IF(B429&lt;&gt;"",C428-#REF!/COUNT($B$17:$B$510),"")</f>
        <v>#REF!</v>
      </c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</row>
    <row r="430" spans="1:14" ht="19.5" x14ac:dyDescent="0.25">
      <c r="A430" s="59"/>
      <c r="B430" s="67" t="e">
        <f t="shared" si="16"/>
        <v>#REF!</v>
      </c>
      <c r="C430" s="76" t="e">
        <f>IF(B430&lt;&gt;"",C429-#REF!/COUNT($B$17:$B$510),"")</f>
        <v>#REF!</v>
      </c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</row>
    <row r="431" spans="1:14" ht="19.5" x14ac:dyDescent="0.25">
      <c r="A431" s="59"/>
      <c r="B431" s="67" t="e">
        <f t="shared" si="16"/>
        <v>#REF!</v>
      </c>
      <c r="C431" s="76" t="e">
        <f>IF(B431&lt;&gt;"",C430-#REF!/COUNT($B$17:$B$510),"")</f>
        <v>#REF!</v>
      </c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</row>
    <row r="432" spans="1:14" ht="19.5" x14ac:dyDescent="0.25">
      <c r="A432" s="59"/>
      <c r="B432" s="67" t="e">
        <f t="shared" si="16"/>
        <v>#REF!</v>
      </c>
      <c r="C432" s="76" t="e">
        <f>IF(B432&lt;&gt;"",C431-#REF!/COUNT($B$17:$B$510),"")</f>
        <v>#REF!</v>
      </c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</row>
    <row r="433" spans="1:14" ht="19.5" x14ac:dyDescent="0.25">
      <c r="A433" s="59"/>
      <c r="B433" s="67" t="e">
        <f t="shared" si="16"/>
        <v>#REF!</v>
      </c>
      <c r="C433" s="76" t="e">
        <f>IF(B433&lt;&gt;"",C432-#REF!/COUNT($B$17:$B$510),"")</f>
        <v>#REF!</v>
      </c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</row>
    <row r="434" spans="1:14" ht="19.5" x14ac:dyDescent="0.25">
      <c r="A434" s="59"/>
      <c r="B434" s="67" t="e">
        <f t="shared" si="16"/>
        <v>#REF!</v>
      </c>
      <c r="C434" s="76" t="e">
        <f>IF(B434&lt;&gt;"",C433-#REF!/COUNT($B$17:$B$510),"")</f>
        <v>#REF!</v>
      </c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</row>
    <row r="435" spans="1:14" ht="19.5" x14ac:dyDescent="0.25">
      <c r="A435" s="59"/>
      <c r="B435" s="67" t="e">
        <f t="shared" si="16"/>
        <v>#REF!</v>
      </c>
      <c r="C435" s="76" t="e">
        <f>IF(B435&lt;&gt;"",C434-#REF!/COUNT($B$17:$B$510),"")</f>
        <v>#REF!</v>
      </c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</row>
    <row r="436" spans="1:14" ht="19.5" x14ac:dyDescent="0.25">
      <c r="A436" s="59"/>
      <c r="B436" s="67" t="e">
        <f t="shared" si="16"/>
        <v>#REF!</v>
      </c>
      <c r="C436" s="76" t="e">
        <f>IF(B436&lt;&gt;"",C435-#REF!/COUNT($B$17:$B$510),"")</f>
        <v>#REF!</v>
      </c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</row>
    <row r="437" spans="1:14" ht="19.5" x14ac:dyDescent="0.25">
      <c r="A437" s="59"/>
      <c r="B437" s="67" t="e">
        <f t="shared" si="16"/>
        <v>#REF!</v>
      </c>
      <c r="C437" s="76" t="e">
        <f>IF(B437&lt;&gt;"",C436-#REF!/COUNT($B$17:$B$510),"")</f>
        <v>#REF!</v>
      </c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</row>
    <row r="438" spans="1:14" ht="19.5" x14ac:dyDescent="0.25">
      <c r="A438" s="59"/>
      <c r="B438" s="67" t="e">
        <f t="shared" si="16"/>
        <v>#REF!</v>
      </c>
      <c r="C438" s="76" t="e">
        <f>IF(B438&lt;&gt;"",C437-#REF!/COUNT($B$17:$B$510),"")</f>
        <v>#REF!</v>
      </c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</row>
    <row r="439" spans="1:14" ht="19.5" x14ac:dyDescent="0.25">
      <c r="A439" s="59"/>
      <c r="B439" s="67" t="e">
        <f t="shared" si="16"/>
        <v>#REF!</v>
      </c>
      <c r="C439" s="76" t="e">
        <f>IF(B439&lt;&gt;"",C438-#REF!/COUNT($B$17:$B$510),"")</f>
        <v>#REF!</v>
      </c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</row>
    <row r="440" spans="1:14" ht="19.5" x14ac:dyDescent="0.25">
      <c r="A440" s="59"/>
      <c r="B440" s="67" t="e">
        <f t="shared" si="16"/>
        <v>#REF!</v>
      </c>
      <c r="C440" s="76" t="e">
        <f>IF(B440&lt;&gt;"",C439-#REF!/COUNT($B$17:$B$510),"")</f>
        <v>#REF!</v>
      </c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</row>
    <row r="441" spans="1:14" ht="19.5" x14ac:dyDescent="0.25">
      <c r="A441" s="59"/>
      <c r="B441" s="67" t="e">
        <f t="shared" si="16"/>
        <v>#REF!</v>
      </c>
      <c r="C441" s="76" t="e">
        <f>IF(B441&lt;&gt;"",C440-#REF!/COUNT($B$17:$B$510),"")</f>
        <v>#REF!</v>
      </c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</row>
    <row r="442" spans="1:14" ht="19.5" x14ac:dyDescent="0.25">
      <c r="A442" s="59"/>
      <c r="B442" s="67" t="e">
        <f t="shared" si="16"/>
        <v>#REF!</v>
      </c>
      <c r="C442" s="76" t="e">
        <f>IF(B442&lt;&gt;"",C441-#REF!/COUNT($B$17:$B$510),"")</f>
        <v>#REF!</v>
      </c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</row>
    <row r="443" spans="1:14" ht="19.5" x14ac:dyDescent="0.25">
      <c r="A443" s="59"/>
      <c r="B443" s="67" t="e">
        <f t="shared" si="16"/>
        <v>#REF!</v>
      </c>
      <c r="C443" s="76" t="e">
        <f>IF(B443&lt;&gt;"",C442-#REF!/COUNT($B$17:$B$510),"")</f>
        <v>#REF!</v>
      </c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</row>
    <row r="444" spans="1:14" ht="19.5" x14ac:dyDescent="0.25">
      <c r="A444" s="59"/>
      <c r="B444" s="67" t="e">
        <f t="shared" si="16"/>
        <v>#REF!</v>
      </c>
      <c r="C444" s="76" t="e">
        <f>IF(B444&lt;&gt;"",C443-#REF!/COUNT($B$17:$B$510),"")</f>
        <v>#REF!</v>
      </c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</row>
    <row r="445" spans="1:14" ht="19.5" x14ac:dyDescent="0.25">
      <c r="A445" s="59"/>
      <c r="B445" s="67" t="e">
        <f t="shared" si="16"/>
        <v>#REF!</v>
      </c>
      <c r="C445" s="76" t="e">
        <f>IF(B445&lt;&gt;"",C444-#REF!/COUNT($B$17:$B$510),"")</f>
        <v>#REF!</v>
      </c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</row>
    <row r="446" spans="1:14" ht="19.5" x14ac:dyDescent="0.25">
      <c r="A446" s="59"/>
      <c r="B446" s="67" t="e">
        <f t="shared" si="16"/>
        <v>#REF!</v>
      </c>
      <c r="C446" s="76" t="e">
        <f>IF(B446&lt;&gt;"",C445-#REF!/COUNT($B$17:$B$510),"")</f>
        <v>#REF!</v>
      </c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</row>
    <row r="447" spans="1:14" ht="19.5" x14ac:dyDescent="0.25">
      <c r="A447" s="59"/>
      <c r="B447" s="67" t="e">
        <f t="shared" si="16"/>
        <v>#REF!</v>
      </c>
      <c r="C447" s="76" t="e">
        <f>IF(B447&lt;&gt;"",C446-#REF!/COUNT($B$17:$B$510),"")</f>
        <v>#REF!</v>
      </c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</row>
    <row r="448" spans="1:14" ht="19.5" x14ac:dyDescent="0.25">
      <c r="A448" s="59"/>
      <c r="B448" s="67" t="e">
        <f t="shared" si="16"/>
        <v>#REF!</v>
      </c>
      <c r="C448" s="76" t="e">
        <f>IF(B448&lt;&gt;"",C447-#REF!/COUNT($B$17:$B$510),"")</f>
        <v>#REF!</v>
      </c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</row>
    <row r="449" spans="1:14" ht="19.5" x14ac:dyDescent="0.25">
      <c r="A449" s="59"/>
      <c r="B449" s="67" t="e">
        <f t="shared" si="16"/>
        <v>#REF!</v>
      </c>
      <c r="C449" s="76" t="e">
        <f>IF(B449&lt;&gt;"",C448-#REF!/COUNT($B$17:$B$510),"")</f>
        <v>#REF!</v>
      </c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</row>
    <row r="450" spans="1:14" ht="19.5" x14ac:dyDescent="0.25">
      <c r="A450" s="59"/>
      <c r="B450" s="67" t="e">
        <f t="shared" si="16"/>
        <v>#REF!</v>
      </c>
      <c r="C450" s="76" t="e">
        <f>IF(B450&lt;&gt;"",C449-#REF!/COUNT($B$17:$B$510),"")</f>
        <v>#REF!</v>
      </c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</row>
    <row r="451" spans="1:14" ht="19.5" x14ac:dyDescent="0.25">
      <c r="A451" s="59"/>
      <c r="B451" s="67" t="e">
        <f t="shared" si="16"/>
        <v>#REF!</v>
      </c>
      <c r="C451" s="76" t="e">
        <f>IF(B451&lt;&gt;"",C450-#REF!/COUNT($B$17:$B$510),"")</f>
        <v>#REF!</v>
      </c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</row>
    <row r="452" spans="1:14" ht="19.5" x14ac:dyDescent="0.25">
      <c r="A452" s="59"/>
      <c r="B452" s="67" t="e">
        <f t="shared" si="16"/>
        <v>#REF!</v>
      </c>
      <c r="C452" s="76" t="e">
        <f>IF(B452&lt;&gt;"",C451-#REF!/COUNT($B$17:$B$510),"")</f>
        <v>#REF!</v>
      </c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</row>
    <row r="453" spans="1:14" ht="19.5" x14ac:dyDescent="0.25">
      <c r="A453" s="59"/>
      <c r="B453" s="67" t="e">
        <f t="shared" si="16"/>
        <v>#REF!</v>
      </c>
      <c r="C453" s="76" t="e">
        <f>IF(B453&lt;&gt;"",C452-#REF!/COUNT($B$17:$B$510),"")</f>
        <v>#REF!</v>
      </c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</row>
    <row r="454" spans="1:14" ht="19.5" x14ac:dyDescent="0.25">
      <c r="A454" s="59"/>
      <c r="B454" s="67" t="e">
        <f t="shared" si="16"/>
        <v>#REF!</v>
      </c>
      <c r="C454" s="76" t="e">
        <f>IF(B454&lt;&gt;"",C453-#REF!/COUNT($B$17:$B$510),"")</f>
        <v>#REF!</v>
      </c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</row>
    <row r="455" spans="1:14" ht="19.5" x14ac:dyDescent="0.25">
      <c r="A455" s="59"/>
      <c r="B455" s="67" t="e">
        <f t="shared" si="16"/>
        <v>#REF!</v>
      </c>
      <c r="C455" s="76" t="e">
        <f>IF(B455&lt;&gt;"",C454-#REF!/COUNT($B$17:$B$510),"")</f>
        <v>#REF!</v>
      </c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</row>
    <row r="456" spans="1:14" ht="19.5" x14ac:dyDescent="0.25">
      <c r="A456" s="59"/>
      <c r="B456" s="67" t="e">
        <f t="shared" si="16"/>
        <v>#REF!</v>
      </c>
      <c r="C456" s="76" t="e">
        <f>IF(B456&lt;&gt;"",C455-#REF!/COUNT($B$17:$B$510),"")</f>
        <v>#REF!</v>
      </c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</row>
    <row r="457" spans="1:14" ht="19.5" x14ac:dyDescent="0.25">
      <c r="A457" s="59"/>
      <c r="B457" s="67" t="e">
        <f t="shared" si="16"/>
        <v>#REF!</v>
      </c>
      <c r="C457" s="76" t="e">
        <f>IF(B457&lt;&gt;"",C456-#REF!/COUNT($B$17:$B$510),"")</f>
        <v>#REF!</v>
      </c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</row>
    <row r="458" spans="1:14" ht="19.5" x14ac:dyDescent="0.25">
      <c r="A458" s="59"/>
      <c r="B458" s="67" t="e">
        <f t="shared" si="16"/>
        <v>#REF!</v>
      </c>
      <c r="C458" s="76" t="e">
        <f>IF(B458&lt;&gt;"",C457-#REF!/COUNT($B$17:$B$510),"")</f>
        <v>#REF!</v>
      </c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</row>
    <row r="459" spans="1:14" ht="19.5" x14ac:dyDescent="0.25">
      <c r="A459" s="59"/>
      <c r="B459" s="67" t="e">
        <f t="shared" si="16"/>
        <v>#REF!</v>
      </c>
      <c r="C459" s="76" t="e">
        <f>IF(B459&lt;&gt;"",C458-#REF!/COUNT($B$17:$B$510),"")</f>
        <v>#REF!</v>
      </c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</row>
    <row r="460" spans="1:14" ht="19.5" x14ac:dyDescent="0.25">
      <c r="A460" s="59"/>
      <c r="B460" s="67" t="e">
        <f t="shared" si="16"/>
        <v>#REF!</v>
      </c>
      <c r="C460" s="76" t="e">
        <f>IF(B460&lt;&gt;"",C459-#REF!/COUNT($B$17:$B$510),"")</f>
        <v>#REF!</v>
      </c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</row>
    <row r="461" spans="1:14" ht="19.5" x14ac:dyDescent="0.25">
      <c r="A461" s="59"/>
      <c r="B461" s="67" t="e">
        <f t="shared" si="16"/>
        <v>#REF!</v>
      </c>
      <c r="C461" s="76" t="e">
        <f>IF(B461&lt;&gt;"",C460-#REF!/COUNT($B$17:$B$510),"")</f>
        <v>#REF!</v>
      </c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</row>
    <row r="462" spans="1:14" ht="19.5" x14ac:dyDescent="0.25">
      <c r="A462" s="59"/>
      <c r="B462" s="67" t="e">
        <f t="shared" si="16"/>
        <v>#REF!</v>
      </c>
      <c r="C462" s="76" t="e">
        <f>IF(B462&lt;&gt;"",C461-#REF!/COUNT($B$17:$B$510),"")</f>
        <v>#REF!</v>
      </c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</row>
    <row r="463" spans="1:14" ht="19.5" x14ac:dyDescent="0.25">
      <c r="A463" s="59"/>
      <c r="B463" s="67" t="e">
        <f t="shared" si="16"/>
        <v>#REF!</v>
      </c>
      <c r="C463" s="76" t="e">
        <f>IF(B463&lt;&gt;"",C462-#REF!/COUNT($B$17:$B$510),"")</f>
        <v>#REF!</v>
      </c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</row>
    <row r="464" spans="1:14" ht="19.5" x14ac:dyDescent="0.25">
      <c r="A464" s="59"/>
      <c r="B464" s="67" t="e">
        <f t="shared" si="16"/>
        <v>#REF!</v>
      </c>
      <c r="C464" s="76" t="e">
        <f>IF(B464&lt;&gt;"",C463-#REF!/COUNT($B$17:$B$510),"")</f>
        <v>#REF!</v>
      </c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</row>
    <row r="465" spans="1:14" ht="19.5" x14ac:dyDescent="0.25">
      <c r="A465" s="59"/>
      <c r="B465" s="67" t="e">
        <f t="shared" si="16"/>
        <v>#REF!</v>
      </c>
      <c r="C465" s="76" t="e">
        <f>IF(B465&lt;&gt;"",C464-#REF!/COUNT($B$17:$B$510),"")</f>
        <v>#REF!</v>
      </c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</row>
    <row r="466" spans="1:14" ht="19.5" x14ac:dyDescent="0.25">
      <c r="A466" s="59"/>
      <c r="B466" s="67" t="e">
        <f t="shared" si="16"/>
        <v>#REF!</v>
      </c>
      <c r="C466" s="76" t="e">
        <f>IF(B466&lt;&gt;"",C465-#REF!/COUNT($B$17:$B$510),"")</f>
        <v>#REF!</v>
      </c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</row>
    <row r="467" spans="1:14" ht="19.5" x14ac:dyDescent="0.25">
      <c r="A467" s="59"/>
      <c r="B467" s="67" t="e">
        <f t="shared" si="16"/>
        <v>#REF!</v>
      </c>
      <c r="C467" s="76" t="e">
        <f>IF(B467&lt;&gt;"",C466-#REF!/COUNT($B$17:$B$510),"")</f>
        <v>#REF!</v>
      </c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</row>
    <row r="468" spans="1:14" ht="19.5" x14ac:dyDescent="0.25">
      <c r="A468" s="59"/>
      <c r="B468" s="67" t="e">
        <f t="shared" si="16"/>
        <v>#REF!</v>
      </c>
      <c r="C468" s="76" t="e">
        <f>IF(B468&lt;&gt;"",C467-#REF!/COUNT($B$17:$B$510),"")</f>
        <v>#REF!</v>
      </c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</row>
    <row r="469" spans="1:14" ht="19.5" x14ac:dyDescent="0.25">
      <c r="A469" s="59"/>
      <c r="B469" s="67" t="e">
        <f t="shared" si="16"/>
        <v>#REF!</v>
      </c>
      <c r="C469" s="76" t="e">
        <f>IF(B469&lt;&gt;"",C468-#REF!/COUNT($B$17:$B$510),"")</f>
        <v>#REF!</v>
      </c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</row>
    <row r="470" spans="1:14" ht="19.5" x14ac:dyDescent="0.25">
      <c r="A470" s="59"/>
      <c r="B470" s="67" t="e">
        <f t="shared" si="16"/>
        <v>#REF!</v>
      </c>
      <c r="C470" s="76" t="e">
        <f>IF(B470&lt;&gt;"",C469-#REF!/COUNT($B$17:$B$510),"")</f>
        <v>#REF!</v>
      </c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</row>
    <row r="471" spans="1:14" ht="19.5" x14ac:dyDescent="0.25">
      <c r="A471" s="59"/>
      <c r="B471" s="67" t="e">
        <f t="shared" si="16"/>
        <v>#REF!</v>
      </c>
      <c r="C471" s="76" t="e">
        <f>IF(B471&lt;&gt;"",C470-#REF!/COUNT($B$17:$B$510),"")</f>
        <v>#REF!</v>
      </c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</row>
    <row r="472" spans="1:14" ht="19.5" x14ac:dyDescent="0.25">
      <c r="A472" s="59"/>
      <c r="B472" s="67" t="e">
        <f t="shared" si="16"/>
        <v>#REF!</v>
      </c>
      <c r="C472" s="76" t="e">
        <f>IF(B472&lt;&gt;"",C471-#REF!/COUNT($B$17:$B$510),"")</f>
        <v>#REF!</v>
      </c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</row>
    <row r="473" spans="1:14" ht="19.5" x14ac:dyDescent="0.25">
      <c r="A473" s="59"/>
      <c r="B473" s="67" t="e">
        <f t="shared" si="16"/>
        <v>#REF!</v>
      </c>
      <c r="C473" s="76" t="e">
        <f>IF(B473&lt;&gt;"",C472-#REF!/COUNT($B$17:$B$510),"")</f>
        <v>#REF!</v>
      </c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</row>
    <row r="474" spans="1:14" ht="19.5" x14ac:dyDescent="0.25">
      <c r="A474" s="59"/>
      <c r="B474" s="67" t="e">
        <f t="shared" si="16"/>
        <v>#REF!</v>
      </c>
      <c r="C474" s="76" t="e">
        <f>IF(B474&lt;&gt;"",C473-#REF!/COUNT($B$17:$B$510),"")</f>
        <v>#REF!</v>
      </c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</row>
    <row r="475" spans="1:14" ht="19.5" x14ac:dyDescent="0.25">
      <c r="A475" s="59"/>
      <c r="B475" s="67" t="e">
        <f t="shared" si="16"/>
        <v>#REF!</v>
      </c>
      <c r="C475" s="76" t="e">
        <f>IF(B475&lt;&gt;"",C474-#REF!/COUNT($B$17:$B$510),"")</f>
        <v>#REF!</v>
      </c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</row>
    <row r="476" spans="1:14" ht="19.5" x14ac:dyDescent="0.25">
      <c r="A476" s="59"/>
      <c r="B476" s="67" t="e">
        <f t="shared" si="16"/>
        <v>#REF!</v>
      </c>
      <c r="C476" s="76" t="e">
        <f>IF(B476&lt;&gt;"",C475-#REF!/COUNT($B$17:$B$510),"")</f>
        <v>#REF!</v>
      </c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</row>
    <row r="477" spans="1:14" ht="19.5" x14ac:dyDescent="0.25">
      <c r="A477" s="59"/>
      <c r="B477" s="67" t="e">
        <f t="shared" ref="B477:B511" si="17">IF(B476="","",IF(B476+$C$9&lt;=$C$5,B476+$C$9,""))</f>
        <v>#REF!</v>
      </c>
      <c r="C477" s="76" t="e">
        <f>IF(B477&lt;&gt;"",C476-#REF!/COUNT($B$17:$B$510),"")</f>
        <v>#REF!</v>
      </c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</row>
    <row r="478" spans="1:14" ht="19.5" x14ac:dyDescent="0.25">
      <c r="A478" s="59"/>
      <c r="B478" s="67" t="e">
        <f t="shared" si="17"/>
        <v>#REF!</v>
      </c>
      <c r="C478" s="76" t="e">
        <f>IF(B478&lt;&gt;"",C477-#REF!/COUNT($B$17:$B$510),"")</f>
        <v>#REF!</v>
      </c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</row>
    <row r="479" spans="1:14" ht="19.5" x14ac:dyDescent="0.25">
      <c r="A479" s="59"/>
      <c r="B479" s="67" t="e">
        <f t="shared" si="17"/>
        <v>#REF!</v>
      </c>
      <c r="C479" s="76" t="e">
        <f>IF(B479&lt;&gt;"",C478-#REF!/COUNT($B$17:$B$510),"")</f>
        <v>#REF!</v>
      </c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</row>
    <row r="480" spans="1:14" ht="19.5" x14ac:dyDescent="0.25">
      <c r="A480" s="59"/>
      <c r="B480" s="67" t="e">
        <f t="shared" si="17"/>
        <v>#REF!</v>
      </c>
      <c r="C480" s="76" t="e">
        <f>IF(B480&lt;&gt;"",C479-#REF!/COUNT($B$17:$B$510),"")</f>
        <v>#REF!</v>
      </c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</row>
    <row r="481" spans="1:14" ht="19.5" x14ac:dyDescent="0.25">
      <c r="A481" s="59"/>
      <c r="B481" s="67" t="e">
        <f t="shared" si="17"/>
        <v>#REF!</v>
      </c>
      <c r="C481" s="76" t="e">
        <f>IF(B481&lt;&gt;"",C480-#REF!/COUNT($B$17:$B$510),"")</f>
        <v>#REF!</v>
      </c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</row>
    <row r="482" spans="1:14" ht="19.5" x14ac:dyDescent="0.25">
      <c r="A482" s="59"/>
      <c r="B482" s="67" t="e">
        <f t="shared" si="17"/>
        <v>#REF!</v>
      </c>
      <c r="C482" s="76" t="e">
        <f>IF(B482&lt;&gt;"",C481-#REF!/COUNT($B$17:$B$510),"")</f>
        <v>#REF!</v>
      </c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</row>
    <row r="483" spans="1:14" ht="19.5" x14ac:dyDescent="0.25">
      <c r="A483" s="59"/>
      <c r="B483" s="67" t="e">
        <f t="shared" si="17"/>
        <v>#REF!</v>
      </c>
      <c r="C483" s="76" t="e">
        <f>IF(B483&lt;&gt;"",C482-#REF!/COUNT($B$17:$B$510),"")</f>
        <v>#REF!</v>
      </c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</row>
    <row r="484" spans="1:14" ht="19.5" x14ac:dyDescent="0.25">
      <c r="A484" s="59"/>
      <c r="B484" s="67" t="e">
        <f t="shared" si="17"/>
        <v>#REF!</v>
      </c>
      <c r="C484" s="76" t="e">
        <f>IF(B484&lt;&gt;"",C483-#REF!/COUNT($B$17:$B$510),"")</f>
        <v>#REF!</v>
      </c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</row>
    <row r="485" spans="1:14" ht="19.5" x14ac:dyDescent="0.25">
      <c r="A485" s="59"/>
      <c r="B485" s="67" t="e">
        <f t="shared" si="17"/>
        <v>#REF!</v>
      </c>
      <c r="C485" s="76" t="e">
        <f>IF(B485&lt;&gt;"",C484-#REF!/COUNT($B$17:$B$510),"")</f>
        <v>#REF!</v>
      </c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</row>
    <row r="486" spans="1:14" ht="19.5" x14ac:dyDescent="0.25">
      <c r="A486" s="59"/>
      <c r="B486" s="67" t="e">
        <f t="shared" si="17"/>
        <v>#REF!</v>
      </c>
      <c r="C486" s="76" t="e">
        <f>IF(B486&lt;&gt;"",C485-#REF!/COUNT($B$17:$B$510),"")</f>
        <v>#REF!</v>
      </c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</row>
    <row r="487" spans="1:14" ht="19.5" x14ac:dyDescent="0.25">
      <c r="A487" s="59"/>
      <c r="B487" s="67" t="e">
        <f t="shared" si="17"/>
        <v>#REF!</v>
      </c>
      <c r="C487" s="76" t="e">
        <f>IF(B487&lt;&gt;"",C486-#REF!/COUNT($B$17:$B$510),"")</f>
        <v>#REF!</v>
      </c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</row>
    <row r="488" spans="1:14" ht="19.5" x14ac:dyDescent="0.25">
      <c r="A488" s="59"/>
      <c r="B488" s="67" t="e">
        <f t="shared" si="17"/>
        <v>#REF!</v>
      </c>
      <c r="C488" s="76" t="e">
        <f>IF(B488&lt;&gt;"",C487-#REF!/COUNT($B$17:$B$510),"")</f>
        <v>#REF!</v>
      </c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</row>
    <row r="489" spans="1:14" ht="19.5" x14ac:dyDescent="0.25">
      <c r="A489" s="59"/>
      <c r="B489" s="67" t="e">
        <f t="shared" si="17"/>
        <v>#REF!</v>
      </c>
      <c r="C489" s="76" t="e">
        <f>IF(B489&lt;&gt;"",C488-#REF!/COUNT($B$17:$B$510),"")</f>
        <v>#REF!</v>
      </c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</row>
    <row r="490" spans="1:14" ht="19.5" x14ac:dyDescent="0.25">
      <c r="A490" s="59"/>
      <c r="B490" s="67" t="e">
        <f t="shared" si="17"/>
        <v>#REF!</v>
      </c>
      <c r="C490" s="76" t="e">
        <f>IF(B490&lt;&gt;"",C489-#REF!/COUNT($B$17:$B$510),"")</f>
        <v>#REF!</v>
      </c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</row>
    <row r="491" spans="1:14" ht="19.5" x14ac:dyDescent="0.25">
      <c r="A491" s="59"/>
      <c r="B491" s="67" t="e">
        <f t="shared" si="17"/>
        <v>#REF!</v>
      </c>
      <c r="C491" s="76" t="e">
        <f>IF(B491&lt;&gt;"",C490-#REF!/COUNT($B$17:$B$510),"")</f>
        <v>#REF!</v>
      </c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</row>
    <row r="492" spans="1:14" ht="19.5" x14ac:dyDescent="0.25">
      <c r="A492" s="59"/>
      <c r="B492" s="67" t="e">
        <f t="shared" si="17"/>
        <v>#REF!</v>
      </c>
      <c r="C492" s="76" t="e">
        <f>IF(B492&lt;&gt;"",C491-#REF!/COUNT($B$17:$B$510),"")</f>
        <v>#REF!</v>
      </c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</row>
    <row r="493" spans="1:14" ht="19.5" x14ac:dyDescent="0.25">
      <c r="A493" s="59"/>
      <c r="B493" s="67" t="e">
        <f t="shared" si="17"/>
        <v>#REF!</v>
      </c>
      <c r="C493" s="76" t="e">
        <f>IF(B493&lt;&gt;"",C492-#REF!/COUNT($B$17:$B$510),"")</f>
        <v>#REF!</v>
      </c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</row>
    <row r="494" spans="1:14" ht="19.5" x14ac:dyDescent="0.25">
      <c r="A494" s="59"/>
      <c r="B494" s="67" t="e">
        <f t="shared" si="17"/>
        <v>#REF!</v>
      </c>
      <c r="C494" s="76" t="e">
        <f>IF(B494&lt;&gt;"",C493-#REF!/COUNT($B$17:$B$510),"")</f>
        <v>#REF!</v>
      </c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</row>
    <row r="495" spans="1:14" ht="19.5" x14ac:dyDescent="0.25">
      <c r="A495" s="59"/>
      <c r="B495" s="67" t="e">
        <f t="shared" si="17"/>
        <v>#REF!</v>
      </c>
      <c r="C495" s="76" t="e">
        <f>IF(B495&lt;&gt;"",C494-#REF!/COUNT($B$17:$B$510),"")</f>
        <v>#REF!</v>
      </c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</row>
    <row r="496" spans="1:14" ht="19.5" x14ac:dyDescent="0.25">
      <c r="A496" s="59"/>
      <c r="B496" s="67" t="e">
        <f t="shared" si="17"/>
        <v>#REF!</v>
      </c>
      <c r="C496" s="76" t="e">
        <f>IF(B496&lt;&gt;"",C495-#REF!/COUNT($B$17:$B$510),"")</f>
        <v>#REF!</v>
      </c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</row>
    <row r="497" spans="1:14" ht="19.5" x14ac:dyDescent="0.25">
      <c r="A497" s="59"/>
      <c r="B497" s="67" t="e">
        <f t="shared" si="17"/>
        <v>#REF!</v>
      </c>
      <c r="C497" s="76" t="e">
        <f>IF(B497&lt;&gt;"",C496-#REF!/COUNT($B$17:$B$510),"")</f>
        <v>#REF!</v>
      </c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</row>
    <row r="498" spans="1:14" ht="19.5" x14ac:dyDescent="0.25">
      <c r="A498" s="59"/>
      <c r="B498" s="67" t="e">
        <f t="shared" si="17"/>
        <v>#REF!</v>
      </c>
      <c r="C498" s="76" t="e">
        <f>IF(B498&lt;&gt;"",C497-#REF!/COUNT($B$17:$B$510),"")</f>
        <v>#REF!</v>
      </c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</row>
    <row r="499" spans="1:14" ht="19.5" x14ac:dyDescent="0.25">
      <c r="A499" s="59"/>
      <c r="B499" s="67" t="e">
        <f t="shared" si="17"/>
        <v>#REF!</v>
      </c>
      <c r="C499" s="76" t="e">
        <f>IF(B499&lt;&gt;"",C498-#REF!/COUNT($B$17:$B$510),"")</f>
        <v>#REF!</v>
      </c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</row>
    <row r="500" spans="1:14" ht="19.5" x14ac:dyDescent="0.25">
      <c r="A500" s="59"/>
      <c r="B500" s="67" t="e">
        <f t="shared" si="17"/>
        <v>#REF!</v>
      </c>
      <c r="C500" s="76" t="e">
        <f>IF(B500&lt;&gt;"",C499-#REF!/COUNT($B$17:$B$510),"")</f>
        <v>#REF!</v>
      </c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</row>
    <row r="501" spans="1:14" ht="19.5" x14ac:dyDescent="0.25">
      <c r="A501" s="59"/>
      <c r="B501" s="67" t="e">
        <f t="shared" si="17"/>
        <v>#REF!</v>
      </c>
      <c r="C501" s="76" t="e">
        <f>IF(B501&lt;&gt;"",C500-#REF!/COUNT($B$17:$B$510),"")</f>
        <v>#REF!</v>
      </c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</row>
    <row r="502" spans="1:14" ht="19.5" x14ac:dyDescent="0.25">
      <c r="A502" s="59"/>
      <c r="B502" s="67" t="e">
        <f t="shared" si="17"/>
        <v>#REF!</v>
      </c>
      <c r="C502" s="76" t="e">
        <f>IF(B502&lt;&gt;"",C501-#REF!/COUNT($B$17:$B$510),"")</f>
        <v>#REF!</v>
      </c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</row>
    <row r="503" spans="1:14" ht="19.5" x14ac:dyDescent="0.25">
      <c r="A503" s="59"/>
      <c r="B503" s="67" t="e">
        <f t="shared" si="17"/>
        <v>#REF!</v>
      </c>
      <c r="C503" s="76" t="e">
        <f>IF(B503&lt;&gt;"",C502-#REF!/COUNT($B$17:$B$510),"")</f>
        <v>#REF!</v>
      </c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</row>
    <row r="504" spans="1:14" ht="19.5" x14ac:dyDescent="0.25">
      <c r="A504" s="59"/>
      <c r="B504" s="67" t="e">
        <f t="shared" si="17"/>
        <v>#REF!</v>
      </c>
      <c r="C504" s="76" t="e">
        <f>IF(B504&lt;&gt;"",C503-#REF!/COUNT($B$17:$B$510),"")</f>
        <v>#REF!</v>
      </c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</row>
    <row r="505" spans="1:14" ht="19.5" x14ac:dyDescent="0.25">
      <c r="A505" s="59"/>
      <c r="B505" s="67" t="e">
        <f t="shared" si="17"/>
        <v>#REF!</v>
      </c>
      <c r="C505" s="76" t="e">
        <f>IF(B505&lt;&gt;"",C504-#REF!/COUNT($B$17:$B$510),"")</f>
        <v>#REF!</v>
      </c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</row>
    <row r="506" spans="1:14" ht="19.5" x14ac:dyDescent="0.25">
      <c r="A506" s="59"/>
      <c r="B506" s="67" t="e">
        <f t="shared" si="17"/>
        <v>#REF!</v>
      </c>
      <c r="C506" s="76" t="e">
        <f>IF(B506&lt;&gt;"",C505-#REF!/COUNT($B$17:$B$510),"")</f>
        <v>#REF!</v>
      </c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</row>
    <row r="507" spans="1:14" ht="19.5" x14ac:dyDescent="0.25">
      <c r="A507" s="59"/>
      <c r="B507" s="67" t="e">
        <f t="shared" si="17"/>
        <v>#REF!</v>
      </c>
      <c r="C507" s="76" t="e">
        <f>IF(B507&lt;&gt;"",C506-#REF!/COUNT($B$17:$B$510),"")</f>
        <v>#REF!</v>
      </c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</row>
    <row r="508" spans="1:14" ht="19.5" x14ac:dyDescent="0.25">
      <c r="A508" s="59"/>
      <c r="B508" s="67" t="e">
        <f t="shared" si="17"/>
        <v>#REF!</v>
      </c>
      <c r="C508" s="76" t="e">
        <f>IF(B508&lt;&gt;"",C507-#REF!/COUNT($B$17:$B$510),"")</f>
        <v>#REF!</v>
      </c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</row>
    <row r="509" spans="1:14" ht="19.5" x14ac:dyDescent="0.25">
      <c r="A509" s="59"/>
      <c r="B509" s="67" t="e">
        <f t="shared" si="17"/>
        <v>#REF!</v>
      </c>
      <c r="C509" s="76" t="e">
        <f>IF(B509&lt;&gt;"",C508-#REF!/COUNT($B$17:$B$510),"")</f>
        <v>#REF!</v>
      </c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</row>
    <row r="510" spans="1:14" ht="19.5" x14ac:dyDescent="0.25">
      <c r="A510" s="59"/>
      <c r="B510" s="67" t="e">
        <f t="shared" si="17"/>
        <v>#REF!</v>
      </c>
      <c r="C510" s="76" t="e">
        <f>IF(B510&lt;&gt;"",C509-#REF!/COUNT($B$17:$B$510),"")</f>
        <v>#REF!</v>
      </c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</row>
    <row r="511" spans="1:14" ht="19.5" x14ac:dyDescent="0.25">
      <c r="A511" s="59"/>
      <c r="B511" s="67" t="e">
        <f t="shared" si="17"/>
        <v>#REF!</v>
      </c>
      <c r="C511" s="76" t="e">
        <f>IF(B511&lt;&gt;"",C510-#REF!/COUNT($B$17:$B$510),"")</f>
        <v>#REF!</v>
      </c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</row>
    <row r="512" spans="1:14" ht="19.5" x14ac:dyDescent="0.2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</row>
  </sheetData>
  <mergeCells count="3">
    <mergeCell ref="A1:K1"/>
    <mergeCell ref="B12:F12"/>
    <mergeCell ref="G12:L12"/>
  </mergeCells>
  <conditionalFormatting sqref="A14:F14 L14 H14:H36 A15:A52 C2">
    <cfRule type="expression" dxfId="71" priority="7">
      <formula>AND(TODAY()&gt;=$B$14,TODAY()&lt;$B$15)</formula>
    </cfRule>
  </conditionalFormatting>
  <conditionalFormatting sqref="A14:L67">
    <cfRule type="expression" dxfId="70" priority="5">
      <formula>AND(TODAY()&gt;=$B14,TODAY()&lt;$B15)</formula>
    </cfRule>
  </conditionalFormatting>
  <conditionalFormatting sqref="B14:B67">
    <cfRule type="cellIs" dxfId="69" priority="4" operator="greaterThan">
      <formula>$C$5</formula>
    </cfRule>
  </conditionalFormatting>
  <conditionalFormatting sqref="G14:G36 I14:I36 B15:F15">
    <cfRule type="expression" dxfId="68" priority="6">
      <formula>AND(TODAY()&gt;=$B14,TODAY()&lt;$B15)</formula>
    </cfRule>
  </conditionalFormatting>
  <conditionalFormatting sqref="J14:K36">
    <cfRule type="expression" dxfId="67" priority="2">
      <formula>AND(TODAY()&gt;=$B$14,TODAY()&lt;$B$15)</formula>
    </cfRule>
  </conditionalFormatting>
  <conditionalFormatting sqref="L15:L20 F16:F32 L22:L33">
    <cfRule type="expression" dxfId="66" priority="3">
      <formula>AND(TODAY()&gt;=$B15,TODAY()&lt;$B16)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A9C4AB57-B287-425E-980E-6E67CD796686}">
          <x14:formula1>
            <xm:f>'LEIA-ME'!$C$2:$C$5</xm:f>
          </x14:formula1>
          <xm:sqref>C2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CCC3-2DF6-41E5-9044-5742545D12A7}">
  <sheetPr>
    <tabColor theme="9" tint="-0.499984740745262"/>
  </sheetPr>
  <dimension ref="A1:M513"/>
  <sheetViews>
    <sheetView topLeftCell="B4" workbookViewId="0">
      <selection activeCell="E23" sqref="E23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6" width="12.625" style="59" customWidth="1"/>
    <col min="7" max="12" width="13.875" style="59" customWidth="1"/>
    <col min="13" max="13" width="22.25" style="59" customWidth="1"/>
    <col min="14" max="14" width="34.375" style="59" customWidth="1"/>
    <col min="15" max="16384" width="12.625" style="59"/>
  </cols>
  <sheetData>
    <row r="1" spans="1:13" ht="19.5" x14ac:dyDescent="0.25">
      <c r="A1" s="154" t="s">
        <v>20</v>
      </c>
      <c r="B1" s="167"/>
      <c r="C1" s="167"/>
      <c r="D1" s="155"/>
      <c r="E1" s="155"/>
      <c r="F1" s="155"/>
      <c r="G1" s="155"/>
      <c r="H1" s="155"/>
      <c r="I1" s="155"/>
      <c r="J1" s="155"/>
      <c r="K1" s="156"/>
      <c r="L1" s="140"/>
    </row>
    <row r="2" spans="1:13" ht="15.75" customHeight="1" x14ac:dyDescent="0.25">
      <c r="A2" s="68"/>
      <c r="B2" s="119" t="s">
        <v>2542</v>
      </c>
      <c r="C2" s="120" t="s">
        <v>79</v>
      </c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  <c r="M2" s="65"/>
    </row>
    <row r="3" spans="1:13" ht="15.75" customHeight="1" x14ac:dyDescent="0.25">
      <c r="A3" s="68"/>
      <c r="B3" s="119" t="s">
        <v>66</v>
      </c>
      <c r="C3" s="120" t="s">
        <v>72</v>
      </c>
      <c r="D3" s="70"/>
      <c r="E3" s="71"/>
      <c r="F3" s="71"/>
      <c r="G3" s="65"/>
      <c r="H3" s="65"/>
      <c r="I3" s="65"/>
      <c r="J3" s="65"/>
      <c r="K3" s="65"/>
      <c r="L3" s="65"/>
      <c r="M3" s="65"/>
    </row>
    <row r="4" spans="1:13" ht="15" customHeight="1" x14ac:dyDescent="0.25">
      <c r="B4" s="121" t="s">
        <v>2584</v>
      </c>
      <c r="C4" s="125">
        <f>COUNTIFS(time,"*" &amp; C2 &amp; "*",release,"*" &amp; C3&amp; "*",criado,"&lt;="&amp;INT(C6))</f>
        <v>0</v>
      </c>
      <c r="D4" s="70" t="s">
        <v>25</v>
      </c>
      <c r="E4" s="71" t="s">
        <v>26</v>
      </c>
      <c r="F4" s="71"/>
      <c r="G4" s="65"/>
      <c r="H4" s="65"/>
      <c r="I4" s="65"/>
      <c r="J4" s="65"/>
      <c r="K4" s="65"/>
      <c r="L4" s="65"/>
      <c r="M4" s="65"/>
    </row>
    <row r="5" spans="1:13" ht="15" customHeight="1" x14ac:dyDescent="0.25">
      <c r="B5" s="121" t="s">
        <v>2585</v>
      </c>
      <c r="C5" s="125" t="str">
        <f ca="1">IF(SUM(L:L)+C4 = (COUNTIFS(time,"*" &amp; C2 &amp; "*",release,"*" &amp; C3&amp; "*")),COUNTIFS(time,"*" &amp; C2 &amp; "*",release,"*" &amp; C3&amp; "*"),"VERIFICAR")</f>
        <v>VERIFICAR</v>
      </c>
      <c r="D5" s="70"/>
      <c r="E5" s="71"/>
      <c r="F5" s="71"/>
      <c r="G5" s="65"/>
      <c r="H5" s="65"/>
      <c r="I5" s="65"/>
      <c r="J5" s="65"/>
      <c r="K5" s="65"/>
      <c r="L5" s="65"/>
      <c r="M5" s="65"/>
    </row>
    <row r="6" spans="1:13" ht="15.75" customHeight="1" x14ac:dyDescent="0.25">
      <c r="B6" s="122" t="s">
        <v>27</v>
      </c>
      <c r="C6" s="107">
        <v>45936</v>
      </c>
      <c r="D6" s="70" t="s">
        <v>28</v>
      </c>
      <c r="E6" s="65"/>
      <c r="F6" s="65"/>
      <c r="G6" s="65"/>
      <c r="H6" s="65"/>
      <c r="I6" s="65"/>
      <c r="J6" s="65"/>
      <c r="K6" s="65"/>
      <c r="L6" s="65"/>
      <c r="M6" s="65"/>
    </row>
    <row r="7" spans="1:13" ht="15.75" customHeight="1" x14ac:dyDescent="0.25">
      <c r="B7" s="122" t="s">
        <v>29</v>
      </c>
      <c r="C7" s="107">
        <v>46113</v>
      </c>
      <c r="D7" s="70" t="s">
        <v>30</v>
      </c>
      <c r="E7" s="65"/>
      <c r="F7" s="65"/>
      <c r="G7" s="65"/>
      <c r="H7" s="65"/>
      <c r="I7" s="65"/>
      <c r="J7" s="65"/>
      <c r="K7" s="65"/>
      <c r="L7" s="65"/>
      <c r="M7" s="65"/>
    </row>
    <row r="8" spans="1:13" ht="15.75" customHeight="1" x14ac:dyDescent="0.25">
      <c r="B8" s="119" t="s">
        <v>31</v>
      </c>
      <c r="C8" s="106" cm="1">
        <f t="array" ref="C8">IF(MAX(INDEX(J:J, LARGE(IF(J:J&lt;&gt;"", ROW(J:J)), {1;2;3;4;5;6;7;8})))=0,
  1,
  MAX(INDEX(J:J, LARGE(IF(J:J&lt;&gt;"", ROW(J:J)), {1;2;3;4;5;6;7;8}))))</f>
        <v>7</v>
      </c>
      <c r="D8" s="70" t="s">
        <v>32</v>
      </c>
      <c r="E8" s="71" t="s">
        <v>33</v>
      </c>
      <c r="F8" s="71"/>
      <c r="G8" s="65"/>
      <c r="H8" s="65"/>
      <c r="I8" s="65"/>
      <c r="J8" s="65"/>
      <c r="K8" s="65"/>
      <c r="L8" s="65"/>
      <c r="M8" s="65"/>
    </row>
    <row r="9" spans="1:13" ht="15.75" customHeight="1" x14ac:dyDescent="0.25">
      <c r="B9" s="119" t="s">
        <v>34</v>
      </c>
      <c r="C9" s="106" cm="1">
        <f t="array" ref="C9">IF(MIN(INDEX(J:J, LARGE(IF(J:J&lt;&gt;"", ROW(J:J)), {1;2;3;4;5;6;7;8})))=0,
  1,
  MIN(INDEX(J:J, LARGE(IF(J:J&lt;&gt;"", ROW(J:J)), {1;2;3;4;5;6;7;8}))))</f>
        <v>1</v>
      </c>
      <c r="D9" s="70" t="s">
        <v>32</v>
      </c>
      <c r="E9" s="71" t="s">
        <v>33</v>
      </c>
      <c r="F9" s="71"/>
      <c r="G9" s="65"/>
      <c r="H9" s="65"/>
      <c r="I9" s="65"/>
      <c r="J9" s="65"/>
      <c r="K9" s="65"/>
      <c r="L9" s="65"/>
      <c r="M9" s="65"/>
    </row>
    <row r="10" spans="1:13" ht="15.75" customHeight="1" x14ac:dyDescent="0.25">
      <c r="B10" s="122" t="s">
        <v>35</v>
      </c>
      <c r="C10" s="108">
        <v>6</v>
      </c>
      <c r="D10" s="70" t="s">
        <v>32</v>
      </c>
      <c r="E10" s="65"/>
      <c r="F10" s="65"/>
      <c r="G10" s="65"/>
      <c r="H10" s="65"/>
      <c r="I10" s="65"/>
      <c r="J10" s="65"/>
      <c r="K10" s="65"/>
      <c r="L10" s="65"/>
      <c r="M10" s="65"/>
    </row>
    <row r="11" spans="1:13" ht="15.75" customHeight="1" x14ac:dyDescent="0.25">
      <c r="B11" s="122" t="s">
        <v>36</v>
      </c>
      <c r="C11" s="109">
        <v>7</v>
      </c>
      <c r="D11" s="70" t="s">
        <v>37</v>
      </c>
      <c r="E11" s="65"/>
      <c r="F11" s="65"/>
      <c r="G11" s="65"/>
      <c r="H11" s="65"/>
      <c r="I11" s="65"/>
      <c r="J11" s="65"/>
      <c r="K11" s="65"/>
      <c r="L11" s="65"/>
      <c r="M11" s="65"/>
    </row>
    <row r="12" spans="1:13" ht="15.75" hidden="1" customHeight="1" x14ac:dyDescent="0.25">
      <c r="B12" s="112"/>
      <c r="C12" s="65"/>
      <c r="D12" s="113"/>
      <c r="E12" s="65"/>
      <c r="F12" s="65"/>
      <c r="G12" s="65"/>
      <c r="H12" s="65"/>
      <c r="I12" s="65"/>
      <c r="J12" s="65"/>
      <c r="K12" s="65"/>
      <c r="L12" s="65"/>
      <c r="M12" s="65"/>
    </row>
    <row r="13" spans="1:13" s="39" customFormat="1" ht="40.5" customHeight="1" x14ac:dyDescent="0.45">
      <c r="A13" s="103"/>
      <c r="B13" s="61" t="s">
        <v>38</v>
      </c>
      <c r="C13" s="60" t="s">
        <v>39</v>
      </c>
      <c r="D13" s="60" t="s">
        <v>40</v>
      </c>
      <c r="E13" s="60" t="s">
        <v>41</v>
      </c>
      <c r="F13" s="60" t="s">
        <v>42</v>
      </c>
      <c r="G13" s="60" t="s">
        <v>43</v>
      </c>
      <c r="H13" s="60" t="s">
        <v>44</v>
      </c>
      <c r="I13" s="60" t="s">
        <v>45</v>
      </c>
      <c r="J13" s="60" t="s">
        <v>46</v>
      </c>
      <c r="K13" s="60" t="s">
        <v>47</v>
      </c>
      <c r="L13" s="60"/>
      <c r="M13" s="60" t="s">
        <v>48</v>
      </c>
    </row>
    <row r="14" spans="1:13" ht="19.5" customHeight="1" x14ac:dyDescent="0.25">
      <c r="A14" s="91"/>
      <c r="B14" s="162" t="s">
        <v>49</v>
      </c>
      <c r="C14" s="163"/>
      <c r="D14" s="163"/>
      <c r="E14" s="163"/>
      <c r="F14" s="164"/>
      <c r="G14" s="165" t="s">
        <v>50</v>
      </c>
      <c r="H14" s="166"/>
      <c r="I14" s="166"/>
      <c r="J14" s="166"/>
      <c r="K14" s="166"/>
      <c r="L14" s="166"/>
      <c r="M14" s="166"/>
    </row>
    <row r="15" spans="1:13" ht="31.5" customHeight="1" x14ac:dyDescent="0.25">
      <c r="A15" s="44" t="s">
        <v>51</v>
      </c>
      <c r="B15" s="45" t="s">
        <v>52</v>
      </c>
      <c r="C15" s="46" t="s">
        <v>2495</v>
      </c>
      <c r="D15" s="46" t="s">
        <v>2496</v>
      </c>
      <c r="E15" s="46" t="s">
        <v>55</v>
      </c>
      <c r="F15" s="58" t="s">
        <v>56</v>
      </c>
      <c r="G15" s="47" t="s">
        <v>57</v>
      </c>
      <c r="H15" s="47" t="s">
        <v>58</v>
      </c>
      <c r="I15" s="48" t="s">
        <v>2561</v>
      </c>
      <c r="J15" s="54" t="s">
        <v>2586</v>
      </c>
      <c r="K15" s="142" t="s">
        <v>2562</v>
      </c>
      <c r="L15" s="141" t="s">
        <v>2587</v>
      </c>
      <c r="M15" s="77" t="s">
        <v>62</v>
      </c>
    </row>
    <row r="16" spans="1:13" ht="17.25" customHeight="1" x14ac:dyDescent="0.25">
      <c r="A16" s="73" t="s">
        <v>2543</v>
      </c>
      <c r="B16" s="66">
        <f>C6</f>
        <v>45936</v>
      </c>
      <c r="C16" s="79">
        <f>$C$4</f>
        <v>0</v>
      </c>
      <c r="D16" s="79">
        <f>$C$4</f>
        <v>0</v>
      </c>
      <c r="E16" s="79">
        <f>$C$4</f>
        <v>0</v>
      </c>
      <c r="F16" s="80"/>
      <c r="G16" s="118">
        <f t="shared" ref="G16:G25" ca="1" si="0">IF(TODAY()&gt;=INT(B16),COUNTIFS(criado, "&lt;=" &amp; INT(B16),
  dtc,"="&amp;INT(B16), resolvido,"&gt;="&amp;INT(B16),
  time, $C$2,release, "*" &amp; $C$3 &amp; "*",
  Item, "&lt;&gt;BUG"),"")</f>
        <v>0</v>
      </c>
      <c r="H16" s="118">
        <f t="shared" ref="H16:H30" si="1">COUNTIFS(dtc, "&gt;=" &amp;(INT(B16)+1),dtc,
 "&lt;"  &amp;(INT(B16)+7),time,
 $C$2,release, "*" &amp; $C$3 &amp; "*",Item,
 "&lt;&gt;BUG")</f>
        <v>0</v>
      </c>
      <c r="I16" s="82">
        <f t="shared" ref="I16:I30" si="2">COUNTIFS(time, $C$2,release, "*" &amp; $C$3 &amp; "*",Item,
 "BUG",criado,
 "&gt;=" &amp; INT(B16),criado,
 "&lt;"  &amp; INT(B16)+7)</f>
        <v>0</v>
      </c>
      <c r="J16" s="126">
        <f t="shared" ref="J16:J37" si="3">IF(COUNTIFS(time, $C$2, release, "*" &amp; $C$3 &amp; "*", resolvido, "&lt;&gt;" &amp; "", resolvido, "&gt;=" &amp; INT(B16), resolvido, "&lt;" &amp; INT(B16)+7)+K16 &lt; 0,
   0,
   COUNTIFS(time, $C$2, release, "*" &amp; $C$3 &amp; "*", resolvido, "&lt;&gt;" &amp; "", resolvido, "&gt;=" &amp; INT(B16), resolvido, "&lt;" &amp; INT(B16)+7)+K16)</f>
        <v>0</v>
      </c>
      <c r="K16" s="143">
        <f t="shared" ref="K16:K22" si="4">COUNTIFS(dtc, "&gt;=" &amp; INT(B16),dtc, "&lt;"  &amp; INT(B16)+7,status, "Descartado",time, $C$2,release, "*" &amp; $C$3 &amp; "*")</f>
        <v>0</v>
      </c>
      <c r="L16" s="84">
        <f t="shared" ref="L16:L37" ca="1" si="5">IF(TODAY()&gt;INT(B16),COUNTIFS(time, "*" &amp; $C$2 &amp; "*",release, "*" &amp; $C$3 &amp; "*",
  Item,"&lt;&gt;"&amp;"BUG",
  criado, "&gt;=" &amp; INT(B16),
criado, "&lt;"  &amp; INT(B16)+7, criado, "&gt;" &amp; INT(B16)),"")</f>
        <v>0</v>
      </c>
      <c r="M16" s="86"/>
    </row>
    <row r="17" spans="1:13" ht="17.25" customHeight="1" x14ac:dyDescent="0.25">
      <c r="A17" s="73" t="s">
        <v>2544</v>
      </c>
      <c r="B17" s="66">
        <f t="shared" ref="B17:B69" si="6">B16+$C$11</f>
        <v>45943</v>
      </c>
      <c r="C17" s="79" t="str">
        <f ca="1">IF(AND(OR(C16="",C16=0),(MAX($L16,0)+MAX($I16,0)+MAX($G16,0)+MAX($F16,0)-MAX($J16,0)-MAX($K16,0)&lt;=0)),"",IF($J16="",IF(MAX(C16,0)+MAX($L16,0)+MAX($I16,0)-MAX($K16,0)-MAX($C$8,0)&lt;=0,IF(AND(C16&gt;0,C16&lt;&gt;""),0,""),MAX(C16,0)+MAX($L16,0)+MAX($I16,0)-MAX($K16,0)-$C$8),IF((MAX(C16,0)-MAX($J16,0)-MAX($K16,0))+MAX($L16,0)+MAX($I16,0)&lt;=0,IF(AND(C16&gt;0,C16&lt;&gt;""),0,""),(MAX(C16,0)-MAX($J16,0)-MAX($K16,0))+MAX($L16,0)+MAX($I16,0))))</f>
        <v/>
      </c>
      <c r="D17" s="79" t="str">
        <f t="shared" ref="D17:D48" ca="1" si="7">IF(AND(OR(D16="",D16=0),(MAX($L16,0)+MAX($I16,0)+MAX($G16,0)+MAX($F16,0)-MAX($J16,0)-MAX($K16,0)&lt;=0)),"",IF($J16="",IF(MAX(D16,0)+MAX($L16,0)+MAX($I16,0)-MAX($K16,0)-MAX($C$9,0)&lt;=0,IF(AND(D16&gt;0,D16&lt;&gt;""),0,""),MAX(D16,0)+MAX($L16,0)+MAX($I16,0)-MAX($K16,0)-$C$9),IF((MAX(D16,0)-MAX($J16,0)-MAX($K16,0))+MAX($L16,0)+MAX($I16,0)&lt;=0,IF(AND(D16&gt;0,D16&lt;&gt;""),0,""),(MAX(D16,0)-MAX($J16,0)-MAX($K16,0))+MAX($L16,0)+MAX($I16,0))))</f>
        <v/>
      </c>
      <c r="E17" s="79" t="str">
        <f t="shared" ref="E17:E18" ca="1" si="8">IF(AND(OR(E16="",E16=0),(MAX($L16,0)+MAX($I16,0)+MAX($G16,0)+MAX($F16,0)-MAX($J16,0)-MAX($K16,0)&lt;=0)),"",IF($J16="",IF(MAX(E16,0)+MAX($L16,0)+MAX($I16,0)-MAX($K16,0)-MAX($C$10,0)&lt;=0,IF(AND(E16&gt;0,E16&lt;&gt;""),0,""),MAX(E16,0)+MAX($L16,0)+MAX($I16,0)-MAX($K16,0)-$C$10),IF((MAX(E16,0)-MAX($J16,0)-MAX($K16,0))+MAX($L16,0)+MAX($I16,0)&lt;=0,IF(AND(E16&gt;0,E16&lt;&gt;""),0,""),(MAX(E16,0)-MAX($J16,0)-MAX($K16,0))+MAX($L16,0)+MAX($I16,0))))</f>
        <v/>
      </c>
      <c r="F17" s="80">
        <f ca="1">IF(J16="","",IF(G16+F16+H16+I16+K16-J16&lt;0,0,G16+F16+H16+I16+K16-J16))</f>
        <v>0</v>
      </c>
      <c r="G17" s="118">
        <f t="shared" ca="1" si="0"/>
        <v>0</v>
      </c>
      <c r="H17" s="118">
        <f t="shared" si="1"/>
        <v>0</v>
      </c>
      <c r="I17" s="82">
        <f t="shared" si="2"/>
        <v>0</v>
      </c>
      <c r="J17" s="126">
        <f t="shared" si="3"/>
        <v>0</v>
      </c>
      <c r="K17" s="143">
        <f t="shared" si="4"/>
        <v>0</v>
      </c>
      <c r="L17" s="84">
        <f t="shared" ca="1" si="5"/>
        <v>0</v>
      </c>
      <c r="M17" s="86"/>
    </row>
    <row r="18" spans="1:13" ht="17.25" customHeight="1" x14ac:dyDescent="0.25">
      <c r="A18" s="73" t="s">
        <v>2545</v>
      </c>
      <c r="B18" s="66">
        <f t="shared" si="6"/>
        <v>45950</v>
      </c>
      <c r="C18" s="79" t="str">
        <f t="shared" ref="C18:C50" ca="1" si="9">IF(AND(OR(C17="",C17=0),(MAX($L17,0)+MAX($I17,0)+MAX($G17,0)+MAX($F17,0)-MAX($J17,0)-MAX($K17,0)&lt;=0)),"",IF($J17="",IF(MAX(C17,0)+MAX($L17,0)+MAX($I17,0)-MAX($K17,0)-MAX($C$8,0)&lt;=0,IF(AND(C17&gt;0,C17&lt;&gt;""),0,""),MAX(C17,0)+MAX($L17,0)+MAX($I17,0)-MAX($K17,0)-$C$8),IF((MAX(C17,0)-MAX($J17,0)-MAX($K17,0))+MAX($L17,0)+MAX($I17,0)&lt;=0,IF(AND(C17&gt;0,C17&lt;&gt;""),0,""),(MAX(C17,0)-MAX($J17,0)-MAX($K17,0))+MAX($L17,0)+MAX($I17,0))))</f>
        <v/>
      </c>
      <c r="D18" s="79" t="str">
        <f t="shared" ca="1" si="7"/>
        <v/>
      </c>
      <c r="E18" s="79" t="str">
        <f t="shared" ca="1" si="8"/>
        <v/>
      </c>
      <c r="F18" s="80">
        <f t="shared" ref="F18:F30" ca="1" si="10">IF(J17="","",IF(G17+F17+H17+I17+K17-J17&lt;0,0,G17+F17+H17+I17+K17-J17))</f>
        <v>0</v>
      </c>
      <c r="G18" s="118">
        <f t="shared" ca="1" si="0"/>
        <v>0</v>
      </c>
      <c r="H18" s="118">
        <f t="shared" si="1"/>
        <v>4</v>
      </c>
      <c r="I18" s="82">
        <f t="shared" si="2"/>
        <v>0</v>
      </c>
      <c r="J18" s="126">
        <f t="shared" si="3"/>
        <v>3</v>
      </c>
      <c r="K18" s="143">
        <f t="shared" si="4"/>
        <v>1</v>
      </c>
      <c r="L18" s="84">
        <f t="shared" ca="1" si="5"/>
        <v>4</v>
      </c>
      <c r="M18" s="86"/>
    </row>
    <row r="19" spans="1:13" ht="17.25" customHeight="1" x14ac:dyDescent="0.25">
      <c r="A19" s="73" t="s">
        <v>2546</v>
      </c>
      <c r="B19" s="66">
        <f t="shared" si="6"/>
        <v>45957</v>
      </c>
      <c r="C19" s="79" t="str">
        <f t="shared" ca="1" si="9"/>
        <v/>
      </c>
      <c r="D19" s="79" t="str">
        <f t="shared" ca="1" si="7"/>
        <v/>
      </c>
      <c r="E19" s="79" t="str">
        <f ca="1">IF(AND(OR(E18="",E18=0),(MAX($L18,0)+MAX($I18,0)+MAX($G18,0)+MAX($F18,0)-MAX($J18,0)-MAX($K18,0)&lt;=0)),"",IF($J18="",IF(MAX(E18,0)+MAX($L18,0)+MAX($I18,0)-MAX($K18,0)-MAX($C$10,0)&lt;=0,IF(AND(E18&gt;0,E18&lt;&gt;""),0,""),MAX(E18,0)+MAX($L18,0)+MAX($I18,0)-MAX($K18,0)-$C$10),IF((MAX(E18,0)-MAX($J18,0)-MAX($K18,0))+MAX($L18,0)+MAX($I18,0)&lt;=0,IF(AND(E18&gt;0,E18&lt;&gt;""),0,""),(MAX(E18,0)-MAX($J18,0)-MAX($K18,0))+MAX($L18,0)+MAX($I18,0))))</f>
        <v/>
      </c>
      <c r="F19" s="80">
        <f t="shared" ca="1" si="10"/>
        <v>2</v>
      </c>
      <c r="G19" s="118">
        <f t="shared" ca="1" si="0"/>
        <v>0</v>
      </c>
      <c r="H19" s="118">
        <f t="shared" si="1"/>
        <v>0</v>
      </c>
      <c r="I19" s="82">
        <f t="shared" si="2"/>
        <v>0</v>
      </c>
      <c r="J19" s="126">
        <f t="shared" si="3"/>
        <v>1</v>
      </c>
      <c r="K19" s="143">
        <f t="shared" si="4"/>
        <v>0</v>
      </c>
      <c r="L19" s="84">
        <f t="shared" ca="1" si="5"/>
        <v>0</v>
      </c>
      <c r="M19" s="111"/>
    </row>
    <row r="20" spans="1:13" ht="17.25" customHeight="1" x14ac:dyDescent="0.25">
      <c r="A20" s="73" t="s">
        <v>2547</v>
      </c>
      <c r="B20" s="66">
        <f t="shared" si="6"/>
        <v>45964</v>
      </c>
      <c r="C20" s="79" t="str">
        <f t="shared" ca="1" si="9"/>
        <v/>
      </c>
      <c r="D20" s="79" t="str">
        <f t="shared" ca="1" si="7"/>
        <v/>
      </c>
      <c r="E20" s="79" t="str">
        <f t="shared" ref="E20:E40" ca="1" si="11">IF(AND(OR(E19="",E19=0),(MAX($L19,0)+MAX($I19,0)+MAX($G19,0)+MAX($F19,0)-MAX($J19,0)-MAX($K19,0)&lt;=0)),"",IF($J19="",IF(MAX(E19,0)+MAX($L19,0)+MAX($I19,0)-MAX($K19,0)-MAX($C$10,0)&lt;=0,IF(AND(E19&gt;0,E19&lt;&gt;""),0,""),MAX(E19,0)+MAX($L19,0)+MAX($I19,0)-MAX($K19,0)-$C$10),IF((MAX(E19,0)-MAX($J19,0)-MAX($K19,0))+MAX($L19,0)+MAX($I19,0)&lt;=0,IF(AND(E19&gt;0,E19&lt;&gt;""),0,""),(MAX(E19,0)-MAX($J19,0)-MAX($K19,0))+MAX($L19,0)+MAX($I19,0))))</f>
        <v/>
      </c>
      <c r="F20" s="80">
        <f t="shared" ca="1" si="10"/>
        <v>1</v>
      </c>
      <c r="G20" s="118">
        <f t="shared" ca="1" si="0"/>
        <v>0</v>
      </c>
      <c r="H20" s="118">
        <f t="shared" si="1"/>
        <v>0</v>
      </c>
      <c r="I20" s="82">
        <f t="shared" si="2"/>
        <v>0</v>
      </c>
      <c r="J20" s="126">
        <f t="shared" si="3"/>
        <v>1</v>
      </c>
      <c r="K20" s="143">
        <f t="shared" si="4"/>
        <v>0</v>
      </c>
      <c r="L20" s="84">
        <f t="shared" ca="1" si="5"/>
        <v>0</v>
      </c>
      <c r="M20" s="86"/>
    </row>
    <row r="21" spans="1:13" ht="17.25" customHeight="1" x14ac:dyDescent="0.25">
      <c r="A21" s="73" t="s">
        <v>2548</v>
      </c>
      <c r="B21" s="66">
        <f t="shared" si="6"/>
        <v>45971</v>
      </c>
      <c r="C21" s="79" t="str">
        <f t="shared" ca="1" si="9"/>
        <v/>
      </c>
      <c r="D21" s="79" t="str">
        <f t="shared" ca="1" si="7"/>
        <v/>
      </c>
      <c r="E21" s="79" t="str">
        <f t="shared" ca="1" si="11"/>
        <v/>
      </c>
      <c r="F21" s="80">
        <f t="shared" ca="1" si="10"/>
        <v>0</v>
      </c>
      <c r="G21" s="118">
        <f t="shared" ca="1" si="0"/>
        <v>0</v>
      </c>
      <c r="H21" s="118">
        <f t="shared" si="1"/>
        <v>0</v>
      </c>
      <c r="I21" s="82">
        <f t="shared" si="2"/>
        <v>0</v>
      </c>
      <c r="J21" s="126">
        <f t="shared" si="3"/>
        <v>0</v>
      </c>
      <c r="K21" s="143">
        <f t="shared" si="4"/>
        <v>0</v>
      </c>
      <c r="L21" s="84">
        <f t="shared" ca="1" si="5"/>
        <v>9</v>
      </c>
      <c r="M21" s="86"/>
    </row>
    <row r="22" spans="1:13" ht="15.75" customHeight="1" x14ac:dyDescent="0.25">
      <c r="A22" s="73" t="s">
        <v>2549</v>
      </c>
      <c r="B22" s="66">
        <f t="shared" si="6"/>
        <v>45978</v>
      </c>
      <c r="C22" s="79">
        <f t="shared" ca="1" si="9"/>
        <v>9</v>
      </c>
      <c r="D22" s="79">
        <f t="shared" ca="1" si="7"/>
        <v>9</v>
      </c>
      <c r="E22" s="79">
        <f t="shared" ca="1" si="11"/>
        <v>9</v>
      </c>
      <c r="F22" s="80">
        <f t="shared" ca="1" si="10"/>
        <v>0</v>
      </c>
      <c r="G22" s="118">
        <f t="shared" ca="1" si="0"/>
        <v>0</v>
      </c>
      <c r="H22" s="118">
        <f t="shared" si="1"/>
        <v>0</v>
      </c>
      <c r="I22" s="82">
        <f t="shared" si="2"/>
        <v>0</v>
      </c>
      <c r="J22" s="126">
        <f t="shared" si="3"/>
        <v>0</v>
      </c>
      <c r="K22" s="143">
        <f t="shared" si="4"/>
        <v>0</v>
      </c>
      <c r="L22" s="84">
        <f t="shared" ca="1" si="5"/>
        <v>2</v>
      </c>
      <c r="M22" s="86"/>
    </row>
    <row r="23" spans="1:13" ht="15.75" customHeight="1" x14ac:dyDescent="0.25">
      <c r="A23" s="73" t="s">
        <v>2550</v>
      </c>
      <c r="B23" s="66">
        <f t="shared" si="6"/>
        <v>45985</v>
      </c>
      <c r="C23" s="79">
        <f t="shared" ca="1" si="9"/>
        <v>11</v>
      </c>
      <c r="D23" s="79">
        <f t="shared" ca="1" si="7"/>
        <v>11</v>
      </c>
      <c r="E23" s="79">
        <f t="shared" ca="1" si="11"/>
        <v>11</v>
      </c>
      <c r="F23" s="80">
        <f t="shared" ca="1" si="10"/>
        <v>0</v>
      </c>
      <c r="G23" s="118">
        <f t="shared" ca="1" si="0"/>
        <v>0</v>
      </c>
      <c r="H23" s="118">
        <f t="shared" si="1"/>
        <v>3</v>
      </c>
      <c r="I23" s="82">
        <f t="shared" si="2"/>
        <v>0</v>
      </c>
      <c r="J23" s="126">
        <f t="shared" si="3"/>
        <v>1</v>
      </c>
      <c r="K23" s="143">
        <f t="shared" ref="K23:K28" si="12">-COUNTIFS(dtc, "&gt;=" &amp; INT(B23),dtc, "&lt;"  &amp; INT(B23)+7,status, "Descartado",time, $C$2,release, "*" &amp; $C$3 &amp; "*")</f>
        <v>0</v>
      </c>
      <c r="L23" s="84">
        <f t="shared" ca="1" si="5"/>
        <v>0</v>
      </c>
      <c r="M23" s="86"/>
    </row>
    <row r="24" spans="1:13" s="139" customFormat="1" ht="15.75" customHeight="1" x14ac:dyDescent="0.25">
      <c r="A24" s="132" t="s">
        <v>2551</v>
      </c>
      <c r="B24" s="133">
        <f t="shared" si="6"/>
        <v>45992</v>
      </c>
      <c r="C24" s="135">
        <f t="shared" ca="1" si="9"/>
        <v>10</v>
      </c>
      <c r="D24" s="135">
        <f t="shared" ca="1" si="7"/>
        <v>10</v>
      </c>
      <c r="E24" s="135">
        <f t="shared" ca="1" si="11"/>
        <v>10</v>
      </c>
      <c r="F24" s="135">
        <f t="shared" ca="1" si="10"/>
        <v>2</v>
      </c>
      <c r="G24" s="134">
        <f t="shared" ca="1" si="0"/>
        <v>0</v>
      </c>
      <c r="H24" s="134">
        <f t="shared" si="1"/>
        <v>0</v>
      </c>
      <c r="I24" s="136">
        <f t="shared" si="2"/>
        <v>0</v>
      </c>
      <c r="J24" s="144">
        <f t="shared" si="3"/>
        <v>2</v>
      </c>
      <c r="K24" s="145">
        <f t="shared" si="12"/>
        <v>0</v>
      </c>
      <c r="L24" s="137">
        <f t="shared" ca="1" si="5"/>
        <v>2</v>
      </c>
      <c r="M24" s="138"/>
    </row>
    <row r="25" spans="1:13" ht="15.75" customHeight="1" x14ac:dyDescent="0.25">
      <c r="A25" s="73" t="s">
        <v>2552</v>
      </c>
      <c r="B25" s="66">
        <f t="shared" si="6"/>
        <v>45999</v>
      </c>
      <c r="C25" s="79">
        <f t="shared" ca="1" si="9"/>
        <v>10</v>
      </c>
      <c r="D25" s="79">
        <f t="shared" ca="1" si="7"/>
        <v>10</v>
      </c>
      <c r="E25" s="79">
        <f t="shared" ca="1" si="11"/>
        <v>10</v>
      </c>
      <c r="F25" s="80">
        <f t="shared" ca="1" si="10"/>
        <v>0</v>
      </c>
      <c r="G25" s="118">
        <f t="shared" ca="1" si="0"/>
        <v>0</v>
      </c>
      <c r="H25" s="118">
        <f t="shared" si="1"/>
        <v>4</v>
      </c>
      <c r="I25" s="82">
        <f t="shared" si="2"/>
        <v>1</v>
      </c>
      <c r="J25" s="126">
        <f t="shared" si="3"/>
        <v>5</v>
      </c>
      <c r="K25" s="143">
        <f t="shared" si="12"/>
        <v>-1</v>
      </c>
      <c r="L25" s="84">
        <f t="shared" ca="1" si="5"/>
        <v>1</v>
      </c>
      <c r="M25" s="86"/>
    </row>
    <row r="26" spans="1:13" ht="15.75" customHeight="1" x14ac:dyDescent="0.25">
      <c r="A26" s="73" t="s">
        <v>2553</v>
      </c>
      <c r="B26" s="66">
        <f t="shared" si="6"/>
        <v>46006</v>
      </c>
      <c r="C26" s="79">
        <f t="shared" ca="1" si="9"/>
        <v>7</v>
      </c>
      <c r="D26" s="79">
        <f t="shared" ca="1" si="7"/>
        <v>7</v>
      </c>
      <c r="E26" s="79">
        <f t="shared" ca="1" si="11"/>
        <v>7</v>
      </c>
      <c r="F26" s="80">
        <f t="shared" ca="1" si="10"/>
        <v>0</v>
      </c>
      <c r="G26" s="118">
        <f t="shared" ref="G26:G30" si="13">COUNTIFS(dtc, "&gt;=" &amp; INT(B26),
  dtc, "&lt;"  &amp; INT(B26)+1,
  time, $C$2,release, "*" &amp; $C$3 &amp; "*",
  Item, "&lt;&gt;BUG")</f>
        <v>1</v>
      </c>
      <c r="H26" s="118">
        <f t="shared" si="1"/>
        <v>0</v>
      </c>
      <c r="I26" s="82">
        <f t="shared" si="2"/>
        <v>0</v>
      </c>
      <c r="J26" s="126">
        <f t="shared" si="3"/>
        <v>3</v>
      </c>
      <c r="K26" s="143">
        <f t="shared" si="12"/>
        <v>0</v>
      </c>
      <c r="L26" s="84">
        <f t="shared" ca="1" si="5"/>
        <v>0</v>
      </c>
      <c r="M26" s="86"/>
    </row>
    <row r="27" spans="1:13" ht="15.75" customHeight="1" x14ac:dyDescent="0.25">
      <c r="A27" s="73" t="s">
        <v>2554</v>
      </c>
      <c r="B27" s="66">
        <f t="shared" si="6"/>
        <v>46013</v>
      </c>
      <c r="C27" s="79">
        <f t="shared" ca="1" si="9"/>
        <v>4</v>
      </c>
      <c r="D27" s="79">
        <f t="shared" ca="1" si="7"/>
        <v>4</v>
      </c>
      <c r="E27" s="79">
        <f t="shared" ca="1" si="11"/>
        <v>4</v>
      </c>
      <c r="F27" s="80">
        <f t="shared" ca="1" si="10"/>
        <v>0</v>
      </c>
      <c r="G27" s="118">
        <f t="shared" si="13"/>
        <v>0</v>
      </c>
      <c r="H27" s="118">
        <f t="shared" si="1"/>
        <v>0</v>
      </c>
      <c r="I27" s="82">
        <f t="shared" si="2"/>
        <v>0</v>
      </c>
      <c r="J27" s="126">
        <f t="shared" si="3"/>
        <v>2</v>
      </c>
      <c r="K27" s="143">
        <f t="shared" si="12"/>
        <v>0</v>
      </c>
      <c r="L27" s="84">
        <f t="shared" ca="1" si="5"/>
        <v>0</v>
      </c>
      <c r="M27" s="86"/>
    </row>
    <row r="28" spans="1:13" ht="15.75" customHeight="1" x14ac:dyDescent="0.25">
      <c r="A28" s="73" t="s">
        <v>2555</v>
      </c>
      <c r="B28" s="66">
        <f t="shared" si="6"/>
        <v>46020</v>
      </c>
      <c r="C28" s="79">
        <f t="shared" ca="1" si="9"/>
        <v>2</v>
      </c>
      <c r="D28" s="79">
        <f t="shared" ca="1" si="7"/>
        <v>2</v>
      </c>
      <c r="E28" s="79">
        <f t="shared" ca="1" si="11"/>
        <v>2</v>
      </c>
      <c r="F28" s="80">
        <f ca="1">IF(J27="","",IF(G27+F27+H27+I27-K27-J27&lt;0,0,G27+F27+H27+I27-K27-J27))</f>
        <v>0</v>
      </c>
      <c r="G28" s="118">
        <f t="shared" si="13"/>
        <v>0</v>
      </c>
      <c r="H28" s="118">
        <f t="shared" si="1"/>
        <v>0</v>
      </c>
      <c r="I28" s="82">
        <f t="shared" si="2"/>
        <v>0</v>
      </c>
      <c r="J28" s="126">
        <f t="shared" si="3"/>
        <v>1</v>
      </c>
      <c r="K28" s="143">
        <f t="shared" si="12"/>
        <v>0</v>
      </c>
      <c r="L28" s="84">
        <f t="shared" ca="1" si="5"/>
        <v>0</v>
      </c>
      <c r="M28" s="86"/>
    </row>
    <row r="29" spans="1:13" ht="15.75" customHeight="1" x14ac:dyDescent="0.25">
      <c r="A29" s="73" t="s">
        <v>2556</v>
      </c>
      <c r="B29" s="66">
        <f t="shared" si="6"/>
        <v>46027</v>
      </c>
      <c r="C29" s="79">
        <f t="shared" ca="1" si="9"/>
        <v>1</v>
      </c>
      <c r="D29" s="79">
        <f t="shared" ca="1" si="7"/>
        <v>1</v>
      </c>
      <c r="E29" s="79">
        <f t="shared" ca="1" si="11"/>
        <v>1</v>
      </c>
      <c r="F29" s="80">
        <f t="shared" ca="1" si="10"/>
        <v>0</v>
      </c>
      <c r="G29" s="118">
        <f t="shared" si="13"/>
        <v>0</v>
      </c>
      <c r="H29" s="118">
        <f t="shared" si="1"/>
        <v>1</v>
      </c>
      <c r="I29" s="82">
        <f t="shared" si="2"/>
        <v>1</v>
      </c>
      <c r="J29" s="126">
        <f t="shared" si="3"/>
        <v>0</v>
      </c>
      <c r="K29" s="143">
        <f t="shared" ref="K29:K37" si="14">COUNTIFS(dtc, "&gt;=" &amp; INT(B29),dtc, "&lt;"  &amp; INT(B29)+7,status, "Descartado",time, $C$2,release, "*" &amp; $C$3 &amp; "*")</f>
        <v>0</v>
      </c>
      <c r="L29" s="84">
        <f t="shared" ca="1" si="5"/>
        <v>1</v>
      </c>
      <c r="M29" s="86"/>
    </row>
    <row r="30" spans="1:13" ht="15.75" customHeight="1" x14ac:dyDescent="0.25">
      <c r="A30" s="73" t="s">
        <v>2557</v>
      </c>
      <c r="B30" s="66">
        <f t="shared" si="6"/>
        <v>46034</v>
      </c>
      <c r="C30" s="79">
        <f t="shared" ca="1" si="9"/>
        <v>3</v>
      </c>
      <c r="D30" s="79">
        <f t="shared" ca="1" si="7"/>
        <v>3</v>
      </c>
      <c r="E30" s="79">
        <f t="shared" ca="1" si="11"/>
        <v>3</v>
      </c>
      <c r="F30" s="80">
        <f t="shared" ca="1" si="10"/>
        <v>2</v>
      </c>
      <c r="G30" s="118">
        <f t="shared" si="13"/>
        <v>0</v>
      </c>
      <c r="H30" s="118">
        <f t="shared" si="1"/>
        <v>0</v>
      </c>
      <c r="I30" s="82">
        <f t="shared" si="2"/>
        <v>0</v>
      </c>
      <c r="J30" s="126">
        <f t="shared" si="3"/>
        <v>1</v>
      </c>
      <c r="K30" s="143">
        <f t="shared" si="14"/>
        <v>0</v>
      </c>
      <c r="L30" s="84">
        <f t="shared" ca="1" si="5"/>
        <v>0</v>
      </c>
      <c r="M30" s="86"/>
    </row>
    <row r="31" spans="1:13" ht="15.75" customHeight="1" x14ac:dyDescent="0.25">
      <c r="A31" s="73" t="s">
        <v>2558</v>
      </c>
      <c r="B31" s="66">
        <f t="shared" si="6"/>
        <v>46041</v>
      </c>
      <c r="C31" s="79">
        <f t="shared" ca="1" si="9"/>
        <v>2</v>
      </c>
      <c r="D31" s="79">
        <f t="shared" ca="1" si="7"/>
        <v>2</v>
      </c>
      <c r="E31" s="79">
        <f t="shared" ca="1" si="11"/>
        <v>2</v>
      </c>
      <c r="F31" s="80">
        <f t="shared" ref="F31:F37" ca="1" si="15">IF(J30="","",IF(G30+F30+H30+I30+K30-J30&lt;0,0,G30+F30+H30+I30+K30-J30))</f>
        <v>1</v>
      </c>
      <c r="G31" s="118">
        <f t="shared" ref="G31:G37" si="16">COUNTIFS(dtc, "&gt;=" &amp; INT(B31),
  dtc, "&lt;"  &amp; INT(B31)+1,
  time, $C$2,release, "*" &amp; $C$3 &amp; "*",
  Item, "&lt;&gt;BUG")</f>
        <v>1</v>
      </c>
      <c r="H31" s="118">
        <f t="shared" ref="H31:H37" si="17">COUNTIFS(dtc, "&gt;=" &amp;(INT(B31)+1),dtc,
 "&lt;"  &amp;(INT(B31)+7),time,
 $C$2,release, "*" &amp; $C$3 &amp; "*",Item,
 "&lt;&gt;BUG")</f>
        <v>1</v>
      </c>
      <c r="I31" s="82">
        <f t="shared" ref="I31:I37" si="18">COUNTIFS(time, $C$2,release, "*" &amp; $C$3 &amp; "*",Item,
 "BUG",criado,
 "&gt;=" &amp; INT(B31),criado,
 "&lt;"  &amp; INT(B31)+7)</f>
        <v>0</v>
      </c>
      <c r="J31" s="126">
        <f t="shared" si="3"/>
        <v>1</v>
      </c>
      <c r="K31" s="143">
        <f t="shared" si="14"/>
        <v>1</v>
      </c>
      <c r="L31" s="84">
        <f t="shared" ca="1" si="5"/>
        <v>4</v>
      </c>
      <c r="M31" s="86"/>
    </row>
    <row r="32" spans="1:13" ht="15.75" customHeight="1" x14ac:dyDescent="0.25">
      <c r="A32" s="73" t="s">
        <v>2559</v>
      </c>
      <c r="B32" s="66">
        <f t="shared" si="6"/>
        <v>46048</v>
      </c>
      <c r="C32" s="79">
        <f t="shared" ca="1" si="9"/>
        <v>4</v>
      </c>
      <c r="D32" s="79">
        <f t="shared" ca="1" si="7"/>
        <v>4</v>
      </c>
      <c r="E32" s="79">
        <f t="shared" ca="1" si="11"/>
        <v>4</v>
      </c>
      <c r="F32" s="80">
        <f t="shared" ca="1" si="15"/>
        <v>3</v>
      </c>
      <c r="G32" s="118">
        <f t="shared" si="16"/>
        <v>2</v>
      </c>
      <c r="H32" s="118">
        <f t="shared" si="17"/>
        <v>2</v>
      </c>
      <c r="I32" s="82">
        <f t="shared" si="18"/>
        <v>4</v>
      </c>
      <c r="J32" s="126">
        <f t="shared" si="3"/>
        <v>0</v>
      </c>
      <c r="K32" s="143">
        <f t="shared" si="14"/>
        <v>0</v>
      </c>
      <c r="L32" s="84">
        <f t="shared" ca="1" si="5"/>
        <v>3</v>
      </c>
      <c r="M32" s="86"/>
    </row>
    <row r="33" spans="1:13" ht="15.75" customHeight="1" x14ac:dyDescent="0.25">
      <c r="A33" s="73" t="s">
        <v>2560</v>
      </c>
      <c r="B33" s="66">
        <f t="shared" si="6"/>
        <v>46055</v>
      </c>
      <c r="C33" s="79">
        <f t="shared" ca="1" si="9"/>
        <v>11</v>
      </c>
      <c r="D33" s="79">
        <f t="shared" ca="1" si="7"/>
        <v>11</v>
      </c>
      <c r="E33" s="79">
        <f t="shared" ca="1" si="11"/>
        <v>11</v>
      </c>
      <c r="F33" s="80">
        <f t="shared" ca="1" si="15"/>
        <v>11</v>
      </c>
      <c r="G33" s="118">
        <f t="shared" si="16"/>
        <v>1</v>
      </c>
      <c r="H33" s="118">
        <f t="shared" si="17"/>
        <v>1</v>
      </c>
      <c r="I33" s="82">
        <f t="shared" si="18"/>
        <v>6</v>
      </c>
      <c r="J33" s="126">
        <f t="shared" si="3"/>
        <v>7</v>
      </c>
      <c r="K33" s="143">
        <f t="shared" si="14"/>
        <v>0</v>
      </c>
      <c r="L33" s="84">
        <f t="shared" ca="1" si="5"/>
        <v>1</v>
      </c>
      <c r="M33" s="86"/>
    </row>
    <row r="34" spans="1:13" ht="15.75" customHeight="1" x14ac:dyDescent="0.25">
      <c r="A34" s="73" t="s">
        <v>2563</v>
      </c>
      <c r="B34" s="66">
        <f t="shared" si="6"/>
        <v>46062</v>
      </c>
      <c r="C34" s="79">
        <f t="shared" ca="1" si="9"/>
        <v>11</v>
      </c>
      <c r="D34" s="79">
        <f t="shared" ca="1" si="7"/>
        <v>11</v>
      </c>
      <c r="E34" s="79">
        <f t="shared" ca="1" si="11"/>
        <v>11</v>
      </c>
      <c r="F34" s="80">
        <f t="shared" ca="1" si="15"/>
        <v>12</v>
      </c>
      <c r="G34" s="118">
        <f t="shared" si="16"/>
        <v>0</v>
      </c>
      <c r="H34" s="118">
        <f t="shared" si="17"/>
        <v>0</v>
      </c>
      <c r="I34" s="82">
        <f t="shared" si="18"/>
        <v>1</v>
      </c>
      <c r="J34" s="126">
        <f t="shared" si="3"/>
        <v>4</v>
      </c>
      <c r="K34" s="143">
        <f t="shared" si="14"/>
        <v>0</v>
      </c>
      <c r="L34" s="84">
        <f t="shared" ca="1" si="5"/>
        <v>0</v>
      </c>
      <c r="M34" s="86"/>
    </row>
    <row r="35" spans="1:13" ht="15.75" customHeight="1" x14ac:dyDescent="0.25">
      <c r="A35" s="73" t="s">
        <v>2564</v>
      </c>
      <c r="B35" s="66">
        <f t="shared" si="6"/>
        <v>46069</v>
      </c>
      <c r="C35" s="79">
        <f t="shared" ca="1" si="9"/>
        <v>8</v>
      </c>
      <c r="D35" s="79">
        <f t="shared" ca="1" si="7"/>
        <v>8</v>
      </c>
      <c r="E35" s="79">
        <f t="shared" ca="1" si="11"/>
        <v>8</v>
      </c>
      <c r="F35" s="80">
        <f t="shared" ca="1" si="15"/>
        <v>9</v>
      </c>
      <c r="G35" s="118">
        <f t="shared" si="16"/>
        <v>0</v>
      </c>
      <c r="H35" s="118">
        <f t="shared" si="17"/>
        <v>0</v>
      </c>
      <c r="I35" s="82">
        <f t="shared" si="18"/>
        <v>0</v>
      </c>
      <c r="J35" s="126">
        <f t="shared" si="3"/>
        <v>3</v>
      </c>
      <c r="K35" s="143">
        <f t="shared" si="14"/>
        <v>0</v>
      </c>
      <c r="L35" s="84">
        <f t="shared" ca="1" si="5"/>
        <v>1</v>
      </c>
      <c r="M35" s="86"/>
    </row>
    <row r="36" spans="1:13" ht="15.75" customHeight="1" x14ac:dyDescent="0.25">
      <c r="A36" s="73" t="s">
        <v>2565</v>
      </c>
      <c r="B36" s="66">
        <f t="shared" si="6"/>
        <v>46076</v>
      </c>
      <c r="C36" s="79">
        <f t="shared" ca="1" si="9"/>
        <v>6</v>
      </c>
      <c r="D36" s="79">
        <f t="shared" ca="1" si="7"/>
        <v>6</v>
      </c>
      <c r="E36" s="79">
        <f t="shared" ca="1" si="11"/>
        <v>6</v>
      </c>
      <c r="F36" s="80">
        <f t="shared" ca="1" si="15"/>
        <v>6</v>
      </c>
      <c r="G36" s="118">
        <f t="shared" si="16"/>
        <v>0</v>
      </c>
      <c r="H36" s="118">
        <f t="shared" si="17"/>
        <v>0</v>
      </c>
      <c r="I36" s="82">
        <f t="shared" si="18"/>
        <v>5</v>
      </c>
      <c r="J36" s="126">
        <f t="shared" si="3"/>
        <v>7</v>
      </c>
      <c r="K36" s="143">
        <f t="shared" si="14"/>
        <v>0</v>
      </c>
      <c r="L36" s="84">
        <f t="shared" ca="1" si="5"/>
        <v>3</v>
      </c>
      <c r="M36" s="86"/>
    </row>
    <row r="37" spans="1:13" ht="15.75" customHeight="1" x14ac:dyDescent="0.25">
      <c r="A37" s="73" t="s">
        <v>2566</v>
      </c>
      <c r="B37" s="66">
        <f t="shared" si="6"/>
        <v>46083</v>
      </c>
      <c r="C37" s="79">
        <f t="shared" ca="1" si="9"/>
        <v>7</v>
      </c>
      <c r="D37" s="79">
        <f t="shared" ca="1" si="7"/>
        <v>7</v>
      </c>
      <c r="E37" s="79">
        <f t="shared" ca="1" si="11"/>
        <v>7</v>
      </c>
      <c r="F37" s="80">
        <f t="shared" ca="1" si="15"/>
        <v>4</v>
      </c>
      <c r="G37" s="118">
        <f t="shared" si="16"/>
        <v>3</v>
      </c>
      <c r="H37" s="118">
        <f t="shared" si="17"/>
        <v>0</v>
      </c>
      <c r="I37" s="82">
        <f t="shared" si="18"/>
        <v>0</v>
      </c>
      <c r="J37" s="126">
        <f t="shared" si="3"/>
        <v>3</v>
      </c>
      <c r="K37" s="143">
        <f t="shared" si="14"/>
        <v>0</v>
      </c>
      <c r="L37" s="84">
        <f t="shared" ca="1" si="5"/>
        <v>0</v>
      </c>
      <c r="M37" s="86"/>
    </row>
    <row r="38" spans="1:13" ht="15.75" customHeight="1" x14ac:dyDescent="0.25">
      <c r="A38" s="73" t="s">
        <v>2567</v>
      </c>
      <c r="B38" s="66">
        <f t="shared" si="6"/>
        <v>46090</v>
      </c>
      <c r="C38" s="79">
        <f t="shared" ca="1" si="9"/>
        <v>4</v>
      </c>
      <c r="D38" s="79">
        <f t="shared" ca="1" si="7"/>
        <v>4</v>
      </c>
      <c r="E38" s="79">
        <f t="shared" ca="1" si="11"/>
        <v>4</v>
      </c>
      <c r="F38" s="80">
        <f t="shared" ref="F38:F69" ca="1" si="19">IF(J37="","",IF(G37+F37+H37+I37-J37&lt;0,0,G37+F37+H37+I37-J37))</f>
        <v>4</v>
      </c>
      <c r="G38" s="81"/>
      <c r="H38" s="81"/>
      <c r="I38" s="82"/>
      <c r="J38" s="83"/>
      <c r="K38" s="84"/>
      <c r="L38" s="84"/>
      <c r="M38" s="86"/>
    </row>
    <row r="39" spans="1:13" ht="15.75" customHeight="1" x14ac:dyDescent="0.25">
      <c r="A39" s="73" t="s">
        <v>2568</v>
      </c>
      <c r="B39" s="66">
        <f t="shared" si="6"/>
        <v>46097</v>
      </c>
      <c r="C39" s="79">
        <f t="shared" ca="1" si="9"/>
        <v>0</v>
      </c>
      <c r="D39" s="79">
        <f t="shared" ca="1" si="7"/>
        <v>3</v>
      </c>
      <c r="E39" s="79">
        <f t="shared" ca="1" si="11"/>
        <v>0</v>
      </c>
      <c r="F39" s="80" t="str">
        <f t="shared" si="19"/>
        <v/>
      </c>
      <c r="G39" s="81"/>
      <c r="H39" s="81"/>
      <c r="I39" s="82"/>
      <c r="J39" s="83"/>
      <c r="K39" s="84"/>
      <c r="L39" s="84"/>
      <c r="M39" s="86"/>
    </row>
    <row r="40" spans="1:13" ht="15.75" customHeight="1" x14ac:dyDescent="0.25">
      <c r="A40" s="73" t="s">
        <v>2569</v>
      </c>
      <c r="B40" s="66">
        <f t="shared" si="6"/>
        <v>46104</v>
      </c>
      <c r="C40" s="79" t="str">
        <f t="shared" ca="1" si="9"/>
        <v/>
      </c>
      <c r="D40" s="79">
        <f t="shared" ca="1" si="7"/>
        <v>2</v>
      </c>
      <c r="E40" s="79" t="str">
        <f t="shared" ca="1" si="11"/>
        <v/>
      </c>
      <c r="F40" s="80" t="str">
        <f t="shared" si="19"/>
        <v/>
      </c>
      <c r="G40" s="81"/>
      <c r="H40" s="81"/>
      <c r="I40" s="82"/>
      <c r="J40" s="83"/>
      <c r="K40" s="84"/>
      <c r="L40" s="84"/>
      <c r="M40" s="86"/>
    </row>
    <row r="41" spans="1:13" ht="15.75" customHeight="1" x14ac:dyDescent="0.25">
      <c r="A41" s="73" t="s">
        <v>2570</v>
      </c>
      <c r="B41" s="66">
        <f t="shared" si="6"/>
        <v>46111</v>
      </c>
      <c r="C41" s="79" t="str">
        <f t="shared" ca="1" si="9"/>
        <v/>
      </c>
      <c r="D41" s="79">
        <f t="shared" ca="1" si="7"/>
        <v>1</v>
      </c>
      <c r="E41" s="79" t="str">
        <f ca="1">IF(AND(OR(E40="",E40=0),(MAX($L40,0)+MAX($I40,0)+MAX($G40,0)+MAX($F40,0)-MAX($J40,0)+MAX($K40,0)&lt;=0)),
  "",
  IF($J40="",
      IF(MAX(E40,0)+MAX($L40,0)+MAX($I40,0)+MAX($K40,0)-MAX($C$10,0)&lt;=0,
          IF(AND(E40&gt;0,E40&lt;&gt;""),0,""),
          MAX(E40,0)+MAX($L40,0)+MAX($I40,0)+MAX($K40,0)-$C$10),
      IF((MAX(E40,0)-MAX($J40,0)+MAX($K40,0))+MAX($L40,0)+MAX($I40,0)&lt;=0,
          IF(AND(E40&gt;0,E40&lt;&gt;""),0,""),(MAX(E40,0)-MAX($J40,0)+MAX($K40,0))+MAX($L40,0)+MAX($I40,0))))</f>
        <v/>
      </c>
      <c r="F41" s="80" t="str">
        <f t="shared" si="19"/>
        <v/>
      </c>
      <c r="G41" s="81"/>
      <c r="H41" s="81"/>
      <c r="I41" s="82"/>
      <c r="J41" s="83"/>
      <c r="K41" s="84"/>
      <c r="L41" s="84"/>
      <c r="M41" s="86"/>
    </row>
    <row r="42" spans="1:13" ht="15.75" customHeight="1" x14ac:dyDescent="0.25">
      <c r="A42" s="73"/>
      <c r="B42" s="66">
        <f t="shared" si="6"/>
        <v>46118</v>
      </c>
      <c r="C42" s="79" t="str">
        <f t="shared" ca="1" si="9"/>
        <v/>
      </c>
      <c r="D42" s="79">
        <f t="shared" ca="1" si="7"/>
        <v>0</v>
      </c>
      <c r="E42" s="79" t="str">
        <f ca="1">IF(AND(OR(E41="",E41=0),(MAX($L41,0)+MAX($I41,0)+MAX($G41,0)+MAX($F41,0)-MAX($J41,0)+MAX($K41,0)&lt;=0)),
  "",
  IF($J41="",
      IF(MAX(E41,0)+MAX($L41,0)+MAX($I41,0)+MAX($K41,0)-MAX($C$10,0)&lt;=0,
          IF(AND(E41&gt;0,E41&lt;&gt;""),0,""),
          MAX(E41,0)+MAX($L41,0)+MAX($I41,0)+MAX($K41,0)-$C$10),
      IF((MAX(E41,0)-MAX($J41,0)+MAX($K41,0))+MAX($L41,0)+MAX($I41,0)&lt;=0,
          IF(AND(E41&gt;0,E41&lt;&gt;""),0,""),(MAX(E41,0)-MAX($J41,0)+MAX($K41,0))+MAX($L41,0)+MAX($I41,0))))</f>
        <v/>
      </c>
      <c r="F42" s="80" t="str">
        <f t="shared" si="19"/>
        <v/>
      </c>
      <c r="G42" s="81"/>
      <c r="H42" s="81"/>
      <c r="I42" s="82"/>
      <c r="J42" s="83"/>
      <c r="K42" s="84"/>
      <c r="L42" s="84"/>
      <c r="M42" s="86"/>
    </row>
    <row r="43" spans="1:13" ht="15.75" customHeight="1" x14ac:dyDescent="0.25">
      <c r="A43" s="73"/>
      <c r="B43" s="66">
        <f t="shared" si="6"/>
        <v>46125</v>
      </c>
      <c r="C43" s="79" t="str">
        <f t="shared" ca="1" si="9"/>
        <v/>
      </c>
      <c r="D43" s="79" t="str">
        <f t="shared" ca="1" si="7"/>
        <v/>
      </c>
      <c r="E43" s="79" t="str">
        <f ca="1">IF(AND(OR(E42="",E42=0),(MAX($L42,0)+MAX($I42,0)+MAX($G42,0)+MAX($F42,0)-MAX($J42,0)+MAX($K42,0)&lt;=0)),
  "",
  IF($J42="",
      IF(MAX(E42,0)+MAX($L42,0)+MAX($I42,0)+MAX($K42,0)-MAX($C$10,0)&lt;=0,
          IF(AND(E42&gt;0,E42&lt;&gt;""),0,""),
          MAX(E42,0)+MAX($L42,0)+MAX($I42,0)+MAX($K42,0)-$C$10),
      IF((MAX(E42,0)-MAX($J42,0)+MAX($K42,0))+MAX($L42,0)+MAX($I42,0)&lt;=0,
          IF(AND(E42&gt;0,E42&lt;&gt;""),0,""),(MAX(E42,0)-MAX($J42,0)+MAX($K42,0))+MAX($L42,0)+MAX($I42,0))))</f>
        <v/>
      </c>
      <c r="F43" s="80" t="str">
        <f t="shared" si="19"/>
        <v/>
      </c>
      <c r="G43" s="81"/>
      <c r="H43" s="81"/>
      <c r="I43" s="82"/>
      <c r="J43" s="83"/>
      <c r="K43" s="84"/>
      <c r="L43" s="84"/>
      <c r="M43" s="86"/>
    </row>
    <row r="44" spans="1:13" ht="15.75" customHeight="1" x14ac:dyDescent="0.25">
      <c r="A44" s="73"/>
      <c r="B44" s="66">
        <f t="shared" si="6"/>
        <v>46132</v>
      </c>
      <c r="C44" s="79" t="str">
        <f t="shared" ca="1" si="9"/>
        <v/>
      </c>
      <c r="D44" s="79" t="str">
        <f t="shared" ca="1" si="7"/>
        <v/>
      </c>
      <c r="E44" s="79" t="str">
        <f ca="1">IF(AND(OR(E43="",E43=0),(MAX($L43,0)+MAX($I43,0)+MAX($G43,0)+MAX($F43,0)-MAX($J43,0)+MAX($K43,0)&lt;=0)),
  "",
  IF($J43="",
      IF(MAX(E43,0)+MAX($L43,0)+MAX($I43,0)+MAX($K43,0)-MAX($C$10,0)&lt;=0,
          IF(AND(E43&gt;0,E43&lt;&gt;""),0,""),
          MAX(E43,0)+MAX($L43,0)+MAX($I43,0)+MAX($K43,0)-$C$10),
      IF((MAX(E43,0)-MAX($J43,0)+MAX($K43,0))+MAX($L43,0)+MAX($I43,0)&lt;=0,
          IF(AND(E43&gt;0,E43&lt;&gt;""),0,""),(MAX(E43,0)-MAX($J43,0)+MAX($K43,0))+MAX($L43,0)+MAX($I43,0))))</f>
        <v/>
      </c>
      <c r="F44" s="80" t="str">
        <f t="shared" si="19"/>
        <v/>
      </c>
      <c r="G44" s="81"/>
      <c r="H44" s="81"/>
      <c r="I44" s="82"/>
      <c r="J44" s="83"/>
      <c r="K44" s="84"/>
      <c r="L44" s="84"/>
      <c r="M44" s="86"/>
    </row>
    <row r="45" spans="1:13" ht="15.75" customHeight="1" x14ac:dyDescent="0.25">
      <c r="A45" s="73"/>
      <c r="B45" s="66">
        <f t="shared" si="6"/>
        <v>46139</v>
      </c>
      <c r="C45" s="79" t="str">
        <f t="shared" ca="1" si="9"/>
        <v/>
      </c>
      <c r="D45" s="79" t="str">
        <f t="shared" ca="1" si="7"/>
        <v/>
      </c>
      <c r="E45" s="79" t="str">
        <f ca="1">IF(AND(OR(E44="",E44=0),(MAX($L44,0)+MAX($I44,0)+MAX($G44,0)+MAX($F44,0)-MAX($J44,0)+MAX($K44,0)&lt;=0)),
  "",
  IF($J44="",
      IF(MAX(E44,0)+MAX($L44,0)+MAX($I44,0)+MAX($K44,0)-MAX($C$10,0)&lt;=0,
          IF(AND(E44&gt;0,E44&lt;&gt;""),0,""),
          MAX(E44,0)+MAX($L44,0)+MAX($I44,0)+MAX($K44,0)-$C$10),
      IF((MAX(E44,0)-MAX($J44,0)+MAX($K44,0))+MAX($L44,0)+MAX($I44,0)&lt;=0,
          IF(AND(E44&gt;0,E44&lt;&gt;""),0,""),(MAX(E44,0)-MAX($J44,0)+MAX($K44,0))+MAX($L44,0)+MAX($I44,0))))</f>
        <v/>
      </c>
      <c r="F45" s="80" t="str">
        <f t="shared" si="19"/>
        <v/>
      </c>
      <c r="G45" s="81"/>
      <c r="H45" s="81"/>
      <c r="I45" s="82"/>
      <c r="J45" s="83"/>
      <c r="K45" s="84"/>
      <c r="L45" s="84"/>
      <c r="M45" s="86"/>
    </row>
    <row r="46" spans="1:13" ht="15.75" customHeight="1" x14ac:dyDescent="0.25">
      <c r="A46" s="73"/>
      <c r="B46" s="66">
        <f t="shared" si="6"/>
        <v>46146</v>
      </c>
      <c r="C46" s="79" t="str">
        <f t="shared" ca="1" si="9"/>
        <v/>
      </c>
      <c r="D46" s="79" t="str">
        <f t="shared" ca="1" si="7"/>
        <v/>
      </c>
      <c r="E46" s="79" t="str">
        <f t="shared" ref="E46:E62" ca="1" si="20">IF(AND(OR(E45="",E45=0),(MAX($L45,0)+MAX($I45,0)+MAX($G45,0)+MAX($F45,0)-MAX($J45,0)-MAX($K45,0)&lt;=0)),
  "",
  IF($J45="",
    IF(MAX(E45,0)+MAX($L45,0)+MAX($I45,0)-MAX($K45,0)-MAX($C$10,0)&lt;=0,
      IF(AND(E45&gt;0,E45&lt;&gt;""),0,""),
      MAX(E45,0)+MAX($L45,0)+MAX($I45,0)-MAX($K45,0)-$C$10),
    IF((MAX(E45,0)-MAX($J45,0)-MAX($K45,0))+MAX($L45,0)+MAX($I45,0)&lt;=0,
      IF(AND(E45&gt;0,E45&lt;&gt;""),0,""),(MAX(E45,0)-MAX($J45,0)-MAX($K45,0))+MAX($L45,0)+MAX($I45,0))))</f>
        <v/>
      </c>
      <c r="F46" s="80" t="str">
        <f t="shared" si="19"/>
        <v/>
      </c>
      <c r="G46" s="81"/>
      <c r="H46" s="81"/>
      <c r="I46" s="82"/>
      <c r="J46" s="83"/>
      <c r="K46" s="84"/>
      <c r="L46" s="84"/>
      <c r="M46" s="86"/>
    </row>
    <row r="47" spans="1:13" ht="15.75" customHeight="1" x14ac:dyDescent="0.25">
      <c r="A47" s="73"/>
      <c r="B47" s="66">
        <f t="shared" si="6"/>
        <v>46153</v>
      </c>
      <c r="C47" s="79" t="str">
        <f t="shared" ca="1" si="9"/>
        <v/>
      </c>
      <c r="D47" s="79" t="str">
        <f t="shared" ca="1" si="7"/>
        <v/>
      </c>
      <c r="E47" s="79" t="str">
        <f ca="1">IF(AND(OR(E46="",E46=0),(MAX($L46,0)+MAX($I46,0)+MAX($G46,0)+MAX($F46,0)-MAX($J46,0)-MAX($K46,0)&lt;=0)),
  "",
  IF($J46="",
    IF(MAX(E46,0)+MAX($L46,0)+MAX($I46,0)-MAX($K46,0)-MAX($C$10,0)&lt;=0,
      IF(AND(E46&gt;0,E46&lt;&gt;""),0,""),
      MAX(E46,0)+MAX($L46,0)+MAX($I46,0)-MAX($K46,0)-$C$10),
    IF((MAX(E46,0)-MAX($J46,0)-MAX($K46,0))+MAX($L46,0)+MAX($I46,0)&lt;=0,
      IF(AND(E46&gt;0,E46&lt;&gt;""),0,""),(MAX(E46,0)-MAX($J46,0)-MAX($K46,0))+MAX($L46,0)+MAX($I46,0))))</f>
        <v/>
      </c>
      <c r="F47" s="80" t="str">
        <f t="shared" si="19"/>
        <v/>
      </c>
      <c r="G47" s="81"/>
      <c r="H47" s="81"/>
      <c r="I47" s="82"/>
      <c r="J47" s="83"/>
      <c r="K47" s="84"/>
      <c r="L47" s="84"/>
      <c r="M47" s="86"/>
    </row>
    <row r="48" spans="1:13" ht="15.75" customHeight="1" x14ac:dyDescent="0.25">
      <c r="A48" s="73"/>
      <c r="B48" s="66">
        <f t="shared" si="6"/>
        <v>46160</v>
      </c>
      <c r="C48" s="79" t="str">
        <f t="shared" ca="1" si="9"/>
        <v/>
      </c>
      <c r="D48" s="79" t="str">
        <f t="shared" ca="1" si="7"/>
        <v/>
      </c>
      <c r="E48" s="79" t="str">
        <f t="shared" ca="1" si="20"/>
        <v/>
      </c>
      <c r="F48" s="80" t="str">
        <f t="shared" si="19"/>
        <v/>
      </c>
      <c r="G48" s="81"/>
      <c r="H48" s="81"/>
      <c r="I48" s="82"/>
      <c r="J48" s="83"/>
      <c r="K48" s="84"/>
      <c r="L48" s="84"/>
      <c r="M48" s="86"/>
    </row>
    <row r="49" spans="1:13" ht="15.75" customHeight="1" x14ac:dyDescent="0.25">
      <c r="A49" s="73"/>
      <c r="B49" s="66">
        <f t="shared" si="6"/>
        <v>46167</v>
      </c>
      <c r="C49" s="79" t="str">
        <f t="shared" ca="1" si="9"/>
        <v/>
      </c>
      <c r="D49" s="79" t="str">
        <f t="shared" ref="D49:D65" ca="1" si="21">IF(AND(OR(D48="",D48=0),(MAX($L48,0)+MAX($I48,0)+MAX($G48,0)+MAX($F48,0)-MAX($J48,0)-MAX($K48,0)&lt;=0)),"",IF($J48="",IF(MAX(D48,0)+MAX($L48,0)+MAX($I48,0)-MAX($K48,0)-MAX($C$9,0)&lt;=0,IF(AND(D48&gt;0,D48&lt;&gt;""),0,""),MAX(D48,0)+MAX($L48,0)+MAX($I48,0)-MAX($K48,0)-$C$9),IF((MAX(D48,0)-MAX($J48,0)-MAX($K48,0))+MAX($L48,0)+MAX($I48,0)&lt;=0,IF(AND(D48&gt;0,D48&lt;&gt;""),0,""),(MAX(D48,0)-MAX($J48,0)-MAX($K48,0))+MAX($L48,0)+MAX($I48,0))))</f>
        <v/>
      </c>
      <c r="E49" s="79" t="str">
        <f t="shared" ca="1" si="20"/>
        <v/>
      </c>
      <c r="F49" s="80" t="str">
        <f t="shared" si="19"/>
        <v/>
      </c>
      <c r="G49" s="81"/>
      <c r="H49" s="81"/>
      <c r="I49" s="82"/>
      <c r="J49" s="83"/>
      <c r="K49" s="84"/>
      <c r="L49" s="84"/>
      <c r="M49" s="86"/>
    </row>
    <row r="50" spans="1:13" ht="15.75" customHeight="1" x14ac:dyDescent="0.25">
      <c r="A50" s="73"/>
      <c r="B50" s="66">
        <f t="shared" si="6"/>
        <v>46174</v>
      </c>
      <c r="C50" s="79" t="str">
        <f t="shared" ca="1" si="9"/>
        <v/>
      </c>
      <c r="D50" s="79" t="str">
        <f t="shared" ca="1" si="21"/>
        <v/>
      </c>
      <c r="E50" s="79" t="str">
        <f t="shared" ca="1" si="20"/>
        <v/>
      </c>
      <c r="F50" s="80" t="str">
        <f t="shared" si="19"/>
        <v/>
      </c>
      <c r="G50" s="81"/>
      <c r="H50" s="81"/>
      <c r="I50" s="82"/>
      <c r="J50" s="83"/>
      <c r="K50" s="84"/>
      <c r="L50" s="84"/>
      <c r="M50" s="86"/>
    </row>
    <row r="51" spans="1:13" ht="15.75" customHeight="1" x14ac:dyDescent="0.25">
      <c r="A51" s="73"/>
      <c r="B51" s="66">
        <f t="shared" si="6"/>
        <v>46181</v>
      </c>
      <c r="C51" s="85" t="str">
        <f t="shared" ref="C51:C69" ca="1" si="22">IF(OR(C50="",C50=0),"",IF(ISBLANK(J50),IF(C50+K50+I50-$C$8&lt;=0,IF(AND(C50&gt;0,C50&lt;&gt;""),0,""),C50+K50+I50-$C$8),IF((C50-J50)+K50+I50&lt;=0,IF(AND(C50&gt;0,C50&lt;&gt;""),0,""),(C50-J50)+K50+I50)))</f>
        <v/>
      </c>
      <c r="D51" s="79" t="str">
        <f t="shared" ca="1" si="21"/>
        <v/>
      </c>
      <c r="E51" s="79" t="str">
        <f t="shared" ca="1" si="20"/>
        <v/>
      </c>
      <c r="F51" s="80" t="str">
        <f t="shared" si="19"/>
        <v/>
      </c>
      <c r="G51" s="81"/>
      <c r="H51" s="81"/>
      <c r="I51" s="82"/>
      <c r="J51" s="83"/>
      <c r="K51" s="84"/>
      <c r="L51" s="84"/>
      <c r="M51" s="86"/>
    </row>
    <row r="52" spans="1:13" ht="15.75" customHeight="1" x14ac:dyDescent="0.25">
      <c r="A52" s="73"/>
      <c r="B52" s="66">
        <f t="shared" si="6"/>
        <v>46188</v>
      </c>
      <c r="C52" s="85" t="str">
        <f t="shared" ca="1" si="22"/>
        <v/>
      </c>
      <c r="D52" s="79" t="str">
        <f t="shared" ca="1" si="21"/>
        <v/>
      </c>
      <c r="E52" s="79" t="str">
        <f t="shared" ca="1" si="20"/>
        <v/>
      </c>
      <c r="F52" s="80" t="str">
        <f t="shared" si="19"/>
        <v/>
      </c>
      <c r="G52" s="81"/>
      <c r="H52" s="81"/>
      <c r="I52" s="82"/>
      <c r="J52" s="83"/>
      <c r="K52" s="84"/>
      <c r="L52" s="84"/>
      <c r="M52" s="86"/>
    </row>
    <row r="53" spans="1:13" ht="15.75" customHeight="1" x14ac:dyDescent="0.25">
      <c r="A53" s="73"/>
      <c r="B53" s="66">
        <f t="shared" si="6"/>
        <v>46195</v>
      </c>
      <c r="C53" s="85" t="str">
        <f t="shared" ca="1" si="22"/>
        <v/>
      </c>
      <c r="D53" s="79" t="str">
        <f t="shared" ca="1" si="21"/>
        <v/>
      </c>
      <c r="E53" s="79" t="str">
        <f t="shared" ca="1" si="20"/>
        <v/>
      </c>
      <c r="F53" s="80" t="str">
        <f t="shared" si="19"/>
        <v/>
      </c>
      <c r="G53" s="81"/>
      <c r="H53" s="81"/>
      <c r="I53" s="82"/>
      <c r="J53" s="83"/>
      <c r="K53" s="84"/>
      <c r="L53" s="84"/>
      <c r="M53" s="86"/>
    </row>
    <row r="54" spans="1:13" ht="15.75" customHeight="1" x14ac:dyDescent="0.25">
      <c r="A54" s="73"/>
      <c r="B54" s="66">
        <f t="shared" si="6"/>
        <v>46202</v>
      </c>
      <c r="C54" s="85" t="str">
        <f t="shared" ca="1" si="22"/>
        <v/>
      </c>
      <c r="D54" s="79" t="str">
        <f t="shared" ca="1" si="21"/>
        <v/>
      </c>
      <c r="E54" s="79" t="str">
        <f t="shared" ca="1" si="20"/>
        <v/>
      </c>
      <c r="F54" s="80" t="str">
        <f t="shared" si="19"/>
        <v/>
      </c>
      <c r="G54" s="81"/>
      <c r="H54" s="81"/>
      <c r="I54" s="82"/>
      <c r="J54" s="83"/>
      <c r="K54" s="84"/>
      <c r="L54" s="84"/>
      <c r="M54" s="86"/>
    </row>
    <row r="55" spans="1:13" ht="15.75" customHeight="1" x14ac:dyDescent="0.25">
      <c r="A55" s="73"/>
      <c r="B55" s="66">
        <f t="shared" si="6"/>
        <v>46209</v>
      </c>
      <c r="C55" s="85" t="str">
        <f t="shared" ca="1" si="22"/>
        <v/>
      </c>
      <c r="D55" s="79" t="str">
        <f t="shared" ca="1" si="21"/>
        <v/>
      </c>
      <c r="E55" s="79" t="str">
        <f t="shared" ca="1" si="20"/>
        <v/>
      </c>
      <c r="F55" s="80" t="str">
        <f t="shared" si="19"/>
        <v/>
      </c>
      <c r="G55" s="81"/>
      <c r="H55" s="81"/>
      <c r="I55" s="82"/>
      <c r="J55" s="83"/>
      <c r="K55" s="84"/>
      <c r="L55" s="84"/>
      <c r="M55" s="86"/>
    </row>
    <row r="56" spans="1:13" ht="15.75" customHeight="1" x14ac:dyDescent="0.25">
      <c r="A56" s="73"/>
      <c r="B56" s="66">
        <f t="shared" si="6"/>
        <v>46216</v>
      </c>
      <c r="C56" s="85" t="str">
        <f t="shared" ca="1" si="22"/>
        <v/>
      </c>
      <c r="D56" s="79" t="str">
        <f t="shared" ca="1" si="21"/>
        <v/>
      </c>
      <c r="E56" s="79" t="str">
        <f t="shared" ca="1" si="20"/>
        <v/>
      </c>
      <c r="F56" s="80" t="str">
        <f t="shared" si="19"/>
        <v/>
      </c>
      <c r="G56" s="81"/>
      <c r="H56" s="81"/>
      <c r="I56" s="82"/>
      <c r="J56" s="83"/>
      <c r="K56" s="84"/>
      <c r="L56" s="84"/>
      <c r="M56" s="86"/>
    </row>
    <row r="57" spans="1:13" ht="15" customHeight="1" x14ac:dyDescent="0.25">
      <c r="A57" s="73"/>
      <c r="B57" s="66">
        <f t="shared" si="6"/>
        <v>46223</v>
      </c>
      <c r="C57" s="85" t="str">
        <f t="shared" ca="1" si="22"/>
        <v/>
      </c>
      <c r="D57" s="79" t="str">
        <f t="shared" ca="1" si="21"/>
        <v/>
      </c>
      <c r="E57" s="79" t="str">
        <f t="shared" ca="1" si="20"/>
        <v/>
      </c>
      <c r="F57" s="80" t="str">
        <f t="shared" si="19"/>
        <v/>
      </c>
      <c r="G57" s="81"/>
      <c r="H57" s="81"/>
      <c r="I57" s="82"/>
      <c r="J57" s="83"/>
      <c r="K57" s="84"/>
      <c r="L57" s="84"/>
      <c r="M57" s="86"/>
    </row>
    <row r="58" spans="1:13" ht="15" customHeight="1" x14ac:dyDescent="0.25">
      <c r="A58" s="73"/>
      <c r="B58" s="66">
        <f t="shared" si="6"/>
        <v>46230</v>
      </c>
      <c r="C58" s="85" t="str">
        <f t="shared" ca="1" si="22"/>
        <v/>
      </c>
      <c r="D58" s="79" t="str">
        <f t="shared" ca="1" si="21"/>
        <v/>
      </c>
      <c r="E58" s="79" t="str">
        <f t="shared" ca="1" si="20"/>
        <v/>
      </c>
      <c r="F58" s="80" t="str">
        <f t="shared" si="19"/>
        <v/>
      </c>
      <c r="G58" s="81"/>
      <c r="H58" s="81"/>
      <c r="I58" s="82"/>
      <c r="J58" s="83"/>
      <c r="K58" s="84"/>
      <c r="L58" s="84"/>
      <c r="M58" s="86"/>
    </row>
    <row r="59" spans="1:13" ht="15" customHeight="1" x14ac:dyDescent="0.25">
      <c r="A59" s="73"/>
      <c r="B59" s="66">
        <f t="shared" si="6"/>
        <v>46237</v>
      </c>
      <c r="C59" s="85" t="str">
        <f t="shared" ca="1" si="22"/>
        <v/>
      </c>
      <c r="D59" s="79" t="str">
        <f t="shared" ca="1" si="21"/>
        <v/>
      </c>
      <c r="E59" s="79" t="str">
        <f t="shared" ca="1" si="20"/>
        <v/>
      </c>
      <c r="F59" s="80" t="str">
        <f t="shared" si="19"/>
        <v/>
      </c>
      <c r="G59" s="81"/>
      <c r="H59" s="81"/>
      <c r="I59" s="82"/>
      <c r="J59" s="83"/>
      <c r="K59" s="84"/>
      <c r="L59" s="84"/>
      <c r="M59" s="86"/>
    </row>
    <row r="60" spans="1:13" ht="15" customHeight="1" x14ac:dyDescent="0.25">
      <c r="A60" s="73"/>
      <c r="B60" s="66">
        <f t="shared" si="6"/>
        <v>46244</v>
      </c>
      <c r="C60" s="85" t="str">
        <f t="shared" ca="1" si="22"/>
        <v/>
      </c>
      <c r="D60" s="79" t="str">
        <f t="shared" ca="1" si="21"/>
        <v/>
      </c>
      <c r="E60" s="79" t="str">
        <f t="shared" ca="1" si="20"/>
        <v/>
      </c>
      <c r="F60" s="80" t="str">
        <f t="shared" si="19"/>
        <v/>
      </c>
      <c r="G60" s="81"/>
      <c r="H60" s="81"/>
      <c r="I60" s="82"/>
      <c r="J60" s="83"/>
      <c r="K60" s="84"/>
      <c r="L60" s="84"/>
      <c r="M60" s="86"/>
    </row>
    <row r="61" spans="1:13" ht="15" customHeight="1" x14ac:dyDescent="0.25">
      <c r="A61" s="73"/>
      <c r="B61" s="66">
        <f t="shared" si="6"/>
        <v>46251</v>
      </c>
      <c r="C61" s="85" t="str">
        <f t="shared" ca="1" si="22"/>
        <v/>
      </c>
      <c r="D61" s="79" t="str">
        <f t="shared" ca="1" si="21"/>
        <v/>
      </c>
      <c r="E61" s="79" t="str">
        <f t="shared" ca="1" si="20"/>
        <v/>
      </c>
      <c r="F61" s="80" t="str">
        <f t="shared" si="19"/>
        <v/>
      </c>
      <c r="G61" s="81"/>
      <c r="H61" s="81"/>
      <c r="I61" s="82"/>
      <c r="J61" s="83"/>
      <c r="K61" s="84"/>
      <c r="L61" s="84"/>
      <c r="M61" s="86"/>
    </row>
    <row r="62" spans="1:13" ht="15" customHeight="1" x14ac:dyDescent="0.25">
      <c r="A62" s="73"/>
      <c r="B62" s="66">
        <f t="shared" si="6"/>
        <v>46258</v>
      </c>
      <c r="C62" s="85" t="str">
        <f t="shared" ca="1" si="22"/>
        <v/>
      </c>
      <c r="D62" s="79" t="str">
        <f t="shared" ca="1" si="21"/>
        <v/>
      </c>
      <c r="E62" s="79" t="str">
        <f t="shared" ca="1" si="20"/>
        <v/>
      </c>
      <c r="F62" s="80" t="str">
        <f t="shared" si="19"/>
        <v/>
      </c>
      <c r="G62" s="81"/>
      <c r="H62" s="81"/>
      <c r="I62" s="82"/>
      <c r="J62" s="83"/>
      <c r="K62" s="84"/>
      <c r="L62" s="84"/>
      <c r="M62" s="86"/>
    </row>
    <row r="63" spans="1:13" ht="15" customHeight="1" x14ac:dyDescent="0.25">
      <c r="A63" s="73"/>
      <c r="B63" s="66">
        <f t="shared" si="6"/>
        <v>46265</v>
      </c>
      <c r="C63" s="85" t="str">
        <f t="shared" ca="1" si="22"/>
        <v/>
      </c>
      <c r="D63" s="79" t="str">
        <f t="shared" ca="1" si="21"/>
        <v/>
      </c>
      <c r="E63" s="79" t="str">
        <f t="shared" ref="E63:E68" ca="1" si="23">IF(AND(OR(D62="",D62=0),(MAX($L62,0)+MAX($I62,0)+MAX($G62,0)+MAX($F62,0)-MAX($J62,0)-MAX($K62,0)&lt;=0)),
  "",
  IF($J62="",
    IF(MAX(D62,0)+MAX($L62,0)+MAX($I62,0)-MAX($K62,0)-MAX($C$10,0)&lt;=0,
      IF(AND(D62&gt;0,D62&lt;&gt;""),0,""),
      MAX(D62,0)+MAX($L62,0)+MAX($I62,0)-MAX($K62,0)-$C$10),
    IF((MAX(D62,0)-MAX($J62,0)-MAX($K62,0))+MAX($L62,0)+MAX($I62,0)&lt;=0,
      IF(AND(D62&gt;0,D62&lt;&gt;""),0,""),(MAX(D62,0)-MAX($J62,0)-MAX($K62,0))+MAX($L62,0)+MAX($I62,0))))</f>
        <v/>
      </c>
      <c r="F63" s="80" t="str">
        <f t="shared" si="19"/>
        <v/>
      </c>
      <c r="G63" s="81"/>
      <c r="H63" s="81"/>
      <c r="I63" s="82"/>
      <c r="J63" s="83"/>
      <c r="K63" s="84"/>
      <c r="L63" s="84"/>
      <c r="M63" s="86"/>
    </row>
    <row r="64" spans="1:13" ht="15" customHeight="1" x14ac:dyDescent="0.25">
      <c r="A64" s="73"/>
      <c r="B64" s="66">
        <f t="shared" si="6"/>
        <v>46272</v>
      </c>
      <c r="C64" s="85" t="str">
        <f t="shared" ca="1" si="22"/>
        <v/>
      </c>
      <c r="D64" s="79" t="str">
        <f t="shared" ca="1" si="21"/>
        <v/>
      </c>
      <c r="E64" s="79" t="str">
        <f t="shared" ca="1" si="23"/>
        <v/>
      </c>
      <c r="F64" s="80" t="str">
        <f t="shared" si="19"/>
        <v/>
      </c>
      <c r="G64" s="81"/>
      <c r="H64" s="81"/>
      <c r="I64" s="82"/>
      <c r="J64" s="83"/>
      <c r="K64" s="84"/>
      <c r="L64" s="84"/>
      <c r="M64" s="86"/>
    </row>
    <row r="65" spans="1:13" ht="15" customHeight="1" x14ac:dyDescent="0.25">
      <c r="A65" s="73"/>
      <c r="B65" s="66">
        <f t="shared" si="6"/>
        <v>46279</v>
      </c>
      <c r="C65" s="85" t="str">
        <f t="shared" ca="1" si="22"/>
        <v/>
      </c>
      <c r="D65" s="79" t="str">
        <f t="shared" ca="1" si="21"/>
        <v/>
      </c>
      <c r="E65" s="79" t="str">
        <f t="shared" ca="1" si="23"/>
        <v/>
      </c>
      <c r="F65" s="80" t="str">
        <f t="shared" si="19"/>
        <v/>
      </c>
      <c r="G65" s="81"/>
      <c r="H65" s="81"/>
      <c r="I65" s="82"/>
      <c r="J65" s="83"/>
      <c r="K65" s="84"/>
      <c r="L65" s="84"/>
      <c r="M65" s="86"/>
    </row>
    <row r="66" spans="1:13" ht="15" customHeight="1" x14ac:dyDescent="0.25">
      <c r="A66" s="73"/>
      <c r="B66" s="66">
        <f t="shared" si="6"/>
        <v>46286</v>
      </c>
      <c r="C66" s="85" t="str">
        <f t="shared" ca="1" si="22"/>
        <v/>
      </c>
      <c r="D66" s="85" t="str">
        <f t="shared" ref="D66:D69" ca="1" si="24">IF(OR(D65="",D65=0),"",IF(ISBLANK($J65),IF(D65+$K65+$I65-$C$9&lt;=0,IF(AND(D65&gt;0,D65&lt;&gt;""),0,""),D65+$K65+$I65-$C$9),IF((D65-$J65)+$K65+$I65&lt;=0,IF(AND(D65&gt;0,D65&lt;&gt;""),0,""),(D65-$J65)+$K65+$I65)))</f>
        <v/>
      </c>
      <c r="E66" s="79" t="str">
        <f t="shared" ca="1" si="23"/>
        <v/>
      </c>
      <c r="F66" s="80" t="str">
        <f t="shared" si="19"/>
        <v/>
      </c>
      <c r="G66" s="81"/>
      <c r="H66" s="81"/>
      <c r="I66" s="82"/>
      <c r="J66" s="83"/>
      <c r="K66" s="84"/>
      <c r="L66" s="84"/>
      <c r="M66" s="86"/>
    </row>
    <row r="67" spans="1:13" ht="15" customHeight="1" x14ac:dyDescent="0.25">
      <c r="A67" s="73"/>
      <c r="B67" s="66">
        <f t="shared" si="6"/>
        <v>46293</v>
      </c>
      <c r="C67" s="85" t="str">
        <f t="shared" ca="1" si="22"/>
        <v/>
      </c>
      <c r="D67" s="85" t="str">
        <f t="shared" ca="1" si="24"/>
        <v/>
      </c>
      <c r="E67" s="79" t="str">
        <f t="shared" ca="1" si="23"/>
        <v/>
      </c>
      <c r="F67" s="80" t="str">
        <f t="shared" si="19"/>
        <v/>
      </c>
      <c r="G67" s="81"/>
      <c r="H67" s="81"/>
      <c r="I67" s="82"/>
      <c r="J67" s="83"/>
      <c r="K67" s="84"/>
      <c r="L67" s="84"/>
      <c r="M67" s="86"/>
    </row>
    <row r="68" spans="1:13" ht="15" customHeight="1" x14ac:dyDescent="0.25">
      <c r="A68" s="73"/>
      <c r="B68" s="66">
        <f t="shared" si="6"/>
        <v>46300</v>
      </c>
      <c r="C68" s="85" t="str">
        <f t="shared" ca="1" si="22"/>
        <v/>
      </c>
      <c r="D68" s="85" t="str">
        <f t="shared" ca="1" si="24"/>
        <v/>
      </c>
      <c r="E68" s="79" t="str">
        <f t="shared" ca="1" si="23"/>
        <v/>
      </c>
      <c r="F68" s="80" t="str">
        <f t="shared" si="19"/>
        <v/>
      </c>
      <c r="G68" s="81"/>
      <c r="H68" s="81"/>
      <c r="I68" s="82"/>
      <c r="J68" s="83"/>
      <c r="K68" s="84"/>
      <c r="L68" s="84"/>
      <c r="M68" s="86"/>
    </row>
    <row r="69" spans="1:13" ht="15" customHeight="1" x14ac:dyDescent="0.25">
      <c r="A69" s="73"/>
      <c r="B69" s="66">
        <f t="shared" si="6"/>
        <v>46307</v>
      </c>
      <c r="C69" s="85" t="str">
        <f t="shared" ca="1" si="22"/>
        <v/>
      </c>
      <c r="D69" s="85" t="str">
        <f t="shared" ca="1" si="24"/>
        <v/>
      </c>
      <c r="E69" s="85" t="str">
        <f t="shared" ref="E69" ca="1" si="25">IF(OR(E68="",E68=0),"",IF(ISBLANK($J68),IF(E68+$K68+$I68-$C$10&lt;=0,IF(AND(E68&gt;0,E68&lt;&gt;""),0,""),E68+$K68+$I68-$C$10),IF((E68-$J68)+$K68+$I68&lt;=0,IF(AND(E68&gt;0,E68&lt;&gt;""),0,""),(E68-$J68)+$K68+$I68)))</f>
        <v/>
      </c>
      <c r="F69" s="80" t="str">
        <f t="shared" si="19"/>
        <v/>
      </c>
      <c r="G69" s="81"/>
      <c r="H69" s="81"/>
      <c r="I69" s="82"/>
      <c r="J69" s="83"/>
      <c r="K69" s="84"/>
      <c r="L69" s="84"/>
      <c r="M69" s="86"/>
    </row>
    <row r="94" spans="2:3" ht="15.75" customHeight="1" x14ac:dyDescent="0.25">
      <c r="B94" s="67" t="e">
        <f>IF(#REF!="","",IF(#REF!+$C$11&lt;=$C$7,#REF!+$C$11,""))</f>
        <v>#REF!</v>
      </c>
      <c r="C94" s="76" t="e">
        <f>IF(B94&lt;&gt;"",#REF!-$C$2/COUNT($B$19:$B$512),"")</f>
        <v>#REF!</v>
      </c>
    </row>
    <row r="95" spans="2:3" ht="15.75" customHeight="1" x14ac:dyDescent="0.25">
      <c r="B95" s="67" t="e">
        <f t="shared" ref="B95:B158" si="26">IF(B94="","",IF(B94+$C$11&lt;=$C$7,B94+$C$11,""))</f>
        <v>#REF!</v>
      </c>
      <c r="C95" s="76" t="e">
        <f t="shared" ref="C95:C158" si="27">IF(B95&lt;&gt;"",C94-$C$2/COUNT($B$19:$B$512),"")</f>
        <v>#REF!</v>
      </c>
    </row>
    <row r="96" spans="2:3" ht="15.75" customHeight="1" x14ac:dyDescent="0.25">
      <c r="B96" s="67" t="e">
        <f t="shared" si="26"/>
        <v>#REF!</v>
      </c>
      <c r="C96" s="76" t="e">
        <f t="shared" si="27"/>
        <v>#REF!</v>
      </c>
    </row>
    <row r="97" spans="2:3" ht="15.75" customHeight="1" x14ac:dyDescent="0.25">
      <c r="B97" s="67" t="e">
        <f t="shared" si="26"/>
        <v>#REF!</v>
      </c>
      <c r="C97" s="76" t="e">
        <f t="shared" si="27"/>
        <v>#REF!</v>
      </c>
    </row>
    <row r="98" spans="2:3" ht="15.75" customHeight="1" x14ac:dyDescent="0.25">
      <c r="B98" s="67" t="e">
        <f t="shared" si="26"/>
        <v>#REF!</v>
      </c>
      <c r="C98" s="76" t="e">
        <f t="shared" si="27"/>
        <v>#REF!</v>
      </c>
    </row>
    <row r="99" spans="2:3" ht="15.75" customHeight="1" x14ac:dyDescent="0.25">
      <c r="B99" s="67" t="e">
        <f t="shared" si="26"/>
        <v>#REF!</v>
      </c>
      <c r="C99" s="76" t="e">
        <f t="shared" si="27"/>
        <v>#REF!</v>
      </c>
    </row>
    <row r="100" spans="2:3" ht="15.75" customHeight="1" x14ac:dyDescent="0.25">
      <c r="B100" s="67" t="e">
        <f t="shared" si="26"/>
        <v>#REF!</v>
      </c>
      <c r="C100" s="76" t="e">
        <f t="shared" si="27"/>
        <v>#REF!</v>
      </c>
    </row>
    <row r="101" spans="2:3" ht="15.75" customHeight="1" x14ac:dyDescent="0.25">
      <c r="B101" s="67" t="e">
        <f t="shared" si="26"/>
        <v>#REF!</v>
      </c>
      <c r="C101" s="76" t="e">
        <f t="shared" si="27"/>
        <v>#REF!</v>
      </c>
    </row>
    <row r="102" spans="2:3" ht="15.75" customHeight="1" x14ac:dyDescent="0.25">
      <c r="B102" s="67" t="e">
        <f t="shared" si="26"/>
        <v>#REF!</v>
      </c>
      <c r="C102" s="76" t="e">
        <f t="shared" si="27"/>
        <v>#REF!</v>
      </c>
    </row>
    <row r="103" spans="2:3" ht="15.75" customHeight="1" x14ac:dyDescent="0.25">
      <c r="B103" s="67" t="e">
        <f t="shared" si="26"/>
        <v>#REF!</v>
      </c>
      <c r="C103" s="76" t="e">
        <f t="shared" si="27"/>
        <v>#REF!</v>
      </c>
    </row>
    <row r="104" spans="2:3" ht="15.75" customHeight="1" x14ac:dyDescent="0.25">
      <c r="B104" s="67" t="e">
        <f t="shared" si="26"/>
        <v>#REF!</v>
      </c>
      <c r="C104" s="76" t="e">
        <f t="shared" si="27"/>
        <v>#REF!</v>
      </c>
    </row>
    <row r="105" spans="2:3" ht="15.75" customHeight="1" x14ac:dyDescent="0.25">
      <c r="B105" s="67" t="e">
        <f t="shared" si="26"/>
        <v>#REF!</v>
      </c>
      <c r="C105" s="76" t="e">
        <f t="shared" si="27"/>
        <v>#REF!</v>
      </c>
    </row>
    <row r="106" spans="2:3" ht="15.75" customHeight="1" x14ac:dyDescent="0.25">
      <c r="B106" s="67" t="e">
        <f t="shared" si="26"/>
        <v>#REF!</v>
      </c>
      <c r="C106" s="76" t="e">
        <f t="shared" si="27"/>
        <v>#REF!</v>
      </c>
    </row>
    <row r="107" spans="2:3" ht="15.75" customHeight="1" x14ac:dyDescent="0.25">
      <c r="B107" s="67" t="e">
        <f t="shared" si="26"/>
        <v>#REF!</v>
      </c>
      <c r="C107" s="76" t="e">
        <f t="shared" si="27"/>
        <v>#REF!</v>
      </c>
    </row>
    <row r="108" spans="2:3" ht="15.75" customHeight="1" x14ac:dyDescent="0.25">
      <c r="B108" s="67" t="e">
        <f t="shared" si="26"/>
        <v>#REF!</v>
      </c>
      <c r="C108" s="76" t="e">
        <f t="shared" si="27"/>
        <v>#REF!</v>
      </c>
    </row>
    <row r="109" spans="2:3" ht="15.75" customHeight="1" x14ac:dyDescent="0.25">
      <c r="B109" s="67" t="e">
        <f t="shared" si="26"/>
        <v>#REF!</v>
      </c>
      <c r="C109" s="76" t="e">
        <f t="shared" si="27"/>
        <v>#REF!</v>
      </c>
    </row>
    <row r="110" spans="2:3" ht="15.75" customHeight="1" x14ac:dyDescent="0.25">
      <c r="B110" s="67" t="e">
        <f t="shared" si="26"/>
        <v>#REF!</v>
      </c>
      <c r="C110" s="76" t="e">
        <f t="shared" si="27"/>
        <v>#REF!</v>
      </c>
    </row>
    <row r="111" spans="2:3" ht="15.75" customHeight="1" x14ac:dyDescent="0.25">
      <c r="B111" s="67" t="e">
        <f t="shared" si="26"/>
        <v>#REF!</v>
      </c>
      <c r="C111" s="76" t="e">
        <f t="shared" si="27"/>
        <v>#REF!</v>
      </c>
    </row>
    <row r="112" spans="2:3" ht="15.75" customHeight="1" x14ac:dyDescent="0.25">
      <c r="B112" s="67" t="e">
        <f t="shared" si="26"/>
        <v>#REF!</v>
      </c>
      <c r="C112" s="76" t="e">
        <f t="shared" si="27"/>
        <v>#REF!</v>
      </c>
    </row>
    <row r="113" spans="2:3" ht="15.75" customHeight="1" x14ac:dyDescent="0.25">
      <c r="B113" s="67" t="e">
        <f t="shared" si="26"/>
        <v>#REF!</v>
      </c>
      <c r="C113" s="76" t="e">
        <f t="shared" si="27"/>
        <v>#REF!</v>
      </c>
    </row>
    <row r="114" spans="2:3" ht="15.75" customHeight="1" x14ac:dyDescent="0.25">
      <c r="B114" s="67" t="e">
        <f t="shared" si="26"/>
        <v>#REF!</v>
      </c>
      <c r="C114" s="76" t="e">
        <f t="shared" si="27"/>
        <v>#REF!</v>
      </c>
    </row>
    <row r="115" spans="2:3" ht="15.75" customHeight="1" x14ac:dyDescent="0.25">
      <c r="B115" s="67" t="e">
        <f t="shared" si="26"/>
        <v>#REF!</v>
      </c>
      <c r="C115" s="76" t="e">
        <f t="shared" si="27"/>
        <v>#REF!</v>
      </c>
    </row>
    <row r="116" spans="2:3" ht="15.75" customHeight="1" x14ac:dyDescent="0.25">
      <c r="B116" s="67" t="e">
        <f t="shared" si="26"/>
        <v>#REF!</v>
      </c>
      <c r="C116" s="76" t="e">
        <f t="shared" si="27"/>
        <v>#REF!</v>
      </c>
    </row>
    <row r="117" spans="2:3" ht="15.75" customHeight="1" x14ac:dyDescent="0.25">
      <c r="B117" s="67" t="e">
        <f t="shared" si="26"/>
        <v>#REF!</v>
      </c>
      <c r="C117" s="76" t="e">
        <f t="shared" si="27"/>
        <v>#REF!</v>
      </c>
    </row>
    <row r="118" spans="2:3" ht="15.75" customHeight="1" x14ac:dyDescent="0.25">
      <c r="B118" s="67" t="e">
        <f t="shared" si="26"/>
        <v>#REF!</v>
      </c>
      <c r="C118" s="76" t="e">
        <f t="shared" si="27"/>
        <v>#REF!</v>
      </c>
    </row>
    <row r="119" spans="2:3" ht="15.75" customHeight="1" x14ac:dyDescent="0.25">
      <c r="B119" s="67" t="e">
        <f t="shared" si="26"/>
        <v>#REF!</v>
      </c>
      <c r="C119" s="76" t="e">
        <f t="shared" si="27"/>
        <v>#REF!</v>
      </c>
    </row>
    <row r="120" spans="2:3" ht="15.75" customHeight="1" x14ac:dyDescent="0.25">
      <c r="B120" s="67" t="e">
        <f t="shared" si="26"/>
        <v>#REF!</v>
      </c>
      <c r="C120" s="76" t="e">
        <f t="shared" si="27"/>
        <v>#REF!</v>
      </c>
    </row>
    <row r="121" spans="2:3" ht="15.75" customHeight="1" x14ac:dyDescent="0.25">
      <c r="B121" s="67" t="e">
        <f t="shared" si="26"/>
        <v>#REF!</v>
      </c>
      <c r="C121" s="76" t="e">
        <f t="shared" si="27"/>
        <v>#REF!</v>
      </c>
    </row>
    <row r="122" spans="2:3" ht="15.75" customHeight="1" x14ac:dyDescent="0.25">
      <c r="B122" s="67" t="e">
        <f t="shared" si="26"/>
        <v>#REF!</v>
      </c>
      <c r="C122" s="76" t="e">
        <f t="shared" si="27"/>
        <v>#REF!</v>
      </c>
    </row>
    <row r="123" spans="2:3" ht="15.75" customHeight="1" x14ac:dyDescent="0.25">
      <c r="B123" s="67" t="e">
        <f t="shared" si="26"/>
        <v>#REF!</v>
      </c>
      <c r="C123" s="76" t="e">
        <f t="shared" si="27"/>
        <v>#REF!</v>
      </c>
    </row>
    <row r="124" spans="2:3" ht="15.75" customHeight="1" x14ac:dyDescent="0.25">
      <c r="B124" s="67" t="e">
        <f t="shared" si="26"/>
        <v>#REF!</v>
      </c>
      <c r="C124" s="76" t="e">
        <f t="shared" si="27"/>
        <v>#REF!</v>
      </c>
    </row>
    <row r="125" spans="2:3" ht="15.75" customHeight="1" x14ac:dyDescent="0.25">
      <c r="B125" s="67" t="e">
        <f t="shared" si="26"/>
        <v>#REF!</v>
      </c>
      <c r="C125" s="76" t="e">
        <f t="shared" si="27"/>
        <v>#REF!</v>
      </c>
    </row>
    <row r="126" spans="2:3" ht="15.75" customHeight="1" x14ac:dyDescent="0.25">
      <c r="B126" s="67" t="e">
        <f t="shared" si="26"/>
        <v>#REF!</v>
      </c>
      <c r="C126" s="76" t="e">
        <f t="shared" si="27"/>
        <v>#REF!</v>
      </c>
    </row>
    <row r="127" spans="2:3" ht="15.75" customHeight="1" x14ac:dyDescent="0.25">
      <c r="B127" s="67" t="e">
        <f t="shared" si="26"/>
        <v>#REF!</v>
      </c>
      <c r="C127" s="76" t="e">
        <f t="shared" si="27"/>
        <v>#REF!</v>
      </c>
    </row>
    <row r="128" spans="2:3" ht="15.75" customHeight="1" x14ac:dyDescent="0.25">
      <c r="B128" s="67" t="e">
        <f t="shared" si="26"/>
        <v>#REF!</v>
      </c>
      <c r="C128" s="76" t="e">
        <f t="shared" si="27"/>
        <v>#REF!</v>
      </c>
    </row>
    <row r="129" spans="2:3" ht="15.75" customHeight="1" x14ac:dyDescent="0.25">
      <c r="B129" s="67" t="e">
        <f t="shared" si="26"/>
        <v>#REF!</v>
      </c>
      <c r="C129" s="76" t="e">
        <f t="shared" si="27"/>
        <v>#REF!</v>
      </c>
    </row>
    <row r="130" spans="2:3" ht="15.75" customHeight="1" x14ac:dyDescent="0.25">
      <c r="B130" s="67" t="e">
        <f t="shared" si="26"/>
        <v>#REF!</v>
      </c>
      <c r="C130" s="76" t="e">
        <f t="shared" si="27"/>
        <v>#REF!</v>
      </c>
    </row>
    <row r="131" spans="2:3" ht="15.75" customHeight="1" x14ac:dyDescent="0.25">
      <c r="B131" s="67" t="e">
        <f t="shared" si="26"/>
        <v>#REF!</v>
      </c>
      <c r="C131" s="76" t="e">
        <f t="shared" si="27"/>
        <v>#REF!</v>
      </c>
    </row>
    <row r="132" spans="2:3" ht="15.75" customHeight="1" x14ac:dyDescent="0.25">
      <c r="B132" s="67" t="e">
        <f t="shared" si="26"/>
        <v>#REF!</v>
      </c>
      <c r="C132" s="76" t="e">
        <f t="shared" si="27"/>
        <v>#REF!</v>
      </c>
    </row>
    <row r="133" spans="2:3" ht="15.75" customHeight="1" x14ac:dyDescent="0.25">
      <c r="B133" s="67" t="e">
        <f t="shared" si="26"/>
        <v>#REF!</v>
      </c>
      <c r="C133" s="76" t="e">
        <f t="shared" si="27"/>
        <v>#REF!</v>
      </c>
    </row>
    <row r="134" spans="2:3" ht="15.75" customHeight="1" x14ac:dyDescent="0.25">
      <c r="B134" s="67" t="e">
        <f t="shared" si="26"/>
        <v>#REF!</v>
      </c>
      <c r="C134" s="76" t="e">
        <f t="shared" si="27"/>
        <v>#REF!</v>
      </c>
    </row>
    <row r="135" spans="2:3" ht="15.75" customHeight="1" x14ac:dyDescent="0.25">
      <c r="B135" s="67" t="e">
        <f t="shared" si="26"/>
        <v>#REF!</v>
      </c>
      <c r="C135" s="76" t="e">
        <f t="shared" si="27"/>
        <v>#REF!</v>
      </c>
    </row>
    <row r="136" spans="2:3" ht="15.75" customHeight="1" x14ac:dyDescent="0.25">
      <c r="B136" s="67" t="e">
        <f t="shared" si="26"/>
        <v>#REF!</v>
      </c>
      <c r="C136" s="76" t="e">
        <f t="shared" si="27"/>
        <v>#REF!</v>
      </c>
    </row>
    <row r="137" spans="2:3" ht="15.75" customHeight="1" x14ac:dyDescent="0.25">
      <c r="B137" s="67" t="e">
        <f t="shared" si="26"/>
        <v>#REF!</v>
      </c>
      <c r="C137" s="76" t="e">
        <f t="shared" si="27"/>
        <v>#REF!</v>
      </c>
    </row>
    <row r="138" spans="2:3" ht="15.75" customHeight="1" x14ac:dyDescent="0.25">
      <c r="B138" s="67" t="e">
        <f t="shared" si="26"/>
        <v>#REF!</v>
      </c>
      <c r="C138" s="76" t="e">
        <f t="shared" si="27"/>
        <v>#REF!</v>
      </c>
    </row>
    <row r="139" spans="2:3" ht="15.75" customHeight="1" x14ac:dyDescent="0.25">
      <c r="B139" s="67" t="e">
        <f t="shared" si="26"/>
        <v>#REF!</v>
      </c>
      <c r="C139" s="76" t="e">
        <f t="shared" si="27"/>
        <v>#REF!</v>
      </c>
    </row>
    <row r="140" spans="2:3" ht="15.75" customHeight="1" x14ac:dyDescent="0.25">
      <c r="B140" s="67" t="e">
        <f t="shared" si="26"/>
        <v>#REF!</v>
      </c>
      <c r="C140" s="76" t="e">
        <f t="shared" si="27"/>
        <v>#REF!</v>
      </c>
    </row>
    <row r="141" spans="2:3" ht="15.75" customHeight="1" x14ac:dyDescent="0.25">
      <c r="B141" s="67" t="e">
        <f t="shared" si="26"/>
        <v>#REF!</v>
      </c>
      <c r="C141" s="76" t="e">
        <f t="shared" si="27"/>
        <v>#REF!</v>
      </c>
    </row>
    <row r="142" spans="2:3" ht="15.75" customHeight="1" x14ac:dyDescent="0.25">
      <c r="B142" s="67" t="e">
        <f t="shared" si="26"/>
        <v>#REF!</v>
      </c>
      <c r="C142" s="76" t="e">
        <f t="shared" si="27"/>
        <v>#REF!</v>
      </c>
    </row>
    <row r="143" spans="2:3" ht="15.75" customHeight="1" x14ac:dyDescent="0.25">
      <c r="B143" s="67" t="e">
        <f t="shared" si="26"/>
        <v>#REF!</v>
      </c>
      <c r="C143" s="76" t="e">
        <f t="shared" si="27"/>
        <v>#REF!</v>
      </c>
    </row>
    <row r="144" spans="2:3" ht="15.75" customHeight="1" x14ac:dyDescent="0.25">
      <c r="B144" s="67" t="e">
        <f t="shared" si="26"/>
        <v>#REF!</v>
      </c>
      <c r="C144" s="76" t="e">
        <f t="shared" si="27"/>
        <v>#REF!</v>
      </c>
    </row>
    <row r="145" spans="2:3" ht="15.75" customHeight="1" x14ac:dyDescent="0.25">
      <c r="B145" s="67" t="e">
        <f t="shared" si="26"/>
        <v>#REF!</v>
      </c>
      <c r="C145" s="76" t="e">
        <f t="shared" si="27"/>
        <v>#REF!</v>
      </c>
    </row>
    <row r="146" spans="2:3" ht="15.75" customHeight="1" x14ac:dyDescent="0.25">
      <c r="B146" s="67" t="e">
        <f t="shared" si="26"/>
        <v>#REF!</v>
      </c>
      <c r="C146" s="76" t="e">
        <f t="shared" si="27"/>
        <v>#REF!</v>
      </c>
    </row>
    <row r="147" spans="2:3" ht="15.75" customHeight="1" x14ac:dyDescent="0.25">
      <c r="B147" s="67" t="e">
        <f t="shared" si="26"/>
        <v>#REF!</v>
      </c>
      <c r="C147" s="76" t="e">
        <f t="shared" si="27"/>
        <v>#REF!</v>
      </c>
    </row>
    <row r="148" spans="2:3" ht="15.75" customHeight="1" x14ac:dyDescent="0.25">
      <c r="B148" s="67" t="e">
        <f t="shared" si="26"/>
        <v>#REF!</v>
      </c>
      <c r="C148" s="76" t="e">
        <f t="shared" si="27"/>
        <v>#REF!</v>
      </c>
    </row>
    <row r="149" spans="2:3" ht="15.75" customHeight="1" x14ac:dyDescent="0.25">
      <c r="B149" s="67" t="e">
        <f t="shared" si="26"/>
        <v>#REF!</v>
      </c>
      <c r="C149" s="76" t="e">
        <f t="shared" si="27"/>
        <v>#REF!</v>
      </c>
    </row>
    <row r="150" spans="2:3" ht="15.75" customHeight="1" x14ac:dyDescent="0.25">
      <c r="B150" s="67" t="e">
        <f t="shared" si="26"/>
        <v>#REF!</v>
      </c>
      <c r="C150" s="76" t="e">
        <f t="shared" si="27"/>
        <v>#REF!</v>
      </c>
    </row>
    <row r="151" spans="2:3" ht="15.75" customHeight="1" x14ac:dyDescent="0.25">
      <c r="B151" s="67" t="e">
        <f t="shared" si="26"/>
        <v>#REF!</v>
      </c>
      <c r="C151" s="76" t="e">
        <f t="shared" si="27"/>
        <v>#REF!</v>
      </c>
    </row>
    <row r="152" spans="2:3" ht="15.75" customHeight="1" x14ac:dyDescent="0.25">
      <c r="B152" s="67" t="e">
        <f t="shared" si="26"/>
        <v>#REF!</v>
      </c>
      <c r="C152" s="76" t="e">
        <f t="shared" si="27"/>
        <v>#REF!</v>
      </c>
    </row>
    <row r="153" spans="2:3" ht="15.75" customHeight="1" x14ac:dyDescent="0.25">
      <c r="B153" s="67" t="e">
        <f t="shared" si="26"/>
        <v>#REF!</v>
      </c>
      <c r="C153" s="76" t="e">
        <f t="shared" si="27"/>
        <v>#REF!</v>
      </c>
    </row>
    <row r="154" spans="2:3" ht="15.75" customHeight="1" x14ac:dyDescent="0.25">
      <c r="B154" s="67" t="e">
        <f t="shared" si="26"/>
        <v>#REF!</v>
      </c>
      <c r="C154" s="76" t="e">
        <f t="shared" si="27"/>
        <v>#REF!</v>
      </c>
    </row>
    <row r="155" spans="2:3" ht="15.75" customHeight="1" x14ac:dyDescent="0.25">
      <c r="B155" s="67" t="e">
        <f t="shared" si="26"/>
        <v>#REF!</v>
      </c>
      <c r="C155" s="76" t="e">
        <f t="shared" si="27"/>
        <v>#REF!</v>
      </c>
    </row>
    <row r="156" spans="2:3" ht="15.75" customHeight="1" x14ac:dyDescent="0.25">
      <c r="B156" s="67" t="e">
        <f t="shared" si="26"/>
        <v>#REF!</v>
      </c>
      <c r="C156" s="76" t="e">
        <f t="shared" si="27"/>
        <v>#REF!</v>
      </c>
    </row>
    <row r="157" spans="2:3" ht="15.75" customHeight="1" x14ac:dyDescent="0.25">
      <c r="B157" s="67" t="e">
        <f t="shared" si="26"/>
        <v>#REF!</v>
      </c>
      <c r="C157" s="76" t="e">
        <f t="shared" si="27"/>
        <v>#REF!</v>
      </c>
    </row>
    <row r="158" spans="2:3" ht="15.75" customHeight="1" x14ac:dyDescent="0.25">
      <c r="B158" s="67" t="e">
        <f t="shared" si="26"/>
        <v>#REF!</v>
      </c>
      <c r="C158" s="76" t="e">
        <f t="shared" si="27"/>
        <v>#REF!</v>
      </c>
    </row>
    <row r="159" spans="2:3" ht="15.75" customHeight="1" x14ac:dyDescent="0.25">
      <c r="B159" s="67" t="e">
        <f t="shared" ref="B159:B222" si="28">IF(B158="","",IF(B158+$C$11&lt;=$C$7,B158+$C$11,""))</f>
        <v>#REF!</v>
      </c>
      <c r="C159" s="76" t="e">
        <f t="shared" ref="C159:C222" si="29">IF(B159&lt;&gt;"",C158-$C$2/COUNT($B$19:$B$512),"")</f>
        <v>#REF!</v>
      </c>
    </row>
    <row r="160" spans="2:3" ht="15.75" customHeight="1" x14ac:dyDescent="0.25">
      <c r="B160" s="67" t="e">
        <f t="shared" si="28"/>
        <v>#REF!</v>
      </c>
      <c r="C160" s="76" t="e">
        <f t="shared" si="29"/>
        <v>#REF!</v>
      </c>
    </row>
    <row r="161" spans="2:3" ht="15.75" customHeight="1" x14ac:dyDescent="0.25">
      <c r="B161" s="67" t="e">
        <f t="shared" si="28"/>
        <v>#REF!</v>
      </c>
      <c r="C161" s="76" t="e">
        <f t="shared" si="29"/>
        <v>#REF!</v>
      </c>
    </row>
    <row r="162" spans="2:3" ht="15.75" customHeight="1" x14ac:dyDescent="0.25">
      <c r="B162" s="67" t="e">
        <f t="shared" si="28"/>
        <v>#REF!</v>
      </c>
      <c r="C162" s="76" t="e">
        <f t="shared" si="29"/>
        <v>#REF!</v>
      </c>
    </row>
    <row r="163" spans="2:3" ht="15.75" customHeight="1" x14ac:dyDescent="0.25">
      <c r="B163" s="67" t="e">
        <f t="shared" si="28"/>
        <v>#REF!</v>
      </c>
      <c r="C163" s="76" t="e">
        <f t="shared" si="29"/>
        <v>#REF!</v>
      </c>
    </row>
    <row r="164" spans="2:3" ht="15.75" customHeight="1" x14ac:dyDescent="0.25">
      <c r="B164" s="67" t="e">
        <f t="shared" si="28"/>
        <v>#REF!</v>
      </c>
      <c r="C164" s="76" t="e">
        <f t="shared" si="29"/>
        <v>#REF!</v>
      </c>
    </row>
    <row r="165" spans="2:3" ht="15.75" customHeight="1" x14ac:dyDescent="0.25">
      <c r="B165" s="67" t="e">
        <f t="shared" si="28"/>
        <v>#REF!</v>
      </c>
      <c r="C165" s="76" t="e">
        <f t="shared" si="29"/>
        <v>#REF!</v>
      </c>
    </row>
    <row r="166" spans="2:3" ht="15.75" customHeight="1" x14ac:dyDescent="0.25">
      <c r="B166" s="67" t="e">
        <f t="shared" si="28"/>
        <v>#REF!</v>
      </c>
      <c r="C166" s="76" t="e">
        <f t="shared" si="29"/>
        <v>#REF!</v>
      </c>
    </row>
    <row r="167" spans="2:3" ht="15.75" customHeight="1" x14ac:dyDescent="0.25">
      <c r="B167" s="67" t="e">
        <f t="shared" si="28"/>
        <v>#REF!</v>
      </c>
      <c r="C167" s="76" t="e">
        <f t="shared" si="29"/>
        <v>#REF!</v>
      </c>
    </row>
    <row r="168" spans="2:3" ht="15.75" customHeight="1" x14ac:dyDescent="0.25">
      <c r="B168" s="67" t="e">
        <f t="shared" si="28"/>
        <v>#REF!</v>
      </c>
      <c r="C168" s="76" t="e">
        <f t="shared" si="29"/>
        <v>#REF!</v>
      </c>
    </row>
    <row r="169" spans="2:3" ht="15.75" customHeight="1" x14ac:dyDescent="0.25">
      <c r="B169" s="67" t="e">
        <f t="shared" si="28"/>
        <v>#REF!</v>
      </c>
      <c r="C169" s="76" t="e">
        <f t="shared" si="29"/>
        <v>#REF!</v>
      </c>
    </row>
    <row r="170" spans="2:3" ht="15.75" customHeight="1" x14ac:dyDescent="0.25">
      <c r="B170" s="67" t="e">
        <f t="shared" si="28"/>
        <v>#REF!</v>
      </c>
      <c r="C170" s="76" t="e">
        <f t="shared" si="29"/>
        <v>#REF!</v>
      </c>
    </row>
    <row r="171" spans="2:3" ht="15.75" customHeight="1" x14ac:dyDescent="0.25">
      <c r="B171" s="67" t="e">
        <f t="shared" si="28"/>
        <v>#REF!</v>
      </c>
      <c r="C171" s="76" t="e">
        <f t="shared" si="29"/>
        <v>#REF!</v>
      </c>
    </row>
    <row r="172" spans="2:3" ht="15.75" customHeight="1" x14ac:dyDescent="0.25">
      <c r="B172" s="67" t="e">
        <f t="shared" si="28"/>
        <v>#REF!</v>
      </c>
      <c r="C172" s="76" t="e">
        <f t="shared" si="29"/>
        <v>#REF!</v>
      </c>
    </row>
    <row r="173" spans="2:3" ht="15.75" customHeight="1" x14ac:dyDescent="0.25">
      <c r="B173" s="67" t="e">
        <f t="shared" si="28"/>
        <v>#REF!</v>
      </c>
      <c r="C173" s="76" t="e">
        <f t="shared" si="29"/>
        <v>#REF!</v>
      </c>
    </row>
    <row r="174" spans="2:3" ht="15.75" customHeight="1" x14ac:dyDescent="0.25">
      <c r="B174" s="67" t="e">
        <f t="shared" si="28"/>
        <v>#REF!</v>
      </c>
      <c r="C174" s="76" t="e">
        <f t="shared" si="29"/>
        <v>#REF!</v>
      </c>
    </row>
    <row r="175" spans="2:3" ht="15.75" customHeight="1" x14ac:dyDescent="0.25">
      <c r="B175" s="67" t="e">
        <f t="shared" si="28"/>
        <v>#REF!</v>
      </c>
      <c r="C175" s="76" t="e">
        <f t="shared" si="29"/>
        <v>#REF!</v>
      </c>
    </row>
    <row r="176" spans="2:3" ht="15.75" customHeight="1" x14ac:dyDescent="0.25">
      <c r="B176" s="67" t="e">
        <f t="shared" si="28"/>
        <v>#REF!</v>
      </c>
      <c r="C176" s="76" t="e">
        <f t="shared" si="29"/>
        <v>#REF!</v>
      </c>
    </row>
    <row r="177" spans="2:3" ht="15.75" customHeight="1" x14ac:dyDescent="0.25">
      <c r="B177" s="67" t="e">
        <f t="shared" si="28"/>
        <v>#REF!</v>
      </c>
      <c r="C177" s="76" t="e">
        <f t="shared" si="29"/>
        <v>#REF!</v>
      </c>
    </row>
    <row r="178" spans="2:3" ht="15.75" customHeight="1" x14ac:dyDescent="0.25">
      <c r="B178" s="67" t="e">
        <f t="shared" si="28"/>
        <v>#REF!</v>
      </c>
      <c r="C178" s="76" t="e">
        <f t="shared" si="29"/>
        <v>#REF!</v>
      </c>
    </row>
    <row r="179" spans="2:3" ht="15.75" customHeight="1" x14ac:dyDescent="0.25">
      <c r="B179" s="67" t="e">
        <f t="shared" si="28"/>
        <v>#REF!</v>
      </c>
      <c r="C179" s="76" t="e">
        <f t="shared" si="29"/>
        <v>#REF!</v>
      </c>
    </row>
    <row r="180" spans="2:3" ht="15.75" customHeight="1" x14ac:dyDescent="0.25">
      <c r="B180" s="67" t="e">
        <f t="shared" si="28"/>
        <v>#REF!</v>
      </c>
      <c r="C180" s="76" t="e">
        <f t="shared" si="29"/>
        <v>#REF!</v>
      </c>
    </row>
    <row r="181" spans="2:3" ht="15.75" customHeight="1" x14ac:dyDescent="0.25">
      <c r="B181" s="67" t="e">
        <f t="shared" si="28"/>
        <v>#REF!</v>
      </c>
      <c r="C181" s="76" t="e">
        <f t="shared" si="29"/>
        <v>#REF!</v>
      </c>
    </row>
    <row r="182" spans="2:3" ht="15.75" customHeight="1" x14ac:dyDescent="0.25">
      <c r="B182" s="67" t="e">
        <f t="shared" si="28"/>
        <v>#REF!</v>
      </c>
      <c r="C182" s="76" t="e">
        <f t="shared" si="29"/>
        <v>#REF!</v>
      </c>
    </row>
    <row r="183" spans="2:3" ht="15.75" customHeight="1" x14ac:dyDescent="0.25">
      <c r="B183" s="67" t="e">
        <f t="shared" si="28"/>
        <v>#REF!</v>
      </c>
      <c r="C183" s="76" t="e">
        <f t="shared" si="29"/>
        <v>#REF!</v>
      </c>
    </row>
    <row r="184" spans="2:3" ht="15.75" customHeight="1" x14ac:dyDescent="0.25">
      <c r="B184" s="67" t="e">
        <f t="shared" si="28"/>
        <v>#REF!</v>
      </c>
      <c r="C184" s="76" t="e">
        <f t="shared" si="29"/>
        <v>#REF!</v>
      </c>
    </row>
    <row r="185" spans="2:3" ht="15.75" customHeight="1" x14ac:dyDescent="0.25">
      <c r="B185" s="67" t="e">
        <f t="shared" si="28"/>
        <v>#REF!</v>
      </c>
      <c r="C185" s="76" t="e">
        <f t="shared" si="29"/>
        <v>#REF!</v>
      </c>
    </row>
    <row r="186" spans="2:3" ht="15.75" customHeight="1" x14ac:dyDescent="0.25">
      <c r="B186" s="67" t="e">
        <f t="shared" si="28"/>
        <v>#REF!</v>
      </c>
      <c r="C186" s="76" t="e">
        <f t="shared" si="29"/>
        <v>#REF!</v>
      </c>
    </row>
    <row r="187" spans="2:3" ht="15.75" customHeight="1" x14ac:dyDescent="0.25">
      <c r="B187" s="67" t="e">
        <f t="shared" si="28"/>
        <v>#REF!</v>
      </c>
      <c r="C187" s="76" t="e">
        <f t="shared" si="29"/>
        <v>#REF!</v>
      </c>
    </row>
    <row r="188" spans="2:3" ht="15.75" customHeight="1" x14ac:dyDescent="0.25">
      <c r="B188" s="67" t="e">
        <f t="shared" si="28"/>
        <v>#REF!</v>
      </c>
      <c r="C188" s="76" t="e">
        <f t="shared" si="29"/>
        <v>#REF!</v>
      </c>
    </row>
    <row r="189" spans="2:3" ht="15.75" customHeight="1" x14ac:dyDescent="0.25">
      <c r="B189" s="67" t="e">
        <f t="shared" si="28"/>
        <v>#REF!</v>
      </c>
      <c r="C189" s="76" t="e">
        <f t="shared" si="29"/>
        <v>#REF!</v>
      </c>
    </row>
    <row r="190" spans="2:3" ht="15.75" customHeight="1" x14ac:dyDescent="0.25">
      <c r="B190" s="67" t="e">
        <f t="shared" si="28"/>
        <v>#REF!</v>
      </c>
      <c r="C190" s="76" t="e">
        <f t="shared" si="29"/>
        <v>#REF!</v>
      </c>
    </row>
    <row r="191" spans="2:3" ht="15.75" customHeight="1" x14ac:dyDescent="0.25">
      <c r="B191" s="67" t="e">
        <f t="shared" si="28"/>
        <v>#REF!</v>
      </c>
      <c r="C191" s="76" t="e">
        <f t="shared" si="29"/>
        <v>#REF!</v>
      </c>
    </row>
    <row r="192" spans="2:3" ht="15.75" customHeight="1" x14ac:dyDescent="0.25">
      <c r="B192" s="67" t="e">
        <f t="shared" si="28"/>
        <v>#REF!</v>
      </c>
      <c r="C192" s="76" t="e">
        <f t="shared" si="29"/>
        <v>#REF!</v>
      </c>
    </row>
    <row r="193" spans="2:3" ht="15.75" customHeight="1" x14ac:dyDescent="0.25">
      <c r="B193" s="67" t="e">
        <f t="shared" si="28"/>
        <v>#REF!</v>
      </c>
      <c r="C193" s="76" t="e">
        <f t="shared" si="29"/>
        <v>#REF!</v>
      </c>
    </row>
    <row r="194" spans="2:3" ht="15.75" customHeight="1" x14ac:dyDescent="0.25">
      <c r="B194" s="67" t="e">
        <f t="shared" si="28"/>
        <v>#REF!</v>
      </c>
      <c r="C194" s="76" t="e">
        <f t="shared" si="29"/>
        <v>#REF!</v>
      </c>
    </row>
    <row r="195" spans="2:3" ht="15.75" customHeight="1" x14ac:dyDescent="0.25">
      <c r="B195" s="67" t="e">
        <f t="shared" si="28"/>
        <v>#REF!</v>
      </c>
      <c r="C195" s="76" t="e">
        <f t="shared" si="29"/>
        <v>#REF!</v>
      </c>
    </row>
    <row r="196" spans="2:3" ht="15.75" customHeight="1" x14ac:dyDescent="0.25">
      <c r="B196" s="67" t="e">
        <f t="shared" si="28"/>
        <v>#REF!</v>
      </c>
      <c r="C196" s="76" t="e">
        <f t="shared" si="29"/>
        <v>#REF!</v>
      </c>
    </row>
    <row r="197" spans="2:3" ht="15.75" customHeight="1" x14ac:dyDescent="0.25">
      <c r="B197" s="67" t="e">
        <f t="shared" si="28"/>
        <v>#REF!</v>
      </c>
      <c r="C197" s="76" t="e">
        <f t="shared" si="29"/>
        <v>#REF!</v>
      </c>
    </row>
    <row r="198" spans="2:3" ht="15.75" customHeight="1" x14ac:dyDescent="0.25">
      <c r="B198" s="67" t="e">
        <f t="shared" si="28"/>
        <v>#REF!</v>
      </c>
      <c r="C198" s="76" t="e">
        <f t="shared" si="29"/>
        <v>#REF!</v>
      </c>
    </row>
    <row r="199" spans="2:3" ht="15.75" customHeight="1" x14ac:dyDescent="0.25">
      <c r="B199" s="67" t="e">
        <f t="shared" si="28"/>
        <v>#REF!</v>
      </c>
      <c r="C199" s="76" t="e">
        <f t="shared" si="29"/>
        <v>#REF!</v>
      </c>
    </row>
    <row r="200" spans="2:3" ht="15.75" customHeight="1" x14ac:dyDescent="0.25">
      <c r="B200" s="67" t="e">
        <f t="shared" si="28"/>
        <v>#REF!</v>
      </c>
      <c r="C200" s="76" t="e">
        <f t="shared" si="29"/>
        <v>#REF!</v>
      </c>
    </row>
    <row r="201" spans="2:3" ht="15.75" customHeight="1" x14ac:dyDescent="0.25">
      <c r="B201" s="67" t="e">
        <f t="shared" si="28"/>
        <v>#REF!</v>
      </c>
      <c r="C201" s="76" t="e">
        <f t="shared" si="29"/>
        <v>#REF!</v>
      </c>
    </row>
    <row r="202" spans="2:3" ht="15.75" customHeight="1" x14ac:dyDescent="0.25">
      <c r="B202" s="67" t="e">
        <f t="shared" si="28"/>
        <v>#REF!</v>
      </c>
      <c r="C202" s="76" t="e">
        <f t="shared" si="29"/>
        <v>#REF!</v>
      </c>
    </row>
    <row r="203" spans="2:3" ht="15.75" customHeight="1" x14ac:dyDescent="0.25">
      <c r="B203" s="67" t="e">
        <f t="shared" si="28"/>
        <v>#REF!</v>
      </c>
      <c r="C203" s="76" t="e">
        <f t="shared" si="29"/>
        <v>#REF!</v>
      </c>
    </row>
    <row r="204" spans="2:3" ht="15.75" customHeight="1" x14ac:dyDescent="0.25">
      <c r="B204" s="67" t="e">
        <f t="shared" si="28"/>
        <v>#REF!</v>
      </c>
      <c r="C204" s="76" t="e">
        <f t="shared" si="29"/>
        <v>#REF!</v>
      </c>
    </row>
    <row r="205" spans="2:3" ht="15.75" customHeight="1" x14ac:dyDescent="0.25">
      <c r="B205" s="67" t="e">
        <f t="shared" si="28"/>
        <v>#REF!</v>
      </c>
      <c r="C205" s="76" t="e">
        <f t="shared" si="29"/>
        <v>#REF!</v>
      </c>
    </row>
    <row r="206" spans="2:3" ht="15.75" customHeight="1" x14ac:dyDescent="0.25">
      <c r="B206" s="67" t="e">
        <f t="shared" si="28"/>
        <v>#REF!</v>
      </c>
      <c r="C206" s="76" t="e">
        <f t="shared" si="29"/>
        <v>#REF!</v>
      </c>
    </row>
    <row r="207" spans="2:3" ht="15.75" customHeight="1" x14ac:dyDescent="0.25">
      <c r="B207" s="67" t="e">
        <f t="shared" si="28"/>
        <v>#REF!</v>
      </c>
      <c r="C207" s="76" t="e">
        <f t="shared" si="29"/>
        <v>#REF!</v>
      </c>
    </row>
    <row r="208" spans="2:3" ht="15.75" customHeight="1" x14ac:dyDescent="0.25">
      <c r="B208" s="67" t="e">
        <f t="shared" si="28"/>
        <v>#REF!</v>
      </c>
      <c r="C208" s="76" t="e">
        <f t="shared" si="29"/>
        <v>#REF!</v>
      </c>
    </row>
    <row r="209" spans="2:3" ht="15.75" customHeight="1" x14ac:dyDescent="0.25">
      <c r="B209" s="67" t="e">
        <f t="shared" si="28"/>
        <v>#REF!</v>
      </c>
      <c r="C209" s="76" t="e">
        <f t="shared" si="29"/>
        <v>#REF!</v>
      </c>
    </row>
    <row r="210" spans="2:3" ht="15.75" customHeight="1" x14ac:dyDescent="0.25">
      <c r="B210" s="67" t="e">
        <f t="shared" si="28"/>
        <v>#REF!</v>
      </c>
      <c r="C210" s="76" t="e">
        <f t="shared" si="29"/>
        <v>#REF!</v>
      </c>
    </row>
    <row r="211" spans="2:3" ht="15.75" customHeight="1" x14ac:dyDescent="0.25">
      <c r="B211" s="67" t="e">
        <f t="shared" si="28"/>
        <v>#REF!</v>
      </c>
      <c r="C211" s="76" t="e">
        <f t="shared" si="29"/>
        <v>#REF!</v>
      </c>
    </row>
    <row r="212" spans="2:3" ht="15.75" customHeight="1" x14ac:dyDescent="0.25">
      <c r="B212" s="67" t="e">
        <f t="shared" si="28"/>
        <v>#REF!</v>
      </c>
      <c r="C212" s="76" t="e">
        <f t="shared" si="29"/>
        <v>#REF!</v>
      </c>
    </row>
    <row r="213" spans="2:3" ht="15.75" customHeight="1" x14ac:dyDescent="0.25">
      <c r="B213" s="67" t="e">
        <f t="shared" si="28"/>
        <v>#REF!</v>
      </c>
      <c r="C213" s="76" t="e">
        <f t="shared" si="29"/>
        <v>#REF!</v>
      </c>
    </row>
    <row r="214" spans="2:3" ht="15.75" customHeight="1" x14ac:dyDescent="0.25">
      <c r="B214" s="67" t="e">
        <f t="shared" si="28"/>
        <v>#REF!</v>
      </c>
      <c r="C214" s="76" t="e">
        <f t="shared" si="29"/>
        <v>#REF!</v>
      </c>
    </row>
    <row r="215" spans="2:3" ht="15.75" customHeight="1" x14ac:dyDescent="0.25">
      <c r="B215" s="67" t="e">
        <f t="shared" si="28"/>
        <v>#REF!</v>
      </c>
      <c r="C215" s="76" t="e">
        <f t="shared" si="29"/>
        <v>#REF!</v>
      </c>
    </row>
    <row r="216" spans="2:3" ht="15.75" customHeight="1" x14ac:dyDescent="0.25">
      <c r="B216" s="67" t="e">
        <f t="shared" si="28"/>
        <v>#REF!</v>
      </c>
      <c r="C216" s="76" t="e">
        <f t="shared" si="29"/>
        <v>#REF!</v>
      </c>
    </row>
    <row r="217" spans="2:3" ht="15.75" customHeight="1" x14ac:dyDescent="0.25">
      <c r="B217" s="67" t="e">
        <f t="shared" si="28"/>
        <v>#REF!</v>
      </c>
      <c r="C217" s="76" t="e">
        <f t="shared" si="29"/>
        <v>#REF!</v>
      </c>
    </row>
    <row r="218" spans="2:3" ht="15.75" customHeight="1" x14ac:dyDescent="0.25">
      <c r="B218" s="67" t="e">
        <f t="shared" si="28"/>
        <v>#REF!</v>
      </c>
      <c r="C218" s="76" t="e">
        <f t="shared" si="29"/>
        <v>#REF!</v>
      </c>
    </row>
    <row r="219" spans="2:3" ht="15.75" customHeight="1" x14ac:dyDescent="0.25">
      <c r="B219" s="67" t="e">
        <f t="shared" si="28"/>
        <v>#REF!</v>
      </c>
      <c r="C219" s="76" t="e">
        <f t="shared" si="29"/>
        <v>#REF!</v>
      </c>
    </row>
    <row r="220" spans="2:3" ht="15.75" customHeight="1" x14ac:dyDescent="0.25">
      <c r="B220" s="67" t="e">
        <f t="shared" si="28"/>
        <v>#REF!</v>
      </c>
      <c r="C220" s="76" t="e">
        <f t="shared" si="29"/>
        <v>#REF!</v>
      </c>
    </row>
    <row r="221" spans="2:3" ht="15.75" customHeight="1" x14ac:dyDescent="0.25">
      <c r="B221" s="67" t="e">
        <f t="shared" si="28"/>
        <v>#REF!</v>
      </c>
      <c r="C221" s="76" t="e">
        <f t="shared" si="29"/>
        <v>#REF!</v>
      </c>
    </row>
    <row r="222" spans="2:3" ht="15.75" customHeight="1" x14ac:dyDescent="0.25">
      <c r="B222" s="67" t="e">
        <f t="shared" si="28"/>
        <v>#REF!</v>
      </c>
      <c r="C222" s="76" t="e">
        <f t="shared" si="29"/>
        <v>#REF!</v>
      </c>
    </row>
    <row r="223" spans="2:3" ht="15.75" customHeight="1" x14ac:dyDescent="0.25">
      <c r="B223" s="67" t="e">
        <f t="shared" ref="B223:B286" si="30">IF(B222="","",IF(B222+$C$11&lt;=$C$7,B222+$C$11,""))</f>
        <v>#REF!</v>
      </c>
      <c r="C223" s="76" t="e">
        <f t="shared" ref="C223:C286" si="31">IF(B223&lt;&gt;"",C222-$C$2/COUNT($B$19:$B$512),"")</f>
        <v>#REF!</v>
      </c>
    </row>
    <row r="224" spans="2:3" ht="15.75" customHeight="1" x14ac:dyDescent="0.25">
      <c r="B224" s="67" t="e">
        <f t="shared" si="30"/>
        <v>#REF!</v>
      </c>
      <c r="C224" s="76" t="e">
        <f t="shared" si="31"/>
        <v>#REF!</v>
      </c>
    </row>
    <row r="225" spans="2:3" ht="15.75" customHeight="1" x14ac:dyDescent="0.25">
      <c r="B225" s="67" t="e">
        <f t="shared" si="30"/>
        <v>#REF!</v>
      </c>
      <c r="C225" s="76" t="e">
        <f t="shared" si="31"/>
        <v>#REF!</v>
      </c>
    </row>
    <row r="226" spans="2:3" ht="15.75" customHeight="1" x14ac:dyDescent="0.25">
      <c r="B226" s="67" t="e">
        <f t="shared" si="30"/>
        <v>#REF!</v>
      </c>
      <c r="C226" s="76" t="e">
        <f t="shared" si="31"/>
        <v>#REF!</v>
      </c>
    </row>
    <row r="227" spans="2:3" ht="15.75" customHeight="1" x14ac:dyDescent="0.25">
      <c r="B227" s="67" t="e">
        <f t="shared" si="30"/>
        <v>#REF!</v>
      </c>
      <c r="C227" s="76" t="e">
        <f t="shared" si="31"/>
        <v>#REF!</v>
      </c>
    </row>
    <row r="228" spans="2:3" ht="15.75" customHeight="1" x14ac:dyDescent="0.25">
      <c r="B228" s="67" t="e">
        <f t="shared" si="30"/>
        <v>#REF!</v>
      </c>
      <c r="C228" s="76" t="e">
        <f t="shared" si="31"/>
        <v>#REF!</v>
      </c>
    </row>
    <row r="229" spans="2:3" ht="15.75" customHeight="1" x14ac:dyDescent="0.25">
      <c r="B229" s="67" t="e">
        <f t="shared" si="30"/>
        <v>#REF!</v>
      </c>
      <c r="C229" s="76" t="e">
        <f t="shared" si="31"/>
        <v>#REF!</v>
      </c>
    </row>
    <row r="230" spans="2:3" ht="15.75" customHeight="1" x14ac:dyDescent="0.25">
      <c r="B230" s="67" t="e">
        <f t="shared" si="30"/>
        <v>#REF!</v>
      </c>
      <c r="C230" s="76" t="e">
        <f t="shared" si="31"/>
        <v>#REF!</v>
      </c>
    </row>
    <row r="231" spans="2:3" ht="15.75" customHeight="1" x14ac:dyDescent="0.25">
      <c r="B231" s="67" t="e">
        <f t="shared" si="30"/>
        <v>#REF!</v>
      </c>
      <c r="C231" s="76" t="e">
        <f t="shared" si="31"/>
        <v>#REF!</v>
      </c>
    </row>
    <row r="232" spans="2:3" ht="15.75" customHeight="1" x14ac:dyDescent="0.25">
      <c r="B232" s="67" t="e">
        <f t="shared" si="30"/>
        <v>#REF!</v>
      </c>
      <c r="C232" s="76" t="e">
        <f t="shared" si="31"/>
        <v>#REF!</v>
      </c>
    </row>
    <row r="233" spans="2:3" ht="15.75" customHeight="1" x14ac:dyDescent="0.25">
      <c r="B233" s="67" t="e">
        <f t="shared" si="30"/>
        <v>#REF!</v>
      </c>
      <c r="C233" s="76" t="e">
        <f t="shared" si="31"/>
        <v>#REF!</v>
      </c>
    </row>
    <row r="234" spans="2:3" ht="15.75" customHeight="1" x14ac:dyDescent="0.25">
      <c r="B234" s="67" t="e">
        <f t="shared" si="30"/>
        <v>#REF!</v>
      </c>
      <c r="C234" s="76" t="e">
        <f t="shared" si="31"/>
        <v>#REF!</v>
      </c>
    </row>
    <row r="235" spans="2:3" ht="15.75" customHeight="1" x14ac:dyDescent="0.25">
      <c r="B235" s="67" t="e">
        <f t="shared" si="30"/>
        <v>#REF!</v>
      </c>
      <c r="C235" s="76" t="e">
        <f t="shared" si="31"/>
        <v>#REF!</v>
      </c>
    </row>
    <row r="236" spans="2:3" ht="15.75" customHeight="1" x14ac:dyDescent="0.25">
      <c r="B236" s="67" t="e">
        <f t="shared" si="30"/>
        <v>#REF!</v>
      </c>
      <c r="C236" s="76" t="e">
        <f t="shared" si="31"/>
        <v>#REF!</v>
      </c>
    </row>
    <row r="237" spans="2:3" ht="15.75" customHeight="1" x14ac:dyDescent="0.25">
      <c r="B237" s="67" t="e">
        <f t="shared" si="30"/>
        <v>#REF!</v>
      </c>
      <c r="C237" s="76" t="e">
        <f t="shared" si="31"/>
        <v>#REF!</v>
      </c>
    </row>
    <row r="238" spans="2:3" ht="15.75" customHeight="1" x14ac:dyDescent="0.25">
      <c r="B238" s="67" t="e">
        <f t="shared" si="30"/>
        <v>#REF!</v>
      </c>
      <c r="C238" s="76" t="e">
        <f t="shared" si="31"/>
        <v>#REF!</v>
      </c>
    </row>
    <row r="239" spans="2:3" ht="15.75" customHeight="1" x14ac:dyDescent="0.25">
      <c r="B239" s="67" t="e">
        <f t="shared" si="30"/>
        <v>#REF!</v>
      </c>
      <c r="C239" s="76" t="e">
        <f t="shared" si="31"/>
        <v>#REF!</v>
      </c>
    </row>
    <row r="240" spans="2:3" ht="15.75" customHeight="1" x14ac:dyDescent="0.25">
      <c r="B240" s="67" t="e">
        <f t="shared" si="30"/>
        <v>#REF!</v>
      </c>
      <c r="C240" s="76" t="e">
        <f t="shared" si="31"/>
        <v>#REF!</v>
      </c>
    </row>
    <row r="241" spans="2:3" ht="15.75" customHeight="1" x14ac:dyDescent="0.25">
      <c r="B241" s="67" t="e">
        <f t="shared" si="30"/>
        <v>#REF!</v>
      </c>
      <c r="C241" s="76" t="e">
        <f t="shared" si="31"/>
        <v>#REF!</v>
      </c>
    </row>
    <row r="242" spans="2:3" ht="15.75" customHeight="1" x14ac:dyDescent="0.25">
      <c r="B242" s="67" t="e">
        <f t="shared" si="30"/>
        <v>#REF!</v>
      </c>
      <c r="C242" s="76" t="e">
        <f t="shared" si="31"/>
        <v>#REF!</v>
      </c>
    </row>
    <row r="243" spans="2:3" ht="15.75" customHeight="1" x14ac:dyDescent="0.25">
      <c r="B243" s="67" t="e">
        <f t="shared" si="30"/>
        <v>#REF!</v>
      </c>
      <c r="C243" s="76" t="e">
        <f t="shared" si="31"/>
        <v>#REF!</v>
      </c>
    </row>
    <row r="244" spans="2:3" ht="15.75" customHeight="1" x14ac:dyDescent="0.25">
      <c r="B244" s="67" t="e">
        <f t="shared" si="30"/>
        <v>#REF!</v>
      </c>
      <c r="C244" s="76" t="e">
        <f t="shared" si="31"/>
        <v>#REF!</v>
      </c>
    </row>
    <row r="245" spans="2:3" ht="15.75" customHeight="1" x14ac:dyDescent="0.25">
      <c r="B245" s="67" t="e">
        <f t="shared" si="30"/>
        <v>#REF!</v>
      </c>
      <c r="C245" s="76" t="e">
        <f t="shared" si="31"/>
        <v>#REF!</v>
      </c>
    </row>
    <row r="246" spans="2:3" ht="15.75" customHeight="1" x14ac:dyDescent="0.25">
      <c r="B246" s="67" t="e">
        <f t="shared" si="30"/>
        <v>#REF!</v>
      </c>
      <c r="C246" s="76" t="e">
        <f t="shared" si="31"/>
        <v>#REF!</v>
      </c>
    </row>
    <row r="247" spans="2:3" ht="15.75" customHeight="1" x14ac:dyDescent="0.25">
      <c r="B247" s="67" t="e">
        <f t="shared" si="30"/>
        <v>#REF!</v>
      </c>
      <c r="C247" s="76" t="e">
        <f t="shared" si="31"/>
        <v>#REF!</v>
      </c>
    </row>
    <row r="248" spans="2:3" ht="15.75" customHeight="1" x14ac:dyDescent="0.25">
      <c r="B248" s="67" t="e">
        <f t="shared" si="30"/>
        <v>#REF!</v>
      </c>
      <c r="C248" s="76" t="e">
        <f t="shared" si="31"/>
        <v>#REF!</v>
      </c>
    </row>
    <row r="249" spans="2:3" ht="15.75" customHeight="1" x14ac:dyDescent="0.25">
      <c r="B249" s="67" t="e">
        <f t="shared" si="30"/>
        <v>#REF!</v>
      </c>
      <c r="C249" s="76" t="e">
        <f t="shared" si="31"/>
        <v>#REF!</v>
      </c>
    </row>
    <row r="250" spans="2:3" ht="15.75" customHeight="1" x14ac:dyDescent="0.25">
      <c r="B250" s="67" t="e">
        <f t="shared" si="30"/>
        <v>#REF!</v>
      </c>
      <c r="C250" s="76" t="e">
        <f t="shared" si="31"/>
        <v>#REF!</v>
      </c>
    </row>
    <row r="251" spans="2:3" ht="15.75" customHeight="1" x14ac:dyDescent="0.25">
      <c r="B251" s="67" t="e">
        <f t="shared" si="30"/>
        <v>#REF!</v>
      </c>
      <c r="C251" s="76" t="e">
        <f t="shared" si="31"/>
        <v>#REF!</v>
      </c>
    </row>
    <row r="252" spans="2:3" ht="15.75" customHeight="1" x14ac:dyDescent="0.25">
      <c r="B252" s="67" t="e">
        <f t="shared" si="30"/>
        <v>#REF!</v>
      </c>
      <c r="C252" s="76" t="e">
        <f t="shared" si="31"/>
        <v>#REF!</v>
      </c>
    </row>
    <row r="253" spans="2:3" ht="15.75" customHeight="1" x14ac:dyDescent="0.25">
      <c r="B253" s="67" t="e">
        <f t="shared" si="30"/>
        <v>#REF!</v>
      </c>
      <c r="C253" s="76" t="e">
        <f t="shared" si="31"/>
        <v>#REF!</v>
      </c>
    </row>
    <row r="254" spans="2:3" ht="15.75" customHeight="1" x14ac:dyDescent="0.25">
      <c r="B254" s="67" t="e">
        <f t="shared" si="30"/>
        <v>#REF!</v>
      </c>
      <c r="C254" s="76" t="e">
        <f t="shared" si="31"/>
        <v>#REF!</v>
      </c>
    </row>
    <row r="255" spans="2:3" ht="15.75" customHeight="1" x14ac:dyDescent="0.25">
      <c r="B255" s="67" t="e">
        <f t="shared" si="30"/>
        <v>#REF!</v>
      </c>
      <c r="C255" s="76" t="e">
        <f t="shared" si="31"/>
        <v>#REF!</v>
      </c>
    </row>
    <row r="256" spans="2:3" ht="15.75" customHeight="1" x14ac:dyDescent="0.25">
      <c r="B256" s="67" t="e">
        <f t="shared" si="30"/>
        <v>#REF!</v>
      </c>
      <c r="C256" s="76" t="e">
        <f t="shared" si="31"/>
        <v>#REF!</v>
      </c>
    </row>
    <row r="257" spans="2:3" ht="15.75" customHeight="1" x14ac:dyDescent="0.25">
      <c r="B257" s="67" t="e">
        <f t="shared" si="30"/>
        <v>#REF!</v>
      </c>
      <c r="C257" s="76" t="e">
        <f t="shared" si="31"/>
        <v>#REF!</v>
      </c>
    </row>
    <row r="258" spans="2:3" ht="15.75" customHeight="1" x14ac:dyDescent="0.25">
      <c r="B258" s="67" t="e">
        <f t="shared" si="30"/>
        <v>#REF!</v>
      </c>
      <c r="C258" s="76" t="e">
        <f t="shared" si="31"/>
        <v>#REF!</v>
      </c>
    </row>
    <row r="259" spans="2:3" ht="15.75" customHeight="1" x14ac:dyDescent="0.25">
      <c r="B259" s="67" t="e">
        <f t="shared" si="30"/>
        <v>#REF!</v>
      </c>
      <c r="C259" s="76" t="e">
        <f t="shared" si="31"/>
        <v>#REF!</v>
      </c>
    </row>
    <row r="260" spans="2:3" ht="15.75" customHeight="1" x14ac:dyDescent="0.25">
      <c r="B260" s="67" t="e">
        <f t="shared" si="30"/>
        <v>#REF!</v>
      </c>
      <c r="C260" s="76" t="e">
        <f t="shared" si="31"/>
        <v>#REF!</v>
      </c>
    </row>
    <row r="261" spans="2:3" ht="15.75" customHeight="1" x14ac:dyDescent="0.25">
      <c r="B261" s="67" t="e">
        <f t="shared" si="30"/>
        <v>#REF!</v>
      </c>
      <c r="C261" s="76" t="e">
        <f t="shared" si="31"/>
        <v>#REF!</v>
      </c>
    </row>
    <row r="262" spans="2:3" ht="15.75" customHeight="1" x14ac:dyDescent="0.25">
      <c r="B262" s="67" t="e">
        <f t="shared" si="30"/>
        <v>#REF!</v>
      </c>
      <c r="C262" s="76" t="e">
        <f t="shared" si="31"/>
        <v>#REF!</v>
      </c>
    </row>
    <row r="263" spans="2:3" ht="15.75" customHeight="1" x14ac:dyDescent="0.25">
      <c r="B263" s="67" t="e">
        <f t="shared" si="30"/>
        <v>#REF!</v>
      </c>
      <c r="C263" s="76" t="e">
        <f t="shared" si="31"/>
        <v>#REF!</v>
      </c>
    </row>
    <row r="264" spans="2:3" ht="15.75" customHeight="1" x14ac:dyDescent="0.25">
      <c r="B264" s="67" t="e">
        <f t="shared" si="30"/>
        <v>#REF!</v>
      </c>
      <c r="C264" s="76" t="e">
        <f t="shared" si="31"/>
        <v>#REF!</v>
      </c>
    </row>
    <row r="265" spans="2:3" ht="15.75" customHeight="1" x14ac:dyDescent="0.25">
      <c r="B265" s="67" t="e">
        <f t="shared" si="30"/>
        <v>#REF!</v>
      </c>
      <c r="C265" s="76" t="e">
        <f t="shared" si="31"/>
        <v>#REF!</v>
      </c>
    </row>
    <row r="266" spans="2:3" ht="15.75" customHeight="1" x14ac:dyDescent="0.25">
      <c r="B266" s="67" t="e">
        <f t="shared" si="30"/>
        <v>#REF!</v>
      </c>
      <c r="C266" s="76" t="e">
        <f t="shared" si="31"/>
        <v>#REF!</v>
      </c>
    </row>
    <row r="267" spans="2:3" ht="15.75" customHeight="1" x14ac:dyDescent="0.25">
      <c r="B267" s="67" t="e">
        <f t="shared" si="30"/>
        <v>#REF!</v>
      </c>
      <c r="C267" s="76" t="e">
        <f t="shared" si="31"/>
        <v>#REF!</v>
      </c>
    </row>
    <row r="268" spans="2:3" ht="15.75" customHeight="1" x14ac:dyDescent="0.25">
      <c r="B268" s="67" t="e">
        <f t="shared" si="30"/>
        <v>#REF!</v>
      </c>
      <c r="C268" s="76" t="e">
        <f t="shared" si="31"/>
        <v>#REF!</v>
      </c>
    </row>
    <row r="269" spans="2:3" ht="15.75" customHeight="1" x14ac:dyDescent="0.25">
      <c r="B269" s="67" t="e">
        <f t="shared" si="30"/>
        <v>#REF!</v>
      </c>
      <c r="C269" s="76" t="e">
        <f t="shared" si="31"/>
        <v>#REF!</v>
      </c>
    </row>
    <row r="270" spans="2:3" ht="15.75" customHeight="1" x14ac:dyDescent="0.25">
      <c r="B270" s="67" t="e">
        <f t="shared" si="30"/>
        <v>#REF!</v>
      </c>
      <c r="C270" s="76" t="e">
        <f t="shared" si="31"/>
        <v>#REF!</v>
      </c>
    </row>
    <row r="271" spans="2:3" ht="15.75" customHeight="1" x14ac:dyDescent="0.25">
      <c r="B271" s="67" t="e">
        <f t="shared" si="30"/>
        <v>#REF!</v>
      </c>
      <c r="C271" s="76" t="e">
        <f t="shared" si="31"/>
        <v>#REF!</v>
      </c>
    </row>
    <row r="272" spans="2:3" ht="15.75" customHeight="1" x14ac:dyDescent="0.25">
      <c r="B272" s="67" t="e">
        <f t="shared" si="30"/>
        <v>#REF!</v>
      </c>
      <c r="C272" s="76" t="e">
        <f t="shared" si="31"/>
        <v>#REF!</v>
      </c>
    </row>
    <row r="273" spans="2:3" ht="15.75" customHeight="1" x14ac:dyDescent="0.25">
      <c r="B273" s="67" t="e">
        <f t="shared" si="30"/>
        <v>#REF!</v>
      </c>
      <c r="C273" s="76" t="e">
        <f t="shared" si="31"/>
        <v>#REF!</v>
      </c>
    </row>
    <row r="274" spans="2:3" ht="15.75" customHeight="1" x14ac:dyDescent="0.25">
      <c r="B274" s="67" t="e">
        <f t="shared" si="30"/>
        <v>#REF!</v>
      </c>
      <c r="C274" s="76" t="e">
        <f t="shared" si="31"/>
        <v>#REF!</v>
      </c>
    </row>
    <row r="275" spans="2:3" ht="15.75" customHeight="1" x14ac:dyDescent="0.25">
      <c r="B275" s="67" t="e">
        <f t="shared" si="30"/>
        <v>#REF!</v>
      </c>
      <c r="C275" s="76" t="e">
        <f t="shared" si="31"/>
        <v>#REF!</v>
      </c>
    </row>
    <row r="276" spans="2:3" ht="15.75" customHeight="1" x14ac:dyDescent="0.25">
      <c r="B276" s="67" t="e">
        <f t="shared" si="30"/>
        <v>#REF!</v>
      </c>
      <c r="C276" s="76" t="e">
        <f t="shared" si="31"/>
        <v>#REF!</v>
      </c>
    </row>
    <row r="277" spans="2:3" ht="15.75" customHeight="1" x14ac:dyDescent="0.25">
      <c r="B277" s="67" t="e">
        <f t="shared" si="30"/>
        <v>#REF!</v>
      </c>
      <c r="C277" s="76" t="e">
        <f t="shared" si="31"/>
        <v>#REF!</v>
      </c>
    </row>
    <row r="278" spans="2:3" ht="15.75" customHeight="1" x14ac:dyDescent="0.25">
      <c r="B278" s="67" t="e">
        <f t="shared" si="30"/>
        <v>#REF!</v>
      </c>
      <c r="C278" s="76" t="e">
        <f t="shared" si="31"/>
        <v>#REF!</v>
      </c>
    </row>
    <row r="279" spans="2:3" ht="15.75" customHeight="1" x14ac:dyDescent="0.25">
      <c r="B279" s="67" t="e">
        <f t="shared" si="30"/>
        <v>#REF!</v>
      </c>
      <c r="C279" s="76" t="e">
        <f t="shared" si="31"/>
        <v>#REF!</v>
      </c>
    </row>
    <row r="280" spans="2:3" ht="15.75" customHeight="1" x14ac:dyDescent="0.25">
      <c r="B280" s="67" t="e">
        <f t="shared" si="30"/>
        <v>#REF!</v>
      </c>
      <c r="C280" s="76" t="e">
        <f t="shared" si="31"/>
        <v>#REF!</v>
      </c>
    </row>
    <row r="281" spans="2:3" ht="15.75" customHeight="1" x14ac:dyDescent="0.25">
      <c r="B281" s="67" t="e">
        <f t="shared" si="30"/>
        <v>#REF!</v>
      </c>
      <c r="C281" s="76" t="e">
        <f t="shared" si="31"/>
        <v>#REF!</v>
      </c>
    </row>
    <row r="282" spans="2:3" ht="15.75" customHeight="1" x14ac:dyDescent="0.25">
      <c r="B282" s="67" t="e">
        <f t="shared" si="30"/>
        <v>#REF!</v>
      </c>
      <c r="C282" s="76" t="e">
        <f t="shared" si="31"/>
        <v>#REF!</v>
      </c>
    </row>
    <row r="283" spans="2:3" ht="15.75" customHeight="1" x14ac:dyDescent="0.25">
      <c r="B283" s="67" t="e">
        <f t="shared" si="30"/>
        <v>#REF!</v>
      </c>
      <c r="C283" s="76" t="e">
        <f t="shared" si="31"/>
        <v>#REF!</v>
      </c>
    </row>
    <row r="284" spans="2:3" ht="15.75" customHeight="1" x14ac:dyDescent="0.25">
      <c r="B284" s="67" t="e">
        <f t="shared" si="30"/>
        <v>#REF!</v>
      </c>
      <c r="C284" s="76" t="e">
        <f t="shared" si="31"/>
        <v>#REF!</v>
      </c>
    </row>
    <row r="285" spans="2:3" ht="15.75" customHeight="1" x14ac:dyDescent="0.25">
      <c r="B285" s="67" t="e">
        <f t="shared" si="30"/>
        <v>#REF!</v>
      </c>
      <c r="C285" s="76" t="e">
        <f t="shared" si="31"/>
        <v>#REF!</v>
      </c>
    </row>
    <row r="286" spans="2:3" ht="15.75" customHeight="1" x14ac:dyDescent="0.25">
      <c r="B286" s="67" t="e">
        <f t="shared" si="30"/>
        <v>#REF!</v>
      </c>
      <c r="C286" s="76" t="e">
        <f t="shared" si="31"/>
        <v>#REF!</v>
      </c>
    </row>
    <row r="287" spans="2:3" ht="15.75" customHeight="1" x14ac:dyDescent="0.25">
      <c r="B287" s="67" t="e">
        <f t="shared" ref="B287:B350" si="32">IF(B286="","",IF(B286+$C$11&lt;=$C$7,B286+$C$11,""))</f>
        <v>#REF!</v>
      </c>
      <c r="C287" s="76" t="e">
        <f t="shared" ref="C287:C350" si="33">IF(B287&lt;&gt;"",C286-$C$2/COUNT($B$19:$B$512),"")</f>
        <v>#REF!</v>
      </c>
    </row>
    <row r="288" spans="2:3" ht="15.75" customHeight="1" x14ac:dyDescent="0.25">
      <c r="B288" s="67" t="e">
        <f t="shared" si="32"/>
        <v>#REF!</v>
      </c>
      <c r="C288" s="76" t="e">
        <f t="shared" si="33"/>
        <v>#REF!</v>
      </c>
    </row>
    <row r="289" spans="2:3" ht="15.75" customHeight="1" x14ac:dyDescent="0.25">
      <c r="B289" s="67" t="e">
        <f t="shared" si="32"/>
        <v>#REF!</v>
      </c>
      <c r="C289" s="76" t="e">
        <f t="shared" si="33"/>
        <v>#REF!</v>
      </c>
    </row>
    <row r="290" spans="2:3" ht="15.75" customHeight="1" x14ac:dyDescent="0.25">
      <c r="B290" s="67" t="e">
        <f t="shared" si="32"/>
        <v>#REF!</v>
      </c>
      <c r="C290" s="76" t="e">
        <f t="shared" si="33"/>
        <v>#REF!</v>
      </c>
    </row>
    <row r="291" spans="2:3" ht="15.75" customHeight="1" x14ac:dyDescent="0.25">
      <c r="B291" s="67" t="e">
        <f t="shared" si="32"/>
        <v>#REF!</v>
      </c>
      <c r="C291" s="76" t="e">
        <f t="shared" si="33"/>
        <v>#REF!</v>
      </c>
    </row>
    <row r="292" spans="2:3" ht="15.75" customHeight="1" x14ac:dyDescent="0.25">
      <c r="B292" s="67" t="e">
        <f t="shared" si="32"/>
        <v>#REF!</v>
      </c>
      <c r="C292" s="76" t="e">
        <f t="shared" si="33"/>
        <v>#REF!</v>
      </c>
    </row>
    <row r="293" spans="2:3" ht="15.75" customHeight="1" x14ac:dyDescent="0.25">
      <c r="B293" s="67" t="e">
        <f t="shared" si="32"/>
        <v>#REF!</v>
      </c>
      <c r="C293" s="76" t="e">
        <f t="shared" si="33"/>
        <v>#REF!</v>
      </c>
    </row>
    <row r="294" spans="2:3" ht="15.75" customHeight="1" x14ac:dyDescent="0.25">
      <c r="B294" s="67" t="e">
        <f t="shared" si="32"/>
        <v>#REF!</v>
      </c>
      <c r="C294" s="76" t="e">
        <f t="shared" si="33"/>
        <v>#REF!</v>
      </c>
    </row>
    <row r="295" spans="2:3" ht="15.75" customHeight="1" x14ac:dyDescent="0.25">
      <c r="B295" s="67" t="e">
        <f t="shared" si="32"/>
        <v>#REF!</v>
      </c>
      <c r="C295" s="76" t="e">
        <f t="shared" si="33"/>
        <v>#REF!</v>
      </c>
    </row>
    <row r="296" spans="2:3" ht="15.75" customHeight="1" x14ac:dyDescent="0.25">
      <c r="B296" s="67" t="e">
        <f t="shared" si="32"/>
        <v>#REF!</v>
      </c>
      <c r="C296" s="76" t="e">
        <f t="shared" si="33"/>
        <v>#REF!</v>
      </c>
    </row>
    <row r="297" spans="2:3" ht="15.75" customHeight="1" x14ac:dyDescent="0.25">
      <c r="B297" s="67" t="e">
        <f t="shared" si="32"/>
        <v>#REF!</v>
      </c>
      <c r="C297" s="76" t="e">
        <f t="shared" si="33"/>
        <v>#REF!</v>
      </c>
    </row>
    <row r="298" spans="2:3" ht="15.75" customHeight="1" x14ac:dyDescent="0.25">
      <c r="B298" s="67" t="e">
        <f t="shared" si="32"/>
        <v>#REF!</v>
      </c>
      <c r="C298" s="76" t="e">
        <f t="shared" si="33"/>
        <v>#REF!</v>
      </c>
    </row>
    <row r="299" spans="2:3" ht="15.75" customHeight="1" x14ac:dyDescent="0.25">
      <c r="B299" s="67" t="e">
        <f t="shared" si="32"/>
        <v>#REF!</v>
      </c>
      <c r="C299" s="76" t="e">
        <f t="shared" si="33"/>
        <v>#REF!</v>
      </c>
    </row>
    <row r="300" spans="2:3" ht="15.75" customHeight="1" x14ac:dyDescent="0.25">
      <c r="B300" s="67" t="e">
        <f t="shared" si="32"/>
        <v>#REF!</v>
      </c>
      <c r="C300" s="76" t="e">
        <f t="shared" si="33"/>
        <v>#REF!</v>
      </c>
    </row>
    <row r="301" spans="2:3" ht="15.75" customHeight="1" x14ac:dyDescent="0.25">
      <c r="B301" s="67" t="e">
        <f t="shared" si="32"/>
        <v>#REF!</v>
      </c>
      <c r="C301" s="76" t="e">
        <f t="shared" si="33"/>
        <v>#REF!</v>
      </c>
    </row>
    <row r="302" spans="2:3" ht="15.75" customHeight="1" x14ac:dyDescent="0.25">
      <c r="B302" s="67" t="e">
        <f t="shared" si="32"/>
        <v>#REF!</v>
      </c>
      <c r="C302" s="76" t="e">
        <f t="shared" si="33"/>
        <v>#REF!</v>
      </c>
    </row>
    <row r="303" spans="2:3" ht="15.75" customHeight="1" x14ac:dyDescent="0.25">
      <c r="B303" s="67" t="e">
        <f t="shared" si="32"/>
        <v>#REF!</v>
      </c>
      <c r="C303" s="76" t="e">
        <f t="shared" si="33"/>
        <v>#REF!</v>
      </c>
    </row>
    <row r="304" spans="2:3" ht="15.75" customHeight="1" x14ac:dyDescent="0.25">
      <c r="B304" s="67" t="e">
        <f t="shared" si="32"/>
        <v>#REF!</v>
      </c>
      <c r="C304" s="76" t="e">
        <f t="shared" si="33"/>
        <v>#REF!</v>
      </c>
    </row>
    <row r="305" spans="2:3" ht="15.75" customHeight="1" x14ac:dyDescent="0.25">
      <c r="B305" s="67" t="e">
        <f t="shared" si="32"/>
        <v>#REF!</v>
      </c>
      <c r="C305" s="76" t="e">
        <f t="shared" si="33"/>
        <v>#REF!</v>
      </c>
    </row>
    <row r="306" spans="2:3" ht="15.75" customHeight="1" x14ac:dyDescent="0.25">
      <c r="B306" s="67" t="e">
        <f t="shared" si="32"/>
        <v>#REF!</v>
      </c>
      <c r="C306" s="76" t="e">
        <f t="shared" si="33"/>
        <v>#REF!</v>
      </c>
    </row>
    <row r="307" spans="2:3" ht="15.75" customHeight="1" x14ac:dyDescent="0.25">
      <c r="B307" s="67" t="e">
        <f t="shared" si="32"/>
        <v>#REF!</v>
      </c>
      <c r="C307" s="76" t="e">
        <f t="shared" si="33"/>
        <v>#REF!</v>
      </c>
    </row>
    <row r="308" spans="2:3" ht="15.75" customHeight="1" x14ac:dyDescent="0.25">
      <c r="B308" s="67" t="e">
        <f t="shared" si="32"/>
        <v>#REF!</v>
      </c>
      <c r="C308" s="76" t="e">
        <f t="shared" si="33"/>
        <v>#REF!</v>
      </c>
    </row>
    <row r="309" spans="2:3" ht="15.75" customHeight="1" x14ac:dyDescent="0.25">
      <c r="B309" s="67" t="e">
        <f t="shared" si="32"/>
        <v>#REF!</v>
      </c>
      <c r="C309" s="76" t="e">
        <f t="shared" si="33"/>
        <v>#REF!</v>
      </c>
    </row>
    <row r="310" spans="2:3" ht="15.75" customHeight="1" x14ac:dyDescent="0.25">
      <c r="B310" s="67" t="e">
        <f t="shared" si="32"/>
        <v>#REF!</v>
      </c>
      <c r="C310" s="76" t="e">
        <f t="shared" si="33"/>
        <v>#REF!</v>
      </c>
    </row>
    <row r="311" spans="2:3" ht="15.75" customHeight="1" x14ac:dyDescent="0.25">
      <c r="B311" s="67" t="e">
        <f t="shared" si="32"/>
        <v>#REF!</v>
      </c>
      <c r="C311" s="76" t="e">
        <f t="shared" si="33"/>
        <v>#REF!</v>
      </c>
    </row>
    <row r="312" spans="2:3" ht="15.75" customHeight="1" x14ac:dyDescent="0.25">
      <c r="B312" s="67" t="e">
        <f t="shared" si="32"/>
        <v>#REF!</v>
      </c>
      <c r="C312" s="76" t="e">
        <f t="shared" si="33"/>
        <v>#REF!</v>
      </c>
    </row>
    <row r="313" spans="2:3" ht="15.75" customHeight="1" x14ac:dyDescent="0.25">
      <c r="B313" s="67" t="e">
        <f t="shared" si="32"/>
        <v>#REF!</v>
      </c>
      <c r="C313" s="76" t="e">
        <f t="shared" si="33"/>
        <v>#REF!</v>
      </c>
    </row>
    <row r="314" spans="2:3" ht="15.75" customHeight="1" x14ac:dyDescent="0.25">
      <c r="B314" s="67" t="e">
        <f t="shared" si="32"/>
        <v>#REF!</v>
      </c>
      <c r="C314" s="76" t="e">
        <f t="shared" si="33"/>
        <v>#REF!</v>
      </c>
    </row>
    <row r="315" spans="2:3" ht="15.75" customHeight="1" x14ac:dyDescent="0.25">
      <c r="B315" s="67" t="e">
        <f t="shared" si="32"/>
        <v>#REF!</v>
      </c>
      <c r="C315" s="76" t="e">
        <f t="shared" si="33"/>
        <v>#REF!</v>
      </c>
    </row>
    <row r="316" spans="2:3" ht="15.75" customHeight="1" x14ac:dyDescent="0.25">
      <c r="B316" s="67" t="e">
        <f t="shared" si="32"/>
        <v>#REF!</v>
      </c>
      <c r="C316" s="76" t="e">
        <f t="shared" si="33"/>
        <v>#REF!</v>
      </c>
    </row>
    <row r="317" spans="2:3" ht="15.75" customHeight="1" x14ac:dyDescent="0.25">
      <c r="B317" s="67" t="e">
        <f t="shared" si="32"/>
        <v>#REF!</v>
      </c>
      <c r="C317" s="76" t="e">
        <f t="shared" si="33"/>
        <v>#REF!</v>
      </c>
    </row>
    <row r="318" spans="2:3" ht="15.75" customHeight="1" x14ac:dyDescent="0.25">
      <c r="B318" s="67" t="e">
        <f t="shared" si="32"/>
        <v>#REF!</v>
      </c>
      <c r="C318" s="76" t="e">
        <f t="shared" si="33"/>
        <v>#REF!</v>
      </c>
    </row>
    <row r="319" spans="2:3" ht="15.75" customHeight="1" x14ac:dyDescent="0.25">
      <c r="B319" s="67" t="e">
        <f t="shared" si="32"/>
        <v>#REF!</v>
      </c>
      <c r="C319" s="76" t="e">
        <f t="shared" si="33"/>
        <v>#REF!</v>
      </c>
    </row>
    <row r="320" spans="2:3" ht="15.75" customHeight="1" x14ac:dyDescent="0.25">
      <c r="B320" s="67" t="e">
        <f t="shared" si="32"/>
        <v>#REF!</v>
      </c>
      <c r="C320" s="76" t="e">
        <f t="shared" si="33"/>
        <v>#REF!</v>
      </c>
    </row>
    <row r="321" spans="2:3" ht="15.75" customHeight="1" x14ac:dyDescent="0.25">
      <c r="B321" s="67" t="e">
        <f t="shared" si="32"/>
        <v>#REF!</v>
      </c>
      <c r="C321" s="76" t="e">
        <f t="shared" si="33"/>
        <v>#REF!</v>
      </c>
    </row>
    <row r="322" spans="2:3" ht="15.75" customHeight="1" x14ac:dyDescent="0.25">
      <c r="B322" s="67" t="e">
        <f t="shared" si="32"/>
        <v>#REF!</v>
      </c>
      <c r="C322" s="76" t="e">
        <f t="shared" si="33"/>
        <v>#REF!</v>
      </c>
    </row>
    <row r="323" spans="2:3" ht="15.75" customHeight="1" x14ac:dyDescent="0.25">
      <c r="B323" s="67" t="e">
        <f t="shared" si="32"/>
        <v>#REF!</v>
      </c>
      <c r="C323" s="76" t="e">
        <f t="shared" si="33"/>
        <v>#REF!</v>
      </c>
    </row>
    <row r="324" spans="2:3" ht="15.75" customHeight="1" x14ac:dyDescent="0.25">
      <c r="B324" s="67" t="e">
        <f t="shared" si="32"/>
        <v>#REF!</v>
      </c>
      <c r="C324" s="76" t="e">
        <f t="shared" si="33"/>
        <v>#REF!</v>
      </c>
    </row>
    <row r="325" spans="2:3" ht="15.75" customHeight="1" x14ac:dyDescent="0.25">
      <c r="B325" s="67" t="e">
        <f t="shared" si="32"/>
        <v>#REF!</v>
      </c>
      <c r="C325" s="76" t="e">
        <f t="shared" si="33"/>
        <v>#REF!</v>
      </c>
    </row>
    <row r="326" spans="2:3" ht="15.75" customHeight="1" x14ac:dyDescent="0.25">
      <c r="B326" s="67" t="e">
        <f t="shared" si="32"/>
        <v>#REF!</v>
      </c>
      <c r="C326" s="76" t="e">
        <f t="shared" si="33"/>
        <v>#REF!</v>
      </c>
    </row>
    <row r="327" spans="2:3" ht="15.75" customHeight="1" x14ac:dyDescent="0.25">
      <c r="B327" s="67" t="e">
        <f t="shared" si="32"/>
        <v>#REF!</v>
      </c>
      <c r="C327" s="76" t="e">
        <f t="shared" si="33"/>
        <v>#REF!</v>
      </c>
    </row>
    <row r="328" spans="2:3" ht="15.75" customHeight="1" x14ac:dyDescent="0.25">
      <c r="B328" s="67" t="e">
        <f t="shared" si="32"/>
        <v>#REF!</v>
      </c>
      <c r="C328" s="76" t="e">
        <f t="shared" si="33"/>
        <v>#REF!</v>
      </c>
    </row>
    <row r="329" spans="2:3" ht="15.75" customHeight="1" x14ac:dyDescent="0.25">
      <c r="B329" s="67" t="e">
        <f t="shared" si="32"/>
        <v>#REF!</v>
      </c>
      <c r="C329" s="76" t="e">
        <f t="shared" si="33"/>
        <v>#REF!</v>
      </c>
    </row>
    <row r="330" spans="2:3" ht="15.75" customHeight="1" x14ac:dyDescent="0.25">
      <c r="B330" s="67" t="e">
        <f t="shared" si="32"/>
        <v>#REF!</v>
      </c>
      <c r="C330" s="76" t="e">
        <f t="shared" si="33"/>
        <v>#REF!</v>
      </c>
    </row>
    <row r="331" spans="2:3" ht="15.75" customHeight="1" x14ac:dyDescent="0.25">
      <c r="B331" s="67" t="e">
        <f t="shared" si="32"/>
        <v>#REF!</v>
      </c>
      <c r="C331" s="76" t="e">
        <f t="shared" si="33"/>
        <v>#REF!</v>
      </c>
    </row>
    <row r="332" spans="2:3" ht="15.75" customHeight="1" x14ac:dyDescent="0.25">
      <c r="B332" s="67" t="e">
        <f t="shared" si="32"/>
        <v>#REF!</v>
      </c>
      <c r="C332" s="76" t="e">
        <f t="shared" si="33"/>
        <v>#REF!</v>
      </c>
    </row>
    <row r="333" spans="2:3" ht="15.75" customHeight="1" x14ac:dyDescent="0.25">
      <c r="B333" s="67" t="e">
        <f t="shared" si="32"/>
        <v>#REF!</v>
      </c>
      <c r="C333" s="76" t="e">
        <f t="shared" si="33"/>
        <v>#REF!</v>
      </c>
    </row>
    <row r="334" spans="2:3" ht="15.75" customHeight="1" x14ac:dyDescent="0.25">
      <c r="B334" s="67" t="e">
        <f t="shared" si="32"/>
        <v>#REF!</v>
      </c>
      <c r="C334" s="76" t="e">
        <f t="shared" si="33"/>
        <v>#REF!</v>
      </c>
    </row>
    <row r="335" spans="2:3" ht="15.75" customHeight="1" x14ac:dyDescent="0.25">
      <c r="B335" s="67" t="e">
        <f t="shared" si="32"/>
        <v>#REF!</v>
      </c>
      <c r="C335" s="76" t="e">
        <f t="shared" si="33"/>
        <v>#REF!</v>
      </c>
    </row>
    <row r="336" spans="2:3" ht="15.75" customHeight="1" x14ac:dyDescent="0.25">
      <c r="B336" s="67" t="e">
        <f t="shared" si="32"/>
        <v>#REF!</v>
      </c>
      <c r="C336" s="76" t="e">
        <f t="shared" si="33"/>
        <v>#REF!</v>
      </c>
    </row>
    <row r="337" spans="2:3" ht="15.75" customHeight="1" x14ac:dyDescent="0.25">
      <c r="B337" s="67" t="e">
        <f t="shared" si="32"/>
        <v>#REF!</v>
      </c>
      <c r="C337" s="76" t="e">
        <f t="shared" si="33"/>
        <v>#REF!</v>
      </c>
    </row>
    <row r="338" spans="2:3" ht="15.75" customHeight="1" x14ac:dyDescent="0.25">
      <c r="B338" s="67" t="e">
        <f t="shared" si="32"/>
        <v>#REF!</v>
      </c>
      <c r="C338" s="76" t="e">
        <f t="shared" si="33"/>
        <v>#REF!</v>
      </c>
    </row>
    <row r="339" spans="2:3" ht="15.75" customHeight="1" x14ac:dyDescent="0.25">
      <c r="B339" s="67" t="e">
        <f t="shared" si="32"/>
        <v>#REF!</v>
      </c>
      <c r="C339" s="76" t="e">
        <f t="shared" si="33"/>
        <v>#REF!</v>
      </c>
    </row>
    <row r="340" spans="2:3" ht="15.75" customHeight="1" x14ac:dyDescent="0.25">
      <c r="B340" s="67" t="e">
        <f t="shared" si="32"/>
        <v>#REF!</v>
      </c>
      <c r="C340" s="76" t="e">
        <f t="shared" si="33"/>
        <v>#REF!</v>
      </c>
    </row>
    <row r="341" spans="2:3" ht="15.75" customHeight="1" x14ac:dyDescent="0.25">
      <c r="B341" s="67" t="e">
        <f t="shared" si="32"/>
        <v>#REF!</v>
      </c>
      <c r="C341" s="76" t="e">
        <f t="shared" si="33"/>
        <v>#REF!</v>
      </c>
    </row>
    <row r="342" spans="2:3" ht="15.75" customHeight="1" x14ac:dyDescent="0.25">
      <c r="B342" s="67" t="e">
        <f t="shared" si="32"/>
        <v>#REF!</v>
      </c>
      <c r="C342" s="76" t="e">
        <f t="shared" si="33"/>
        <v>#REF!</v>
      </c>
    </row>
    <row r="343" spans="2:3" ht="15.75" customHeight="1" x14ac:dyDescent="0.25">
      <c r="B343" s="67" t="e">
        <f t="shared" si="32"/>
        <v>#REF!</v>
      </c>
      <c r="C343" s="76" t="e">
        <f t="shared" si="33"/>
        <v>#REF!</v>
      </c>
    </row>
    <row r="344" spans="2:3" ht="15.75" customHeight="1" x14ac:dyDescent="0.25">
      <c r="B344" s="67" t="e">
        <f t="shared" si="32"/>
        <v>#REF!</v>
      </c>
      <c r="C344" s="76" t="e">
        <f t="shared" si="33"/>
        <v>#REF!</v>
      </c>
    </row>
    <row r="345" spans="2:3" ht="15.75" customHeight="1" x14ac:dyDescent="0.25">
      <c r="B345" s="67" t="e">
        <f t="shared" si="32"/>
        <v>#REF!</v>
      </c>
      <c r="C345" s="76" t="e">
        <f t="shared" si="33"/>
        <v>#REF!</v>
      </c>
    </row>
    <row r="346" spans="2:3" ht="15.75" customHeight="1" x14ac:dyDescent="0.25">
      <c r="B346" s="67" t="e">
        <f t="shared" si="32"/>
        <v>#REF!</v>
      </c>
      <c r="C346" s="76" t="e">
        <f t="shared" si="33"/>
        <v>#REF!</v>
      </c>
    </row>
    <row r="347" spans="2:3" ht="15.75" customHeight="1" x14ac:dyDescent="0.25">
      <c r="B347" s="67" t="e">
        <f t="shared" si="32"/>
        <v>#REF!</v>
      </c>
      <c r="C347" s="76" t="e">
        <f t="shared" si="33"/>
        <v>#REF!</v>
      </c>
    </row>
    <row r="348" spans="2:3" ht="15.75" customHeight="1" x14ac:dyDescent="0.25">
      <c r="B348" s="67" t="e">
        <f t="shared" si="32"/>
        <v>#REF!</v>
      </c>
      <c r="C348" s="76" t="e">
        <f t="shared" si="33"/>
        <v>#REF!</v>
      </c>
    </row>
    <row r="349" spans="2:3" ht="15.75" customHeight="1" x14ac:dyDescent="0.25">
      <c r="B349" s="67" t="e">
        <f t="shared" si="32"/>
        <v>#REF!</v>
      </c>
      <c r="C349" s="76" t="e">
        <f t="shared" si="33"/>
        <v>#REF!</v>
      </c>
    </row>
    <row r="350" spans="2:3" ht="15.75" customHeight="1" x14ac:dyDescent="0.25">
      <c r="B350" s="67" t="e">
        <f t="shared" si="32"/>
        <v>#REF!</v>
      </c>
      <c r="C350" s="76" t="e">
        <f t="shared" si="33"/>
        <v>#REF!</v>
      </c>
    </row>
    <row r="351" spans="2:3" ht="15.75" customHeight="1" x14ac:dyDescent="0.25">
      <c r="B351" s="67" t="e">
        <f t="shared" ref="B351:B414" si="34">IF(B350="","",IF(B350+$C$11&lt;=$C$7,B350+$C$11,""))</f>
        <v>#REF!</v>
      </c>
      <c r="C351" s="76" t="e">
        <f t="shared" ref="C351:C414" si="35">IF(B351&lt;&gt;"",C350-$C$2/COUNT($B$19:$B$512),"")</f>
        <v>#REF!</v>
      </c>
    </row>
    <row r="352" spans="2:3" ht="15.75" customHeight="1" x14ac:dyDescent="0.25">
      <c r="B352" s="67" t="e">
        <f t="shared" si="34"/>
        <v>#REF!</v>
      </c>
      <c r="C352" s="76" t="e">
        <f t="shared" si="35"/>
        <v>#REF!</v>
      </c>
    </row>
    <row r="353" spans="2:3" ht="15.75" customHeight="1" x14ac:dyDescent="0.25">
      <c r="B353" s="67" t="e">
        <f t="shared" si="34"/>
        <v>#REF!</v>
      </c>
      <c r="C353" s="76" t="e">
        <f t="shared" si="35"/>
        <v>#REF!</v>
      </c>
    </row>
    <row r="354" spans="2:3" ht="15.75" customHeight="1" x14ac:dyDescent="0.25">
      <c r="B354" s="67" t="e">
        <f t="shared" si="34"/>
        <v>#REF!</v>
      </c>
      <c r="C354" s="76" t="e">
        <f t="shared" si="35"/>
        <v>#REF!</v>
      </c>
    </row>
    <row r="355" spans="2:3" ht="15.75" customHeight="1" x14ac:dyDescent="0.25">
      <c r="B355" s="67" t="e">
        <f t="shared" si="34"/>
        <v>#REF!</v>
      </c>
      <c r="C355" s="76" t="e">
        <f t="shared" si="35"/>
        <v>#REF!</v>
      </c>
    </row>
    <row r="356" spans="2:3" ht="15.75" customHeight="1" x14ac:dyDescent="0.25">
      <c r="B356" s="67" t="e">
        <f t="shared" si="34"/>
        <v>#REF!</v>
      </c>
      <c r="C356" s="76" t="e">
        <f t="shared" si="35"/>
        <v>#REF!</v>
      </c>
    </row>
    <row r="357" spans="2:3" ht="15.75" customHeight="1" x14ac:dyDescent="0.25">
      <c r="B357" s="67" t="e">
        <f t="shared" si="34"/>
        <v>#REF!</v>
      </c>
      <c r="C357" s="76" t="e">
        <f t="shared" si="35"/>
        <v>#REF!</v>
      </c>
    </row>
    <row r="358" spans="2:3" ht="15.75" customHeight="1" x14ac:dyDescent="0.25">
      <c r="B358" s="67" t="e">
        <f t="shared" si="34"/>
        <v>#REF!</v>
      </c>
      <c r="C358" s="76" t="e">
        <f t="shared" si="35"/>
        <v>#REF!</v>
      </c>
    </row>
    <row r="359" spans="2:3" ht="15.75" customHeight="1" x14ac:dyDescent="0.25">
      <c r="B359" s="67" t="e">
        <f t="shared" si="34"/>
        <v>#REF!</v>
      </c>
      <c r="C359" s="76" t="e">
        <f t="shared" si="35"/>
        <v>#REF!</v>
      </c>
    </row>
    <row r="360" spans="2:3" ht="15.75" customHeight="1" x14ac:dyDescent="0.25">
      <c r="B360" s="67" t="e">
        <f t="shared" si="34"/>
        <v>#REF!</v>
      </c>
      <c r="C360" s="76" t="e">
        <f t="shared" si="35"/>
        <v>#REF!</v>
      </c>
    </row>
    <row r="361" spans="2:3" ht="15.75" customHeight="1" x14ac:dyDescent="0.25">
      <c r="B361" s="67" t="e">
        <f t="shared" si="34"/>
        <v>#REF!</v>
      </c>
      <c r="C361" s="76" t="e">
        <f t="shared" si="35"/>
        <v>#REF!</v>
      </c>
    </row>
    <row r="362" spans="2:3" ht="15.75" customHeight="1" x14ac:dyDescent="0.25">
      <c r="B362" s="67" t="e">
        <f t="shared" si="34"/>
        <v>#REF!</v>
      </c>
      <c r="C362" s="76" t="e">
        <f t="shared" si="35"/>
        <v>#REF!</v>
      </c>
    </row>
    <row r="363" spans="2:3" ht="15.75" customHeight="1" x14ac:dyDescent="0.25">
      <c r="B363" s="67" t="e">
        <f t="shared" si="34"/>
        <v>#REF!</v>
      </c>
      <c r="C363" s="76" t="e">
        <f t="shared" si="35"/>
        <v>#REF!</v>
      </c>
    </row>
    <row r="364" spans="2:3" ht="15.75" customHeight="1" x14ac:dyDescent="0.25">
      <c r="B364" s="67" t="e">
        <f t="shared" si="34"/>
        <v>#REF!</v>
      </c>
      <c r="C364" s="76" t="e">
        <f t="shared" si="35"/>
        <v>#REF!</v>
      </c>
    </row>
    <row r="365" spans="2:3" ht="15.75" customHeight="1" x14ac:dyDescent="0.25">
      <c r="B365" s="67" t="e">
        <f t="shared" si="34"/>
        <v>#REF!</v>
      </c>
      <c r="C365" s="76" t="e">
        <f t="shared" si="35"/>
        <v>#REF!</v>
      </c>
    </row>
    <row r="366" spans="2:3" ht="15.75" customHeight="1" x14ac:dyDescent="0.25">
      <c r="B366" s="67" t="e">
        <f t="shared" si="34"/>
        <v>#REF!</v>
      </c>
      <c r="C366" s="76" t="e">
        <f t="shared" si="35"/>
        <v>#REF!</v>
      </c>
    </row>
    <row r="367" spans="2:3" ht="15.75" customHeight="1" x14ac:dyDescent="0.25">
      <c r="B367" s="67" t="e">
        <f t="shared" si="34"/>
        <v>#REF!</v>
      </c>
      <c r="C367" s="76" t="e">
        <f t="shared" si="35"/>
        <v>#REF!</v>
      </c>
    </row>
    <row r="368" spans="2:3" ht="15.75" customHeight="1" x14ac:dyDescent="0.25">
      <c r="B368" s="67" t="e">
        <f t="shared" si="34"/>
        <v>#REF!</v>
      </c>
      <c r="C368" s="76" t="e">
        <f t="shared" si="35"/>
        <v>#REF!</v>
      </c>
    </row>
    <row r="369" spans="2:3" ht="15.75" customHeight="1" x14ac:dyDescent="0.25">
      <c r="B369" s="67" t="e">
        <f t="shared" si="34"/>
        <v>#REF!</v>
      </c>
      <c r="C369" s="76" t="e">
        <f t="shared" si="35"/>
        <v>#REF!</v>
      </c>
    </row>
    <row r="370" spans="2:3" ht="15.75" customHeight="1" x14ac:dyDescent="0.25">
      <c r="B370" s="67" t="e">
        <f t="shared" si="34"/>
        <v>#REF!</v>
      </c>
      <c r="C370" s="76" t="e">
        <f t="shared" si="35"/>
        <v>#REF!</v>
      </c>
    </row>
    <row r="371" spans="2:3" ht="15.75" customHeight="1" x14ac:dyDescent="0.25">
      <c r="B371" s="67" t="e">
        <f t="shared" si="34"/>
        <v>#REF!</v>
      </c>
      <c r="C371" s="76" t="e">
        <f t="shared" si="35"/>
        <v>#REF!</v>
      </c>
    </row>
    <row r="372" spans="2:3" ht="15.75" customHeight="1" x14ac:dyDescent="0.25">
      <c r="B372" s="67" t="e">
        <f t="shared" si="34"/>
        <v>#REF!</v>
      </c>
      <c r="C372" s="76" t="e">
        <f t="shared" si="35"/>
        <v>#REF!</v>
      </c>
    </row>
    <row r="373" spans="2:3" ht="15.75" customHeight="1" x14ac:dyDescent="0.25">
      <c r="B373" s="67" t="e">
        <f t="shared" si="34"/>
        <v>#REF!</v>
      </c>
      <c r="C373" s="76" t="e">
        <f t="shared" si="35"/>
        <v>#REF!</v>
      </c>
    </row>
    <row r="374" spans="2:3" ht="15.75" customHeight="1" x14ac:dyDescent="0.25">
      <c r="B374" s="67" t="e">
        <f t="shared" si="34"/>
        <v>#REF!</v>
      </c>
      <c r="C374" s="76" t="e">
        <f t="shared" si="35"/>
        <v>#REF!</v>
      </c>
    </row>
    <row r="375" spans="2:3" ht="15.75" customHeight="1" x14ac:dyDescent="0.25">
      <c r="B375" s="67" t="e">
        <f t="shared" si="34"/>
        <v>#REF!</v>
      </c>
      <c r="C375" s="76" t="e">
        <f t="shared" si="35"/>
        <v>#REF!</v>
      </c>
    </row>
    <row r="376" spans="2:3" ht="15.75" customHeight="1" x14ac:dyDescent="0.25">
      <c r="B376" s="67" t="e">
        <f t="shared" si="34"/>
        <v>#REF!</v>
      </c>
      <c r="C376" s="76" t="e">
        <f t="shared" si="35"/>
        <v>#REF!</v>
      </c>
    </row>
    <row r="377" spans="2:3" ht="15.75" customHeight="1" x14ac:dyDescent="0.25">
      <c r="B377" s="67" t="e">
        <f t="shared" si="34"/>
        <v>#REF!</v>
      </c>
      <c r="C377" s="76" t="e">
        <f t="shared" si="35"/>
        <v>#REF!</v>
      </c>
    </row>
    <row r="378" spans="2:3" ht="15.75" customHeight="1" x14ac:dyDescent="0.25">
      <c r="B378" s="67" t="e">
        <f t="shared" si="34"/>
        <v>#REF!</v>
      </c>
      <c r="C378" s="76" t="e">
        <f t="shared" si="35"/>
        <v>#REF!</v>
      </c>
    </row>
    <row r="379" spans="2:3" ht="15.75" customHeight="1" x14ac:dyDescent="0.25">
      <c r="B379" s="67" t="e">
        <f t="shared" si="34"/>
        <v>#REF!</v>
      </c>
      <c r="C379" s="76" t="e">
        <f t="shared" si="35"/>
        <v>#REF!</v>
      </c>
    </row>
    <row r="380" spans="2:3" ht="15.75" customHeight="1" x14ac:dyDescent="0.25">
      <c r="B380" s="67" t="e">
        <f t="shared" si="34"/>
        <v>#REF!</v>
      </c>
      <c r="C380" s="76" t="e">
        <f t="shared" si="35"/>
        <v>#REF!</v>
      </c>
    </row>
    <row r="381" spans="2:3" ht="15.75" customHeight="1" x14ac:dyDescent="0.25">
      <c r="B381" s="67" t="e">
        <f t="shared" si="34"/>
        <v>#REF!</v>
      </c>
      <c r="C381" s="76" t="e">
        <f t="shared" si="35"/>
        <v>#REF!</v>
      </c>
    </row>
    <row r="382" spans="2:3" ht="15.75" customHeight="1" x14ac:dyDescent="0.25">
      <c r="B382" s="67" t="e">
        <f t="shared" si="34"/>
        <v>#REF!</v>
      </c>
      <c r="C382" s="76" t="e">
        <f t="shared" si="35"/>
        <v>#REF!</v>
      </c>
    </row>
    <row r="383" spans="2:3" ht="15.75" customHeight="1" x14ac:dyDescent="0.25">
      <c r="B383" s="67" t="e">
        <f t="shared" si="34"/>
        <v>#REF!</v>
      </c>
      <c r="C383" s="76" t="e">
        <f t="shared" si="35"/>
        <v>#REF!</v>
      </c>
    </row>
    <row r="384" spans="2:3" ht="15.75" customHeight="1" x14ac:dyDescent="0.25">
      <c r="B384" s="67" t="e">
        <f t="shared" si="34"/>
        <v>#REF!</v>
      </c>
      <c r="C384" s="76" t="e">
        <f t="shared" si="35"/>
        <v>#REF!</v>
      </c>
    </row>
    <row r="385" spans="2:3" ht="15.75" customHeight="1" x14ac:dyDescent="0.25">
      <c r="B385" s="67" t="e">
        <f t="shared" si="34"/>
        <v>#REF!</v>
      </c>
      <c r="C385" s="76" t="e">
        <f t="shared" si="35"/>
        <v>#REF!</v>
      </c>
    </row>
    <row r="386" spans="2:3" ht="15.75" customHeight="1" x14ac:dyDescent="0.25">
      <c r="B386" s="67" t="e">
        <f t="shared" si="34"/>
        <v>#REF!</v>
      </c>
      <c r="C386" s="76" t="e">
        <f t="shared" si="35"/>
        <v>#REF!</v>
      </c>
    </row>
    <row r="387" spans="2:3" ht="15.75" customHeight="1" x14ac:dyDescent="0.25">
      <c r="B387" s="67" t="e">
        <f t="shared" si="34"/>
        <v>#REF!</v>
      </c>
      <c r="C387" s="76" t="e">
        <f t="shared" si="35"/>
        <v>#REF!</v>
      </c>
    </row>
    <row r="388" spans="2:3" ht="15.75" customHeight="1" x14ac:dyDescent="0.25">
      <c r="B388" s="67" t="e">
        <f t="shared" si="34"/>
        <v>#REF!</v>
      </c>
      <c r="C388" s="76" t="e">
        <f t="shared" si="35"/>
        <v>#REF!</v>
      </c>
    </row>
    <row r="389" spans="2:3" ht="15.75" customHeight="1" x14ac:dyDescent="0.25">
      <c r="B389" s="67" t="e">
        <f t="shared" si="34"/>
        <v>#REF!</v>
      </c>
      <c r="C389" s="76" t="e">
        <f t="shared" si="35"/>
        <v>#REF!</v>
      </c>
    </row>
    <row r="390" spans="2:3" ht="15.75" customHeight="1" x14ac:dyDescent="0.25">
      <c r="B390" s="67" t="e">
        <f t="shared" si="34"/>
        <v>#REF!</v>
      </c>
      <c r="C390" s="76" t="e">
        <f t="shared" si="35"/>
        <v>#REF!</v>
      </c>
    </row>
    <row r="391" spans="2:3" ht="15.75" customHeight="1" x14ac:dyDescent="0.25">
      <c r="B391" s="67" t="e">
        <f t="shared" si="34"/>
        <v>#REF!</v>
      </c>
      <c r="C391" s="76" t="e">
        <f t="shared" si="35"/>
        <v>#REF!</v>
      </c>
    </row>
    <row r="392" spans="2:3" ht="15.75" customHeight="1" x14ac:dyDescent="0.25">
      <c r="B392" s="67" t="e">
        <f t="shared" si="34"/>
        <v>#REF!</v>
      </c>
      <c r="C392" s="76" t="e">
        <f t="shared" si="35"/>
        <v>#REF!</v>
      </c>
    </row>
    <row r="393" spans="2:3" ht="15.75" customHeight="1" x14ac:dyDescent="0.25">
      <c r="B393" s="67" t="e">
        <f t="shared" si="34"/>
        <v>#REF!</v>
      </c>
      <c r="C393" s="76" t="e">
        <f t="shared" si="35"/>
        <v>#REF!</v>
      </c>
    </row>
    <row r="394" spans="2:3" ht="15.75" customHeight="1" x14ac:dyDescent="0.25">
      <c r="B394" s="67" t="e">
        <f t="shared" si="34"/>
        <v>#REF!</v>
      </c>
      <c r="C394" s="76" t="e">
        <f t="shared" si="35"/>
        <v>#REF!</v>
      </c>
    </row>
    <row r="395" spans="2:3" ht="15.75" customHeight="1" x14ac:dyDescent="0.25">
      <c r="B395" s="67" t="e">
        <f t="shared" si="34"/>
        <v>#REF!</v>
      </c>
      <c r="C395" s="76" t="e">
        <f t="shared" si="35"/>
        <v>#REF!</v>
      </c>
    </row>
    <row r="396" spans="2:3" ht="15.75" customHeight="1" x14ac:dyDescent="0.25">
      <c r="B396" s="67" t="e">
        <f t="shared" si="34"/>
        <v>#REF!</v>
      </c>
      <c r="C396" s="76" t="e">
        <f t="shared" si="35"/>
        <v>#REF!</v>
      </c>
    </row>
    <row r="397" spans="2:3" ht="15.75" customHeight="1" x14ac:dyDescent="0.25">
      <c r="B397" s="67" t="e">
        <f t="shared" si="34"/>
        <v>#REF!</v>
      </c>
      <c r="C397" s="76" t="e">
        <f t="shared" si="35"/>
        <v>#REF!</v>
      </c>
    </row>
    <row r="398" spans="2:3" ht="15.75" customHeight="1" x14ac:dyDescent="0.25">
      <c r="B398" s="67" t="e">
        <f t="shared" si="34"/>
        <v>#REF!</v>
      </c>
      <c r="C398" s="76" t="e">
        <f t="shared" si="35"/>
        <v>#REF!</v>
      </c>
    </row>
    <row r="399" spans="2:3" ht="15.75" customHeight="1" x14ac:dyDescent="0.25">
      <c r="B399" s="67" t="e">
        <f t="shared" si="34"/>
        <v>#REF!</v>
      </c>
      <c r="C399" s="76" t="e">
        <f t="shared" si="35"/>
        <v>#REF!</v>
      </c>
    </row>
    <row r="400" spans="2:3" ht="15.75" customHeight="1" x14ac:dyDescent="0.25">
      <c r="B400" s="67" t="e">
        <f t="shared" si="34"/>
        <v>#REF!</v>
      </c>
      <c r="C400" s="76" t="e">
        <f t="shared" si="35"/>
        <v>#REF!</v>
      </c>
    </row>
    <row r="401" spans="2:3" ht="15.75" customHeight="1" x14ac:dyDescent="0.25">
      <c r="B401" s="67" t="e">
        <f t="shared" si="34"/>
        <v>#REF!</v>
      </c>
      <c r="C401" s="76" t="e">
        <f t="shared" si="35"/>
        <v>#REF!</v>
      </c>
    </row>
    <row r="402" spans="2:3" ht="15.75" customHeight="1" x14ac:dyDescent="0.25">
      <c r="B402" s="67" t="e">
        <f t="shared" si="34"/>
        <v>#REF!</v>
      </c>
      <c r="C402" s="76" t="e">
        <f t="shared" si="35"/>
        <v>#REF!</v>
      </c>
    </row>
    <row r="403" spans="2:3" ht="15.75" customHeight="1" x14ac:dyDescent="0.25">
      <c r="B403" s="67" t="e">
        <f t="shared" si="34"/>
        <v>#REF!</v>
      </c>
      <c r="C403" s="76" t="e">
        <f t="shared" si="35"/>
        <v>#REF!</v>
      </c>
    </row>
    <row r="404" spans="2:3" ht="15.75" customHeight="1" x14ac:dyDescent="0.25">
      <c r="B404" s="67" t="e">
        <f t="shared" si="34"/>
        <v>#REF!</v>
      </c>
      <c r="C404" s="76" t="e">
        <f t="shared" si="35"/>
        <v>#REF!</v>
      </c>
    </row>
    <row r="405" spans="2:3" ht="15.75" customHeight="1" x14ac:dyDescent="0.25">
      <c r="B405" s="67" t="e">
        <f t="shared" si="34"/>
        <v>#REF!</v>
      </c>
      <c r="C405" s="76" t="e">
        <f t="shared" si="35"/>
        <v>#REF!</v>
      </c>
    </row>
    <row r="406" spans="2:3" ht="15.75" customHeight="1" x14ac:dyDescent="0.25">
      <c r="B406" s="67" t="e">
        <f t="shared" si="34"/>
        <v>#REF!</v>
      </c>
      <c r="C406" s="76" t="e">
        <f t="shared" si="35"/>
        <v>#REF!</v>
      </c>
    </row>
    <row r="407" spans="2:3" ht="15.75" customHeight="1" x14ac:dyDescent="0.25">
      <c r="B407" s="67" t="e">
        <f t="shared" si="34"/>
        <v>#REF!</v>
      </c>
      <c r="C407" s="76" t="e">
        <f t="shared" si="35"/>
        <v>#REF!</v>
      </c>
    </row>
    <row r="408" spans="2:3" ht="15.75" customHeight="1" x14ac:dyDescent="0.25">
      <c r="B408" s="67" t="e">
        <f t="shared" si="34"/>
        <v>#REF!</v>
      </c>
      <c r="C408" s="76" t="e">
        <f t="shared" si="35"/>
        <v>#REF!</v>
      </c>
    </row>
    <row r="409" spans="2:3" ht="15.75" customHeight="1" x14ac:dyDescent="0.25">
      <c r="B409" s="67" t="e">
        <f t="shared" si="34"/>
        <v>#REF!</v>
      </c>
      <c r="C409" s="76" t="e">
        <f t="shared" si="35"/>
        <v>#REF!</v>
      </c>
    </row>
    <row r="410" spans="2:3" ht="15.75" customHeight="1" x14ac:dyDescent="0.25">
      <c r="B410" s="67" t="e">
        <f t="shared" si="34"/>
        <v>#REF!</v>
      </c>
      <c r="C410" s="76" t="e">
        <f t="shared" si="35"/>
        <v>#REF!</v>
      </c>
    </row>
    <row r="411" spans="2:3" ht="15.75" customHeight="1" x14ac:dyDescent="0.25">
      <c r="B411" s="67" t="e">
        <f t="shared" si="34"/>
        <v>#REF!</v>
      </c>
      <c r="C411" s="76" t="e">
        <f t="shared" si="35"/>
        <v>#REF!</v>
      </c>
    </row>
    <row r="412" spans="2:3" ht="15.75" customHeight="1" x14ac:dyDescent="0.25">
      <c r="B412" s="67" t="e">
        <f t="shared" si="34"/>
        <v>#REF!</v>
      </c>
      <c r="C412" s="76" t="e">
        <f t="shared" si="35"/>
        <v>#REF!</v>
      </c>
    </row>
    <row r="413" spans="2:3" ht="15.75" customHeight="1" x14ac:dyDescent="0.25">
      <c r="B413" s="67" t="e">
        <f t="shared" si="34"/>
        <v>#REF!</v>
      </c>
      <c r="C413" s="76" t="e">
        <f t="shared" si="35"/>
        <v>#REF!</v>
      </c>
    </row>
    <row r="414" spans="2:3" ht="15.75" customHeight="1" x14ac:dyDescent="0.25">
      <c r="B414" s="67" t="e">
        <f t="shared" si="34"/>
        <v>#REF!</v>
      </c>
      <c r="C414" s="76" t="e">
        <f t="shared" si="35"/>
        <v>#REF!</v>
      </c>
    </row>
    <row r="415" spans="2:3" ht="15.75" customHeight="1" x14ac:dyDescent="0.25">
      <c r="B415" s="67" t="e">
        <f t="shared" ref="B415:B478" si="36">IF(B414="","",IF(B414+$C$11&lt;=$C$7,B414+$C$11,""))</f>
        <v>#REF!</v>
      </c>
      <c r="C415" s="76" t="e">
        <f t="shared" ref="C415:C478" si="37">IF(B415&lt;&gt;"",C414-$C$2/COUNT($B$19:$B$512),"")</f>
        <v>#REF!</v>
      </c>
    </row>
    <row r="416" spans="2:3" ht="15.75" customHeight="1" x14ac:dyDescent="0.25">
      <c r="B416" s="67" t="e">
        <f t="shared" si="36"/>
        <v>#REF!</v>
      </c>
      <c r="C416" s="76" t="e">
        <f t="shared" si="37"/>
        <v>#REF!</v>
      </c>
    </row>
    <row r="417" spans="2:3" ht="15.75" customHeight="1" x14ac:dyDescent="0.25">
      <c r="B417" s="67" t="e">
        <f t="shared" si="36"/>
        <v>#REF!</v>
      </c>
      <c r="C417" s="76" t="e">
        <f t="shared" si="37"/>
        <v>#REF!</v>
      </c>
    </row>
    <row r="418" spans="2:3" ht="15.75" customHeight="1" x14ac:dyDescent="0.25">
      <c r="B418" s="67" t="e">
        <f t="shared" si="36"/>
        <v>#REF!</v>
      </c>
      <c r="C418" s="76" t="e">
        <f t="shared" si="37"/>
        <v>#REF!</v>
      </c>
    </row>
    <row r="419" spans="2:3" ht="15.75" customHeight="1" x14ac:dyDescent="0.25">
      <c r="B419" s="67" t="e">
        <f t="shared" si="36"/>
        <v>#REF!</v>
      </c>
      <c r="C419" s="76" t="e">
        <f t="shared" si="37"/>
        <v>#REF!</v>
      </c>
    </row>
    <row r="420" spans="2:3" ht="15.75" customHeight="1" x14ac:dyDescent="0.25">
      <c r="B420" s="67" t="e">
        <f t="shared" si="36"/>
        <v>#REF!</v>
      </c>
      <c r="C420" s="76" t="e">
        <f t="shared" si="37"/>
        <v>#REF!</v>
      </c>
    </row>
    <row r="421" spans="2:3" ht="15.75" customHeight="1" x14ac:dyDescent="0.25">
      <c r="B421" s="67" t="e">
        <f t="shared" si="36"/>
        <v>#REF!</v>
      </c>
      <c r="C421" s="76" t="e">
        <f t="shared" si="37"/>
        <v>#REF!</v>
      </c>
    </row>
    <row r="422" spans="2:3" ht="15.75" customHeight="1" x14ac:dyDescent="0.25">
      <c r="B422" s="67" t="e">
        <f t="shared" si="36"/>
        <v>#REF!</v>
      </c>
      <c r="C422" s="76" t="e">
        <f t="shared" si="37"/>
        <v>#REF!</v>
      </c>
    </row>
    <row r="423" spans="2:3" ht="15.75" customHeight="1" x14ac:dyDescent="0.25">
      <c r="B423" s="67" t="e">
        <f t="shared" si="36"/>
        <v>#REF!</v>
      </c>
      <c r="C423" s="76" t="e">
        <f t="shared" si="37"/>
        <v>#REF!</v>
      </c>
    </row>
    <row r="424" spans="2:3" ht="15.75" customHeight="1" x14ac:dyDescent="0.25">
      <c r="B424" s="67" t="e">
        <f t="shared" si="36"/>
        <v>#REF!</v>
      </c>
      <c r="C424" s="76" t="e">
        <f t="shared" si="37"/>
        <v>#REF!</v>
      </c>
    </row>
    <row r="425" spans="2:3" ht="15.75" customHeight="1" x14ac:dyDescent="0.25">
      <c r="B425" s="67" t="e">
        <f t="shared" si="36"/>
        <v>#REF!</v>
      </c>
      <c r="C425" s="76" t="e">
        <f t="shared" si="37"/>
        <v>#REF!</v>
      </c>
    </row>
    <row r="426" spans="2:3" ht="15.75" customHeight="1" x14ac:dyDescent="0.25">
      <c r="B426" s="67" t="e">
        <f t="shared" si="36"/>
        <v>#REF!</v>
      </c>
      <c r="C426" s="76" t="e">
        <f t="shared" si="37"/>
        <v>#REF!</v>
      </c>
    </row>
    <row r="427" spans="2:3" ht="15.75" customHeight="1" x14ac:dyDescent="0.25">
      <c r="B427" s="67" t="e">
        <f t="shared" si="36"/>
        <v>#REF!</v>
      </c>
      <c r="C427" s="76" t="e">
        <f t="shared" si="37"/>
        <v>#REF!</v>
      </c>
    </row>
    <row r="428" spans="2:3" ht="15.75" customHeight="1" x14ac:dyDescent="0.25">
      <c r="B428" s="67" t="e">
        <f t="shared" si="36"/>
        <v>#REF!</v>
      </c>
      <c r="C428" s="76" t="e">
        <f t="shared" si="37"/>
        <v>#REF!</v>
      </c>
    </row>
    <row r="429" spans="2:3" ht="15.75" customHeight="1" x14ac:dyDescent="0.25">
      <c r="B429" s="67" t="e">
        <f t="shared" si="36"/>
        <v>#REF!</v>
      </c>
      <c r="C429" s="76" t="e">
        <f t="shared" si="37"/>
        <v>#REF!</v>
      </c>
    </row>
    <row r="430" spans="2:3" ht="15.75" customHeight="1" x14ac:dyDescent="0.25">
      <c r="B430" s="67" t="e">
        <f t="shared" si="36"/>
        <v>#REF!</v>
      </c>
      <c r="C430" s="76" t="e">
        <f t="shared" si="37"/>
        <v>#REF!</v>
      </c>
    </row>
    <row r="431" spans="2:3" ht="15.75" customHeight="1" x14ac:dyDescent="0.25">
      <c r="B431" s="67" t="e">
        <f t="shared" si="36"/>
        <v>#REF!</v>
      </c>
      <c r="C431" s="76" t="e">
        <f t="shared" si="37"/>
        <v>#REF!</v>
      </c>
    </row>
    <row r="432" spans="2:3" ht="15.75" customHeight="1" x14ac:dyDescent="0.25">
      <c r="B432" s="67" t="e">
        <f t="shared" si="36"/>
        <v>#REF!</v>
      </c>
      <c r="C432" s="76" t="e">
        <f t="shared" si="37"/>
        <v>#REF!</v>
      </c>
    </row>
    <row r="433" spans="2:3" ht="15.75" customHeight="1" x14ac:dyDescent="0.25">
      <c r="B433" s="67" t="e">
        <f t="shared" si="36"/>
        <v>#REF!</v>
      </c>
      <c r="C433" s="76" t="e">
        <f t="shared" si="37"/>
        <v>#REF!</v>
      </c>
    </row>
    <row r="434" spans="2:3" ht="15.75" customHeight="1" x14ac:dyDescent="0.25">
      <c r="B434" s="67" t="e">
        <f t="shared" si="36"/>
        <v>#REF!</v>
      </c>
      <c r="C434" s="76" t="e">
        <f t="shared" si="37"/>
        <v>#REF!</v>
      </c>
    </row>
    <row r="435" spans="2:3" ht="15.75" customHeight="1" x14ac:dyDescent="0.25">
      <c r="B435" s="67" t="e">
        <f t="shared" si="36"/>
        <v>#REF!</v>
      </c>
      <c r="C435" s="76" t="e">
        <f t="shared" si="37"/>
        <v>#REF!</v>
      </c>
    </row>
    <row r="436" spans="2:3" ht="15.75" customHeight="1" x14ac:dyDescent="0.25">
      <c r="B436" s="67" t="e">
        <f t="shared" si="36"/>
        <v>#REF!</v>
      </c>
      <c r="C436" s="76" t="e">
        <f t="shared" si="37"/>
        <v>#REF!</v>
      </c>
    </row>
    <row r="437" spans="2:3" ht="15.75" customHeight="1" x14ac:dyDescent="0.25">
      <c r="B437" s="67" t="e">
        <f t="shared" si="36"/>
        <v>#REF!</v>
      </c>
      <c r="C437" s="76" t="e">
        <f t="shared" si="37"/>
        <v>#REF!</v>
      </c>
    </row>
    <row r="438" spans="2:3" ht="15.75" customHeight="1" x14ac:dyDescent="0.25">
      <c r="B438" s="67" t="e">
        <f t="shared" si="36"/>
        <v>#REF!</v>
      </c>
      <c r="C438" s="76" t="e">
        <f t="shared" si="37"/>
        <v>#REF!</v>
      </c>
    </row>
    <row r="439" spans="2:3" ht="15.75" customHeight="1" x14ac:dyDescent="0.25">
      <c r="B439" s="67" t="e">
        <f t="shared" si="36"/>
        <v>#REF!</v>
      </c>
      <c r="C439" s="76" t="e">
        <f t="shared" si="37"/>
        <v>#REF!</v>
      </c>
    </row>
    <row r="440" spans="2:3" ht="15.75" customHeight="1" x14ac:dyDescent="0.25">
      <c r="B440" s="67" t="e">
        <f t="shared" si="36"/>
        <v>#REF!</v>
      </c>
      <c r="C440" s="76" t="e">
        <f t="shared" si="37"/>
        <v>#REF!</v>
      </c>
    </row>
    <row r="441" spans="2:3" ht="15.75" customHeight="1" x14ac:dyDescent="0.25">
      <c r="B441" s="67" t="e">
        <f t="shared" si="36"/>
        <v>#REF!</v>
      </c>
      <c r="C441" s="76" t="e">
        <f t="shared" si="37"/>
        <v>#REF!</v>
      </c>
    </row>
    <row r="442" spans="2:3" ht="15.75" customHeight="1" x14ac:dyDescent="0.25">
      <c r="B442" s="67" t="e">
        <f t="shared" si="36"/>
        <v>#REF!</v>
      </c>
      <c r="C442" s="76" t="e">
        <f t="shared" si="37"/>
        <v>#REF!</v>
      </c>
    </row>
    <row r="443" spans="2:3" ht="15.75" customHeight="1" x14ac:dyDescent="0.25">
      <c r="B443" s="67" t="e">
        <f t="shared" si="36"/>
        <v>#REF!</v>
      </c>
      <c r="C443" s="76" t="e">
        <f t="shared" si="37"/>
        <v>#REF!</v>
      </c>
    </row>
    <row r="444" spans="2:3" ht="15.75" customHeight="1" x14ac:dyDescent="0.25">
      <c r="B444" s="67" t="e">
        <f t="shared" si="36"/>
        <v>#REF!</v>
      </c>
      <c r="C444" s="76" t="e">
        <f t="shared" si="37"/>
        <v>#REF!</v>
      </c>
    </row>
    <row r="445" spans="2:3" ht="15.75" customHeight="1" x14ac:dyDescent="0.25">
      <c r="B445" s="67" t="e">
        <f t="shared" si="36"/>
        <v>#REF!</v>
      </c>
      <c r="C445" s="76" t="e">
        <f t="shared" si="37"/>
        <v>#REF!</v>
      </c>
    </row>
    <row r="446" spans="2:3" ht="15.75" customHeight="1" x14ac:dyDescent="0.25">
      <c r="B446" s="67" t="e">
        <f t="shared" si="36"/>
        <v>#REF!</v>
      </c>
      <c r="C446" s="76" t="e">
        <f t="shared" si="37"/>
        <v>#REF!</v>
      </c>
    </row>
    <row r="447" spans="2:3" ht="15.75" customHeight="1" x14ac:dyDescent="0.25">
      <c r="B447" s="67" t="e">
        <f t="shared" si="36"/>
        <v>#REF!</v>
      </c>
      <c r="C447" s="76" t="e">
        <f t="shared" si="37"/>
        <v>#REF!</v>
      </c>
    </row>
    <row r="448" spans="2:3" ht="15.75" customHeight="1" x14ac:dyDescent="0.25">
      <c r="B448" s="67" t="e">
        <f t="shared" si="36"/>
        <v>#REF!</v>
      </c>
      <c r="C448" s="76" t="e">
        <f t="shared" si="37"/>
        <v>#REF!</v>
      </c>
    </row>
    <row r="449" spans="2:3" ht="15.75" customHeight="1" x14ac:dyDescent="0.25">
      <c r="B449" s="67" t="e">
        <f t="shared" si="36"/>
        <v>#REF!</v>
      </c>
      <c r="C449" s="76" t="e">
        <f t="shared" si="37"/>
        <v>#REF!</v>
      </c>
    </row>
    <row r="450" spans="2:3" ht="15.75" customHeight="1" x14ac:dyDescent="0.25">
      <c r="B450" s="67" t="e">
        <f t="shared" si="36"/>
        <v>#REF!</v>
      </c>
      <c r="C450" s="76" t="e">
        <f t="shared" si="37"/>
        <v>#REF!</v>
      </c>
    </row>
    <row r="451" spans="2:3" ht="15.75" customHeight="1" x14ac:dyDescent="0.25">
      <c r="B451" s="67" t="e">
        <f t="shared" si="36"/>
        <v>#REF!</v>
      </c>
      <c r="C451" s="76" t="e">
        <f t="shared" si="37"/>
        <v>#REF!</v>
      </c>
    </row>
    <row r="452" spans="2:3" ht="15.75" customHeight="1" x14ac:dyDescent="0.25">
      <c r="B452" s="67" t="e">
        <f t="shared" si="36"/>
        <v>#REF!</v>
      </c>
      <c r="C452" s="76" t="e">
        <f t="shared" si="37"/>
        <v>#REF!</v>
      </c>
    </row>
    <row r="453" spans="2:3" ht="15.75" customHeight="1" x14ac:dyDescent="0.25">
      <c r="B453" s="67" t="e">
        <f t="shared" si="36"/>
        <v>#REF!</v>
      </c>
      <c r="C453" s="76" t="e">
        <f t="shared" si="37"/>
        <v>#REF!</v>
      </c>
    </row>
    <row r="454" spans="2:3" ht="15.75" customHeight="1" x14ac:dyDescent="0.25">
      <c r="B454" s="67" t="e">
        <f t="shared" si="36"/>
        <v>#REF!</v>
      </c>
      <c r="C454" s="76" t="e">
        <f t="shared" si="37"/>
        <v>#REF!</v>
      </c>
    </row>
    <row r="455" spans="2:3" ht="15.75" customHeight="1" x14ac:dyDescent="0.25">
      <c r="B455" s="67" t="e">
        <f t="shared" si="36"/>
        <v>#REF!</v>
      </c>
      <c r="C455" s="76" t="e">
        <f t="shared" si="37"/>
        <v>#REF!</v>
      </c>
    </row>
    <row r="456" spans="2:3" ht="15.75" customHeight="1" x14ac:dyDescent="0.25">
      <c r="B456" s="67" t="e">
        <f t="shared" si="36"/>
        <v>#REF!</v>
      </c>
      <c r="C456" s="76" t="e">
        <f t="shared" si="37"/>
        <v>#REF!</v>
      </c>
    </row>
    <row r="457" spans="2:3" ht="15.75" customHeight="1" x14ac:dyDescent="0.25">
      <c r="B457" s="67" t="e">
        <f t="shared" si="36"/>
        <v>#REF!</v>
      </c>
      <c r="C457" s="76" t="e">
        <f t="shared" si="37"/>
        <v>#REF!</v>
      </c>
    </row>
    <row r="458" spans="2:3" ht="15.75" customHeight="1" x14ac:dyDescent="0.25">
      <c r="B458" s="67" t="e">
        <f t="shared" si="36"/>
        <v>#REF!</v>
      </c>
      <c r="C458" s="76" t="e">
        <f t="shared" si="37"/>
        <v>#REF!</v>
      </c>
    </row>
    <row r="459" spans="2:3" ht="15.75" customHeight="1" x14ac:dyDescent="0.25">
      <c r="B459" s="67" t="e">
        <f t="shared" si="36"/>
        <v>#REF!</v>
      </c>
      <c r="C459" s="76" t="e">
        <f t="shared" si="37"/>
        <v>#REF!</v>
      </c>
    </row>
    <row r="460" spans="2:3" ht="15.75" customHeight="1" x14ac:dyDescent="0.25">
      <c r="B460" s="67" t="e">
        <f t="shared" si="36"/>
        <v>#REF!</v>
      </c>
      <c r="C460" s="76" t="e">
        <f t="shared" si="37"/>
        <v>#REF!</v>
      </c>
    </row>
    <row r="461" spans="2:3" ht="15.75" customHeight="1" x14ac:dyDescent="0.25">
      <c r="B461" s="67" t="e">
        <f t="shared" si="36"/>
        <v>#REF!</v>
      </c>
      <c r="C461" s="76" t="e">
        <f t="shared" si="37"/>
        <v>#REF!</v>
      </c>
    </row>
    <row r="462" spans="2:3" ht="15.75" customHeight="1" x14ac:dyDescent="0.25">
      <c r="B462" s="67" t="e">
        <f t="shared" si="36"/>
        <v>#REF!</v>
      </c>
      <c r="C462" s="76" t="e">
        <f t="shared" si="37"/>
        <v>#REF!</v>
      </c>
    </row>
    <row r="463" spans="2:3" ht="15.75" customHeight="1" x14ac:dyDescent="0.25">
      <c r="B463" s="67" t="e">
        <f t="shared" si="36"/>
        <v>#REF!</v>
      </c>
      <c r="C463" s="76" t="e">
        <f t="shared" si="37"/>
        <v>#REF!</v>
      </c>
    </row>
    <row r="464" spans="2:3" ht="15.75" customHeight="1" x14ac:dyDescent="0.25">
      <c r="B464" s="67" t="e">
        <f t="shared" si="36"/>
        <v>#REF!</v>
      </c>
      <c r="C464" s="76" t="e">
        <f t="shared" si="37"/>
        <v>#REF!</v>
      </c>
    </row>
    <row r="465" spans="2:3" ht="15.75" customHeight="1" x14ac:dyDescent="0.25">
      <c r="B465" s="67" t="e">
        <f t="shared" si="36"/>
        <v>#REF!</v>
      </c>
      <c r="C465" s="76" t="e">
        <f t="shared" si="37"/>
        <v>#REF!</v>
      </c>
    </row>
    <row r="466" spans="2:3" ht="15.75" customHeight="1" x14ac:dyDescent="0.25">
      <c r="B466" s="67" t="e">
        <f t="shared" si="36"/>
        <v>#REF!</v>
      </c>
      <c r="C466" s="76" t="e">
        <f t="shared" si="37"/>
        <v>#REF!</v>
      </c>
    </row>
    <row r="467" spans="2:3" ht="15.75" customHeight="1" x14ac:dyDescent="0.25">
      <c r="B467" s="67" t="e">
        <f t="shared" si="36"/>
        <v>#REF!</v>
      </c>
      <c r="C467" s="76" t="e">
        <f t="shared" si="37"/>
        <v>#REF!</v>
      </c>
    </row>
    <row r="468" spans="2:3" ht="15.75" customHeight="1" x14ac:dyDescent="0.25">
      <c r="B468" s="67" t="e">
        <f t="shared" si="36"/>
        <v>#REF!</v>
      </c>
      <c r="C468" s="76" t="e">
        <f t="shared" si="37"/>
        <v>#REF!</v>
      </c>
    </row>
    <row r="469" spans="2:3" ht="15.75" customHeight="1" x14ac:dyDescent="0.25">
      <c r="B469" s="67" t="e">
        <f t="shared" si="36"/>
        <v>#REF!</v>
      </c>
      <c r="C469" s="76" t="e">
        <f t="shared" si="37"/>
        <v>#REF!</v>
      </c>
    </row>
    <row r="470" spans="2:3" ht="15.75" customHeight="1" x14ac:dyDescent="0.25">
      <c r="B470" s="67" t="e">
        <f t="shared" si="36"/>
        <v>#REF!</v>
      </c>
      <c r="C470" s="76" t="e">
        <f t="shared" si="37"/>
        <v>#REF!</v>
      </c>
    </row>
    <row r="471" spans="2:3" ht="15.75" customHeight="1" x14ac:dyDescent="0.25">
      <c r="B471" s="67" t="e">
        <f t="shared" si="36"/>
        <v>#REF!</v>
      </c>
      <c r="C471" s="76" t="e">
        <f t="shared" si="37"/>
        <v>#REF!</v>
      </c>
    </row>
    <row r="472" spans="2:3" ht="15.75" customHeight="1" x14ac:dyDescent="0.25">
      <c r="B472" s="67" t="e">
        <f t="shared" si="36"/>
        <v>#REF!</v>
      </c>
      <c r="C472" s="76" t="e">
        <f t="shared" si="37"/>
        <v>#REF!</v>
      </c>
    </row>
    <row r="473" spans="2:3" ht="15.75" customHeight="1" x14ac:dyDescent="0.25">
      <c r="B473" s="67" t="e">
        <f t="shared" si="36"/>
        <v>#REF!</v>
      </c>
      <c r="C473" s="76" t="e">
        <f t="shared" si="37"/>
        <v>#REF!</v>
      </c>
    </row>
    <row r="474" spans="2:3" ht="15.75" customHeight="1" x14ac:dyDescent="0.25">
      <c r="B474" s="67" t="e">
        <f t="shared" si="36"/>
        <v>#REF!</v>
      </c>
      <c r="C474" s="76" t="e">
        <f t="shared" si="37"/>
        <v>#REF!</v>
      </c>
    </row>
    <row r="475" spans="2:3" ht="15.75" customHeight="1" x14ac:dyDescent="0.25">
      <c r="B475" s="67" t="e">
        <f t="shared" si="36"/>
        <v>#REF!</v>
      </c>
      <c r="C475" s="76" t="e">
        <f t="shared" si="37"/>
        <v>#REF!</v>
      </c>
    </row>
    <row r="476" spans="2:3" ht="15.75" customHeight="1" x14ac:dyDescent="0.25">
      <c r="B476" s="67" t="e">
        <f t="shared" si="36"/>
        <v>#REF!</v>
      </c>
      <c r="C476" s="76" t="e">
        <f t="shared" si="37"/>
        <v>#REF!</v>
      </c>
    </row>
    <row r="477" spans="2:3" ht="15.75" customHeight="1" x14ac:dyDescent="0.25">
      <c r="B477" s="67" t="e">
        <f t="shared" si="36"/>
        <v>#REF!</v>
      </c>
      <c r="C477" s="76" t="e">
        <f t="shared" si="37"/>
        <v>#REF!</v>
      </c>
    </row>
    <row r="478" spans="2:3" ht="15.75" customHeight="1" x14ac:dyDescent="0.25">
      <c r="B478" s="67" t="e">
        <f t="shared" si="36"/>
        <v>#REF!</v>
      </c>
      <c r="C478" s="76" t="e">
        <f t="shared" si="37"/>
        <v>#REF!</v>
      </c>
    </row>
    <row r="479" spans="2:3" ht="15.75" customHeight="1" x14ac:dyDescent="0.25">
      <c r="B479" s="67" t="e">
        <f t="shared" ref="B479:B513" si="38">IF(B478="","",IF(B478+$C$11&lt;=$C$7,B478+$C$11,""))</f>
        <v>#REF!</v>
      </c>
      <c r="C479" s="76" t="e">
        <f t="shared" ref="C479:C513" si="39">IF(B479&lt;&gt;"",C478-$C$2/COUNT($B$19:$B$512),"")</f>
        <v>#REF!</v>
      </c>
    </row>
    <row r="480" spans="2:3" ht="15.75" customHeight="1" x14ac:dyDescent="0.25">
      <c r="B480" s="67" t="e">
        <f t="shared" si="38"/>
        <v>#REF!</v>
      </c>
      <c r="C480" s="76" t="e">
        <f t="shared" si="39"/>
        <v>#REF!</v>
      </c>
    </row>
    <row r="481" spans="2:3" ht="15.75" customHeight="1" x14ac:dyDescent="0.25">
      <c r="B481" s="67" t="e">
        <f t="shared" si="38"/>
        <v>#REF!</v>
      </c>
      <c r="C481" s="76" t="e">
        <f t="shared" si="39"/>
        <v>#REF!</v>
      </c>
    </row>
    <row r="482" spans="2:3" ht="15.75" customHeight="1" x14ac:dyDescent="0.25">
      <c r="B482" s="67" t="e">
        <f t="shared" si="38"/>
        <v>#REF!</v>
      </c>
      <c r="C482" s="76" t="e">
        <f t="shared" si="39"/>
        <v>#REF!</v>
      </c>
    </row>
    <row r="483" spans="2:3" ht="15.75" customHeight="1" x14ac:dyDescent="0.25">
      <c r="B483" s="67" t="e">
        <f t="shared" si="38"/>
        <v>#REF!</v>
      </c>
      <c r="C483" s="76" t="e">
        <f t="shared" si="39"/>
        <v>#REF!</v>
      </c>
    </row>
    <row r="484" spans="2:3" ht="15.75" customHeight="1" x14ac:dyDescent="0.25">
      <c r="B484" s="67" t="e">
        <f t="shared" si="38"/>
        <v>#REF!</v>
      </c>
      <c r="C484" s="76" t="e">
        <f t="shared" si="39"/>
        <v>#REF!</v>
      </c>
    </row>
    <row r="485" spans="2:3" ht="15.75" customHeight="1" x14ac:dyDescent="0.25">
      <c r="B485" s="67" t="e">
        <f t="shared" si="38"/>
        <v>#REF!</v>
      </c>
      <c r="C485" s="76" t="e">
        <f t="shared" si="39"/>
        <v>#REF!</v>
      </c>
    </row>
    <row r="486" spans="2:3" ht="15.75" customHeight="1" x14ac:dyDescent="0.25">
      <c r="B486" s="67" t="e">
        <f t="shared" si="38"/>
        <v>#REF!</v>
      </c>
      <c r="C486" s="76" t="e">
        <f t="shared" si="39"/>
        <v>#REF!</v>
      </c>
    </row>
    <row r="487" spans="2:3" ht="15.75" customHeight="1" x14ac:dyDescent="0.25">
      <c r="B487" s="67" t="e">
        <f t="shared" si="38"/>
        <v>#REF!</v>
      </c>
      <c r="C487" s="76" t="e">
        <f t="shared" si="39"/>
        <v>#REF!</v>
      </c>
    </row>
    <row r="488" spans="2:3" ht="15.75" customHeight="1" x14ac:dyDescent="0.25">
      <c r="B488" s="67" t="e">
        <f t="shared" si="38"/>
        <v>#REF!</v>
      </c>
      <c r="C488" s="76" t="e">
        <f t="shared" si="39"/>
        <v>#REF!</v>
      </c>
    </row>
    <row r="489" spans="2:3" ht="15.75" customHeight="1" x14ac:dyDescent="0.25">
      <c r="B489" s="67" t="e">
        <f t="shared" si="38"/>
        <v>#REF!</v>
      </c>
      <c r="C489" s="76" t="e">
        <f t="shared" si="39"/>
        <v>#REF!</v>
      </c>
    </row>
    <row r="490" spans="2:3" ht="15.75" customHeight="1" x14ac:dyDescent="0.25">
      <c r="B490" s="67" t="e">
        <f t="shared" si="38"/>
        <v>#REF!</v>
      </c>
      <c r="C490" s="76" t="e">
        <f t="shared" si="39"/>
        <v>#REF!</v>
      </c>
    </row>
    <row r="491" spans="2:3" ht="15.75" customHeight="1" x14ac:dyDescent="0.25">
      <c r="B491" s="67" t="e">
        <f t="shared" si="38"/>
        <v>#REF!</v>
      </c>
      <c r="C491" s="76" t="e">
        <f t="shared" si="39"/>
        <v>#REF!</v>
      </c>
    </row>
    <row r="492" spans="2:3" ht="15.75" customHeight="1" x14ac:dyDescent="0.25">
      <c r="B492" s="67" t="e">
        <f t="shared" si="38"/>
        <v>#REF!</v>
      </c>
      <c r="C492" s="76" t="e">
        <f t="shared" si="39"/>
        <v>#REF!</v>
      </c>
    </row>
    <row r="493" spans="2:3" ht="15.75" customHeight="1" x14ac:dyDescent="0.25">
      <c r="B493" s="67" t="e">
        <f t="shared" si="38"/>
        <v>#REF!</v>
      </c>
      <c r="C493" s="76" t="e">
        <f t="shared" si="39"/>
        <v>#REF!</v>
      </c>
    </row>
    <row r="494" spans="2:3" ht="15.75" customHeight="1" x14ac:dyDescent="0.25">
      <c r="B494" s="67" t="e">
        <f t="shared" si="38"/>
        <v>#REF!</v>
      </c>
      <c r="C494" s="76" t="e">
        <f t="shared" si="39"/>
        <v>#REF!</v>
      </c>
    </row>
    <row r="495" spans="2:3" ht="15.75" customHeight="1" x14ac:dyDescent="0.25">
      <c r="B495" s="67" t="e">
        <f t="shared" si="38"/>
        <v>#REF!</v>
      </c>
      <c r="C495" s="76" t="e">
        <f t="shared" si="39"/>
        <v>#REF!</v>
      </c>
    </row>
    <row r="496" spans="2:3" ht="15.75" customHeight="1" x14ac:dyDescent="0.25">
      <c r="B496" s="67" t="e">
        <f t="shared" si="38"/>
        <v>#REF!</v>
      </c>
      <c r="C496" s="76" t="e">
        <f t="shared" si="39"/>
        <v>#REF!</v>
      </c>
    </row>
    <row r="497" spans="2:3" ht="15.75" customHeight="1" x14ac:dyDescent="0.25">
      <c r="B497" s="67" t="e">
        <f t="shared" si="38"/>
        <v>#REF!</v>
      </c>
      <c r="C497" s="76" t="e">
        <f t="shared" si="39"/>
        <v>#REF!</v>
      </c>
    </row>
    <row r="498" spans="2:3" ht="15.75" customHeight="1" x14ac:dyDescent="0.25">
      <c r="B498" s="67" t="e">
        <f t="shared" si="38"/>
        <v>#REF!</v>
      </c>
      <c r="C498" s="76" t="e">
        <f t="shared" si="39"/>
        <v>#REF!</v>
      </c>
    </row>
    <row r="499" spans="2:3" ht="15.75" customHeight="1" x14ac:dyDescent="0.25">
      <c r="B499" s="67" t="e">
        <f t="shared" si="38"/>
        <v>#REF!</v>
      </c>
      <c r="C499" s="76" t="e">
        <f t="shared" si="39"/>
        <v>#REF!</v>
      </c>
    </row>
    <row r="500" spans="2:3" ht="15.75" customHeight="1" x14ac:dyDescent="0.25">
      <c r="B500" s="67" t="e">
        <f t="shared" si="38"/>
        <v>#REF!</v>
      </c>
      <c r="C500" s="76" t="e">
        <f t="shared" si="39"/>
        <v>#REF!</v>
      </c>
    </row>
    <row r="501" spans="2:3" ht="15.75" customHeight="1" x14ac:dyDescent="0.25">
      <c r="B501" s="67" t="e">
        <f t="shared" si="38"/>
        <v>#REF!</v>
      </c>
      <c r="C501" s="76" t="e">
        <f t="shared" si="39"/>
        <v>#REF!</v>
      </c>
    </row>
    <row r="502" spans="2:3" ht="15.75" customHeight="1" x14ac:dyDescent="0.25">
      <c r="B502" s="67" t="e">
        <f t="shared" si="38"/>
        <v>#REF!</v>
      </c>
      <c r="C502" s="76" t="e">
        <f t="shared" si="39"/>
        <v>#REF!</v>
      </c>
    </row>
    <row r="503" spans="2:3" ht="15.75" customHeight="1" x14ac:dyDescent="0.25">
      <c r="B503" s="67" t="e">
        <f t="shared" si="38"/>
        <v>#REF!</v>
      </c>
      <c r="C503" s="76" t="e">
        <f t="shared" si="39"/>
        <v>#REF!</v>
      </c>
    </row>
    <row r="504" spans="2:3" ht="15.75" customHeight="1" x14ac:dyDescent="0.25">
      <c r="B504" s="67" t="e">
        <f t="shared" si="38"/>
        <v>#REF!</v>
      </c>
      <c r="C504" s="76" t="e">
        <f t="shared" si="39"/>
        <v>#REF!</v>
      </c>
    </row>
    <row r="505" spans="2:3" ht="15.75" customHeight="1" x14ac:dyDescent="0.25">
      <c r="B505" s="67" t="e">
        <f t="shared" si="38"/>
        <v>#REF!</v>
      </c>
      <c r="C505" s="76" t="e">
        <f t="shared" si="39"/>
        <v>#REF!</v>
      </c>
    </row>
    <row r="506" spans="2:3" ht="15.75" customHeight="1" x14ac:dyDescent="0.25">
      <c r="B506" s="67" t="e">
        <f t="shared" si="38"/>
        <v>#REF!</v>
      </c>
      <c r="C506" s="76" t="e">
        <f t="shared" si="39"/>
        <v>#REF!</v>
      </c>
    </row>
    <row r="507" spans="2:3" ht="15.75" customHeight="1" x14ac:dyDescent="0.25">
      <c r="B507" s="67" t="e">
        <f t="shared" si="38"/>
        <v>#REF!</v>
      </c>
      <c r="C507" s="76" t="e">
        <f t="shared" si="39"/>
        <v>#REF!</v>
      </c>
    </row>
    <row r="508" spans="2:3" ht="15.75" customHeight="1" x14ac:dyDescent="0.25">
      <c r="B508" s="67" t="e">
        <f t="shared" si="38"/>
        <v>#REF!</v>
      </c>
      <c r="C508" s="76" t="e">
        <f t="shared" si="39"/>
        <v>#REF!</v>
      </c>
    </row>
    <row r="509" spans="2:3" ht="15.75" customHeight="1" x14ac:dyDescent="0.25">
      <c r="B509" s="67" t="e">
        <f t="shared" si="38"/>
        <v>#REF!</v>
      </c>
      <c r="C509" s="76" t="e">
        <f t="shared" si="39"/>
        <v>#REF!</v>
      </c>
    </row>
    <row r="510" spans="2:3" ht="15.75" customHeight="1" x14ac:dyDescent="0.25">
      <c r="B510" s="67" t="e">
        <f t="shared" si="38"/>
        <v>#REF!</v>
      </c>
      <c r="C510" s="76" t="e">
        <f t="shared" si="39"/>
        <v>#REF!</v>
      </c>
    </row>
    <row r="511" spans="2:3" ht="15.75" customHeight="1" x14ac:dyDescent="0.25">
      <c r="B511" s="67" t="e">
        <f t="shared" si="38"/>
        <v>#REF!</v>
      </c>
      <c r="C511" s="76" t="e">
        <f t="shared" si="39"/>
        <v>#REF!</v>
      </c>
    </row>
    <row r="512" spans="2:3" ht="15.75" customHeight="1" x14ac:dyDescent="0.25">
      <c r="B512" s="67" t="e">
        <f t="shared" si="38"/>
        <v>#REF!</v>
      </c>
      <c r="C512" s="76" t="e">
        <f t="shared" si="39"/>
        <v>#REF!</v>
      </c>
    </row>
    <row r="513" spans="2:3" ht="15.75" customHeight="1" x14ac:dyDescent="0.25">
      <c r="B513" s="67" t="e">
        <f t="shared" si="38"/>
        <v>#REF!</v>
      </c>
      <c r="C513" s="76" t="e">
        <f t="shared" si="39"/>
        <v>#REF!</v>
      </c>
    </row>
  </sheetData>
  <mergeCells count="3">
    <mergeCell ref="A1:K1"/>
    <mergeCell ref="B14:F14"/>
    <mergeCell ref="G14:M14"/>
  </mergeCells>
  <conditionalFormatting sqref="A16:F16 M16 H16:H37 A17:A41">
    <cfRule type="expression" dxfId="65" priority="8">
      <formula>AND(TODAY()&gt;=$B$16,TODAY()&lt;$B$17)</formula>
    </cfRule>
  </conditionalFormatting>
  <conditionalFormatting sqref="B16:B22 B24:B69">
    <cfRule type="cellIs" dxfId="64" priority="5" operator="greaterThan">
      <formula>$C$7</formula>
    </cfRule>
  </conditionalFormatting>
  <conditionalFormatting sqref="B18:B22 B24:B41 A42:B50 A51:C65 A66:D68 A69:M69 F38:M68">
    <cfRule type="expression" dxfId="63" priority="6">
      <formula>AND(TODAY()&gt;=$B18,TODAY()&lt;$B19)</formula>
    </cfRule>
  </conditionalFormatting>
  <conditionalFormatting sqref="B17:D17 G16:G37 I16:I37 E17:E68 C18:C50 D18:D65">
    <cfRule type="expression" dxfId="62" priority="7">
      <formula>AND(TODAY()&gt;=$B16,TODAY()&lt;$B17)</formula>
    </cfRule>
  </conditionalFormatting>
  <conditionalFormatting sqref="C2:C3">
    <cfRule type="expression" dxfId="61" priority="2">
      <formula>AND(TODAY()&gt;=$B$16,TODAY()&lt;$B$17)</formula>
    </cfRule>
  </conditionalFormatting>
  <conditionalFormatting sqref="J16:L37">
    <cfRule type="expression" dxfId="60" priority="1">
      <formula>AND(TODAY()&gt;=$B$16,TODAY()&lt;$B$17)</formula>
    </cfRule>
  </conditionalFormatting>
  <conditionalFormatting sqref="M17:M22 F17:F37 M24:M37">
    <cfRule type="expression" dxfId="59" priority="4">
      <formula>AND(TODAY()&gt;=$B17,TODAY()&lt;$B18)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B8093FE-1AE7-411D-BE03-E95A1E58E6AA}">
          <x14:formula1>
            <xm:f>'LEIA-ME'!$C$2:$C$6</xm:f>
          </x14:formula1>
          <xm:sqref>C3</xm:sqref>
        </x14:dataValidation>
        <x14:dataValidation type="list" allowBlank="1" showInputMessage="1" showErrorMessage="1" xr:uid="{2138A7C2-36AA-4260-9F6D-1C647232651C}">
          <x14:formula1>
            <xm:f>'LEIA-ME'!$A$2:$A$14</xm:f>
          </x14:formula1>
          <xm:sqref>C2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69B7-1AC7-4FE5-B421-D6CE72565DBE}">
  <sheetPr>
    <tabColor theme="9" tint="-0.499984740745262"/>
  </sheetPr>
  <dimension ref="A1:L512"/>
  <sheetViews>
    <sheetView topLeftCell="A17" workbookViewId="0">
      <selection activeCell="F39" sqref="F39:F40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6" width="12.625" style="59" customWidth="1"/>
    <col min="7" max="11" width="13.875" style="59" customWidth="1"/>
    <col min="12" max="12" width="22.25" style="59" customWidth="1"/>
    <col min="13" max="13" width="34.375" style="59" customWidth="1"/>
    <col min="14" max="16384" width="12.625" style="59"/>
  </cols>
  <sheetData>
    <row r="1" spans="1:12" ht="19.5" x14ac:dyDescent="0.25">
      <c r="A1" s="154" t="s">
        <v>20</v>
      </c>
      <c r="B1" s="167"/>
      <c r="C1" s="167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25">
      <c r="A2" s="68"/>
      <c r="B2" s="119" t="s">
        <v>2542</v>
      </c>
      <c r="C2" s="120" t="s">
        <v>70</v>
      </c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15.75" customHeight="1" x14ac:dyDescent="0.25">
      <c r="A3" s="68"/>
      <c r="B3" s="119" t="s">
        <v>66</v>
      </c>
      <c r="C3" s="120" t="s">
        <v>69</v>
      </c>
      <c r="D3" s="70"/>
      <c r="E3" s="71"/>
      <c r="F3" s="71"/>
      <c r="G3" s="65"/>
      <c r="H3" s="65"/>
      <c r="I3" s="65"/>
      <c r="J3" s="65"/>
      <c r="K3" s="65"/>
      <c r="L3" s="65"/>
    </row>
    <row r="4" spans="1:12" ht="15" customHeight="1" x14ac:dyDescent="0.25">
      <c r="B4" s="121" t="s">
        <v>2494</v>
      </c>
      <c r="C4" s="125">
        <f>COUNTIFS(time, C2,
    release, "*" &amp; C3 &amp; "*")</f>
        <v>53</v>
      </c>
      <c r="D4" s="70" t="s">
        <v>25</v>
      </c>
      <c r="E4" s="71" t="s">
        <v>26</v>
      </c>
      <c r="F4" s="71"/>
      <c r="G4" s="65"/>
      <c r="H4" s="65"/>
      <c r="I4" s="65"/>
      <c r="J4" s="65"/>
      <c r="K4" s="65"/>
      <c r="L4" s="65"/>
    </row>
    <row r="5" spans="1:12" ht="15.75" customHeight="1" x14ac:dyDescent="0.25">
      <c r="B5" s="122" t="s">
        <v>27</v>
      </c>
      <c r="C5" s="107">
        <v>45936</v>
      </c>
      <c r="D5" s="70" t="s">
        <v>28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122" t="s">
        <v>29</v>
      </c>
      <c r="C6" s="107">
        <v>46113</v>
      </c>
      <c r="D6" s="70" t="s">
        <v>30</v>
      </c>
      <c r="E6" s="65"/>
      <c r="F6" s="65"/>
      <c r="G6" s="65"/>
      <c r="H6" s="65"/>
      <c r="I6" s="65"/>
      <c r="J6" s="65"/>
      <c r="K6" s="65"/>
      <c r="L6" s="65"/>
    </row>
    <row r="7" spans="1:12" ht="15.75" customHeight="1" x14ac:dyDescent="0.25">
      <c r="B7" s="119" t="s">
        <v>31</v>
      </c>
      <c r="C7" s="106" cm="1">
        <f t="array" aca="1" ref="C7" ca="1">IF(MAX(INDEX(J:J, LARGE(IF(J:J&lt;&gt;"", ROW(J:J)), {1;2;3;4;5;6;7;8})))=0,
  1,
  MAX(INDEX(J:J, LARGE(IF(J:J&lt;&gt;"", ROW(J:J)), {1;2;3;4;5;6;7;8}))))</f>
        <v>8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119" t="s">
        <v>34</v>
      </c>
      <c r="C8" s="106" cm="1">
        <f t="array" aca="1" ref="C8" ca="1">IF(MIN(INDEX(J:J, LARGE(IF(J:J&lt;&gt;"", ROW(J:J)), {1;2;3;4;5;6;7;8})))=0,
  1,
  MIN(INDEX(J:J, LARGE(IF(J:J&lt;&gt;"", ROW(J:J)), {1;2;3;4;5;6;7;8}))))</f>
        <v>1</v>
      </c>
      <c r="D8" s="70" t="s">
        <v>32</v>
      </c>
      <c r="E8" s="71" t="s">
        <v>33</v>
      </c>
      <c r="F8" s="71"/>
      <c r="G8" s="65"/>
      <c r="H8" s="65"/>
      <c r="I8" s="65"/>
      <c r="J8" s="65"/>
      <c r="K8" s="65"/>
      <c r="L8" s="65"/>
    </row>
    <row r="9" spans="1:12" ht="15.75" customHeight="1" x14ac:dyDescent="0.25">
      <c r="B9" s="122" t="s">
        <v>35</v>
      </c>
      <c r="C9" s="108">
        <v>2</v>
      </c>
      <c r="D9" s="70" t="s">
        <v>32</v>
      </c>
      <c r="E9" s="65"/>
      <c r="F9" s="65"/>
      <c r="G9" s="65"/>
      <c r="H9" s="65"/>
      <c r="I9" s="65"/>
      <c r="J9" s="65"/>
      <c r="K9" s="65"/>
      <c r="L9" s="65"/>
    </row>
    <row r="10" spans="1:12" ht="15.75" customHeight="1" x14ac:dyDescent="0.25">
      <c r="B10" s="122" t="s">
        <v>36</v>
      </c>
      <c r="C10" s="109">
        <v>7</v>
      </c>
      <c r="D10" s="70" t="s">
        <v>37</v>
      </c>
      <c r="E10" s="65"/>
      <c r="F10" s="65"/>
      <c r="G10" s="65"/>
      <c r="H10" s="65"/>
      <c r="I10" s="65"/>
      <c r="J10" s="65"/>
      <c r="K10" s="65"/>
      <c r="L10" s="65"/>
    </row>
    <row r="11" spans="1:12" ht="15.75" hidden="1" customHeight="1" x14ac:dyDescent="0.25">
      <c r="B11" s="112"/>
      <c r="C11" s="65"/>
      <c r="D11" s="113"/>
      <c r="E11" s="65"/>
      <c r="F11" s="65"/>
      <c r="G11" s="65"/>
      <c r="H11" s="65"/>
      <c r="I11" s="65"/>
      <c r="J11" s="65"/>
      <c r="K11" s="65"/>
      <c r="L11" s="65"/>
    </row>
    <row r="12" spans="1:12" s="39" customFormat="1" ht="40.5" customHeight="1" x14ac:dyDescent="0.45">
      <c r="A12" s="103"/>
      <c r="B12" s="61" t="s">
        <v>38</v>
      </c>
      <c r="C12" s="60" t="s">
        <v>39</v>
      </c>
      <c r="D12" s="60" t="s">
        <v>40</v>
      </c>
      <c r="E12" s="60" t="s">
        <v>41</v>
      </c>
      <c r="F12" s="60" t="s">
        <v>42</v>
      </c>
      <c r="G12" s="60" t="s">
        <v>43</v>
      </c>
      <c r="H12" s="60" t="s">
        <v>44</v>
      </c>
      <c r="I12" s="60" t="s">
        <v>45</v>
      </c>
      <c r="J12" s="60" t="s">
        <v>46</v>
      </c>
      <c r="K12" s="60" t="s">
        <v>47</v>
      </c>
      <c r="L12" s="60" t="s">
        <v>48</v>
      </c>
    </row>
    <row r="13" spans="1:12" ht="19.5" customHeight="1" x14ac:dyDescent="0.25">
      <c r="A13" s="91"/>
      <c r="B13" s="162" t="s">
        <v>49</v>
      </c>
      <c r="C13" s="163"/>
      <c r="D13" s="163"/>
      <c r="E13" s="163"/>
      <c r="F13" s="164"/>
      <c r="G13" s="165" t="s">
        <v>50</v>
      </c>
      <c r="H13" s="166"/>
      <c r="I13" s="166"/>
      <c r="J13" s="166"/>
      <c r="K13" s="166"/>
      <c r="L13" s="166"/>
    </row>
    <row r="14" spans="1:12" ht="31.5" customHeight="1" x14ac:dyDescent="0.25">
      <c r="A14" s="44" t="s">
        <v>51</v>
      </c>
      <c r="B14" s="45" t="s">
        <v>52</v>
      </c>
      <c r="C14" s="46" t="s">
        <v>2495</v>
      </c>
      <c r="D14" s="46" t="s">
        <v>2496</v>
      </c>
      <c r="E14" s="46" t="s">
        <v>55</v>
      </c>
      <c r="F14" s="58" t="s">
        <v>56</v>
      </c>
      <c r="G14" s="47" t="s">
        <v>57</v>
      </c>
      <c r="H14" s="47" t="s">
        <v>58</v>
      </c>
      <c r="I14" s="48" t="s">
        <v>2561</v>
      </c>
      <c r="J14" s="54" t="s">
        <v>2586</v>
      </c>
      <c r="K14" s="87" t="s">
        <v>2562</v>
      </c>
      <c r="L14" s="77" t="s">
        <v>62</v>
      </c>
    </row>
    <row r="15" spans="1:12" ht="17.25" customHeight="1" x14ac:dyDescent="0.25">
      <c r="A15" s="73" t="s">
        <v>2543</v>
      </c>
      <c r="B15" s="66">
        <f>C5</f>
        <v>45936</v>
      </c>
      <c r="C15" s="79">
        <f>$C$4</f>
        <v>53</v>
      </c>
      <c r="D15" s="79">
        <f>$C$4</f>
        <v>53</v>
      </c>
      <c r="E15" s="79">
        <f>$C$4</f>
        <v>53</v>
      </c>
      <c r="F15" s="80"/>
      <c r="G15" s="118">
        <f t="shared" ref="G15:G23" ca="1" si="0">IF(TODAY()&lt;B15,"",COUNTIFS(dtc, "&gt;=" &amp; INT(B15),
  dtc, "&lt;"  &amp; INT(B15)+1,
  time, $C$2,release, "*" &amp; $C$3 &amp; "*",
  Item, "&lt;&gt;BUG"))</f>
        <v>0</v>
      </c>
      <c r="H15" s="118">
        <f t="shared" ref="H15:H23" ca="1" si="1">IF(TODAY()&lt;B15,"",COUNTIFS(dtc, "&gt;=" &amp;(INT(B15)+1),dtc,
 "&lt;"  &amp;(INT(B15)+7),time,
 $C$2,release, "*" &amp; $C$3 &amp; "*",Item,
 "&lt;&gt;BUG"))</f>
        <v>0</v>
      </c>
      <c r="I15" s="82">
        <f t="shared" ref="I15:I23" ca="1" si="2">IF(TODAY() &lt; B15,"",COUNTIFS(time, $C$2,release, "*" &amp; $C$3 &amp; "*",Item,
 "BUG",dtc,
 "&gt;=" &amp; INT(B15),dtc,
 "&lt;"  &amp; INT(B15)+7))</f>
        <v>0</v>
      </c>
      <c r="J15" s="126">
        <f t="shared" ref="J15:J23" ca="1" si="3">IF(TODAY() &lt; B15,"",IF(COUNTIFS(time, $C$2, release, "*" &amp; $C$3 &amp; "*", resolvido, "&lt;&gt;" &amp; "", resolvido, "&gt;=" &amp; INT(B15), resolvido, "&lt;" &amp; INT(B15)+7)+K15 &lt; 0,
   0,
   COUNTIFS(time, $C$2, release, "*" &amp; $C$3 &amp; "*", resolvido, "&lt;&gt;" &amp; "", resolvido, "&gt;=" &amp; INT(B15), resolvido, "&lt;" &amp; INT(B15)+7)+K15))</f>
        <v>0</v>
      </c>
      <c r="K15" s="84">
        <f t="shared" ref="K15:K23" ca="1" si="4">IF(TODAY() &lt;B15,"",-COUNTIFS(resolvido, "&gt;=" &amp; INT(B15),resolvido, "&lt;"  &amp; INT(B15)+7,status, "Descartado",time, $C$2,release, "*" &amp; $C$3 &amp; "*"))</f>
        <v>0</v>
      </c>
      <c r="L15" s="86"/>
    </row>
    <row r="16" spans="1:12" ht="17.25" customHeight="1" x14ac:dyDescent="0.25">
      <c r="A16" s="73" t="s">
        <v>2544</v>
      </c>
      <c r="B16" s="66">
        <f t="shared" ref="B16:B25" si="5">B15+$C$10</f>
        <v>45943</v>
      </c>
      <c r="C16" s="79">
        <f ca="1">IF(OR(C15="",C15=0),"",IF(ISBLANK($J15),IF(C15+$K15+$I15-$C$7&lt;=0,IF(AND(C15&gt;0,C15&lt;&gt;""),0,""),C15+$K15+$I15-$C$7),IF((C15-$J15)+$K15+$I15&lt;=0,IF(AND(C15&gt;0,C15&lt;&gt;""),0,""),(C15-$J15)+$K15+$I15)))</f>
        <v>53</v>
      </c>
      <c r="D16" s="79">
        <f t="shared" ref="D16:D30" ca="1" si="6">IF(OR(D15="",D15=0),"",IF(ISBLANK($J15),IF(D15+$K15+$I15-$C$8&lt;=0,IF(AND(D15&gt;0,D15&lt;&gt;""),0,""),D15+$K15+$I15-$C$8),IF((D15-$J15)+$K15+$I15&lt;=0,IF(AND(D15&gt;0,D15&lt;&gt;""),0,""),(D15-$J15)+$K15+$I15)))</f>
        <v>53</v>
      </c>
      <c r="E16" s="79">
        <f t="shared" ref="E16:E30" ca="1" si="7">IF(OR(E15="",E15=0),"",IF(ISBLANK($J15),IF(E15+$K15+$I15-$C$9&lt;=0,IF(AND(E15&gt;0,E15&lt;&gt;""),0,""),E15+$K15+$I15-$C$9),IF((E15-$J15)+$K15+$I15&lt;=0,IF(AND(E15&gt;0,E15&lt;&gt;""),0,""),(E15-$J15)+$K15+$I15)))</f>
        <v>53</v>
      </c>
      <c r="F16" s="80">
        <f ca="1">IF(J15="","",IF(G15+F15+H15+I15+K15-J15&lt;0,0,G15+F15+H15+I15+K15-J15))</f>
        <v>0</v>
      </c>
      <c r="G16" s="118">
        <f t="shared" ca="1" si="0"/>
        <v>0</v>
      </c>
      <c r="H16" s="118">
        <f t="shared" ca="1" si="1"/>
        <v>0</v>
      </c>
      <c r="I16" s="82">
        <f t="shared" ca="1" si="2"/>
        <v>0</v>
      </c>
      <c r="J16" s="126">
        <f t="shared" ca="1" si="3"/>
        <v>0</v>
      </c>
      <c r="K16" s="84">
        <f t="shared" ca="1" si="4"/>
        <v>0</v>
      </c>
      <c r="L16" s="86"/>
    </row>
    <row r="17" spans="1:12" ht="17.25" customHeight="1" x14ac:dyDescent="0.25">
      <c r="A17" s="73" t="s">
        <v>2545</v>
      </c>
      <c r="B17" s="66">
        <f t="shared" si="5"/>
        <v>45950</v>
      </c>
      <c r="C17" s="85">
        <f t="shared" ref="C17:C30" ca="1" si="8">IF(OR(C16="",C16=0),"",IF(ISBLANK(J16),IF(C16+K16+I16-$C$7&lt;=0,IF(AND(C16&gt;0,C16&lt;&gt;""),0,""),C16+K16+I16-$C$7),IF((C16-J16)+K16+I16&lt;=0,IF(AND(C16&gt;0,C16&lt;&gt;""),0,""),(C16-J16)+K16+I16)))</f>
        <v>53</v>
      </c>
      <c r="D17" s="85">
        <f t="shared" ca="1" si="6"/>
        <v>53</v>
      </c>
      <c r="E17" s="85">
        <f t="shared" ca="1" si="7"/>
        <v>53</v>
      </c>
      <c r="F17" s="80">
        <f t="shared" ref="F17:F28" ca="1" si="9">IF(J16="","",IF(G16+F16+H16+I16+K16-J16&lt;0,0,G16+F16+H16+I16+K16-J16))</f>
        <v>0</v>
      </c>
      <c r="G17" s="118">
        <f t="shared" ca="1" si="0"/>
        <v>0</v>
      </c>
      <c r="H17" s="118">
        <f t="shared" ca="1" si="1"/>
        <v>0</v>
      </c>
      <c r="I17" s="82">
        <f t="shared" ca="1" si="2"/>
        <v>0</v>
      </c>
      <c r="J17" s="126">
        <f t="shared" ca="1" si="3"/>
        <v>0</v>
      </c>
      <c r="K17" s="84">
        <f t="shared" ca="1" si="4"/>
        <v>0</v>
      </c>
      <c r="L17" s="86"/>
    </row>
    <row r="18" spans="1:12" ht="17.25" customHeight="1" x14ac:dyDescent="0.25">
      <c r="A18" s="73" t="s">
        <v>2546</v>
      </c>
      <c r="B18" s="66">
        <f t="shared" si="5"/>
        <v>45957</v>
      </c>
      <c r="C18" s="85">
        <f t="shared" ca="1" si="8"/>
        <v>53</v>
      </c>
      <c r="D18" s="85">
        <f t="shared" ca="1" si="6"/>
        <v>53</v>
      </c>
      <c r="E18" s="85">
        <f t="shared" ca="1" si="7"/>
        <v>53</v>
      </c>
      <c r="F18" s="80">
        <f t="shared" ca="1" si="9"/>
        <v>0</v>
      </c>
      <c r="G18" s="118">
        <f t="shared" ca="1" si="0"/>
        <v>0</v>
      </c>
      <c r="H18" s="118">
        <f t="shared" ca="1" si="1"/>
        <v>0</v>
      </c>
      <c r="I18" s="82">
        <f t="shared" ca="1" si="2"/>
        <v>0</v>
      </c>
      <c r="J18" s="126">
        <f t="shared" ca="1" si="3"/>
        <v>0</v>
      </c>
      <c r="K18" s="84">
        <f t="shared" ca="1" si="4"/>
        <v>0</v>
      </c>
      <c r="L18" s="111"/>
    </row>
    <row r="19" spans="1:12" ht="17.25" customHeight="1" x14ac:dyDescent="0.25">
      <c r="A19" s="73" t="s">
        <v>2547</v>
      </c>
      <c r="B19" s="66">
        <f t="shared" si="5"/>
        <v>45964</v>
      </c>
      <c r="C19" s="85">
        <f t="shared" ca="1" si="8"/>
        <v>53</v>
      </c>
      <c r="D19" s="85">
        <f t="shared" ca="1" si="6"/>
        <v>53</v>
      </c>
      <c r="E19" s="85">
        <f t="shared" ca="1" si="7"/>
        <v>53</v>
      </c>
      <c r="F19" s="80">
        <f t="shared" ca="1" si="9"/>
        <v>0</v>
      </c>
      <c r="G19" s="118">
        <f t="shared" ca="1" si="0"/>
        <v>0</v>
      </c>
      <c r="H19" s="118">
        <f t="shared" ca="1" si="1"/>
        <v>0</v>
      </c>
      <c r="I19" s="82">
        <f t="shared" ca="1" si="2"/>
        <v>0</v>
      </c>
      <c r="J19" s="126">
        <f t="shared" ca="1" si="3"/>
        <v>0</v>
      </c>
      <c r="K19" s="84">
        <f t="shared" ca="1" si="4"/>
        <v>0</v>
      </c>
      <c r="L19" s="86"/>
    </row>
    <row r="20" spans="1:12" ht="17.25" customHeight="1" x14ac:dyDescent="0.25">
      <c r="A20" s="73" t="s">
        <v>2548</v>
      </c>
      <c r="B20" s="66">
        <f t="shared" si="5"/>
        <v>45971</v>
      </c>
      <c r="C20" s="85">
        <f t="shared" ca="1" si="8"/>
        <v>53</v>
      </c>
      <c r="D20" s="85">
        <f t="shared" ca="1" si="6"/>
        <v>53</v>
      </c>
      <c r="E20" s="85">
        <f t="shared" ca="1" si="7"/>
        <v>53</v>
      </c>
      <c r="F20" s="80">
        <f t="shared" ca="1" si="9"/>
        <v>0</v>
      </c>
      <c r="G20" s="118">
        <f t="shared" ca="1" si="0"/>
        <v>0</v>
      </c>
      <c r="H20" s="118">
        <f t="shared" ca="1" si="1"/>
        <v>0</v>
      </c>
      <c r="I20" s="82">
        <f t="shared" ca="1" si="2"/>
        <v>0</v>
      </c>
      <c r="J20" s="126">
        <f t="shared" ca="1" si="3"/>
        <v>0</v>
      </c>
      <c r="K20" s="84">
        <f t="shared" ca="1" si="4"/>
        <v>0</v>
      </c>
      <c r="L20" s="86"/>
    </row>
    <row r="21" spans="1:12" ht="15.75" customHeight="1" x14ac:dyDescent="0.25">
      <c r="A21" s="73" t="s">
        <v>2549</v>
      </c>
      <c r="B21" s="66">
        <f t="shared" si="5"/>
        <v>45978</v>
      </c>
      <c r="C21" s="85">
        <f t="shared" ca="1" si="8"/>
        <v>53</v>
      </c>
      <c r="D21" s="85">
        <f t="shared" ca="1" si="6"/>
        <v>53</v>
      </c>
      <c r="E21" s="85">
        <f t="shared" ca="1" si="7"/>
        <v>53</v>
      </c>
      <c r="F21" s="80">
        <f t="shared" ca="1" si="9"/>
        <v>0</v>
      </c>
      <c r="G21" s="118">
        <f t="shared" ca="1" si="0"/>
        <v>0</v>
      </c>
      <c r="H21" s="118">
        <f t="shared" ca="1" si="1"/>
        <v>0</v>
      </c>
      <c r="I21" s="82">
        <f t="shared" ca="1" si="2"/>
        <v>0</v>
      </c>
      <c r="J21" s="126">
        <f t="shared" ca="1" si="3"/>
        <v>0</v>
      </c>
      <c r="K21" s="84">
        <f t="shared" ca="1" si="4"/>
        <v>0</v>
      </c>
      <c r="L21" s="86"/>
    </row>
    <row r="22" spans="1:12" ht="15.75" customHeight="1" x14ac:dyDescent="0.25">
      <c r="A22" s="73" t="s">
        <v>2550</v>
      </c>
      <c r="B22" s="66">
        <f t="shared" si="5"/>
        <v>45985</v>
      </c>
      <c r="C22" s="85">
        <f t="shared" ca="1" si="8"/>
        <v>53</v>
      </c>
      <c r="D22" s="85">
        <f t="shared" ca="1" si="6"/>
        <v>53</v>
      </c>
      <c r="E22" s="85">
        <f t="shared" ca="1" si="7"/>
        <v>53</v>
      </c>
      <c r="F22" s="80">
        <f t="shared" ca="1" si="9"/>
        <v>0</v>
      </c>
      <c r="G22" s="118">
        <f t="shared" ca="1" si="0"/>
        <v>3</v>
      </c>
      <c r="H22" s="118">
        <f t="shared" ca="1" si="1"/>
        <v>0</v>
      </c>
      <c r="I22" s="82">
        <f t="shared" ca="1" si="2"/>
        <v>0</v>
      </c>
      <c r="J22" s="126">
        <f t="shared" ca="1" si="3"/>
        <v>0</v>
      </c>
      <c r="K22" s="84">
        <f t="shared" ca="1" si="4"/>
        <v>0</v>
      </c>
      <c r="L22" s="86"/>
    </row>
    <row r="23" spans="1:12" ht="15.75" customHeight="1" x14ac:dyDescent="0.25">
      <c r="A23" s="73" t="s">
        <v>2551</v>
      </c>
      <c r="B23" s="66">
        <f t="shared" si="5"/>
        <v>45992</v>
      </c>
      <c r="C23" s="85">
        <f t="shared" ca="1" si="8"/>
        <v>53</v>
      </c>
      <c r="D23" s="85">
        <f t="shared" ca="1" si="6"/>
        <v>53</v>
      </c>
      <c r="E23" s="85">
        <f t="shared" ca="1" si="7"/>
        <v>53</v>
      </c>
      <c r="F23" s="80">
        <f t="shared" ca="1" si="9"/>
        <v>3</v>
      </c>
      <c r="G23" s="118">
        <f t="shared" ca="1" si="0"/>
        <v>0</v>
      </c>
      <c r="H23" s="118">
        <f t="shared" ca="1" si="1"/>
        <v>0</v>
      </c>
      <c r="I23" s="82">
        <f t="shared" ca="1" si="2"/>
        <v>0</v>
      </c>
      <c r="J23" s="126">
        <f t="shared" ca="1" si="3"/>
        <v>0</v>
      </c>
      <c r="K23" s="84">
        <f t="shared" ca="1" si="4"/>
        <v>0</v>
      </c>
      <c r="L23" s="86"/>
    </row>
    <row r="24" spans="1:12" ht="15.75" customHeight="1" x14ac:dyDescent="0.25">
      <c r="A24" s="73" t="s">
        <v>2552</v>
      </c>
      <c r="B24" s="66">
        <f t="shared" si="5"/>
        <v>45999</v>
      </c>
      <c r="C24" s="85">
        <f t="shared" ca="1" si="8"/>
        <v>53</v>
      </c>
      <c r="D24" s="85">
        <f t="shared" ca="1" si="6"/>
        <v>53</v>
      </c>
      <c r="E24" s="85">
        <f t="shared" ca="1" si="7"/>
        <v>53</v>
      </c>
      <c r="F24" s="80">
        <f t="shared" ca="1" si="9"/>
        <v>3</v>
      </c>
      <c r="G24" s="118">
        <f t="shared" ref="G24:G37" ca="1" si="10">IF(TODAY()&lt;B24,"",COUNTIFS(dtc, "&gt;=" &amp; INT(B24),
  dtc, "&lt;"  &amp; INT(B24)+1,
  time, $C$2,release, "*" &amp; $C$3 &amp; "*",
  Item, "&lt;&gt;BUG"))</f>
        <v>0</v>
      </c>
      <c r="H24" s="118">
        <f t="shared" ref="H24:H37" ca="1" si="11">IF(TODAY()&lt;B24,"",COUNTIFS(dtc, "&gt;=" &amp;(INT(B24)+1),dtc,
 "&lt;"  &amp;(INT(B24)+7),time,
 $C$2,release, "*" &amp; $C$3 &amp; "*",Item,
 "&lt;&gt;BUG"))</f>
        <v>0</v>
      </c>
      <c r="I24" s="82">
        <f t="shared" ref="I24:I37" ca="1" si="12">IF(TODAY() &lt; B24,"",COUNTIFS(time, $C$2,release, "*" &amp; $C$3 &amp; "*",Item,
 "BUG",dtc,
 "&gt;=" &amp; INT(B24),dtc,
 "&lt;"  &amp; INT(B24)+7))</f>
        <v>0</v>
      </c>
      <c r="J24" s="126">
        <f t="shared" ref="J24:J37" ca="1" si="13">IF(TODAY() &lt; B24,"",IF(COUNTIFS(time, $C$2, release, "*" &amp; $C$3 &amp; "*", resolvido, "&lt;&gt;" &amp; "", resolvido, "&gt;=" &amp; INT(B24), resolvido, "&lt;" &amp; INT(B24)+7)+K24 &lt; 0,
   0,
   COUNTIFS(time, $C$2, release, "*" &amp; $C$3 &amp; "*", resolvido, "&lt;&gt;" &amp; "", resolvido, "&gt;=" &amp; INT(B24), resolvido, "&lt;" &amp; INT(B24)+7)+K24))</f>
        <v>0</v>
      </c>
      <c r="K24" s="84">
        <f t="shared" ref="K24:K37" ca="1" si="14">IF(TODAY() &lt;B24,"",-COUNTIFS(resolvido, "&gt;=" &amp; INT(B24),resolvido, "&lt;"  &amp; INT(B24)+7,status, "Descartado",time, $C$2,release, "*" &amp; $C$3 &amp; "*"))</f>
        <v>0</v>
      </c>
      <c r="L24" s="86"/>
    </row>
    <row r="25" spans="1:12" ht="15.75" customHeight="1" x14ac:dyDescent="0.25">
      <c r="A25" s="132" t="s">
        <v>2553</v>
      </c>
      <c r="B25" s="133">
        <f t="shared" si="5"/>
        <v>46006</v>
      </c>
      <c r="C25" s="134">
        <f t="shared" ca="1" si="8"/>
        <v>53</v>
      </c>
      <c r="D25" s="134">
        <f t="shared" ca="1" si="6"/>
        <v>53</v>
      </c>
      <c r="E25" s="134">
        <f t="shared" ca="1" si="7"/>
        <v>53</v>
      </c>
      <c r="F25" s="135">
        <f t="shared" ca="1" si="9"/>
        <v>3</v>
      </c>
      <c r="G25" s="118">
        <f t="shared" ca="1" si="10"/>
        <v>0</v>
      </c>
      <c r="H25" s="118">
        <f t="shared" ca="1" si="11"/>
        <v>2</v>
      </c>
      <c r="I25" s="82">
        <f t="shared" ca="1" si="12"/>
        <v>0</v>
      </c>
      <c r="J25" s="126">
        <f t="shared" ca="1" si="13"/>
        <v>0</v>
      </c>
      <c r="K25" s="84">
        <f t="shared" ca="1" si="14"/>
        <v>0</v>
      </c>
      <c r="L25" s="86"/>
    </row>
    <row r="26" spans="1:12" ht="15.75" customHeight="1" x14ac:dyDescent="0.25">
      <c r="A26" s="73" t="s">
        <v>2554</v>
      </c>
      <c r="B26" s="66">
        <f t="shared" ref="B26:B29" si="15">B25+$C$10</f>
        <v>46013</v>
      </c>
      <c r="C26" s="85">
        <f t="shared" ca="1" si="8"/>
        <v>53</v>
      </c>
      <c r="D26" s="85">
        <f t="shared" ca="1" si="6"/>
        <v>53</v>
      </c>
      <c r="E26" s="85">
        <f t="shared" ca="1" si="7"/>
        <v>53</v>
      </c>
      <c r="F26" s="80">
        <f t="shared" ca="1" si="9"/>
        <v>5</v>
      </c>
      <c r="G26" s="118">
        <f t="shared" ca="1" si="10"/>
        <v>0</v>
      </c>
      <c r="H26" s="118">
        <f t="shared" ca="1" si="11"/>
        <v>0</v>
      </c>
      <c r="I26" s="82">
        <f t="shared" ca="1" si="12"/>
        <v>0</v>
      </c>
      <c r="J26" s="126">
        <f t="shared" ca="1" si="13"/>
        <v>0</v>
      </c>
      <c r="K26" s="84">
        <f t="shared" ca="1" si="14"/>
        <v>0</v>
      </c>
      <c r="L26" s="86"/>
    </row>
    <row r="27" spans="1:12" ht="15.75" customHeight="1" x14ac:dyDescent="0.25">
      <c r="A27" s="73" t="s">
        <v>2555</v>
      </c>
      <c r="B27" s="66">
        <f t="shared" si="15"/>
        <v>46020</v>
      </c>
      <c r="C27" s="85">
        <f t="shared" ca="1" si="8"/>
        <v>53</v>
      </c>
      <c r="D27" s="85">
        <f t="shared" ca="1" si="6"/>
        <v>53</v>
      </c>
      <c r="E27" s="85">
        <f t="shared" ca="1" si="7"/>
        <v>53</v>
      </c>
      <c r="F27" s="80">
        <f t="shared" ca="1" si="9"/>
        <v>5</v>
      </c>
      <c r="G27" s="118">
        <f t="shared" ca="1" si="10"/>
        <v>0</v>
      </c>
      <c r="H27" s="118">
        <f t="shared" ca="1" si="11"/>
        <v>0</v>
      </c>
      <c r="I27" s="82">
        <f t="shared" ca="1" si="12"/>
        <v>0</v>
      </c>
      <c r="J27" s="126">
        <f t="shared" ca="1" si="13"/>
        <v>0</v>
      </c>
      <c r="K27" s="84">
        <f t="shared" ca="1" si="14"/>
        <v>0</v>
      </c>
      <c r="L27" s="86"/>
    </row>
    <row r="28" spans="1:12" ht="15.75" customHeight="1" x14ac:dyDescent="0.25">
      <c r="A28" s="73" t="s">
        <v>2556</v>
      </c>
      <c r="B28" s="66">
        <f t="shared" si="15"/>
        <v>46027</v>
      </c>
      <c r="C28" s="85">
        <f t="shared" ca="1" si="8"/>
        <v>53</v>
      </c>
      <c r="D28" s="85">
        <f t="shared" ca="1" si="6"/>
        <v>53</v>
      </c>
      <c r="E28" s="85">
        <f t="shared" ca="1" si="7"/>
        <v>53</v>
      </c>
      <c r="F28" s="80">
        <f t="shared" ca="1" si="9"/>
        <v>5</v>
      </c>
      <c r="G28" s="118">
        <f t="shared" ca="1" si="10"/>
        <v>0</v>
      </c>
      <c r="H28" s="118">
        <f t="shared" ca="1" si="11"/>
        <v>0</v>
      </c>
      <c r="I28" s="82">
        <f t="shared" ca="1" si="12"/>
        <v>0</v>
      </c>
      <c r="J28" s="126">
        <f t="shared" ca="1" si="13"/>
        <v>0</v>
      </c>
      <c r="K28" s="84">
        <f t="shared" ca="1" si="14"/>
        <v>0</v>
      </c>
      <c r="L28" s="86"/>
    </row>
    <row r="29" spans="1:12" ht="15.75" customHeight="1" x14ac:dyDescent="0.25">
      <c r="A29" s="73" t="s">
        <v>2557</v>
      </c>
      <c r="B29" s="66">
        <f t="shared" si="15"/>
        <v>46034</v>
      </c>
      <c r="C29" s="85">
        <f t="shared" ca="1" si="8"/>
        <v>53</v>
      </c>
      <c r="D29" s="85">
        <f t="shared" ca="1" si="6"/>
        <v>53</v>
      </c>
      <c r="E29" s="85">
        <f t="shared" ca="1" si="7"/>
        <v>53</v>
      </c>
      <c r="F29" s="80">
        <f t="shared" ref="F29:F33" ca="1" si="16">IF(J28="","",IF(G28+F28+H28+I28-J28&lt;0,0,G28+F28+H28+I28-J28))</f>
        <v>5</v>
      </c>
      <c r="G29" s="118">
        <f t="shared" ca="1" si="10"/>
        <v>1</v>
      </c>
      <c r="H29" s="118">
        <f t="shared" ca="1" si="11"/>
        <v>2</v>
      </c>
      <c r="I29" s="82">
        <f t="shared" ca="1" si="12"/>
        <v>0</v>
      </c>
      <c r="J29" s="126">
        <f t="shared" ca="1" si="13"/>
        <v>0</v>
      </c>
      <c r="K29" s="84">
        <f t="shared" ca="1" si="14"/>
        <v>0</v>
      </c>
      <c r="L29" s="86"/>
    </row>
    <row r="30" spans="1:12" ht="15.75" customHeight="1" x14ac:dyDescent="0.25">
      <c r="A30" s="73" t="s">
        <v>2558</v>
      </c>
      <c r="B30" s="66">
        <f t="shared" ref="B30:B55" si="17">B29+$C$10</f>
        <v>46041</v>
      </c>
      <c r="C30" s="85">
        <f t="shared" ca="1" si="8"/>
        <v>53</v>
      </c>
      <c r="D30" s="85">
        <f t="shared" ca="1" si="6"/>
        <v>53</v>
      </c>
      <c r="E30" s="85">
        <f t="shared" ca="1" si="7"/>
        <v>53</v>
      </c>
      <c r="F30" s="80">
        <f t="shared" ca="1" si="16"/>
        <v>8</v>
      </c>
      <c r="G30" s="118">
        <f t="shared" ca="1" si="10"/>
        <v>3</v>
      </c>
      <c r="H30" s="118">
        <f t="shared" ca="1" si="11"/>
        <v>1</v>
      </c>
      <c r="I30" s="82">
        <f t="shared" ca="1" si="12"/>
        <v>0</v>
      </c>
      <c r="J30" s="126">
        <f t="shared" ca="1" si="13"/>
        <v>0</v>
      </c>
      <c r="K30" s="84">
        <f t="shared" ca="1" si="14"/>
        <v>0</v>
      </c>
      <c r="L30" s="86"/>
    </row>
    <row r="31" spans="1:12" ht="15.75" customHeight="1" x14ac:dyDescent="0.25">
      <c r="A31" s="73" t="s">
        <v>2559</v>
      </c>
      <c r="B31" s="66">
        <f t="shared" si="17"/>
        <v>46048</v>
      </c>
      <c r="C31" s="85">
        <f ca="1">IF(AND(OR(C30="",C30=0),(MAX($L30,0)+MAX($I30,0)+MAX($G30,0)+MAX($F30,0)-MAX($J30,0)-MAX($K30,0)&lt;=0)),"",IF($J30="",IF(MAX(C30,0)+MAX($L30,0)+MAX($I30,0)-MAX($K30,0)-MAX($C$7,0)&lt;=0,IF(AND(C30&gt;0,C30&lt;&gt;""),0,""),MAX(C30,0)+MAX($L30,0)+MAX($I30,0)-MAX($K30,0)-$C$7),IF((MAX(C30,0)-MAX($J30,0)-MAX($K30,0))+MAX($L30,0)+MAX($I30,0)&lt;=0,IF(AND(C30&gt;0,C30&lt;&gt;""),0,""),(MAX(C30,0)-MAX($J30,0)-MAX($K30,0))+MAX($L30,0)+MAX($I30,0))))</f>
        <v>53</v>
      </c>
      <c r="D31" s="85">
        <f ca="1">IF(AND(OR(D30="",D30=0),(MAX($L30,0)+MAX($I30,0)+MAX($G30,0)+MAX($F30,0)-MAX($J30,0)-MAX($K30,0)&lt;=0)),"",IF($J30="",IF(MAX(D30,0)+MAX($L30,0)+MAX($I30,0)-MAX($K30,0)-MAX($C$8,0)&lt;=0,IF(AND(D30&gt;0,D30&lt;&gt;""),0,""),MAX(D30,0)+MAX($L30,0)+MAX($I30,0)-MAX($K30,0)-$C$8),IF((MAX(D30,0)-MAX($J30,0)-MAX($K30,0))+MAX($L30,0)+MAX($I30,0)&lt;=0,IF(AND(D30&gt;0,D30&lt;&gt;""),0,""),(MAX(D30,0)-MAX($J30,0)-MAX($K30,0))+MAX($L30,0)+MAX($I30,0))))</f>
        <v>53</v>
      </c>
      <c r="E31" s="85">
        <f ca="1">IF(AND(OR(E30="",E30=0),(MAX($L30,0)+MAX($I30,0)+MAX($G30,0)+MAX($F30,0)-MAX($J30,0)-MAX($K30,0)&lt;=0)),"",IF($J30="",IF(MAX(E30,0)+MAX($L30,0)+MAX($I30,0)-MAX($K30,0)-MAX($C$9,0)&lt;=0,IF(AND(E30&gt;0,E30&lt;&gt;""),0,""),MAX(E30,0)+MAX($L30,0)+MAX($I30,0)-MAX($K30,0)-$C$9),IF((MAX(E30,0)-MAX($J30,0)-MAX($K30,0))+MAX($L30,0)+MAX($I30,0)&lt;=0,IF(AND(E30&gt;0,E30&lt;&gt;""),0,""),(MAX(E30,0)-MAX($J30,0)-MAX($K30,0))+MAX($L30,0)+MAX($I30,0))))</f>
        <v>53</v>
      </c>
      <c r="F31" s="80">
        <f t="shared" ca="1" si="16"/>
        <v>12</v>
      </c>
      <c r="G31" s="118">
        <f t="shared" ca="1" si="10"/>
        <v>0</v>
      </c>
      <c r="H31" s="118">
        <f t="shared" ca="1" si="11"/>
        <v>6</v>
      </c>
      <c r="I31" s="82">
        <f t="shared" ca="1" si="12"/>
        <v>0</v>
      </c>
      <c r="J31" s="126">
        <f t="shared" ca="1" si="13"/>
        <v>6</v>
      </c>
      <c r="K31" s="84">
        <f t="shared" ca="1" si="14"/>
        <v>0</v>
      </c>
      <c r="L31" s="86"/>
    </row>
    <row r="32" spans="1:12" ht="15.75" customHeight="1" x14ac:dyDescent="0.25">
      <c r="A32" s="73" t="s">
        <v>2560</v>
      </c>
      <c r="B32" s="66">
        <f t="shared" si="17"/>
        <v>46055</v>
      </c>
      <c r="C32" s="85">
        <f t="shared" ref="C32:C68" ca="1" si="18">IF(AND(OR(C31="",C31=0),(MAX($L31,0)+MAX($I31,0)+MAX($G31,0)+MAX($F31,0)-MAX($J31,0)-MAX($K31,0)&lt;=0)),"",IF($J31="",IF(MAX(C31,0)+MAX($L31,0)+MAX($I31,0)-MAX($K31,0)-MAX($C$7,0)&lt;=0,IF(AND(C31&gt;0,C31&lt;&gt;""),0,""),MAX(C31,0)+MAX($L31,0)+MAX($I31,0)-MAX($K31,0)-$C$7),IF((MAX(C31,0)-MAX($J31,0)-MAX($K31,0))+MAX($L31,0)+MAX($I31,0)&lt;=0,IF(AND(C31&gt;0,C31&lt;&gt;""),0,""),(MAX(C31,0)-MAX($J31,0)-MAX($K31,0))+MAX($L31,0)+MAX($I31,0))))</f>
        <v>47</v>
      </c>
      <c r="D32" s="85">
        <f t="shared" ref="D32:D68" ca="1" si="19">IF(AND(OR(D31="",D31=0),(MAX($L31,0)+MAX($I31,0)+MAX($G31,0)+MAX($F31,0)-MAX($J31,0)-MAX($K31,0)&lt;=0)),"",IF($J31="",IF(MAX(D31,0)+MAX($L31,0)+MAX($I31,0)-MAX($K31,0)-MAX($C$8,0)&lt;=0,IF(AND(D31&gt;0,D31&lt;&gt;""),0,""),MAX(D31,0)+MAX($L31,0)+MAX($I31,0)-MAX($K31,0)-$C$8),IF((MAX(D31,0)-MAX($J31,0)-MAX($K31,0))+MAX($L31,0)+MAX($I31,0)&lt;=0,IF(AND(D31&gt;0,D31&lt;&gt;""),0,""),(MAX(D31,0)-MAX($J31,0)-MAX($K31,0))+MAX($L31,0)+MAX($I31,0))))</f>
        <v>47</v>
      </c>
      <c r="E32" s="85">
        <f t="shared" ref="E32:E33" ca="1" si="20">IF(AND(OR(E31="",E31=0),(MAX($L31,0)+MAX($I31,0)+MAX($G31,0)+MAX($F31,0)-MAX($J31,0)-MAX($K31,0)&lt;=0)),"",IF($J31="",IF(MAX(E31,0)+MAX($L31,0)+MAX($I31,0)-MAX($K31,0)-MAX($C$9,0)&lt;=0,IF(AND(E31&gt;0,E31&lt;&gt;""),0,""),MAX(E31,0)+MAX($L31,0)+MAX($I31,0)-MAX($K31,0)-$C$9),IF((MAX(E31,0)-MAX($J31,0)-MAX($K31,0))+MAX($L31,0)+MAX($I31,0)&lt;=0,IF(AND(E31&gt;0,E31&lt;&gt;""),0,""),(MAX(E31,0)-MAX($J31,0)-MAX($K31,0))+MAX($L31,0)+MAX($I31,0))))</f>
        <v>47</v>
      </c>
      <c r="F32" s="80">
        <f t="shared" ca="1" si="16"/>
        <v>12</v>
      </c>
      <c r="G32" s="118">
        <f t="shared" ca="1" si="10"/>
        <v>0</v>
      </c>
      <c r="H32" s="118">
        <f t="shared" ca="1" si="11"/>
        <v>5</v>
      </c>
      <c r="I32" s="82">
        <f t="shared" ca="1" si="12"/>
        <v>0</v>
      </c>
      <c r="J32" s="126">
        <f t="shared" ca="1" si="13"/>
        <v>1</v>
      </c>
      <c r="K32" s="84">
        <f t="shared" ca="1" si="14"/>
        <v>0</v>
      </c>
      <c r="L32" s="86"/>
    </row>
    <row r="33" spans="1:12" ht="15.75" customHeight="1" x14ac:dyDescent="0.25">
      <c r="A33" s="73" t="s">
        <v>2563</v>
      </c>
      <c r="B33" s="66">
        <f t="shared" si="17"/>
        <v>46062</v>
      </c>
      <c r="C33" s="85">
        <f t="shared" ca="1" si="18"/>
        <v>46</v>
      </c>
      <c r="D33" s="85">
        <f t="shared" ca="1" si="19"/>
        <v>46</v>
      </c>
      <c r="E33" s="85">
        <f t="shared" ca="1" si="20"/>
        <v>46</v>
      </c>
      <c r="F33" s="80">
        <f t="shared" ca="1" si="16"/>
        <v>16</v>
      </c>
      <c r="G33" s="118">
        <f t="shared" ca="1" si="10"/>
        <v>5</v>
      </c>
      <c r="H33" s="118">
        <f t="shared" ca="1" si="11"/>
        <v>2</v>
      </c>
      <c r="I33" s="82">
        <f t="shared" ca="1" si="12"/>
        <v>0</v>
      </c>
      <c r="J33" s="126">
        <f t="shared" ca="1" si="13"/>
        <v>8</v>
      </c>
      <c r="K33" s="84">
        <f t="shared" ca="1" si="14"/>
        <v>0</v>
      </c>
      <c r="L33" s="86"/>
    </row>
    <row r="34" spans="1:12" ht="15.75" customHeight="1" x14ac:dyDescent="0.25">
      <c r="A34" s="73" t="s">
        <v>2564</v>
      </c>
      <c r="B34" s="66">
        <f t="shared" si="17"/>
        <v>46069</v>
      </c>
      <c r="C34" s="85">
        <f t="shared" ca="1" si="18"/>
        <v>38</v>
      </c>
      <c r="D34" s="85">
        <f t="shared" ca="1" si="19"/>
        <v>38</v>
      </c>
      <c r="E34" s="79">
        <f ca="1">IF(OR(E33="",E33=0),"",IF(ISBLANK($J33),IF(E33+$K33-$C$9&lt;=0,IF(AND(E33&gt;0,E33&lt;&gt;""),0,""),E33+$K33-$C$9),IF((E33-$J33)+$K33&lt;=0,IF(AND(E33&gt;0,E33&lt;&gt;""),0,""),(E33-$J33)+$K33)))</f>
        <v>38</v>
      </c>
      <c r="F34" s="80">
        <f t="shared" ref="F34" ca="1" si="21">IF(J33="","",IF(G33+F33+H33+I33-J33&lt;0,0,G33+F33+H33+I33-J33))</f>
        <v>15</v>
      </c>
      <c r="G34" s="118">
        <f t="shared" ca="1" si="10"/>
        <v>0</v>
      </c>
      <c r="H34" s="118">
        <f t="shared" ca="1" si="11"/>
        <v>1</v>
      </c>
      <c r="I34" s="82">
        <f t="shared" ca="1" si="12"/>
        <v>0</v>
      </c>
      <c r="J34" s="126">
        <f t="shared" ca="1" si="13"/>
        <v>3</v>
      </c>
      <c r="K34" s="84">
        <f t="shared" ca="1" si="14"/>
        <v>0</v>
      </c>
      <c r="L34" s="86"/>
    </row>
    <row r="35" spans="1:12" ht="15.75" customHeight="1" x14ac:dyDescent="0.25">
      <c r="A35" s="73" t="s">
        <v>2565</v>
      </c>
      <c r="B35" s="66">
        <f t="shared" si="17"/>
        <v>46076</v>
      </c>
      <c r="C35" s="85">
        <f t="shared" ca="1" si="18"/>
        <v>35</v>
      </c>
      <c r="D35" s="85">
        <f t="shared" ca="1" si="19"/>
        <v>35</v>
      </c>
      <c r="E35" s="79">
        <f t="shared" ref="E35:E68" ca="1" si="22">IF(OR(E34="",E34=0),"",IF(ISBLANK($J34),IF(E34+$K34-$C$9&lt;=0,IF(AND(E34&gt;0,E34&lt;&gt;""),0,""),E34+$K34-$C$9),IF((E34-$J34)+$K34&lt;=0,IF(AND(E34&gt;0,E34&lt;&gt;""),0,""),(E34-$J34)+$K34)))</f>
        <v>35</v>
      </c>
      <c r="F35" s="80">
        <f t="shared" ref="F35:F68" ca="1" si="23">IF(J34="","",IF(G34+F34+H34+I34-J34&lt;0,0,G34+F34+H34+I34-J34))</f>
        <v>13</v>
      </c>
      <c r="G35" s="118">
        <f t="shared" ca="1" si="10"/>
        <v>0</v>
      </c>
      <c r="H35" s="118">
        <f t="shared" ca="1" si="11"/>
        <v>1</v>
      </c>
      <c r="I35" s="82">
        <f t="shared" ca="1" si="12"/>
        <v>0</v>
      </c>
      <c r="J35" s="126">
        <f t="shared" ca="1" si="13"/>
        <v>1</v>
      </c>
      <c r="K35" s="84">
        <f t="shared" ca="1" si="14"/>
        <v>0</v>
      </c>
      <c r="L35" s="86"/>
    </row>
    <row r="36" spans="1:12" ht="15.75" customHeight="1" x14ac:dyDescent="0.25">
      <c r="A36" s="73" t="s">
        <v>2566</v>
      </c>
      <c r="B36" s="66">
        <f t="shared" si="17"/>
        <v>46083</v>
      </c>
      <c r="C36" s="85">
        <f t="shared" ca="1" si="18"/>
        <v>34</v>
      </c>
      <c r="D36" s="85">
        <f t="shared" ca="1" si="19"/>
        <v>34</v>
      </c>
      <c r="E36" s="79">
        <f t="shared" ca="1" si="22"/>
        <v>34</v>
      </c>
      <c r="F36" s="80">
        <f t="shared" ca="1" si="23"/>
        <v>13</v>
      </c>
      <c r="G36" s="118">
        <f t="shared" ca="1" si="10"/>
        <v>3</v>
      </c>
      <c r="H36" s="118">
        <f t="shared" ca="1" si="11"/>
        <v>2</v>
      </c>
      <c r="I36" s="82">
        <f t="shared" ca="1" si="12"/>
        <v>0</v>
      </c>
      <c r="J36" s="126">
        <f t="shared" ca="1" si="13"/>
        <v>6</v>
      </c>
      <c r="K36" s="84">
        <f t="shared" ca="1" si="14"/>
        <v>-1</v>
      </c>
      <c r="L36" s="86"/>
    </row>
    <row r="37" spans="1:12" ht="15.75" customHeight="1" x14ac:dyDescent="0.25">
      <c r="A37" s="73" t="s">
        <v>2567</v>
      </c>
      <c r="B37" s="66">
        <f t="shared" si="17"/>
        <v>46090</v>
      </c>
      <c r="C37" s="85">
        <f t="shared" ca="1" si="18"/>
        <v>28</v>
      </c>
      <c r="D37" s="85">
        <f t="shared" ca="1" si="19"/>
        <v>28</v>
      </c>
      <c r="E37" s="79">
        <f t="shared" ca="1" si="22"/>
        <v>27</v>
      </c>
      <c r="F37" s="80">
        <f t="shared" ca="1" si="23"/>
        <v>12</v>
      </c>
      <c r="G37" s="118">
        <f t="shared" ca="1" si="10"/>
        <v>4</v>
      </c>
      <c r="H37" s="118">
        <f t="shared" ca="1" si="11"/>
        <v>0</v>
      </c>
      <c r="I37" s="82">
        <f t="shared" ca="1" si="12"/>
        <v>0</v>
      </c>
      <c r="J37" s="126">
        <f t="shared" ca="1" si="13"/>
        <v>5</v>
      </c>
      <c r="K37" s="84">
        <f t="shared" ca="1" si="14"/>
        <v>-1</v>
      </c>
      <c r="L37" s="86"/>
    </row>
    <row r="38" spans="1:12" ht="15.75" customHeight="1" x14ac:dyDescent="0.25">
      <c r="A38" s="73" t="s">
        <v>2568</v>
      </c>
      <c r="B38" s="66">
        <f t="shared" si="17"/>
        <v>46097</v>
      </c>
      <c r="C38" s="85">
        <f t="shared" ca="1" si="18"/>
        <v>23</v>
      </c>
      <c r="D38" s="85">
        <f t="shared" ca="1" si="19"/>
        <v>23</v>
      </c>
      <c r="E38" s="79">
        <f t="shared" ca="1" si="22"/>
        <v>21</v>
      </c>
      <c r="F38" s="80">
        <f t="shared" ca="1" si="23"/>
        <v>11</v>
      </c>
      <c r="G38" s="118">
        <f t="shared" ref="G38" ca="1" si="24">IF(TODAY()&lt;B38,"",COUNTIFS(dtc, "&gt;=" &amp; INT(B38),
  dtc, "&lt;"  &amp; INT(B38)+1,
  time, $C$2,release, "*" &amp; $C$3 &amp; "*",
  Item, "&lt;&gt;BUG"))</f>
        <v>5</v>
      </c>
      <c r="H38" s="118">
        <f t="shared" ref="H38" ca="1" si="25">IF(TODAY()&lt;B38,"",COUNTIFS(dtc, "&gt;=" &amp;(INT(B38)+1),dtc,
 "&lt;"  &amp;(INT(B38)+7),time,
 $C$2,release, "*" &amp; $C$3 &amp; "*",Item,
 "&lt;&gt;BUG"))</f>
        <v>0</v>
      </c>
      <c r="I38" s="82">
        <f t="shared" ref="I38" ca="1" si="26">IF(TODAY() &lt; B38,"",COUNTIFS(time, $C$2,release, "*" &amp; $C$3 &amp; "*",Item,
 "BUG",dtc,
 "&gt;=" &amp; INT(B38),dtc,
 "&lt;"  &amp; INT(B38)+7))</f>
        <v>0</v>
      </c>
      <c r="J38" s="126">
        <f t="shared" ref="J38" ca="1" si="27">IF(TODAY() &lt; B38,"",IF(COUNTIFS(time, $C$2, release, "*" &amp; $C$3 &amp; "*", resolvido, "&lt;&gt;" &amp; "", resolvido, "&gt;=" &amp; INT(B38), resolvido, "&lt;" &amp; INT(B38)+7)+K38 &lt; 0,
   0,
   COUNTIFS(time, $C$2, release, "*" &amp; $C$3 &amp; "*", resolvido, "&lt;&gt;" &amp; "", resolvido, "&gt;=" &amp; INT(B38), resolvido, "&lt;" &amp; INT(B38)+7)+K38))</f>
        <v>4</v>
      </c>
      <c r="K38" s="84">
        <f t="shared" ref="K38" ca="1" si="28">IF(TODAY() &lt;B38,"",-COUNTIFS(resolvido, "&gt;=" &amp; INT(B38),resolvido, "&lt;"  &amp; INT(B38)+7,status, "Descartado",time, $C$2,release, "*" &amp; $C$3 &amp; "*"))</f>
        <v>0</v>
      </c>
      <c r="L38" s="86"/>
    </row>
    <row r="39" spans="1:12" ht="15.75" customHeight="1" x14ac:dyDescent="0.25">
      <c r="A39" s="73" t="s">
        <v>2569</v>
      </c>
      <c r="B39" s="66">
        <f t="shared" si="17"/>
        <v>46104</v>
      </c>
      <c r="C39" s="85">
        <f t="shared" ca="1" si="18"/>
        <v>19</v>
      </c>
      <c r="D39" s="85">
        <f t="shared" ca="1" si="19"/>
        <v>19</v>
      </c>
      <c r="E39" s="79">
        <f t="shared" ca="1" si="22"/>
        <v>17</v>
      </c>
      <c r="F39" s="80">
        <f t="shared" ca="1" si="23"/>
        <v>12</v>
      </c>
      <c r="G39" s="118"/>
      <c r="H39" s="118"/>
      <c r="I39" s="82"/>
      <c r="J39" s="126"/>
      <c r="K39" s="84"/>
      <c r="L39" s="86"/>
    </row>
    <row r="40" spans="1:12" ht="15.75" customHeight="1" x14ac:dyDescent="0.25">
      <c r="A40" s="73" t="s">
        <v>2570</v>
      </c>
      <c r="B40" s="66">
        <f t="shared" si="17"/>
        <v>46111</v>
      </c>
      <c r="C40" s="85">
        <f t="shared" ca="1" si="18"/>
        <v>11</v>
      </c>
      <c r="D40" s="85">
        <f t="shared" ca="1" si="19"/>
        <v>18</v>
      </c>
      <c r="E40" s="79">
        <f t="shared" ca="1" si="22"/>
        <v>15</v>
      </c>
      <c r="F40" s="80" t="str">
        <f t="shared" si="23"/>
        <v/>
      </c>
      <c r="G40" s="118"/>
      <c r="H40" s="118"/>
      <c r="I40" s="82"/>
      <c r="J40" s="126"/>
      <c r="K40" s="84"/>
      <c r="L40" s="86"/>
    </row>
    <row r="41" spans="1:12" ht="15.75" customHeight="1" x14ac:dyDescent="0.25">
      <c r="A41" s="73"/>
      <c r="B41" s="66">
        <f t="shared" si="17"/>
        <v>46118</v>
      </c>
      <c r="C41" s="85">
        <f t="shared" ca="1" si="18"/>
        <v>3</v>
      </c>
      <c r="D41" s="85">
        <f t="shared" ca="1" si="19"/>
        <v>17</v>
      </c>
      <c r="E41" s="79">
        <f t="shared" ca="1" si="22"/>
        <v>13</v>
      </c>
      <c r="F41" s="80" t="str">
        <f t="shared" si="23"/>
        <v/>
      </c>
      <c r="G41" s="118"/>
      <c r="H41" s="118"/>
      <c r="I41" s="82"/>
      <c r="J41" s="126"/>
      <c r="K41" s="84"/>
      <c r="L41" s="86"/>
    </row>
    <row r="42" spans="1:12" ht="15.75" customHeight="1" x14ac:dyDescent="0.25">
      <c r="A42" s="73"/>
      <c r="B42" s="66">
        <f t="shared" si="17"/>
        <v>46125</v>
      </c>
      <c r="C42" s="85">
        <f t="shared" ca="1" si="18"/>
        <v>0</v>
      </c>
      <c r="D42" s="85">
        <f t="shared" ca="1" si="19"/>
        <v>16</v>
      </c>
      <c r="E42" s="79">
        <f t="shared" ca="1" si="22"/>
        <v>11</v>
      </c>
      <c r="F42" s="80" t="str">
        <f t="shared" si="23"/>
        <v/>
      </c>
      <c r="G42" s="118"/>
      <c r="H42" s="118"/>
      <c r="I42" s="82"/>
      <c r="J42" s="126"/>
      <c r="K42" s="84"/>
      <c r="L42" s="86"/>
    </row>
    <row r="43" spans="1:12" ht="15.75" customHeight="1" x14ac:dyDescent="0.25">
      <c r="A43" s="73"/>
      <c r="B43" s="66">
        <f t="shared" si="17"/>
        <v>46132</v>
      </c>
      <c r="C43" s="85" t="str">
        <f t="shared" ca="1" si="18"/>
        <v/>
      </c>
      <c r="D43" s="85">
        <f t="shared" ca="1" si="19"/>
        <v>15</v>
      </c>
      <c r="E43" s="79">
        <f t="shared" ca="1" si="22"/>
        <v>9</v>
      </c>
      <c r="F43" s="80" t="str">
        <f t="shared" si="23"/>
        <v/>
      </c>
      <c r="G43" s="118"/>
      <c r="H43" s="118"/>
      <c r="I43" s="82"/>
      <c r="J43" s="126"/>
      <c r="K43" s="84"/>
      <c r="L43" s="86"/>
    </row>
    <row r="44" spans="1:12" ht="15.75" customHeight="1" x14ac:dyDescent="0.25">
      <c r="A44" s="73"/>
      <c r="B44" s="66">
        <f t="shared" si="17"/>
        <v>46139</v>
      </c>
      <c r="C44" s="85" t="str">
        <f t="shared" ca="1" si="18"/>
        <v/>
      </c>
      <c r="D44" s="85">
        <f t="shared" ca="1" si="19"/>
        <v>14</v>
      </c>
      <c r="E44" s="79">
        <f t="shared" ca="1" si="22"/>
        <v>7</v>
      </c>
      <c r="F44" s="80" t="str">
        <f t="shared" si="23"/>
        <v/>
      </c>
      <c r="G44" s="118"/>
      <c r="H44" s="118"/>
      <c r="I44" s="82"/>
      <c r="J44" s="126"/>
      <c r="K44" s="84"/>
      <c r="L44" s="86"/>
    </row>
    <row r="45" spans="1:12" ht="15.75" customHeight="1" x14ac:dyDescent="0.25">
      <c r="A45" s="73"/>
      <c r="B45" s="66">
        <f t="shared" si="17"/>
        <v>46146</v>
      </c>
      <c r="C45" s="85" t="str">
        <f t="shared" ca="1" si="18"/>
        <v/>
      </c>
      <c r="D45" s="85">
        <f t="shared" ca="1" si="19"/>
        <v>13</v>
      </c>
      <c r="E45" s="79">
        <f t="shared" ca="1" si="22"/>
        <v>5</v>
      </c>
      <c r="F45" s="80" t="str">
        <f t="shared" si="23"/>
        <v/>
      </c>
      <c r="G45" s="118"/>
      <c r="H45" s="118"/>
      <c r="I45" s="82"/>
      <c r="J45" s="126"/>
      <c r="K45" s="84"/>
      <c r="L45" s="86"/>
    </row>
    <row r="46" spans="1:12" ht="15.75" customHeight="1" x14ac:dyDescent="0.25">
      <c r="A46" s="73"/>
      <c r="B46" s="66">
        <f t="shared" si="17"/>
        <v>46153</v>
      </c>
      <c r="C46" s="85" t="str">
        <f t="shared" ca="1" si="18"/>
        <v/>
      </c>
      <c r="D46" s="85">
        <f t="shared" ca="1" si="19"/>
        <v>12</v>
      </c>
      <c r="E46" s="79">
        <f t="shared" ca="1" si="22"/>
        <v>3</v>
      </c>
      <c r="F46" s="80" t="str">
        <f t="shared" si="23"/>
        <v/>
      </c>
      <c r="G46" s="118"/>
      <c r="H46" s="118"/>
      <c r="I46" s="82"/>
      <c r="J46" s="126"/>
      <c r="K46" s="84"/>
      <c r="L46" s="86"/>
    </row>
    <row r="47" spans="1:12" ht="15.75" customHeight="1" x14ac:dyDescent="0.25">
      <c r="A47" s="73"/>
      <c r="B47" s="66">
        <f t="shared" si="17"/>
        <v>46160</v>
      </c>
      <c r="C47" s="85" t="str">
        <f t="shared" ca="1" si="18"/>
        <v/>
      </c>
      <c r="D47" s="85">
        <f t="shared" ca="1" si="19"/>
        <v>11</v>
      </c>
      <c r="E47" s="79">
        <f t="shared" ca="1" si="22"/>
        <v>1</v>
      </c>
      <c r="F47" s="80" t="str">
        <f t="shared" si="23"/>
        <v/>
      </c>
      <c r="G47" s="118"/>
      <c r="H47" s="118"/>
      <c r="I47" s="82"/>
      <c r="J47" s="126"/>
      <c r="K47" s="84"/>
      <c r="L47" s="86"/>
    </row>
    <row r="48" spans="1:12" ht="15.75" customHeight="1" x14ac:dyDescent="0.25">
      <c r="A48" s="73"/>
      <c r="B48" s="66">
        <f t="shared" si="17"/>
        <v>46167</v>
      </c>
      <c r="C48" s="85" t="str">
        <f t="shared" ca="1" si="18"/>
        <v/>
      </c>
      <c r="D48" s="85">
        <f t="shared" ca="1" si="19"/>
        <v>10</v>
      </c>
      <c r="E48" s="79">
        <f t="shared" ca="1" si="22"/>
        <v>0</v>
      </c>
      <c r="F48" s="80" t="str">
        <f t="shared" si="23"/>
        <v/>
      </c>
      <c r="G48" s="118"/>
      <c r="H48" s="118"/>
      <c r="I48" s="82"/>
      <c r="J48" s="126"/>
      <c r="K48" s="84"/>
      <c r="L48" s="86"/>
    </row>
    <row r="49" spans="1:12" ht="15.75" customHeight="1" x14ac:dyDescent="0.25">
      <c r="A49" s="73"/>
      <c r="B49" s="66">
        <f t="shared" si="17"/>
        <v>46174</v>
      </c>
      <c r="C49" s="85" t="str">
        <f t="shared" ca="1" si="18"/>
        <v/>
      </c>
      <c r="D49" s="85">
        <f t="shared" ca="1" si="19"/>
        <v>9</v>
      </c>
      <c r="E49" s="79" t="str">
        <f t="shared" ca="1" si="22"/>
        <v/>
      </c>
      <c r="F49" s="80" t="str">
        <f t="shared" si="23"/>
        <v/>
      </c>
      <c r="G49" s="118"/>
      <c r="H49" s="118"/>
      <c r="I49" s="82"/>
      <c r="J49" s="126"/>
      <c r="K49" s="84"/>
      <c r="L49" s="86"/>
    </row>
    <row r="50" spans="1:12" ht="15.75" customHeight="1" x14ac:dyDescent="0.25">
      <c r="A50" s="73"/>
      <c r="B50" s="66">
        <f t="shared" si="17"/>
        <v>46181</v>
      </c>
      <c r="C50" s="85" t="str">
        <f t="shared" ca="1" si="18"/>
        <v/>
      </c>
      <c r="D50" s="85">
        <f t="shared" ca="1" si="19"/>
        <v>8</v>
      </c>
      <c r="E50" s="79" t="str">
        <f t="shared" ca="1" si="22"/>
        <v/>
      </c>
      <c r="F50" s="80" t="str">
        <f t="shared" si="23"/>
        <v/>
      </c>
      <c r="G50" s="118"/>
      <c r="H50" s="118"/>
      <c r="I50" s="82"/>
      <c r="J50" s="126"/>
      <c r="K50" s="84"/>
      <c r="L50" s="86"/>
    </row>
    <row r="51" spans="1:12" ht="15.75" customHeight="1" x14ac:dyDescent="0.25">
      <c r="A51" s="73"/>
      <c r="B51" s="66">
        <f t="shared" si="17"/>
        <v>46188</v>
      </c>
      <c r="C51" s="85" t="str">
        <f t="shared" ca="1" si="18"/>
        <v/>
      </c>
      <c r="D51" s="85">
        <f t="shared" ca="1" si="19"/>
        <v>7</v>
      </c>
      <c r="E51" s="79" t="str">
        <f t="shared" ca="1" si="22"/>
        <v/>
      </c>
      <c r="F51" s="80" t="str">
        <f t="shared" si="23"/>
        <v/>
      </c>
      <c r="G51" s="118"/>
      <c r="H51" s="118"/>
      <c r="I51" s="82"/>
      <c r="J51" s="126"/>
      <c r="K51" s="84"/>
      <c r="L51" s="86"/>
    </row>
    <row r="52" spans="1:12" ht="15.75" customHeight="1" x14ac:dyDescent="0.25">
      <c r="A52" s="73"/>
      <c r="B52" s="66">
        <f t="shared" si="17"/>
        <v>46195</v>
      </c>
      <c r="C52" s="85" t="str">
        <f t="shared" ca="1" si="18"/>
        <v/>
      </c>
      <c r="D52" s="85">
        <f t="shared" ca="1" si="19"/>
        <v>6</v>
      </c>
      <c r="E52" s="79" t="str">
        <f t="shared" ca="1" si="22"/>
        <v/>
      </c>
      <c r="F52" s="80" t="str">
        <f t="shared" si="23"/>
        <v/>
      </c>
      <c r="G52" s="118"/>
      <c r="H52" s="118"/>
      <c r="I52" s="82"/>
      <c r="J52" s="126"/>
      <c r="K52" s="84"/>
      <c r="L52" s="86"/>
    </row>
    <row r="53" spans="1:12" ht="15.75" customHeight="1" x14ac:dyDescent="0.25">
      <c r="A53" s="73"/>
      <c r="B53" s="66">
        <f t="shared" si="17"/>
        <v>46202</v>
      </c>
      <c r="C53" s="85" t="str">
        <f t="shared" ca="1" si="18"/>
        <v/>
      </c>
      <c r="D53" s="85">
        <f t="shared" ca="1" si="19"/>
        <v>5</v>
      </c>
      <c r="E53" s="79" t="str">
        <f t="shared" ca="1" si="22"/>
        <v/>
      </c>
      <c r="F53" s="80" t="str">
        <f t="shared" si="23"/>
        <v/>
      </c>
      <c r="G53" s="118"/>
      <c r="H53" s="118"/>
      <c r="I53" s="82"/>
      <c r="J53" s="126"/>
      <c r="K53" s="84"/>
      <c r="L53" s="86"/>
    </row>
    <row r="54" spans="1:12" ht="15.75" customHeight="1" x14ac:dyDescent="0.25">
      <c r="A54" s="73"/>
      <c r="B54" s="66">
        <f t="shared" si="17"/>
        <v>46209</v>
      </c>
      <c r="C54" s="85" t="str">
        <f t="shared" ca="1" si="18"/>
        <v/>
      </c>
      <c r="D54" s="85">
        <f t="shared" ca="1" si="19"/>
        <v>4</v>
      </c>
      <c r="E54" s="79" t="str">
        <f t="shared" ca="1" si="22"/>
        <v/>
      </c>
      <c r="F54" s="80" t="str">
        <f t="shared" si="23"/>
        <v/>
      </c>
      <c r="G54" s="118"/>
      <c r="H54" s="118"/>
      <c r="I54" s="82"/>
      <c r="J54" s="126"/>
      <c r="K54" s="84"/>
      <c r="L54" s="86"/>
    </row>
    <row r="55" spans="1:12" ht="15.75" customHeight="1" x14ac:dyDescent="0.25">
      <c r="A55" s="73"/>
      <c r="B55" s="66">
        <f t="shared" si="17"/>
        <v>46216</v>
      </c>
      <c r="C55" s="85" t="str">
        <f t="shared" ca="1" si="18"/>
        <v/>
      </c>
      <c r="D55" s="85">
        <f t="shared" ca="1" si="19"/>
        <v>3</v>
      </c>
      <c r="E55" s="79" t="str">
        <f t="shared" ca="1" si="22"/>
        <v/>
      </c>
      <c r="F55" s="80" t="str">
        <f t="shared" si="23"/>
        <v/>
      </c>
      <c r="G55" s="118"/>
      <c r="H55" s="118"/>
      <c r="I55" s="82"/>
      <c r="J55" s="126"/>
      <c r="K55" s="84"/>
      <c r="L55" s="86"/>
    </row>
    <row r="56" spans="1:12" ht="15" customHeight="1" x14ac:dyDescent="0.25">
      <c r="A56" s="73"/>
      <c r="B56" s="66">
        <f t="shared" ref="B56:B61" si="29">B55+$C$10</f>
        <v>46223</v>
      </c>
      <c r="C56" s="85" t="str">
        <f t="shared" ca="1" si="18"/>
        <v/>
      </c>
      <c r="D56" s="85">
        <f t="shared" ca="1" si="19"/>
        <v>2</v>
      </c>
      <c r="E56" s="79" t="str">
        <f t="shared" ca="1" si="22"/>
        <v/>
      </c>
      <c r="F56" s="80" t="str">
        <f t="shared" si="23"/>
        <v/>
      </c>
      <c r="G56" s="118"/>
      <c r="H56" s="118"/>
      <c r="I56" s="82"/>
      <c r="J56" s="126"/>
      <c r="K56" s="84"/>
      <c r="L56" s="86"/>
    </row>
    <row r="57" spans="1:12" ht="15" customHeight="1" x14ac:dyDescent="0.25">
      <c r="A57" s="73"/>
      <c r="B57" s="66">
        <f t="shared" si="29"/>
        <v>46230</v>
      </c>
      <c r="C57" s="85" t="str">
        <f t="shared" ca="1" si="18"/>
        <v/>
      </c>
      <c r="D57" s="85">
        <f t="shared" ca="1" si="19"/>
        <v>1</v>
      </c>
      <c r="E57" s="79" t="str">
        <f t="shared" ca="1" si="22"/>
        <v/>
      </c>
      <c r="F57" s="80" t="str">
        <f t="shared" si="23"/>
        <v/>
      </c>
      <c r="G57" s="118"/>
      <c r="H57" s="118"/>
      <c r="I57" s="82"/>
      <c r="J57" s="126"/>
      <c r="K57" s="84"/>
      <c r="L57" s="86"/>
    </row>
    <row r="58" spans="1:12" ht="15" customHeight="1" x14ac:dyDescent="0.25">
      <c r="A58" s="73"/>
      <c r="B58" s="66">
        <f t="shared" si="29"/>
        <v>46237</v>
      </c>
      <c r="C58" s="85" t="str">
        <f t="shared" ca="1" si="18"/>
        <v/>
      </c>
      <c r="D58" s="85">
        <f t="shared" ca="1" si="19"/>
        <v>0</v>
      </c>
      <c r="E58" s="79" t="str">
        <f t="shared" ca="1" si="22"/>
        <v/>
      </c>
      <c r="F58" s="80" t="str">
        <f t="shared" si="23"/>
        <v/>
      </c>
      <c r="G58" s="118"/>
      <c r="H58" s="118"/>
      <c r="I58" s="82"/>
      <c r="J58" s="126"/>
      <c r="K58" s="84"/>
      <c r="L58" s="86"/>
    </row>
    <row r="59" spans="1:12" ht="15" customHeight="1" x14ac:dyDescent="0.25">
      <c r="A59" s="73"/>
      <c r="B59" s="66">
        <f t="shared" si="29"/>
        <v>46244</v>
      </c>
      <c r="C59" s="85" t="str">
        <f t="shared" ca="1" si="18"/>
        <v/>
      </c>
      <c r="D59" s="85" t="str">
        <f t="shared" ca="1" si="19"/>
        <v/>
      </c>
      <c r="E59" s="79" t="str">
        <f t="shared" ca="1" si="22"/>
        <v/>
      </c>
      <c r="F59" s="80" t="str">
        <f t="shared" si="23"/>
        <v/>
      </c>
      <c r="G59" s="118"/>
      <c r="H59" s="118"/>
      <c r="I59" s="82"/>
      <c r="J59" s="126"/>
      <c r="K59" s="84"/>
      <c r="L59" s="86"/>
    </row>
    <row r="60" spans="1:12" ht="15" customHeight="1" x14ac:dyDescent="0.25">
      <c r="A60" s="73"/>
      <c r="B60" s="66">
        <f t="shared" si="29"/>
        <v>46251</v>
      </c>
      <c r="C60" s="85" t="str">
        <f t="shared" ca="1" si="18"/>
        <v/>
      </c>
      <c r="D60" s="85" t="str">
        <f t="shared" ca="1" si="19"/>
        <v/>
      </c>
      <c r="E60" s="79" t="str">
        <f t="shared" ca="1" si="22"/>
        <v/>
      </c>
      <c r="F60" s="80" t="str">
        <f t="shared" si="23"/>
        <v/>
      </c>
      <c r="G60" s="118"/>
      <c r="H60" s="118"/>
      <c r="I60" s="82"/>
      <c r="J60" s="126"/>
      <c r="K60" s="84"/>
      <c r="L60" s="86"/>
    </row>
    <row r="61" spans="1:12" ht="15" customHeight="1" x14ac:dyDescent="0.25">
      <c r="A61" s="73"/>
      <c r="B61" s="66">
        <f t="shared" si="29"/>
        <v>46258</v>
      </c>
      <c r="C61" s="85" t="str">
        <f t="shared" ca="1" si="18"/>
        <v/>
      </c>
      <c r="D61" s="85" t="str">
        <f t="shared" ca="1" si="19"/>
        <v/>
      </c>
      <c r="E61" s="79" t="str">
        <f t="shared" ca="1" si="22"/>
        <v/>
      </c>
      <c r="F61" s="80" t="str">
        <f t="shared" si="23"/>
        <v/>
      </c>
      <c r="G61" s="118"/>
      <c r="H61" s="118"/>
      <c r="I61" s="82"/>
      <c r="J61" s="126"/>
      <c r="K61" s="84"/>
      <c r="L61" s="86"/>
    </row>
    <row r="62" spans="1:12" ht="15" customHeight="1" x14ac:dyDescent="0.25">
      <c r="A62" s="73"/>
      <c r="B62" s="66">
        <f t="shared" ref="B62:B68" si="30">B61+$C$10</f>
        <v>46265</v>
      </c>
      <c r="C62" s="85" t="str">
        <f t="shared" ca="1" si="18"/>
        <v/>
      </c>
      <c r="D62" s="85" t="str">
        <f t="shared" ca="1" si="19"/>
        <v/>
      </c>
      <c r="E62" s="79" t="str">
        <f t="shared" ca="1" si="22"/>
        <v/>
      </c>
      <c r="F62" s="80" t="str">
        <f t="shared" si="23"/>
        <v/>
      </c>
      <c r="G62" s="118"/>
      <c r="H62" s="118"/>
      <c r="I62" s="82"/>
      <c r="J62" s="126"/>
      <c r="K62" s="84"/>
      <c r="L62" s="86"/>
    </row>
    <row r="63" spans="1:12" ht="15" customHeight="1" x14ac:dyDescent="0.25">
      <c r="A63" s="73"/>
      <c r="B63" s="66">
        <f t="shared" si="30"/>
        <v>46272</v>
      </c>
      <c r="C63" s="85" t="str">
        <f t="shared" ca="1" si="18"/>
        <v/>
      </c>
      <c r="D63" s="85" t="str">
        <f t="shared" ca="1" si="19"/>
        <v/>
      </c>
      <c r="E63" s="79" t="str">
        <f t="shared" ca="1" si="22"/>
        <v/>
      </c>
      <c r="F63" s="80" t="str">
        <f t="shared" si="23"/>
        <v/>
      </c>
      <c r="G63" s="118"/>
      <c r="H63" s="118"/>
      <c r="I63" s="82"/>
      <c r="J63" s="126"/>
      <c r="K63" s="84"/>
      <c r="L63" s="86"/>
    </row>
    <row r="64" spans="1:12" ht="15" customHeight="1" x14ac:dyDescent="0.25">
      <c r="A64" s="73"/>
      <c r="B64" s="66">
        <f t="shared" si="30"/>
        <v>46279</v>
      </c>
      <c r="C64" s="85" t="str">
        <f t="shared" ca="1" si="18"/>
        <v/>
      </c>
      <c r="D64" s="85" t="str">
        <f t="shared" ca="1" si="19"/>
        <v/>
      </c>
      <c r="E64" s="79" t="str">
        <f t="shared" ca="1" si="22"/>
        <v/>
      </c>
      <c r="F64" s="80" t="str">
        <f t="shared" si="23"/>
        <v/>
      </c>
      <c r="G64" s="118"/>
      <c r="H64" s="118"/>
      <c r="I64" s="82"/>
      <c r="J64" s="126"/>
      <c r="K64" s="84"/>
      <c r="L64" s="86"/>
    </row>
    <row r="65" spans="1:12" ht="15" customHeight="1" x14ac:dyDescent="0.25">
      <c r="A65" s="73"/>
      <c r="B65" s="66">
        <f t="shared" si="30"/>
        <v>46286</v>
      </c>
      <c r="C65" s="85" t="str">
        <f t="shared" ca="1" si="18"/>
        <v/>
      </c>
      <c r="D65" s="85" t="str">
        <f t="shared" ca="1" si="19"/>
        <v/>
      </c>
      <c r="E65" s="79" t="str">
        <f t="shared" ca="1" si="22"/>
        <v/>
      </c>
      <c r="F65" s="80" t="str">
        <f t="shared" si="23"/>
        <v/>
      </c>
      <c r="G65" s="118"/>
      <c r="H65" s="118"/>
      <c r="I65" s="82"/>
      <c r="J65" s="126"/>
      <c r="K65" s="84"/>
      <c r="L65" s="86"/>
    </row>
    <row r="66" spans="1:12" ht="15" customHeight="1" x14ac:dyDescent="0.25">
      <c r="A66" s="73"/>
      <c r="B66" s="66">
        <f t="shared" si="30"/>
        <v>46293</v>
      </c>
      <c r="C66" s="85" t="str">
        <f t="shared" ca="1" si="18"/>
        <v/>
      </c>
      <c r="D66" s="85" t="str">
        <f t="shared" ca="1" si="19"/>
        <v/>
      </c>
      <c r="E66" s="79" t="str">
        <f t="shared" ca="1" si="22"/>
        <v/>
      </c>
      <c r="F66" s="80" t="str">
        <f t="shared" si="23"/>
        <v/>
      </c>
      <c r="G66" s="118"/>
      <c r="H66" s="118"/>
      <c r="I66" s="82"/>
      <c r="J66" s="126"/>
      <c r="K66" s="84"/>
      <c r="L66" s="86"/>
    </row>
    <row r="67" spans="1:12" ht="15" customHeight="1" x14ac:dyDescent="0.25">
      <c r="A67" s="73"/>
      <c r="B67" s="66">
        <f t="shared" si="30"/>
        <v>46300</v>
      </c>
      <c r="C67" s="85" t="str">
        <f t="shared" ca="1" si="18"/>
        <v/>
      </c>
      <c r="D67" s="85" t="str">
        <f t="shared" ca="1" si="19"/>
        <v/>
      </c>
      <c r="E67" s="79" t="str">
        <f t="shared" ca="1" si="22"/>
        <v/>
      </c>
      <c r="F67" s="80" t="str">
        <f t="shared" si="23"/>
        <v/>
      </c>
      <c r="G67" s="118"/>
      <c r="H67" s="118"/>
      <c r="I67" s="82"/>
      <c r="J67" s="126"/>
      <c r="K67" s="84"/>
      <c r="L67" s="86"/>
    </row>
    <row r="68" spans="1:12" ht="15" customHeight="1" x14ac:dyDescent="0.25">
      <c r="A68" s="73"/>
      <c r="B68" s="66">
        <f t="shared" si="30"/>
        <v>46307</v>
      </c>
      <c r="C68" s="85" t="str">
        <f t="shared" ca="1" si="18"/>
        <v/>
      </c>
      <c r="D68" s="85" t="str">
        <f t="shared" ca="1" si="19"/>
        <v/>
      </c>
      <c r="E68" s="79" t="str">
        <f t="shared" ca="1" si="22"/>
        <v/>
      </c>
      <c r="F68" s="80" t="str">
        <f t="shared" si="23"/>
        <v/>
      </c>
      <c r="G68" s="118"/>
      <c r="H68" s="118"/>
      <c r="I68" s="82"/>
      <c r="J68" s="126"/>
      <c r="K68" s="84"/>
      <c r="L68" s="86"/>
    </row>
    <row r="93" spans="2:3" ht="15.75" customHeight="1" x14ac:dyDescent="0.25">
      <c r="B93" s="67" t="e">
        <f>IF(#REF!="","",IF(#REF!+$C$10&lt;=$C$6,#REF!+$C$10,""))</f>
        <v>#REF!</v>
      </c>
      <c r="C93" s="76" t="e">
        <f>IF(B93&lt;&gt;"",#REF!-$C$2/COUNT($B$18:$B$511),"")</f>
        <v>#REF!</v>
      </c>
    </row>
    <row r="94" spans="2:3" ht="15.75" customHeight="1" x14ac:dyDescent="0.25">
      <c r="B94" s="67" t="e">
        <f t="shared" ref="B94:B157" si="31">IF(B93="","",IF(B93+$C$10&lt;=$C$6,B93+$C$10,""))</f>
        <v>#REF!</v>
      </c>
      <c r="C94" s="76" t="e">
        <f t="shared" ref="C94:C157" si="32">IF(B94&lt;&gt;"",C93-$C$2/COUNT($B$18:$B$511),"")</f>
        <v>#REF!</v>
      </c>
    </row>
    <row r="95" spans="2:3" ht="15.75" customHeight="1" x14ac:dyDescent="0.25">
      <c r="B95" s="67" t="e">
        <f t="shared" si="31"/>
        <v>#REF!</v>
      </c>
      <c r="C95" s="76" t="e">
        <f t="shared" si="32"/>
        <v>#REF!</v>
      </c>
    </row>
    <row r="96" spans="2:3" ht="15.75" customHeight="1" x14ac:dyDescent="0.25">
      <c r="B96" s="67" t="e">
        <f t="shared" si="31"/>
        <v>#REF!</v>
      </c>
      <c r="C96" s="76" t="e">
        <f t="shared" si="32"/>
        <v>#REF!</v>
      </c>
    </row>
    <row r="97" spans="2:3" ht="15.75" customHeight="1" x14ac:dyDescent="0.25">
      <c r="B97" s="67" t="e">
        <f t="shared" si="31"/>
        <v>#REF!</v>
      </c>
      <c r="C97" s="76" t="e">
        <f t="shared" si="32"/>
        <v>#REF!</v>
      </c>
    </row>
    <row r="98" spans="2:3" ht="15.75" customHeight="1" x14ac:dyDescent="0.25">
      <c r="B98" s="67" t="e">
        <f t="shared" si="31"/>
        <v>#REF!</v>
      </c>
      <c r="C98" s="76" t="e">
        <f t="shared" si="32"/>
        <v>#REF!</v>
      </c>
    </row>
    <row r="99" spans="2:3" ht="15.75" customHeight="1" x14ac:dyDescent="0.25">
      <c r="B99" s="67" t="e">
        <f t="shared" si="31"/>
        <v>#REF!</v>
      </c>
      <c r="C99" s="76" t="e">
        <f t="shared" si="32"/>
        <v>#REF!</v>
      </c>
    </row>
    <row r="100" spans="2:3" ht="15.75" customHeight="1" x14ac:dyDescent="0.25">
      <c r="B100" s="67" t="e">
        <f t="shared" si="31"/>
        <v>#REF!</v>
      </c>
      <c r="C100" s="76" t="e">
        <f t="shared" si="32"/>
        <v>#REF!</v>
      </c>
    </row>
    <row r="101" spans="2:3" ht="15.75" customHeight="1" x14ac:dyDescent="0.25">
      <c r="B101" s="67" t="e">
        <f t="shared" si="31"/>
        <v>#REF!</v>
      </c>
      <c r="C101" s="76" t="e">
        <f t="shared" si="32"/>
        <v>#REF!</v>
      </c>
    </row>
    <row r="102" spans="2:3" ht="15.75" customHeight="1" x14ac:dyDescent="0.25">
      <c r="B102" s="67" t="e">
        <f t="shared" si="31"/>
        <v>#REF!</v>
      </c>
      <c r="C102" s="76" t="e">
        <f t="shared" si="32"/>
        <v>#REF!</v>
      </c>
    </row>
    <row r="103" spans="2:3" ht="15.75" customHeight="1" x14ac:dyDescent="0.25">
      <c r="B103" s="67" t="e">
        <f t="shared" si="31"/>
        <v>#REF!</v>
      </c>
      <c r="C103" s="76" t="e">
        <f t="shared" si="32"/>
        <v>#REF!</v>
      </c>
    </row>
    <row r="104" spans="2:3" ht="15.75" customHeight="1" x14ac:dyDescent="0.25">
      <c r="B104" s="67" t="e">
        <f t="shared" si="31"/>
        <v>#REF!</v>
      </c>
      <c r="C104" s="76" t="e">
        <f t="shared" si="32"/>
        <v>#REF!</v>
      </c>
    </row>
    <row r="105" spans="2:3" ht="15.75" customHeight="1" x14ac:dyDescent="0.25">
      <c r="B105" s="67" t="e">
        <f t="shared" si="31"/>
        <v>#REF!</v>
      </c>
      <c r="C105" s="76" t="e">
        <f t="shared" si="32"/>
        <v>#REF!</v>
      </c>
    </row>
    <row r="106" spans="2:3" ht="15.75" customHeight="1" x14ac:dyDescent="0.25">
      <c r="B106" s="67" t="e">
        <f t="shared" si="31"/>
        <v>#REF!</v>
      </c>
      <c r="C106" s="76" t="e">
        <f t="shared" si="32"/>
        <v>#REF!</v>
      </c>
    </row>
    <row r="107" spans="2:3" ht="15.75" customHeight="1" x14ac:dyDescent="0.25">
      <c r="B107" s="67" t="e">
        <f t="shared" si="31"/>
        <v>#REF!</v>
      </c>
      <c r="C107" s="76" t="e">
        <f t="shared" si="32"/>
        <v>#REF!</v>
      </c>
    </row>
    <row r="108" spans="2:3" ht="15.75" customHeight="1" x14ac:dyDescent="0.25">
      <c r="B108" s="67" t="e">
        <f t="shared" si="31"/>
        <v>#REF!</v>
      </c>
      <c r="C108" s="76" t="e">
        <f t="shared" si="32"/>
        <v>#REF!</v>
      </c>
    </row>
    <row r="109" spans="2:3" ht="15.75" customHeight="1" x14ac:dyDescent="0.25">
      <c r="B109" s="67" t="e">
        <f t="shared" si="31"/>
        <v>#REF!</v>
      </c>
      <c r="C109" s="76" t="e">
        <f t="shared" si="32"/>
        <v>#REF!</v>
      </c>
    </row>
    <row r="110" spans="2:3" ht="15.75" customHeight="1" x14ac:dyDescent="0.25">
      <c r="B110" s="67" t="e">
        <f t="shared" si="31"/>
        <v>#REF!</v>
      </c>
      <c r="C110" s="76" t="e">
        <f t="shared" si="32"/>
        <v>#REF!</v>
      </c>
    </row>
    <row r="111" spans="2:3" ht="15.75" customHeight="1" x14ac:dyDescent="0.25">
      <c r="B111" s="67" t="e">
        <f t="shared" si="31"/>
        <v>#REF!</v>
      </c>
      <c r="C111" s="76" t="e">
        <f t="shared" si="32"/>
        <v>#REF!</v>
      </c>
    </row>
    <row r="112" spans="2:3" ht="15.75" customHeight="1" x14ac:dyDescent="0.25">
      <c r="B112" s="67" t="e">
        <f t="shared" si="31"/>
        <v>#REF!</v>
      </c>
      <c r="C112" s="76" t="e">
        <f t="shared" si="32"/>
        <v>#REF!</v>
      </c>
    </row>
    <row r="113" spans="2:3" ht="15.75" customHeight="1" x14ac:dyDescent="0.25">
      <c r="B113" s="67" t="e">
        <f t="shared" si="31"/>
        <v>#REF!</v>
      </c>
      <c r="C113" s="76" t="e">
        <f t="shared" si="32"/>
        <v>#REF!</v>
      </c>
    </row>
    <row r="114" spans="2:3" ht="15.75" customHeight="1" x14ac:dyDescent="0.25">
      <c r="B114" s="67" t="e">
        <f t="shared" si="31"/>
        <v>#REF!</v>
      </c>
      <c r="C114" s="76" t="e">
        <f t="shared" si="32"/>
        <v>#REF!</v>
      </c>
    </row>
    <row r="115" spans="2:3" ht="15.75" customHeight="1" x14ac:dyDescent="0.25">
      <c r="B115" s="67" t="e">
        <f t="shared" si="31"/>
        <v>#REF!</v>
      </c>
      <c r="C115" s="76" t="e">
        <f t="shared" si="32"/>
        <v>#REF!</v>
      </c>
    </row>
    <row r="116" spans="2:3" ht="15.75" customHeight="1" x14ac:dyDescent="0.25">
      <c r="B116" s="67" t="e">
        <f t="shared" si="31"/>
        <v>#REF!</v>
      </c>
      <c r="C116" s="76" t="e">
        <f t="shared" si="32"/>
        <v>#REF!</v>
      </c>
    </row>
    <row r="117" spans="2:3" ht="15.75" customHeight="1" x14ac:dyDescent="0.25">
      <c r="B117" s="67" t="e">
        <f t="shared" si="31"/>
        <v>#REF!</v>
      </c>
      <c r="C117" s="76" t="e">
        <f t="shared" si="32"/>
        <v>#REF!</v>
      </c>
    </row>
    <row r="118" spans="2:3" ht="15.75" customHeight="1" x14ac:dyDescent="0.25">
      <c r="B118" s="67" t="e">
        <f t="shared" si="31"/>
        <v>#REF!</v>
      </c>
      <c r="C118" s="76" t="e">
        <f t="shared" si="32"/>
        <v>#REF!</v>
      </c>
    </row>
    <row r="119" spans="2:3" ht="15.75" customHeight="1" x14ac:dyDescent="0.25">
      <c r="B119" s="67" t="e">
        <f t="shared" si="31"/>
        <v>#REF!</v>
      </c>
      <c r="C119" s="76" t="e">
        <f t="shared" si="32"/>
        <v>#REF!</v>
      </c>
    </row>
    <row r="120" spans="2:3" ht="15.75" customHeight="1" x14ac:dyDescent="0.25">
      <c r="B120" s="67" t="e">
        <f t="shared" si="31"/>
        <v>#REF!</v>
      </c>
      <c r="C120" s="76" t="e">
        <f t="shared" si="32"/>
        <v>#REF!</v>
      </c>
    </row>
    <row r="121" spans="2:3" ht="15.75" customHeight="1" x14ac:dyDescent="0.25">
      <c r="B121" s="67" t="e">
        <f t="shared" si="31"/>
        <v>#REF!</v>
      </c>
      <c r="C121" s="76" t="e">
        <f t="shared" si="32"/>
        <v>#REF!</v>
      </c>
    </row>
    <row r="122" spans="2:3" ht="15.75" customHeight="1" x14ac:dyDescent="0.25">
      <c r="B122" s="67" t="e">
        <f t="shared" si="31"/>
        <v>#REF!</v>
      </c>
      <c r="C122" s="76" t="e">
        <f t="shared" si="32"/>
        <v>#REF!</v>
      </c>
    </row>
    <row r="123" spans="2:3" ht="15.75" customHeight="1" x14ac:dyDescent="0.25">
      <c r="B123" s="67" t="e">
        <f t="shared" si="31"/>
        <v>#REF!</v>
      </c>
      <c r="C123" s="76" t="e">
        <f t="shared" si="32"/>
        <v>#REF!</v>
      </c>
    </row>
    <row r="124" spans="2:3" ht="15.75" customHeight="1" x14ac:dyDescent="0.25">
      <c r="B124" s="67" t="e">
        <f t="shared" si="31"/>
        <v>#REF!</v>
      </c>
      <c r="C124" s="76" t="e">
        <f t="shared" si="32"/>
        <v>#REF!</v>
      </c>
    </row>
    <row r="125" spans="2:3" ht="15.75" customHeight="1" x14ac:dyDescent="0.25">
      <c r="B125" s="67" t="e">
        <f t="shared" si="31"/>
        <v>#REF!</v>
      </c>
      <c r="C125" s="76" t="e">
        <f t="shared" si="32"/>
        <v>#REF!</v>
      </c>
    </row>
    <row r="126" spans="2:3" ht="15.75" customHeight="1" x14ac:dyDescent="0.25">
      <c r="B126" s="67" t="e">
        <f t="shared" si="31"/>
        <v>#REF!</v>
      </c>
      <c r="C126" s="76" t="e">
        <f t="shared" si="32"/>
        <v>#REF!</v>
      </c>
    </row>
    <row r="127" spans="2:3" ht="15.75" customHeight="1" x14ac:dyDescent="0.25">
      <c r="B127" s="67" t="e">
        <f t="shared" si="31"/>
        <v>#REF!</v>
      </c>
      <c r="C127" s="76" t="e">
        <f t="shared" si="32"/>
        <v>#REF!</v>
      </c>
    </row>
    <row r="128" spans="2:3" ht="15.75" customHeight="1" x14ac:dyDescent="0.25">
      <c r="B128" s="67" t="e">
        <f t="shared" si="31"/>
        <v>#REF!</v>
      </c>
      <c r="C128" s="76" t="e">
        <f t="shared" si="32"/>
        <v>#REF!</v>
      </c>
    </row>
    <row r="129" spans="2:3" ht="15.75" customHeight="1" x14ac:dyDescent="0.25">
      <c r="B129" s="67" t="e">
        <f t="shared" si="31"/>
        <v>#REF!</v>
      </c>
      <c r="C129" s="76" t="e">
        <f t="shared" si="32"/>
        <v>#REF!</v>
      </c>
    </row>
    <row r="130" spans="2:3" ht="15.75" customHeight="1" x14ac:dyDescent="0.25">
      <c r="B130" s="67" t="e">
        <f t="shared" si="31"/>
        <v>#REF!</v>
      </c>
      <c r="C130" s="76" t="e">
        <f t="shared" si="32"/>
        <v>#REF!</v>
      </c>
    </row>
    <row r="131" spans="2:3" ht="15.75" customHeight="1" x14ac:dyDescent="0.25">
      <c r="B131" s="67" t="e">
        <f t="shared" si="31"/>
        <v>#REF!</v>
      </c>
      <c r="C131" s="76" t="e">
        <f t="shared" si="32"/>
        <v>#REF!</v>
      </c>
    </row>
    <row r="132" spans="2:3" ht="15.75" customHeight="1" x14ac:dyDescent="0.25">
      <c r="B132" s="67" t="e">
        <f t="shared" si="31"/>
        <v>#REF!</v>
      </c>
      <c r="C132" s="76" t="e">
        <f t="shared" si="32"/>
        <v>#REF!</v>
      </c>
    </row>
    <row r="133" spans="2:3" ht="15.75" customHeight="1" x14ac:dyDescent="0.25">
      <c r="B133" s="67" t="e">
        <f t="shared" si="31"/>
        <v>#REF!</v>
      </c>
      <c r="C133" s="76" t="e">
        <f t="shared" si="32"/>
        <v>#REF!</v>
      </c>
    </row>
    <row r="134" spans="2:3" ht="15.75" customHeight="1" x14ac:dyDescent="0.25">
      <c r="B134" s="67" t="e">
        <f t="shared" si="31"/>
        <v>#REF!</v>
      </c>
      <c r="C134" s="76" t="e">
        <f t="shared" si="32"/>
        <v>#REF!</v>
      </c>
    </row>
    <row r="135" spans="2:3" ht="15.75" customHeight="1" x14ac:dyDescent="0.25">
      <c r="B135" s="67" t="e">
        <f t="shared" si="31"/>
        <v>#REF!</v>
      </c>
      <c r="C135" s="76" t="e">
        <f t="shared" si="32"/>
        <v>#REF!</v>
      </c>
    </row>
    <row r="136" spans="2:3" ht="15.75" customHeight="1" x14ac:dyDescent="0.25">
      <c r="B136" s="67" t="e">
        <f t="shared" si="31"/>
        <v>#REF!</v>
      </c>
      <c r="C136" s="76" t="e">
        <f t="shared" si="32"/>
        <v>#REF!</v>
      </c>
    </row>
    <row r="137" spans="2:3" ht="15.75" customHeight="1" x14ac:dyDescent="0.25">
      <c r="B137" s="67" t="e">
        <f t="shared" si="31"/>
        <v>#REF!</v>
      </c>
      <c r="C137" s="76" t="e">
        <f t="shared" si="32"/>
        <v>#REF!</v>
      </c>
    </row>
    <row r="138" spans="2:3" ht="15.75" customHeight="1" x14ac:dyDescent="0.25">
      <c r="B138" s="67" t="e">
        <f t="shared" si="31"/>
        <v>#REF!</v>
      </c>
      <c r="C138" s="76" t="e">
        <f t="shared" si="32"/>
        <v>#REF!</v>
      </c>
    </row>
    <row r="139" spans="2:3" ht="15.75" customHeight="1" x14ac:dyDescent="0.25">
      <c r="B139" s="67" t="e">
        <f t="shared" si="31"/>
        <v>#REF!</v>
      </c>
      <c r="C139" s="76" t="e">
        <f t="shared" si="32"/>
        <v>#REF!</v>
      </c>
    </row>
    <row r="140" spans="2:3" ht="15.75" customHeight="1" x14ac:dyDescent="0.25">
      <c r="B140" s="67" t="e">
        <f t="shared" si="31"/>
        <v>#REF!</v>
      </c>
      <c r="C140" s="76" t="e">
        <f t="shared" si="32"/>
        <v>#REF!</v>
      </c>
    </row>
    <row r="141" spans="2:3" ht="15.75" customHeight="1" x14ac:dyDescent="0.25">
      <c r="B141" s="67" t="e">
        <f t="shared" si="31"/>
        <v>#REF!</v>
      </c>
      <c r="C141" s="76" t="e">
        <f t="shared" si="32"/>
        <v>#REF!</v>
      </c>
    </row>
    <row r="142" spans="2:3" ht="15.75" customHeight="1" x14ac:dyDescent="0.25">
      <c r="B142" s="67" t="e">
        <f t="shared" si="31"/>
        <v>#REF!</v>
      </c>
      <c r="C142" s="76" t="e">
        <f t="shared" si="32"/>
        <v>#REF!</v>
      </c>
    </row>
    <row r="143" spans="2:3" ht="15.75" customHeight="1" x14ac:dyDescent="0.25">
      <c r="B143" s="67" t="e">
        <f t="shared" si="31"/>
        <v>#REF!</v>
      </c>
      <c r="C143" s="76" t="e">
        <f t="shared" si="32"/>
        <v>#REF!</v>
      </c>
    </row>
    <row r="144" spans="2:3" ht="15.75" customHeight="1" x14ac:dyDescent="0.25">
      <c r="B144" s="67" t="e">
        <f t="shared" si="31"/>
        <v>#REF!</v>
      </c>
      <c r="C144" s="76" t="e">
        <f t="shared" si="32"/>
        <v>#REF!</v>
      </c>
    </row>
    <row r="145" spans="2:3" ht="15.75" customHeight="1" x14ac:dyDescent="0.25">
      <c r="B145" s="67" t="e">
        <f t="shared" si="31"/>
        <v>#REF!</v>
      </c>
      <c r="C145" s="76" t="e">
        <f t="shared" si="32"/>
        <v>#REF!</v>
      </c>
    </row>
    <row r="146" spans="2:3" ht="15.75" customHeight="1" x14ac:dyDescent="0.25">
      <c r="B146" s="67" t="e">
        <f t="shared" si="31"/>
        <v>#REF!</v>
      </c>
      <c r="C146" s="76" t="e">
        <f t="shared" si="32"/>
        <v>#REF!</v>
      </c>
    </row>
    <row r="147" spans="2:3" ht="15.75" customHeight="1" x14ac:dyDescent="0.25">
      <c r="B147" s="67" t="e">
        <f t="shared" si="31"/>
        <v>#REF!</v>
      </c>
      <c r="C147" s="76" t="e">
        <f t="shared" si="32"/>
        <v>#REF!</v>
      </c>
    </row>
    <row r="148" spans="2:3" ht="15.75" customHeight="1" x14ac:dyDescent="0.25">
      <c r="B148" s="67" t="e">
        <f t="shared" si="31"/>
        <v>#REF!</v>
      </c>
      <c r="C148" s="76" t="e">
        <f t="shared" si="32"/>
        <v>#REF!</v>
      </c>
    </row>
    <row r="149" spans="2:3" ht="15.75" customHeight="1" x14ac:dyDescent="0.25">
      <c r="B149" s="67" t="e">
        <f t="shared" si="31"/>
        <v>#REF!</v>
      </c>
      <c r="C149" s="76" t="e">
        <f t="shared" si="32"/>
        <v>#REF!</v>
      </c>
    </row>
    <row r="150" spans="2:3" ht="15.75" customHeight="1" x14ac:dyDescent="0.25">
      <c r="B150" s="67" t="e">
        <f t="shared" si="31"/>
        <v>#REF!</v>
      </c>
      <c r="C150" s="76" t="e">
        <f t="shared" si="32"/>
        <v>#REF!</v>
      </c>
    </row>
    <row r="151" spans="2:3" ht="15.75" customHeight="1" x14ac:dyDescent="0.25">
      <c r="B151" s="67" t="e">
        <f t="shared" si="31"/>
        <v>#REF!</v>
      </c>
      <c r="C151" s="76" t="e">
        <f t="shared" si="32"/>
        <v>#REF!</v>
      </c>
    </row>
    <row r="152" spans="2:3" ht="15.75" customHeight="1" x14ac:dyDescent="0.25">
      <c r="B152" s="67" t="e">
        <f t="shared" si="31"/>
        <v>#REF!</v>
      </c>
      <c r="C152" s="76" t="e">
        <f t="shared" si="32"/>
        <v>#REF!</v>
      </c>
    </row>
    <row r="153" spans="2:3" ht="15.75" customHeight="1" x14ac:dyDescent="0.25">
      <c r="B153" s="67" t="e">
        <f t="shared" si="31"/>
        <v>#REF!</v>
      </c>
      <c r="C153" s="76" t="e">
        <f t="shared" si="32"/>
        <v>#REF!</v>
      </c>
    </row>
    <row r="154" spans="2:3" ht="15.75" customHeight="1" x14ac:dyDescent="0.25">
      <c r="B154" s="67" t="e">
        <f t="shared" si="31"/>
        <v>#REF!</v>
      </c>
      <c r="C154" s="76" t="e">
        <f t="shared" si="32"/>
        <v>#REF!</v>
      </c>
    </row>
    <row r="155" spans="2:3" ht="15.75" customHeight="1" x14ac:dyDescent="0.25">
      <c r="B155" s="67" t="e">
        <f t="shared" si="31"/>
        <v>#REF!</v>
      </c>
      <c r="C155" s="76" t="e">
        <f t="shared" si="32"/>
        <v>#REF!</v>
      </c>
    </row>
    <row r="156" spans="2:3" ht="15.75" customHeight="1" x14ac:dyDescent="0.25">
      <c r="B156" s="67" t="e">
        <f t="shared" si="31"/>
        <v>#REF!</v>
      </c>
      <c r="C156" s="76" t="e">
        <f t="shared" si="32"/>
        <v>#REF!</v>
      </c>
    </row>
    <row r="157" spans="2:3" ht="15.75" customHeight="1" x14ac:dyDescent="0.25">
      <c r="B157" s="67" t="e">
        <f t="shared" si="31"/>
        <v>#REF!</v>
      </c>
      <c r="C157" s="76" t="e">
        <f t="shared" si="32"/>
        <v>#REF!</v>
      </c>
    </row>
    <row r="158" spans="2:3" ht="15.75" customHeight="1" x14ac:dyDescent="0.25">
      <c r="B158" s="67" t="e">
        <f t="shared" ref="B158:B221" si="33">IF(B157="","",IF(B157+$C$10&lt;=$C$6,B157+$C$10,""))</f>
        <v>#REF!</v>
      </c>
      <c r="C158" s="76" t="e">
        <f t="shared" ref="C158:C221" si="34">IF(B158&lt;&gt;"",C157-$C$2/COUNT($B$18:$B$511),"")</f>
        <v>#REF!</v>
      </c>
    </row>
    <row r="159" spans="2:3" ht="15.75" customHeight="1" x14ac:dyDescent="0.25">
      <c r="B159" s="67" t="e">
        <f t="shared" si="33"/>
        <v>#REF!</v>
      </c>
      <c r="C159" s="76" t="e">
        <f t="shared" si="34"/>
        <v>#REF!</v>
      </c>
    </row>
    <row r="160" spans="2:3" ht="15.75" customHeight="1" x14ac:dyDescent="0.25">
      <c r="B160" s="67" t="e">
        <f t="shared" si="33"/>
        <v>#REF!</v>
      </c>
      <c r="C160" s="76" t="e">
        <f t="shared" si="34"/>
        <v>#REF!</v>
      </c>
    </row>
    <row r="161" spans="2:3" ht="15.75" customHeight="1" x14ac:dyDescent="0.25">
      <c r="B161" s="67" t="e">
        <f t="shared" si="33"/>
        <v>#REF!</v>
      </c>
      <c r="C161" s="76" t="e">
        <f t="shared" si="34"/>
        <v>#REF!</v>
      </c>
    </row>
    <row r="162" spans="2:3" ht="15.75" customHeight="1" x14ac:dyDescent="0.25">
      <c r="B162" s="67" t="e">
        <f t="shared" si="33"/>
        <v>#REF!</v>
      </c>
      <c r="C162" s="76" t="e">
        <f t="shared" si="34"/>
        <v>#REF!</v>
      </c>
    </row>
    <row r="163" spans="2:3" ht="15.75" customHeight="1" x14ac:dyDescent="0.25">
      <c r="B163" s="67" t="e">
        <f t="shared" si="33"/>
        <v>#REF!</v>
      </c>
      <c r="C163" s="76" t="e">
        <f t="shared" si="34"/>
        <v>#REF!</v>
      </c>
    </row>
    <row r="164" spans="2:3" ht="15.75" customHeight="1" x14ac:dyDescent="0.25">
      <c r="B164" s="67" t="e">
        <f t="shared" si="33"/>
        <v>#REF!</v>
      </c>
      <c r="C164" s="76" t="e">
        <f t="shared" si="34"/>
        <v>#REF!</v>
      </c>
    </row>
    <row r="165" spans="2:3" ht="15.75" customHeight="1" x14ac:dyDescent="0.25">
      <c r="B165" s="67" t="e">
        <f t="shared" si="33"/>
        <v>#REF!</v>
      </c>
      <c r="C165" s="76" t="e">
        <f t="shared" si="34"/>
        <v>#REF!</v>
      </c>
    </row>
    <row r="166" spans="2:3" ht="15.75" customHeight="1" x14ac:dyDescent="0.25">
      <c r="B166" s="67" t="e">
        <f t="shared" si="33"/>
        <v>#REF!</v>
      </c>
      <c r="C166" s="76" t="e">
        <f t="shared" si="34"/>
        <v>#REF!</v>
      </c>
    </row>
    <row r="167" spans="2:3" ht="15.75" customHeight="1" x14ac:dyDescent="0.25">
      <c r="B167" s="67" t="e">
        <f t="shared" si="33"/>
        <v>#REF!</v>
      </c>
      <c r="C167" s="76" t="e">
        <f t="shared" si="34"/>
        <v>#REF!</v>
      </c>
    </row>
    <row r="168" spans="2:3" ht="15.75" customHeight="1" x14ac:dyDescent="0.25">
      <c r="B168" s="67" t="e">
        <f t="shared" si="33"/>
        <v>#REF!</v>
      </c>
      <c r="C168" s="76" t="e">
        <f t="shared" si="34"/>
        <v>#REF!</v>
      </c>
    </row>
    <row r="169" spans="2:3" ht="15.75" customHeight="1" x14ac:dyDescent="0.25">
      <c r="B169" s="67" t="e">
        <f t="shared" si="33"/>
        <v>#REF!</v>
      </c>
      <c r="C169" s="76" t="e">
        <f t="shared" si="34"/>
        <v>#REF!</v>
      </c>
    </row>
    <row r="170" spans="2:3" ht="15.75" customHeight="1" x14ac:dyDescent="0.25">
      <c r="B170" s="67" t="e">
        <f t="shared" si="33"/>
        <v>#REF!</v>
      </c>
      <c r="C170" s="76" t="e">
        <f t="shared" si="34"/>
        <v>#REF!</v>
      </c>
    </row>
    <row r="171" spans="2:3" ht="15.75" customHeight="1" x14ac:dyDescent="0.25">
      <c r="B171" s="67" t="e">
        <f t="shared" si="33"/>
        <v>#REF!</v>
      </c>
      <c r="C171" s="76" t="e">
        <f t="shared" si="34"/>
        <v>#REF!</v>
      </c>
    </row>
    <row r="172" spans="2:3" ht="15.75" customHeight="1" x14ac:dyDescent="0.25">
      <c r="B172" s="67" t="e">
        <f t="shared" si="33"/>
        <v>#REF!</v>
      </c>
      <c r="C172" s="76" t="e">
        <f t="shared" si="34"/>
        <v>#REF!</v>
      </c>
    </row>
    <row r="173" spans="2:3" ht="15.75" customHeight="1" x14ac:dyDescent="0.25">
      <c r="B173" s="67" t="e">
        <f t="shared" si="33"/>
        <v>#REF!</v>
      </c>
      <c r="C173" s="76" t="e">
        <f t="shared" si="34"/>
        <v>#REF!</v>
      </c>
    </row>
    <row r="174" spans="2:3" ht="15.75" customHeight="1" x14ac:dyDescent="0.25">
      <c r="B174" s="67" t="e">
        <f t="shared" si="33"/>
        <v>#REF!</v>
      </c>
      <c r="C174" s="76" t="e">
        <f t="shared" si="34"/>
        <v>#REF!</v>
      </c>
    </row>
    <row r="175" spans="2:3" ht="15.75" customHeight="1" x14ac:dyDescent="0.25">
      <c r="B175" s="67" t="e">
        <f t="shared" si="33"/>
        <v>#REF!</v>
      </c>
      <c r="C175" s="76" t="e">
        <f t="shared" si="34"/>
        <v>#REF!</v>
      </c>
    </row>
    <row r="176" spans="2:3" ht="15.75" customHeight="1" x14ac:dyDescent="0.25">
      <c r="B176" s="67" t="e">
        <f t="shared" si="33"/>
        <v>#REF!</v>
      </c>
      <c r="C176" s="76" t="e">
        <f t="shared" si="34"/>
        <v>#REF!</v>
      </c>
    </row>
    <row r="177" spans="2:3" ht="15.75" customHeight="1" x14ac:dyDescent="0.25">
      <c r="B177" s="67" t="e">
        <f t="shared" si="33"/>
        <v>#REF!</v>
      </c>
      <c r="C177" s="76" t="e">
        <f t="shared" si="34"/>
        <v>#REF!</v>
      </c>
    </row>
    <row r="178" spans="2:3" ht="15.75" customHeight="1" x14ac:dyDescent="0.25">
      <c r="B178" s="67" t="e">
        <f t="shared" si="33"/>
        <v>#REF!</v>
      </c>
      <c r="C178" s="76" t="e">
        <f t="shared" si="34"/>
        <v>#REF!</v>
      </c>
    </row>
    <row r="179" spans="2:3" ht="15.75" customHeight="1" x14ac:dyDescent="0.25">
      <c r="B179" s="67" t="e">
        <f t="shared" si="33"/>
        <v>#REF!</v>
      </c>
      <c r="C179" s="76" t="e">
        <f t="shared" si="34"/>
        <v>#REF!</v>
      </c>
    </row>
    <row r="180" spans="2:3" ht="15.75" customHeight="1" x14ac:dyDescent="0.25">
      <c r="B180" s="67" t="e">
        <f t="shared" si="33"/>
        <v>#REF!</v>
      </c>
      <c r="C180" s="76" t="e">
        <f t="shared" si="34"/>
        <v>#REF!</v>
      </c>
    </row>
    <row r="181" spans="2:3" ht="15.75" customHeight="1" x14ac:dyDescent="0.25">
      <c r="B181" s="67" t="e">
        <f t="shared" si="33"/>
        <v>#REF!</v>
      </c>
      <c r="C181" s="76" t="e">
        <f t="shared" si="34"/>
        <v>#REF!</v>
      </c>
    </row>
    <row r="182" spans="2:3" ht="15.75" customHeight="1" x14ac:dyDescent="0.25">
      <c r="B182" s="67" t="e">
        <f t="shared" si="33"/>
        <v>#REF!</v>
      </c>
      <c r="C182" s="76" t="e">
        <f t="shared" si="34"/>
        <v>#REF!</v>
      </c>
    </row>
    <row r="183" spans="2:3" ht="15.75" customHeight="1" x14ac:dyDescent="0.25">
      <c r="B183" s="67" t="e">
        <f t="shared" si="33"/>
        <v>#REF!</v>
      </c>
      <c r="C183" s="76" t="e">
        <f t="shared" si="34"/>
        <v>#REF!</v>
      </c>
    </row>
    <row r="184" spans="2:3" ht="15.75" customHeight="1" x14ac:dyDescent="0.25">
      <c r="B184" s="67" t="e">
        <f t="shared" si="33"/>
        <v>#REF!</v>
      </c>
      <c r="C184" s="76" t="e">
        <f t="shared" si="34"/>
        <v>#REF!</v>
      </c>
    </row>
    <row r="185" spans="2:3" ht="15.75" customHeight="1" x14ac:dyDescent="0.25">
      <c r="B185" s="67" t="e">
        <f t="shared" si="33"/>
        <v>#REF!</v>
      </c>
      <c r="C185" s="76" t="e">
        <f t="shared" si="34"/>
        <v>#REF!</v>
      </c>
    </row>
    <row r="186" spans="2:3" ht="15.75" customHeight="1" x14ac:dyDescent="0.25">
      <c r="B186" s="67" t="e">
        <f t="shared" si="33"/>
        <v>#REF!</v>
      </c>
      <c r="C186" s="76" t="e">
        <f t="shared" si="34"/>
        <v>#REF!</v>
      </c>
    </row>
    <row r="187" spans="2:3" ht="15.75" customHeight="1" x14ac:dyDescent="0.25">
      <c r="B187" s="67" t="e">
        <f t="shared" si="33"/>
        <v>#REF!</v>
      </c>
      <c r="C187" s="76" t="e">
        <f t="shared" si="34"/>
        <v>#REF!</v>
      </c>
    </row>
    <row r="188" spans="2:3" ht="15.75" customHeight="1" x14ac:dyDescent="0.25">
      <c r="B188" s="67" t="e">
        <f t="shared" si="33"/>
        <v>#REF!</v>
      </c>
      <c r="C188" s="76" t="e">
        <f t="shared" si="34"/>
        <v>#REF!</v>
      </c>
    </row>
    <row r="189" spans="2:3" ht="15.75" customHeight="1" x14ac:dyDescent="0.25">
      <c r="B189" s="67" t="e">
        <f t="shared" si="33"/>
        <v>#REF!</v>
      </c>
      <c r="C189" s="76" t="e">
        <f t="shared" si="34"/>
        <v>#REF!</v>
      </c>
    </row>
    <row r="190" spans="2:3" ht="15.75" customHeight="1" x14ac:dyDescent="0.25">
      <c r="B190" s="67" t="e">
        <f t="shared" si="33"/>
        <v>#REF!</v>
      </c>
      <c r="C190" s="76" t="e">
        <f t="shared" si="34"/>
        <v>#REF!</v>
      </c>
    </row>
    <row r="191" spans="2:3" ht="15.75" customHeight="1" x14ac:dyDescent="0.25">
      <c r="B191" s="67" t="e">
        <f t="shared" si="33"/>
        <v>#REF!</v>
      </c>
      <c r="C191" s="76" t="e">
        <f t="shared" si="34"/>
        <v>#REF!</v>
      </c>
    </row>
    <row r="192" spans="2:3" ht="15.75" customHeight="1" x14ac:dyDescent="0.25">
      <c r="B192" s="67" t="e">
        <f t="shared" si="33"/>
        <v>#REF!</v>
      </c>
      <c r="C192" s="76" t="e">
        <f t="shared" si="34"/>
        <v>#REF!</v>
      </c>
    </row>
    <row r="193" spans="2:3" ht="15.75" customHeight="1" x14ac:dyDescent="0.25">
      <c r="B193" s="67" t="e">
        <f t="shared" si="33"/>
        <v>#REF!</v>
      </c>
      <c r="C193" s="76" t="e">
        <f t="shared" si="34"/>
        <v>#REF!</v>
      </c>
    </row>
    <row r="194" spans="2:3" ht="15.75" customHeight="1" x14ac:dyDescent="0.25">
      <c r="B194" s="67" t="e">
        <f t="shared" si="33"/>
        <v>#REF!</v>
      </c>
      <c r="C194" s="76" t="e">
        <f t="shared" si="34"/>
        <v>#REF!</v>
      </c>
    </row>
    <row r="195" spans="2:3" ht="15.75" customHeight="1" x14ac:dyDescent="0.25">
      <c r="B195" s="67" t="e">
        <f t="shared" si="33"/>
        <v>#REF!</v>
      </c>
      <c r="C195" s="76" t="e">
        <f t="shared" si="34"/>
        <v>#REF!</v>
      </c>
    </row>
    <row r="196" spans="2:3" ht="15.75" customHeight="1" x14ac:dyDescent="0.25">
      <c r="B196" s="67" t="e">
        <f t="shared" si="33"/>
        <v>#REF!</v>
      </c>
      <c r="C196" s="76" t="e">
        <f t="shared" si="34"/>
        <v>#REF!</v>
      </c>
    </row>
    <row r="197" spans="2:3" ht="15.75" customHeight="1" x14ac:dyDescent="0.25">
      <c r="B197" s="67" t="e">
        <f t="shared" si="33"/>
        <v>#REF!</v>
      </c>
      <c r="C197" s="76" t="e">
        <f t="shared" si="34"/>
        <v>#REF!</v>
      </c>
    </row>
    <row r="198" spans="2:3" ht="15.75" customHeight="1" x14ac:dyDescent="0.25">
      <c r="B198" s="67" t="e">
        <f t="shared" si="33"/>
        <v>#REF!</v>
      </c>
      <c r="C198" s="76" t="e">
        <f t="shared" si="34"/>
        <v>#REF!</v>
      </c>
    </row>
    <row r="199" spans="2:3" ht="15.75" customHeight="1" x14ac:dyDescent="0.25">
      <c r="B199" s="67" t="e">
        <f t="shared" si="33"/>
        <v>#REF!</v>
      </c>
      <c r="C199" s="76" t="e">
        <f t="shared" si="34"/>
        <v>#REF!</v>
      </c>
    </row>
    <row r="200" spans="2:3" ht="15.75" customHeight="1" x14ac:dyDescent="0.25">
      <c r="B200" s="67" t="e">
        <f t="shared" si="33"/>
        <v>#REF!</v>
      </c>
      <c r="C200" s="76" t="e">
        <f t="shared" si="34"/>
        <v>#REF!</v>
      </c>
    </row>
    <row r="201" spans="2:3" ht="15.75" customHeight="1" x14ac:dyDescent="0.25">
      <c r="B201" s="67" t="e">
        <f t="shared" si="33"/>
        <v>#REF!</v>
      </c>
      <c r="C201" s="76" t="e">
        <f t="shared" si="34"/>
        <v>#REF!</v>
      </c>
    </row>
    <row r="202" spans="2:3" ht="15.75" customHeight="1" x14ac:dyDescent="0.25">
      <c r="B202" s="67" t="e">
        <f t="shared" si="33"/>
        <v>#REF!</v>
      </c>
      <c r="C202" s="76" t="e">
        <f t="shared" si="34"/>
        <v>#REF!</v>
      </c>
    </row>
    <row r="203" spans="2:3" ht="15.75" customHeight="1" x14ac:dyDescent="0.25">
      <c r="B203" s="67" t="e">
        <f t="shared" si="33"/>
        <v>#REF!</v>
      </c>
      <c r="C203" s="76" t="e">
        <f t="shared" si="34"/>
        <v>#REF!</v>
      </c>
    </row>
    <row r="204" spans="2:3" ht="15.75" customHeight="1" x14ac:dyDescent="0.25">
      <c r="B204" s="67" t="e">
        <f t="shared" si="33"/>
        <v>#REF!</v>
      </c>
      <c r="C204" s="76" t="e">
        <f t="shared" si="34"/>
        <v>#REF!</v>
      </c>
    </row>
    <row r="205" spans="2:3" ht="15.75" customHeight="1" x14ac:dyDescent="0.25">
      <c r="B205" s="67" t="e">
        <f t="shared" si="33"/>
        <v>#REF!</v>
      </c>
      <c r="C205" s="76" t="e">
        <f t="shared" si="34"/>
        <v>#REF!</v>
      </c>
    </row>
    <row r="206" spans="2:3" ht="15.75" customHeight="1" x14ac:dyDescent="0.25">
      <c r="B206" s="67" t="e">
        <f t="shared" si="33"/>
        <v>#REF!</v>
      </c>
      <c r="C206" s="76" t="e">
        <f t="shared" si="34"/>
        <v>#REF!</v>
      </c>
    </row>
    <row r="207" spans="2:3" ht="15.75" customHeight="1" x14ac:dyDescent="0.25">
      <c r="B207" s="67" t="e">
        <f t="shared" si="33"/>
        <v>#REF!</v>
      </c>
      <c r="C207" s="76" t="e">
        <f t="shared" si="34"/>
        <v>#REF!</v>
      </c>
    </row>
    <row r="208" spans="2:3" ht="15.75" customHeight="1" x14ac:dyDescent="0.25">
      <c r="B208" s="67" t="e">
        <f t="shared" si="33"/>
        <v>#REF!</v>
      </c>
      <c r="C208" s="76" t="e">
        <f t="shared" si="34"/>
        <v>#REF!</v>
      </c>
    </row>
    <row r="209" spans="2:3" ht="15.75" customHeight="1" x14ac:dyDescent="0.25">
      <c r="B209" s="67" t="e">
        <f t="shared" si="33"/>
        <v>#REF!</v>
      </c>
      <c r="C209" s="76" t="e">
        <f t="shared" si="34"/>
        <v>#REF!</v>
      </c>
    </row>
    <row r="210" spans="2:3" ht="15.75" customHeight="1" x14ac:dyDescent="0.25">
      <c r="B210" s="67" t="e">
        <f t="shared" si="33"/>
        <v>#REF!</v>
      </c>
      <c r="C210" s="76" t="e">
        <f t="shared" si="34"/>
        <v>#REF!</v>
      </c>
    </row>
    <row r="211" spans="2:3" ht="15.75" customHeight="1" x14ac:dyDescent="0.25">
      <c r="B211" s="67" t="e">
        <f t="shared" si="33"/>
        <v>#REF!</v>
      </c>
      <c r="C211" s="76" t="e">
        <f t="shared" si="34"/>
        <v>#REF!</v>
      </c>
    </row>
    <row r="212" spans="2:3" ht="15.75" customHeight="1" x14ac:dyDescent="0.25">
      <c r="B212" s="67" t="e">
        <f t="shared" si="33"/>
        <v>#REF!</v>
      </c>
      <c r="C212" s="76" t="e">
        <f t="shared" si="34"/>
        <v>#REF!</v>
      </c>
    </row>
    <row r="213" spans="2:3" ht="15.75" customHeight="1" x14ac:dyDescent="0.25">
      <c r="B213" s="67" t="e">
        <f t="shared" si="33"/>
        <v>#REF!</v>
      </c>
      <c r="C213" s="76" t="e">
        <f t="shared" si="34"/>
        <v>#REF!</v>
      </c>
    </row>
    <row r="214" spans="2:3" ht="15.75" customHeight="1" x14ac:dyDescent="0.25">
      <c r="B214" s="67" t="e">
        <f t="shared" si="33"/>
        <v>#REF!</v>
      </c>
      <c r="C214" s="76" t="e">
        <f t="shared" si="34"/>
        <v>#REF!</v>
      </c>
    </row>
    <row r="215" spans="2:3" ht="15.75" customHeight="1" x14ac:dyDescent="0.25">
      <c r="B215" s="67" t="e">
        <f t="shared" si="33"/>
        <v>#REF!</v>
      </c>
      <c r="C215" s="76" t="e">
        <f t="shared" si="34"/>
        <v>#REF!</v>
      </c>
    </row>
    <row r="216" spans="2:3" ht="15.75" customHeight="1" x14ac:dyDescent="0.25">
      <c r="B216" s="67" t="e">
        <f t="shared" si="33"/>
        <v>#REF!</v>
      </c>
      <c r="C216" s="76" t="e">
        <f t="shared" si="34"/>
        <v>#REF!</v>
      </c>
    </row>
    <row r="217" spans="2:3" ht="15.75" customHeight="1" x14ac:dyDescent="0.25">
      <c r="B217" s="67" t="e">
        <f t="shared" si="33"/>
        <v>#REF!</v>
      </c>
      <c r="C217" s="76" t="e">
        <f t="shared" si="34"/>
        <v>#REF!</v>
      </c>
    </row>
    <row r="218" spans="2:3" ht="15.75" customHeight="1" x14ac:dyDescent="0.25">
      <c r="B218" s="67" t="e">
        <f t="shared" si="33"/>
        <v>#REF!</v>
      </c>
      <c r="C218" s="76" t="e">
        <f t="shared" si="34"/>
        <v>#REF!</v>
      </c>
    </row>
    <row r="219" spans="2:3" ht="15.75" customHeight="1" x14ac:dyDescent="0.25">
      <c r="B219" s="67" t="e">
        <f t="shared" si="33"/>
        <v>#REF!</v>
      </c>
      <c r="C219" s="76" t="e">
        <f t="shared" si="34"/>
        <v>#REF!</v>
      </c>
    </row>
    <row r="220" spans="2:3" ht="15.75" customHeight="1" x14ac:dyDescent="0.25">
      <c r="B220" s="67" t="e">
        <f t="shared" si="33"/>
        <v>#REF!</v>
      </c>
      <c r="C220" s="76" t="e">
        <f t="shared" si="34"/>
        <v>#REF!</v>
      </c>
    </row>
    <row r="221" spans="2:3" ht="15.75" customHeight="1" x14ac:dyDescent="0.25">
      <c r="B221" s="67" t="e">
        <f t="shared" si="33"/>
        <v>#REF!</v>
      </c>
      <c r="C221" s="76" t="e">
        <f t="shared" si="34"/>
        <v>#REF!</v>
      </c>
    </row>
    <row r="222" spans="2:3" ht="15.75" customHeight="1" x14ac:dyDescent="0.25">
      <c r="B222" s="67" t="e">
        <f t="shared" ref="B222:B285" si="35">IF(B221="","",IF(B221+$C$10&lt;=$C$6,B221+$C$10,""))</f>
        <v>#REF!</v>
      </c>
      <c r="C222" s="76" t="e">
        <f t="shared" ref="C222:C285" si="36">IF(B222&lt;&gt;"",C221-$C$2/COUNT($B$18:$B$511),"")</f>
        <v>#REF!</v>
      </c>
    </row>
    <row r="223" spans="2:3" ht="15.75" customHeight="1" x14ac:dyDescent="0.25">
      <c r="B223" s="67" t="e">
        <f t="shared" si="35"/>
        <v>#REF!</v>
      </c>
      <c r="C223" s="76" t="e">
        <f t="shared" si="36"/>
        <v>#REF!</v>
      </c>
    </row>
    <row r="224" spans="2:3" ht="15.75" customHeight="1" x14ac:dyDescent="0.25">
      <c r="B224" s="67" t="e">
        <f t="shared" si="35"/>
        <v>#REF!</v>
      </c>
      <c r="C224" s="76" t="e">
        <f t="shared" si="36"/>
        <v>#REF!</v>
      </c>
    </row>
    <row r="225" spans="2:3" ht="15.75" customHeight="1" x14ac:dyDescent="0.25">
      <c r="B225" s="67" t="e">
        <f t="shared" si="35"/>
        <v>#REF!</v>
      </c>
      <c r="C225" s="76" t="e">
        <f t="shared" si="36"/>
        <v>#REF!</v>
      </c>
    </row>
    <row r="226" spans="2:3" ht="15.75" customHeight="1" x14ac:dyDescent="0.25">
      <c r="B226" s="67" t="e">
        <f t="shared" si="35"/>
        <v>#REF!</v>
      </c>
      <c r="C226" s="76" t="e">
        <f t="shared" si="36"/>
        <v>#REF!</v>
      </c>
    </row>
    <row r="227" spans="2:3" ht="15.75" customHeight="1" x14ac:dyDescent="0.25">
      <c r="B227" s="67" t="e">
        <f t="shared" si="35"/>
        <v>#REF!</v>
      </c>
      <c r="C227" s="76" t="e">
        <f t="shared" si="36"/>
        <v>#REF!</v>
      </c>
    </row>
    <row r="228" spans="2:3" ht="15.75" customHeight="1" x14ac:dyDescent="0.25">
      <c r="B228" s="67" t="e">
        <f t="shared" si="35"/>
        <v>#REF!</v>
      </c>
      <c r="C228" s="76" t="e">
        <f t="shared" si="36"/>
        <v>#REF!</v>
      </c>
    </row>
    <row r="229" spans="2:3" ht="15.75" customHeight="1" x14ac:dyDescent="0.25">
      <c r="B229" s="67" t="e">
        <f t="shared" si="35"/>
        <v>#REF!</v>
      </c>
      <c r="C229" s="76" t="e">
        <f t="shared" si="36"/>
        <v>#REF!</v>
      </c>
    </row>
    <row r="230" spans="2:3" ht="15.75" customHeight="1" x14ac:dyDescent="0.25">
      <c r="B230" s="67" t="e">
        <f t="shared" si="35"/>
        <v>#REF!</v>
      </c>
      <c r="C230" s="76" t="e">
        <f t="shared" si="36"/>
        <v>#REF!</v>
      </c>
    </row>
    <row r="231" spans="2:3" ht="15.75" customHeight="1" x14ac:dyDescent="0.25">
      <c r="B231" s="67" t="e">
        <f t="shared" si="35"/>
        <v>#REF!</v>
      </c>
      <c r="C231" s="76" t="e">
        <f t="shared" si="36"/>
        <v>#REF!</v>
      </c>
    </row>
    <row r="232" spans="2:3" ht="15.75" customHeight="1" x14ac:dyDescent="0.25">
      <c r="B232" s="67" t="e">
        <f t="shared" si="35"/>
        <v>#REF!</v>
      </c>
      <c r="C232" s="76" t="e">
        <f t="shared" si="36"/>
        <v>#REF!</v>
      </c>
    </row>
    <row r="233" spans="2:3" ht="15.75" customHeight="1" x14ac:dyDescent="0.25">
      <c r="B233" s="67" t="e">
        <f t="shared" si="35"/>
        <v>#REF!</v>
      </c>
      <c r="C233" s="76" t="e">
        <f t="shared" si="36"/>
        <v>#REF!</v>
      </c>
    </row>
    <row r="234" spans="2:3" ht="15.75" customHeight="1" x14ac:dyDescent="0.25">
      <c r="B234" s="67" t="e">
        <f t="shared" si="35"/>
        <v>#REF!</v>
      </c>
      <c r="C234" s="76" t="e">
        <f t="shared" si="36"/>
        <v>#REF!</v>
      </c>
    </row>
    <row r="235" spans="2:3" ht="15.75" customHeight="1" x14ac:dyDescent="0.25">
      <c r="B235" s="67" t="e">
        <f t="shared" si="35"/>
        <v>#REF!</v>
      </c>
      <c r="C235" s="76" t="e">
        <f t="shared" si="36"/>
        <v>#REF!</v>
      </c>
    </row>
    <row r="236" spans="2:3" ht="15.75" customHeight="1" x14ac:dyDescent="0.25">
      <c r="B236" s="67" t="e">
        <f t="shared" si="35"/>
        <v>#REF!</v>
      </c>
      <c r="C236" s="76" t="e">
        <f t="shared" si="36"/>
        <v>#REF!</v>
      </c>
    </row>
    <row r="237" spans="2:3" ht="15.75" customHeight="1" x14ac:dyDescent="0.25">
      <c r="B237" s="67" t="e">
        <f t="shared" si="35"/>
        <v>#REF!</v>
      </c>
      <c r="C237" s="76" t="e">
        <f t="shared" si="36"/>
        <v>#REF!</v>
      </c>
    </row>
    <row r="238" spans="2:3" ht="15.75" customHeight="1" x14ac:dyDescent="0.25">
      <c r="B238" s="67" t="e">
        <f t="shared" si="35"/>
        <v>#REF!</v>
      </c>
      <c r="C238" s="76" t="e">
        <f t="shared" si="36"/>
        <v>#REF!</v>
      </c>
    </row>
    <row r="239" spans="2:3" ht="15.75" customHeight="1" x14ac:dyDescent="0.25">
      <c r="B239" s="67" t="e">
        <f t="shared" si="35"/>
        <v>#REF!</v>
      </c>
      <c r="C239" s="76" t="e">
        <f t="shared" si="36"/>
        <v>#REF!</v>
      </c>
    </row>
    <row r="240" spans="2:3" ht="15.75" customHeight="1" x14ac:dyDescent="0.25">
      <c r="B240" s="67" t="e">
        <f t="shared" si="35"/>
        <v>#REF!</v>
      </c>
      <c r="C240" s="76" t="e">
        <f t="shared" si="36"/>
        <v>#REF!</v>
      </c>
    </row>
    <row r="241" spans="2:3" ht="15.75" customHeight="1" x14ac:dyDescent="0.25">
      <c r="B241" s="67" t="e">
        <f t="shared" si="35"/>
        <v>#REF!</v>
      </c>
      <c r="C241" s="76" t="e">
        <f t="shared" si="36"/>
        <v>#REF!</v>
      </c>
    </row>
    <row r="242" spans="2:3" ht="15.75" customHeight="1" x14ac:dyDescent="0.25">
      <c r="B242" s="67" t="e">
        <f t="shared" si="35"/>
        <v>#REF!</v>
      </c>
      <c r="C242" s="76" t="e">
        <f t="shared" si="36"/>
        <v>#REF!</v>
      </c>
    </row>
    <row r="243" spans="2:3" ht="15.75" customHeight="1" x14ac:dyDescent="0.25">
      <c r="B243" s="67" t="e">
        <f t="shared" si="35"/>
        <v>#REF!</v>
      </c>
      <c r="C243" s="76" t="e">
        <f t="shared" si="36"/>
        <v>#REF!</v>
      </c>
    </row>
    <row r="244" spans="2:3" ht="15.75" customHeight="1" x14ac:dyDescent="0.25">
      <c r="B244" s="67" t="e">
        <f t="shared" si="35"/>
        <v>#REF!</v>
      </c>
      <c r="C244" s="76" t="e">
        <f t="shared" si="36"/>
        <v>#REF!</v>
      </c>
    </row>
    <row r="245" spans="2:3" ht="15.75" customHeight="1" x14ac:dyDescent="0.25">
      <c r="B245" s="67" t="e">
        <f t="shared" si="35"/>
        <v>#REF!</v>
      </c>
      <c r="C245" s="76" t="e">
        <f t="shared" si="36"/>
        <v>#REF!</v>
      </c>
    </row>
    <row r="246" spans="2:3" ht="15.75" customHeight="1" x14ac:dyDescent="0.25">
      <c r="B246" s="67" t="e">
        <f t="shared" si="35"/>
        <v>#REF!</v>
      </c>
      <c r="C246" s="76" t="e">
        <f t="shared" si="36"/>
        <v>#REF!</v>
      </c>
    </row>
    <row r="247" spans="2:3" ht="15.75" customHeight="1" x14ac:dyDescent="0.25">
      <c r="B247" s="67" t="e">
        <f t="shared" si="35"/>
        <v>#REF!</v>
      </c>
      <c r="C247" s="76" t="e">
        <f t="shared" si="36"/>
        <v>#REF!</v>
      </c>
    </row>
    <row r="248" spans="2:3" ht="15.75" customHeight="1" x14ac:dyDescent="0.25">
      <c r="B248" s="67" t="e">
        <f t="shared" si="35"/>
        <v>#REF!</v>
      </c>
      <c r="C248" s="76" t="e">
        <f t="shared" si="36"/>
        <v>#REF!</v>
      </c>
    </row>
    <row r="249" spans="2:3" ht="15.75" customHeight="1" x14ac:dyDescent="0.25">
      <c r="B249" s="67" t="e">
        <f t="shared" si="35"/>
        <v>#REF!</v>
      </c>
      <c r="C249" s="76" t="e">
        <f t="shared" si="36"/>
        <v>#REF!</v>
      </c>
    </row>
    <row r="250" spans="2:3" ht="15.75" customHeight="1" x14ac:dyDescent="0.25">
      <c r="B250" s="67" t="e">
        <f t="shared" si="35"/>
        <v>#REF!</v>
      </c>
      <c r="C250" s="76" t="e">
        <f t="shared" si="36"/>
        <v>#REF!</v>
      </c>
    </row>
    <row r="251" spans="2:3" ht="15.75" customHeight="1" x14ac:dyDescent="0.25">
      <c r="B251" s="67" t="e">
        <f t="shared" si="35"/>
        <v>#REF!</v>
      </c>
      <c r="C251" s="76" t="e">
        <f t="shared" si="36"/>
        <v>#REF!</v>
      </c>
    </row>
    <row r="252" spans="2:3" ht="15.75" customHeight="1" x14ac:dyDescent="0.25">
      <c r="B252" s="67" t="e">
        <f t="shared" si="35"/>
        <v>#REF!</v>
      </c>
      <c r="C252" s="76" t="e">
        <f t="shared" si="36"/>
        <v>#REF!</v>
      </c>
    </row>
    <row r="253" spans="2:3" ht="15.75" customHeight="1" x14ac:dyDescent="0.25">
      <c r="B253" s="67" t="e">
        <f t="shared" si="35"/>
        <v>#REF!</v>
      </c>
      <c r="C253" s="76" t="e">
        <f t="shared" si="36"/>
        <v>#REF!</v>
      </c>
    </row>
    <row r="254" spans="2:3" ht="15.75" customHeight="1" x14ac:dyDescent="0.25">
      <c r="B254" s="67" t="e">
        <f t="shared" si="35"/>
        <v>#REF!</v>
      </c>
      <c r="C254" s="76" t="e">
        <f t="shared" si="36"/>
        <v>#REF!</v>
      </c>
    </row>
    <row r="255" spans="2:3" ht="15.75" customHeight="1" x14ac:dyDescent="0.25">
      <c r="B255" s="67" t="e">
        <f t="shared" si="35"/>
        <v>#REF!</v>
      </c>
      <c r="C255" s="76" t="e">
        <f t="shared" si="36"/>
        <v>#REF!</v>
      </c>
    </row>
    <row r="256" spans="2:3" ht="15.75" customHeight="1" x14ac:dyDescent="0.25">
      <c r="B256" s="67" t="e">
        <f t="shared" si="35"/>
        <v>#REF!</v>
      </c>
      <c r="C256" s="76" t="e">
        <f t="shared" si="36"/>
        <v>#REF!</v>
      </c>
    </row>
    <row r="257" spans="2:3" ht="15.75" customHeight="1" x14ac:dyDescent="0.25">
      <c r="B257" s="67" t="e">
        <f t="shared" si="35"/>
        <v>#REF!</v>
      </c>
      <c r="C257" s="76" t="e">
        <f t="shared" si="36"/>
        <v>#REF!</v>
      </c>
    </row>
    <row r="258" spans="2:3" ht="15.75" customHeight="1" x14ac:dyDescent="0.25">
      <c r="B258" s="67" t="e">
        <f t="shared" si="35"/>
        <v>#REF!</v>
      </c>
      <c r="C258" s="76" t="e">
        <f t="shared" si="36"/>
        <v>#REF!</v>
      </c>
    </row>
    <row r="259" spans="2:3" ht="15.75" customHeight="1" x14ac:dyDescent="0.25">
      <c r="B259" s="67" t="e">
        <f t="shared" si="35"/>
        <v>#REF!</v>
      </c>
      <c r="C259" s="76" t="e">
        <f t="shared" si="36"/>
        <v>#REF!</v>
      </c>
    </row>
    <row r="260" spans="2:3" ht="15.75" customHeight="1" x14ac:dyDescent="0.25">
      <c r="B260" s="67" t="e">
        <f t="shared" si="35"/>
        <v>#REF!</v>
      </c>
      <c r="C260" s="76" t="e">
        <f t="shared" si="36"/>
        <v>#REF!</v>
      </c>
    </row>
    <row r="261" spans="2:3" ht="15.75" customHeight="1" x14ac:dyDescent="0.25">
      <c r="B261" s="67" t="e">
        <f t="shared" si="35"/>
        <v>#REF!</v>
      </c>
      <c r="C261" s="76" t="e">
        <f t="shared" si="36"/>
        <v>#REF!</v>
      </c>
    </row>
    <row r="262" spans="2:3" ht="15.75" customHeight="1" x14ac:dyDescent="0.25">
      <c r="B262" s="67" t="e">
        <f t="shared" si="35"/>
        <v>#REF!</v>
      </c>
      <c r="C262" s="76" t="e">
        <f t="shared" si="36"/>
        <v>#REF!</v>
      </c>
    </row>
    <row r="263" spans="2:3" ht="15.75" customHeight="1" x14ac:dyDescent="0.25">
      <c r="B263" s="67" t="e">
        <f t="shared" si="35"/>
        <v>#REF!</v>
      </c>
      <c r="C263" s="76" t="e">
        <f t="shared" si="36"/>
        <v>#REF!</v>
      </c>
    </row>
    <row r="264" spans="2:3" ht="15.75" customHeight="1" x14ac:dyDescent="0.25">
      <c r="B264" s="67" t="e">
        <f t="shared" si="35"/>
        <v>#REF!</v>
      </c>
      <c r="C264" s="76" t="e">
        <f t="shared" si="36"/>
        <v>#REF!</v>
      </c>
    </row>
    <row r="265" spans="2:3" ht="15.75" customHeight="1" x14ac:dyDescent="0.25">
      <c r="B265" s="67" t="e">
        <f t="shared" si="35"/>
        <v>#REF!</v>
      </c>
      <c r="C265" s="76" t="e">
        <f t="shared" si="36"/>
        <v>#REF!</v>
      </c>
    </row>
    <row r="266" spans="2:3" ht="15.75" customHeight="1" x14ac:dyDescent="0.25">
      <c r="B266" s="67" t="e">
        <f t="shared" si="35"/>
        <v>#REF!</v>
      </c>
      <c r="C266" s="76" t="e">
        <f t="shared" si="36"/>
        <v>#REF!</v>
      </c>
    </row>
    <row r="267" spans="2:3" ht="15.75" customHeight="1" x14ac:dyDescent="0.25">
      <c r="B267" s="67" t="e">
        <f t="shared" si="35"/>
        <v>#REF!</v>
      </c>
      <c r="C267" s="76" t="e">
        <f t="shared" si="36"/>
        <v>#REF!</v>
      </c>
    </row>
    <row r="268" spans="2:3" ht="15.75" customHeight="1" x14ac:dyDescent="0.25">
      <c r="B268" s="67" t="e">
        <f t="shared" si="35"/>
        <v>#REF!</v>
      </c>
      <c r="C268" s="76" t="e">
        <f t="shared" si="36"/>
        <v>#REF!</v>
      </c>
    </row>
    <row r="269" spans="2:3" ht="15.75" customHeight="1" x14ac:dyDescent="0.25">
      <c r="B269" s="67" t="e">
        <f t="shared" si="35"/>
        <v>#REF!</v>
      </c>
      <c r="C269" s="76" t="e">
        <f t="shared" si="36"/>
        <v>#REF!</v>
      </c>
    </row>
    <row r="270" spans="2:3" ht="15.75" customHeight="1" x14ac:dyDescent="0.25">
      <c r="B270" s="67" t="e">
        <f t="shared" si="35"/>
        <v>#REF!</v>
      </c>
      <c r="C270" s="76" t="e">
        <f t="shared" si="36"/>
        <v>#REF!</v>
      </c>
    </row>
    <row r="271" spans="2:3" ht="15.75" customHeight="1" x14ac:dyDescent="0.25">
      <c r="B271" s="67" t="e">
        <f t="shared" si="35"/>
        <v>#REF!</v>
      </c>
      <c r="C271" s="76" t="e">
        <f t="shared" si="36"/>
        <v>#REF!</v>
      </c>
    </row>
    <row r="272" spans="2:3" ht="15.75" customHeight="1" x14ac:dyDescent="0.25">
      <c r="B272" s="67" t="e">
        <f t="shared" si="35"/>
        <v>#REF!</v>
      </c>
      <c r="C272" s="76" t="e">
        <f t="shared" si="36"/>
        <v>#REF!</v>
      </c>
    </row>
    <row r="273" spans="2:3" ht="15.75" customHeight="1" x14ac:dyDescent="0.25">
      <c r="B273" s="67" t="e">
        <f t="shared" si="35"/>
        <v>#REF!</v>
      </c>
      <c r="C273" s="76" t="e">
        <f t="shared" si="36"/>
        <v>#REF!</v>
      </c>
    </row>
    <row r="274" spans="2:3" ht="15.75" customHeight="1" x14ac:dyDescent="0.25">
      <c r="B274" s="67" t="e">
        <f t="shared" si="35"/>
        <v>#REF!</v>
      </c>
      <c r="C274" s="76" t="e">
        <f t="shared" si="36"/>
        <v>#REF!</v>
      </c>
    </row>
    <row r="275" spans="2:3" ht="15.75" customHeight="1" x14ac:dyDescent="0.25">
      <c r="B275" s="67" t="e">
        <f t="shared" si="35"/>
        <v>#REF!</v>
      </c>
      <c r="C275" s="76" t="e">
        <f t="shared" si="36"/>
        <v>#REF!</v>
      </c>
    </row>
    <row r="276" spans="2:3" ht="15.75" customHeight="1" x14ac:dyDescent="0.25">
      <c r="B276" s="67" t="e">
        <f t="shared" si="35"/>
        <v>#REF!</v>
      </c>
      <c r="C276" s="76" t="e">
        <f t="shared" si="36"/>
        <v>#REF!</v>
      </c>
    </row>
    <row r="277" spans="2:3" ht="15.75" customHeight="1" x14ac:dyDescent="0.25">
      <c r="B277" s="67" t="e">
        <f t="shared" si="35"/>
        <v>#REF!</v>
      </c>
      <c r="C277" s="76" t="e">
        <f t="shared" si="36"/>
        <v>#REF!</v>
      </c>
    </row>
    <row r="278" spans="2:3" ht="15.75" customHeight="1" x14ac:dyDescent="0.25">
      <c r="B278" s="67" t="e">
        <f t="shared" si="35"/>
        <v>#REF!</v>
      </c>
      <c r="C278" s="76" t="e">
        <f t="shared" si="36"/>
        <v>#REF!</v>
      </c>
    </row>
    <row r="279" spans="2:3" ht="15.75" customHeight="1" x14ac:dyDescent="0.25">
      <c r="B279" s="67" t="e">
        <f t="shared" si="35"/>
        <v>#REF!</v>
      </c>
      <c r="C279" s="76" t="e">
        <f t="shared" si="36"/>
        <v>#REF!</v>
      </c>
    </row>
    <row r="280" spans="2:3" ht="15.75" customHeight="1" x14ac:dyDescent="0.25">
      <c r="B280" s="67" t="e">
        <f t="shared" si="35"/>
        <v>#REF!</v>
      </c>
      <c r="C280" s="76" t="e">
        <f t="shared" si="36"/>
        <v>#REF!</v>
      </c>
    </row>
    <row r="281" spans="2:3" ht="15.75" customHeight="1" x14ac:dyDescent="0.25">
      <c r="B281" s="67" t="e">
        <f t="shared" si="35"/>
        <v>#REF!</v>
      </c>
      <c r="C281" s="76" t="e">
        <f t="shared" si="36"/>
        <v>#REF!</v>
      </c>
    </row>
    <row r="282" spans="2:3" ht="15.75" customHeight="1" x14ac:dyDescent="0.25">
      <c r="B282" s="67" t="e">
        <f t="shared" si="35"/>
        <v>#REF!</v>
      </c>
      <c r="C282" s="76" t="e">
        <f t="shared" si="36"/>
        <v>#REF!</v>
      </c>
    </row>
    <row r="283" spans="2:3" ht="15.75" customHeight="1" x14ac:dyDescent="0.25">
      <c r="B283" s="67" t="e">
        <f t="shared" si="35"/>
        <v>#REF!</v>
      </c>
      <c r="C283" s="76" t="e">
        <f t="shared" si="36"/>
        <v>#REF!</v>
      </c>
    </row>
    <row r="284" spans="2:3" ht="15.75" customHeight="1" x14ac:dyDescent="0.25">
      <c r="B284" s="67" t="e">
        <f t="shared" si="35"/>
        <v>#REF!</v>
      </c>
      <c r="C284" s="76" t="e">
        <f t="shared" si="36"/>
        <v>#REF!</v>
      </c>
    </row>
    <row r="285" spans="2:3" ht="15.75" customHeight="1" x14ac:dyDescent="0.25">
      <c r="B285" s="67" t="e">
        <f t="shared" si="35"/>
        <v>#REF!</v>
      </c>
      <c r="C285" s="76" t="e">
        <f t="shared" si="36"/>
        <v>#REF!</v>
      </c>
    </row>
    <row r="286" spans="2:3" ht="15.75" customHeight="1" x14ac:dyDescent="0.25">
      <c r="B286" s="67" t="e">
        <f t="shared" ref="B286:B349" si="37">IF(B285="","",IF(B285+$C$10&lt;=$C$6,B285+$C$10,""))</f>
        <v>#REF!</v>
      </c>
      <c r="C286" s="76" t="e">
        <f t="shared" ref="C286:C349" si="38">IF(B286&lt;&gt;"",C285-$C$2/COUNT($B$18:$B$511),"")</f>
        <v>#REF!</v>
      </c>
    </row>
    <row r="287" spans="2:3" ht="15.75" customHeight="1" x14ac:dyDescent="0.25">
      <c r="B287" s="67" t="e">
        <f t="shared" si="37"/>
        <v>#REF!</v>
      </c>
      <c r="C287" s="76" t="e">
        <f t="shared" si="38"/>
        <v>#REF!</v>
      </c>
    </row>
    <row r="288" spans="2:3" ht="15.75" customHeight="1" x14ac:dyDescent="0.25">
      <c r="B288" s="67" t="e">
        <f t="shared" si="37"/>
        <v>#REF!</v>
      </c>
      <c r="C288" s="76" t="e">
        <f t="shared" si="38"/>
        <v>#REF!</v>
      </c>
    </row>
    <row r="289" spans="2:3" ht="15.75" customHeight="1" x14ac:dyDescent="0.25">
      <c r="B289" s="67" t="e">
        <f t="shared" si="37"/>
        <v>#REF!</v>
      </c>
      <c r="C289" s="76" t="e">
        <f t="shared" si="38"/>
        <v>#REF!</v>
      </c>
    </row>
    <row r="290" spans="2:3" ht="15.75" customHeight="1" x14ac:dyDescent="0.25">
      <c r="B290" s="67" t="e">
        <f t="shared" si="37"/>
        <v>#REF!</v>
      </c>
      <c r="C290" s="76" t="e">
        <f t="shared" si="38"/>
        <v>#REF!</v>
      </c>
    </row>
    <row r="291" spans="2:3" ht="15.75" customHeight="1" x14ac:dyDescent="0.25">
      <c r="B291" s="67" t="e">
        <f t="shared" si="37"/>
        <v>#REF!</v>
      </c>
      <c r="C291" s="76" t="e">
        <f t="shared" si="38"/>
        <v>#REF!</v>
      </c>
    </row>
    <row r="292" spans="2:3" ht="15.75" customHeight="1" x14ac:dyDescent="0.25">
      <c r="B292" s="67" t="e">
        <f t="shared" si="37"/>
        <v>#REF!</v>
      </c>
      <c r="C292" s="76" t="e">
        <f t="shared" si="38"/>
        <v>#REF!</v>
      </c>
    </row>
    <row r="293" spans="2:3" ht="15.75" customHeight="1" x14ac:dyDescent="0.25">
      <c r="B293" s="67" t="e">
        <f t="shared" si="37"/>
        <v>#REF!</v>
      </c>
      <c r="C293" s="76" t="e">
        <f t="shared" si="38"/>
        <v>#REF!</v>
      </c>
    </row>
    <row r="294" spans="2:3" ht="15.75" customHeight="1" x14ac:dyDescent="0.25">
      <c r="B294" s="67" t="e">
        <f t="shared" si="37"/>
        <v>#REF!</v>
      </c>
      <c r="C294" s="76" t="e">
        <f t="shared" si="38"/>
        <v>#REF!</v>
      </c>
    </row>
    <row r="295" spans="2:3" ht="15.75" customHeight="1" x14ac:dyDescent="0.25">
      <c r="B295" s="67" t="e">
        <f t="shared" si="37"/>
        <v>#REF!</v>
      </c>
      <c r="C295" s="76" t="e">
        <f t="shared" si="38"/>
        <v>#REF!</v>
      </c>
    </row>
    <row r="296" spans="2:3" ht="15.75" customHeight="1" x14ac:dyDescent="0.25">
      <c r="B296" s="67" t="e">
        <f t="shared" si="37"/>
        <v>#REF!</v>
      </c>
      <c r="C296" s="76" t="e">
        <f t="shared" si="38"/>
        <v>#REF!</v>
      </c>
    </row>
    <row r="297" spans="2:3" ht="15.75" customHeight="1" x14ac:dyDescent="0.25">
      <c r="B297" s="67" t="e">
        <f t="shared" si="37"/>
        <v>#REF!</v>
      </c>
      <c r="C297" s="76" t="e">
        <f t="shared" si="38"/>
        <v>#REF!</v>
      </c>
    </row>
    <row r="298" spans="2:3" ht="15.75" customHeight="1" x14ac:dyDescent="0.25">
      <c r="B298" s="67" t="e">
        <f t="shared" si="37"/>
        <v>#REF!</v>
      </c>
      <c r="C298" s="76" t="e">
        <f t="shared" si="38"/>
        <v>#REF!</v>
      </c>
    </row>
    <row r="299" spans="2:3" ht="15.75" customHeight="1" x14ac:dyDescent="0.25">
      <c r="B299" s="67" t="e">
        <f t="shared" si="37"/>
        <v>#REF!</v>
      </c>
      <c r="C299" s="76" t="e">
        <f t="shared" si="38"/>
        <v>#REF!</v>
      </c>
    </row>
    <row r="300" spans="2:3" ht="15.75" customHeight="1" x14ac:dyDescent="0.25">
      <c r="B300" s="67" t="e">
        <f t="shared" si="37"/>
        <v>#REF!</v>
      </c>
      <c r="C300" s="76" t="e">
        <f t="shared" si="38"/>
        <v>#REF!</v>
      </c>
    </row>
    <row r="301" spans="2:3" ht="15.75" customHeight="1" x14ac:dyDescent="0.25">
      <c r="B301" s="67" t="e">
        <f t="shared" si="37"/>
        <v>#REF!</v>
      </c>
      <c r="C301" s="76" t="e">
        <f t="shared" si="38"/>
        <v>#REF!</v>
      </c>
    </row>
    <row r="302" spans="2:3" ht="15.75" customHeight="1" x14ac:dyDescent="0.25">
      <c r="B302" s="67" t="e">
        <f t="shared" si="37"/>
        <v>#REF!</v>
      </c>
      <c r="C302" s="76" t="e">
        <f t="shared" si="38"/>
        <v>#REF!</v>
      </c>
    </row>
    <row r="303" spans="2:3" ht="15.75" customHeight="1" x14ac:dyDescent="0.25">
      <c r="B303" s="67" t="e">
        <f t="shared" si="37"/>
        <v>#REF!</v>
      </c>
      <c r="C303" s="76" t="e">
        <f t="shared" si="38"/>
        <v>#REF!</v>
      </c>
    </row>
    <row r="304" spans="2:3" ht="15.75" customHeight="1" x14ac:dyDescent="0.25">
      <c r="B304" s="67" t="e">
        <f t="shared" si="37"/>
        <v>#REF!</v>
      </c>
      <c r="C304" s="76" t="e">
        <f t="shared" si="38"/>
        <v>#REF!</v>
      </c>
    </row>
    <row r="305" spans="2:3" ht="15.75" customHeight="1" x14ac:dyDescent="0.25">
      <c r="B305" s="67" t="e">
        <f t="shared" si="37"/>
        <v>#REF!</v>
      </c>
      <c r="C305" s="76" t="e">
        <f t="shared" si="38"/>
        <v>#REF!</v>
      </c>
    </row>
    <row r="306" spans="2:3" ht="15.75" customHeight="1" x14ac:dyDescent="0.25">
      <c r="B306" s="67" t="e">
        <f t="shared" si="37"/>
        <v>#REF!</v>
      </c>
      <c r="C306" s="76" t="e">
        <f t="shared" si="38"/>
        <v>#REF!</v>
      </c>
    </row>
    <row r="307" spans="2:3" ht="15.75" customHeight="1" x14ac:dyDescent="0.25">
      <c r="B307" s="67" t="e">
        <f t="shared" si="37"/>
        <v>#REF!</v>
      </c>
      <c r="C307" s="76" t="e">
        <f t="shared" si="38"/>
        <v>#REF!</v>
      </c>
    </row>
    <row r="308" spans="2:3" ht="15.75" customHeight="1" x14ac:dyDescent="0.25">
      <c r="B308" s="67" t="e">
        <f t="shared" si="37"/>
        <v>#REF!</v>
      </c>
      <c r="C308" s="76" t="e">
        <f t="shared" si="38"/>
        <v>#REF!</v>
      </c>
    </row>
    <row r="309" spans="2:3" ht="15.75" customHeight="1" x14ac:dyDescent="0.25">
      <c r="B309" s="67" t="e">
        <f t="shared" si="37"/>
        <v>#REF!</v>
      </c>
      <c r="C309" s="76" t="e">
        <f t="shared" si="38"/>
        <v>#REF!</v>
      </c>
    </row>
    <row r="310" spans="2:3" ht="15.75" customHeight="1" x14ac:dyDescent="0.25">
      <c r="B310" s="67" t="e">
        <f t="shared" si="37"/>
        <v>#REF!</v>
      </c>
      <c r="C310" s="76" t="e">
        <f t="shared" si="38"/>
        <v>#REF!</v>
      </c>
    </row>
    <row r="311" spans="2:3" ht="15.75" customHeight="1" x14ac:dyDescent="0.25">
      <c r="B311" s="67" t="e">
        <f t="shared" si="37"/>
        <v>#REF!</v>
      </c>
      <c r="C311" s="76" t="e">
        <f t="shared" si="38"/>
        <v>#REF!</v>
      </c>
    </row>
    <row r="312" spans="2:3" ht="15.75" customHeight="1" x14ac:dyDescent="0.25">
      <c r="B312" s="67" t="e">
        <f t="shared" si="37"/>
        <v>#REF!</v>
      </c>
      <c r="C312" s="76" t="e">
        <f t="shared" si="38"/>
        <v>#REF!</v>
      </c>
    </row>
    <row r="313" spans="2:3" ht="15.75" customHeight="1" x14ac:dyDescent="0.25">
      <c r="B313" s="67" t="e">
        <f t="shared" si="37"/>
        <v>#REF!</v>
      </c>
      <c r="C313" s="76" t="e">
        <f t="shared" si="38"/>
        <v>#REF!</v>
      </c>
    </row>
    <row r="314" spans="2:3" ht="15.75" customHeight="1" x14ac:dyDescent="0.25">
      <c r="B314" s="67" t="e">
        <f t="shared" si="37"/>
        <v>#REF!</v>
      </c>
      <c r="C314" s="76" t="e">
        <f t="shared" si="38"/>
        <v>#REF!</v>
      </c>
    </row>
    <row r="315" spans="2:3" ht="15.75" customHeight="1" x14ac:dyDescent="0.25">
      <c r="B315" s="67" t="e">
        <f t="shared" si="37"/>
        <v>#REF!</v>
      </c>
      <c r="C315" s="76" t="e">
        <f t="shared" si="38"/>
        <v>#REF!</v>
      </c>
    </row>
    <row r="316" spans="2:3" ht="15.75" customHeight="1" x14ac:dyDescent="0.25">
      <c r="B316" s="67" t="e">
        <f t="shared" si="37"/>
        <v>#REF!</v>
      </c>
      <c r="C316" s="76" t="e">
        <f t="shared" si="38"/>
        <v>#REF!</v>
      </c>
    </row>
    <row r="317" spans="2:3" ht="15.75" customHeight="1" x14ac:dyDescent="0.25">
      <c r="B317" s="67" t="e">
        <f t="shared" si="37"/>
        <v>#REF!</v>
      </c>
      <c r="C317" s="76" t="e">
        <f t="shared" si="38"/>
        <v>#REF!</v>
      </c>
    </row>
    <row r="318" spans="2:3" ht="15.75" customHeight="1" x14ac:dyDescent="0.25">
      <c r="B318" s="67" t="e">
        <f t="shared" si="37"/>
        <v>#REF!</v>
      </c>
      <c r="C318" s="76" t="e">
        <f t="shared" si="38"/>
        <v>#REF!</v>
      </c>
    </row>
    <row r="319" spans="2:3" ht="15.75" customHeight="1" x14ac:dyDescent="0.25">
      <c r="B319" s="67" t="e">
        <f t="shared" si="37"/>
        <v>#REF!</v>
      </c>
      <c r="C319" s="76" t="e">
        <f t="shared" si="38"/>
        <v>#REF!</v>
      </c>
    </row>
    <row r="320" spans="2:3" ht="15.75" customHeight="1" x14ac:dyDescent="0.25">
      <c r="B320" s="67" t="e">
        <f t="shared" si="37"/>
        <v>#REF!</v>
      </c>
      <c r="C320" s="76" t="e">
        <f t="shared" si="38"/>
        <v>#REF!</v>
      </c>
    </row>
    <row r="321" spans="2:3" ht="15.75" customHeight="1" x14ac:dyDescent="0.25">
      <c r="B321" s="67" t="e">
        <f t="shared" si="37"/>
        <v>#REF!</v>
      </c>
      <c r="C321" s="76" t="e">
        <f t="shared" si="38"/>
        <v>#REF!</v>
      </c>
    </row>
    <row r="322" spans="2:3" ht="15.75" customHeight="1" x14ac:dyDescent="0.25">
      <c r="B322" s="67" t="e">
        <f t="shared" si="37"/>
        <v>#REF!</v>
      </c>
      <c r="C322" s="76" t="e">
        <f t="shared" si="38"/>
        <v>#REF!</v>
      </c>
    </row>
    <row r="323" spans="2:3" ht="15.75" customHeight="1" x14ac:dyDescent="0.25">
      <c r="B323" s="67" t="e">
        <f t="shared" si="37"/>
        <v>#REF!</v>
      </c>
      <c r="C323" s="76" t="e">
        <f t="shared" si="38"/>
        <v>#REF!</v>
      </c>
    </row>
    <row r="324" spans="2:3" ht="15.75" customHeight="1" x14ac:dyDescent="0.25">
      <c r="B324" s="67" t="e">
        <f t="shared" si="37"/>
        <v>#REF!</v>
      </c>
      <c r="C324" s="76" t="e">
        <f t="shared" si="38"/>
        <v>#REF!</v>
      </c>
    </row>
    <row r="325" spans="2:3" ht="15.75" customHeight="1" x14ac:dyDescent="0.25">
      <c r="B325" s="67" t="e">
        <f t="shared" si="37"/>
        <v>#REF!</v>
      </c>
      <c r="C325" s="76" t="e">
        <f t="shared" si="38"/>
        <v>#REF!</v>
      </c>
    </row>
    <row r="326" spans="2:3" ht="15.75" customHeight="1" x14ac:dyDescent="0.25">
      <c r="B326" s="67" t="e">
        <f t="shared" si="37"/>
        <v>#REF!</v>
      </c>
      <c r="C326" s="76" t="e">
        <f t="shared" si="38"/>
        <v>#REF!</v>
      </c>
    </row>
    <row r="327" spans="2:3" ht="15.75" customHeight="1" x14ac:dyDescent="0.25">
      <c r="B327" s="67" t="e">
        <f t="shared" si="37"/>
        <v>#REF!</v>
      </c>
      <c r="C327" s="76" t="e">
        <f t="shared" si="38"/>
        <v>#REF!</v>
      </c>
    </row>
    <row r="328" spans="2:3" ht="15.75" customHeight="1" x14ac:dyDescent="0.25">
      <c r="B328" s="67" t="e">
        <f t="shared" si="37"/>
        <v>#REF!</v>
      </c>
      <c r="C328" s="76" t="e">
        <f t="shared" si="38"/>
        <v>#REF!</v>
      </c>
    </row>
    <row r="329" spans="2:3" ht="15.75" customHeight="1" x14ac:dyDescent="0.25">
      <c r="B329" s="67" t="e">
        <f t="shared" si="37"/>
        <v>#REF!</v>
      </c>
      <c r="C329" s="76" t="e">
        <f t="shared" si="38"/>
        <v>#REF!</v>
      </c>
    </row>
    <row r="330" spans="2:3" ht="15.75" customHeight="1" x14ac:dyDescent="0.25">
      <c r="B330" s="67" t="e">
        <f t="shared" si="37"/>
        <v>#REF!</v>
      </c>
      <c r="C330" s="76" t="e">
        <f t="shared" si="38"/>
        <v>#REF!</v>
      </c>
    </row>
    <row r="331" spans="2:3" ht="15.75" customHeight="1" x14ac:dyDescent="0.25">
      <c r="B331" s="67" t="e">
        <f t="shared" si="37"/>
        <v>#REF!</v>
      </c>
      <c r="C331" s="76" t="e">
        <f t="shared" si="38"/>
        <v>#REF!</v>
      </c>
    </row>
    <row r="332" spans="2:3" ht="15.75" customHeight="1" x14ac:dyDescent="0.25">
      <c r="B332" s="67" t="e">
        <f t="shared" si="37"/>
        <v>#REF!</v>
      </c>
      <c r="C332" s="76" t="e">
        <f t="shared" si="38"/>
        <v>#REF!</v>
      </c>
    </row>
    <row r="333" spans="2:3" ht="15.75" customHeight="1" x14ac:dyDescent="0.25">
      <c r="B333" s="67" t="e">
        <f t="shared" si="37"/>
        <v>#REF!</v>
      </c>
      <c r="C333" s="76" t="e">
        <f t="shared" si="38"/>
        <v>#REF!</v>
      </c>
    </row>
    <row r="334" spans="2:3" ht="15.75" customHeight="1" x14ac:dyDescent="0.25">
      <c r="B334" s="67" t="e">
        <f t="shared" si="37"/>
        <v>#REF!</v>
      </c>
      <c r="C334" s="76" t="e">
        <f t="shared" si="38"/>
        <v>#REF!</v>
      </c>
    </row>
    <row r="335" spans="2:3" ht="15.75" customHeight="1" x14ac:dyDescent="0.25">
      <c r="B335" s="67" t="e">
        <f t="shared" si="37"/>
        <v>#REF!</v>
      </c>
      <c r="C335" s="76" t="e">
        <f t="shared" si="38"/>
        <v>#REF!</v>
      </c>
    </row>
    <row r="336" spans="2:3" ht="15.75" customHeight="1" x14ac:dyDescent="0.25">
      <c r="B336" s="67" t="e">
        <f t="shared" si="37"/>
        <v>#REF!</v>
      </c>
      <c r="C336" s="76" t="e">
        <f t="shared" si="38"/>
        <v>#REF!</v>
      </c>
    </row>
    <row r="337" spans="2:3" ht="15.75" customHeight="1" x14ac:dyDescent="0.25">
      <c r="B337" s="67" t="e">
        <f t="shared" si="37"/>
        <v>#REF!</v>
      </c>
      <c r="C337" s="76" t="e">
        <f t="shared" si="38"/>
        <v>#REF!</v>
      </c>
    </row>
    <row r="338" spans="2:3" ht="15.75" customHeight="1" x14ac:dyDescent="0.25">
      <c r="B338" s="67" t="e">
        <f t="shared" si="37"/>
        <v>#REF!</v>
      </c>
      <c r="C338" s="76" t="e">
        <f t="shared" si="38"/>
        <v>#REF!</v>
      </c>
    </row>
    <row r="339" spans="2:3" ht="15.75" customHeight="1" x14ac:dyDescent="0.25">
      <c r="B339" s="67" t="e">
        <f t="shared" si="37"/>
        <v>#REF!</v>
      </c>
      <c r="C339" s="76" t="e">
        <f t="shared" si="38"/>
        <v>#REF!</v>
      </c>
    </row>
    <row r="340" spans="2:3" ht="15.75" customHeight="1" x14ac:dyDescent="0.25">
      <c r="B340" s="67" t="e">
        <f t="shared" si="37"/>
        <v>#REF!</v>
      </c>
      <c r="C340" s="76" t="e">
        <f t="shared" si="38"/>
        <v>#REF!</v>
      </c>
    </row>
    <row r="341" spans="2:3" ht="15.75" customHeight="1" x14ac:dyDescent="0.25">
      <c r="B341" s="67" t="e">
        <f t="shared" si="37"/>
        <v>#REF!</v>
      </c>
      <c r="C341" s="76" t="e">
        <f t="shared" si="38"/>
        <v>#REF!</v>
      </c>
    </row>
    <row r="342" spans="2:3" ht="15.75" customHeight="1" x14ac:dyDescent="0.25">
      <c r="B342" s="67" t="e">
        <f t="shared" si="37"/>
        <v>#REF!</v>
      </c>
      <c r="C342" s="76" t="e">
        <f t="shared" si="38"/>
        <v>#REF!</v>
      </c>
    </row>
    <row r="343" spans="2:3" ht="15.75" customHeight="1" x14ac:dyDescent="0.25">
      <c r="B343" s="67" t="e">
        <f t="shared" si="37"/>
        <v>#REF!</v>
      </c>
      <c r="C343" s="76" t="e">
        <f t="shared" si="38"/>
        <v>#REF!</v>
      </c>
    </row>
    <row r="344" spans="2:3" ht="15.75" customHeight="1" x14ac:dyDescent="0.25">
      <c r="B344" s="67" t="e">
        <f t="shared" si="37"/>
        <v>#REF!</v>
      </c>
      <c r="C344" s="76" t="e">
        <f t="shared" si="38"/>
        <v>#REF!</v>
      </c>
    </row>
    <row r="345" spans="2:3" ht="15.75" customHeight="1" x14ac:dyDescent="0.25">
      <c r="B345" s="67" t="e">
        <f t="shared" si="37"/>
        <v>#REF!</v>
      </c>
      <c r="C345" s="76" t="e">
        <f t="shared" si="38"/>
        <v>#REF!</v>
      </c>
    </row>
    <row r="346" spans="2:3" ht="15.75" customHeight="1" x14ac:dyDescent="0.25">
      <c r="B346" s="67" t="e">
        <f t="shared" si="37"/>
        <v>#REF!</v>
      </c>
      <c r="C346" s="76" t="e">
        <f t="shared" si="38"/>
        <v>#REF!</v>
      </c>
    </row>
    <row r="347" spans="2:3" ht="15.75" customHeight="1" x14ac:dyDescent="0.25">
      <c r="B347" s="67" t="e">
        <f t="shared" si="37"/>
        <v>#REF!</v>
      </c>
      <c r="C347" s="76" t="e">
        <f t="shared" si="38"/>
        <v>#REF!</v>
      </c>
    </row>
    <row r="348" spans="2:3" ht="15.75" customHeight="1" x14ac:dyDescent="0.25">
      <c r="B348" s="67" t="e">
        <f t="shared" si="37"/>
        <v>#REF!</v>
      </c>
      <c r="C348" s="76" t="e">
        <f t="shared" si="38"/>
        <v>#REF!</v>
      </c>
    </row>
    <row r="349" spans="2:3" ht="15.75" customHeight="1" x14ac:dyDescent="0.25">
      <c r="B349" s="67" t="e">
        <f t="shared" si="37"/>
        <v>#REF!</v>
      </c>
      <c r="C349" s="76" t="e">
        <f t="shared" si="38"/>
        <v>#REF!</v>
      </c>
    </row>
    <row r="350" spans="2:3" ht="15.75" customHeight="1" x14ac:dyDescent="0.25">
      <c r="B350" s="67" t="e">
        <f t="shared" ref="B350:B413" si="39">IF(B349="","",IF(B349+$C$10&lt;=$C$6,B349+$C$10,""))</f>
        <v>#REF!</v>
      </c>
      <c r="C350" s="76" t="e">
        <f t="shared" ref="C350:C413" si="40">IF(B350&lt;&gt;"",C349-$C$2/COUNT($B$18:$B$511),"")</f>
        <v>#REF!</v>
      </c>
    </row>
    <row r="351" spans="2:3" ht="15.75" customHeight="1" x14ac:dyDescent="0.25">
      <c r="B351" s="67" t="e">
        <f t="shared" si="39"/>
        <v>#REF!</v>
      </c>
      <c r="C351" s="76" t="e">
        <f t="shared" si="40"/>
        <v>#REF!</v>
      </c>
    </row>
    <row r="352" spans="2:3" ht="15.75" customHeight="1" x14ac:dyDescent="0.25">
      <c r="B352" s="67" t="e">
        <f t="shared" si="39"/>
        <v>#REF!</v>
      </c>
      <c r="C352" s="76" t="e">
        <f t="shared" si="40"/>
        <v>#REF!</v>
      </c>
    </row>
    <row r="353" spans="2:3" ht="15.75" customHeight="1" x14ac:dyDescent="0.25">
      <c r="B353" s="67" t="e">
        <f t="shared" si="39"/>
        <v>#REF!</v>
      </c>
      <c r="C353" s="76" t="e">
        <f t="shared" si="40"/>
        <v>#REF!</v>
      </c>
    </row>
    <row r="354" spans="2:3" ht="15.75" customHeight="1" x14ac:dyDescent="0.25">
      <c r="B354" s="67" t="e">
        <f t="shared" si="39"/>
        <v>#REF!</v>
      </c>
      <c r="C354" s="76" t="e">
        <f t="shared" si="40"/>
        <v>#REF!</v>
      </c>
    </row>
    <row r="355" spans="2:3" ht="15.75" customHeight="1" x14ac:dyDescent="0.25">
      <c r="B355" s="67" t="e">
        <f t="shared" si="39"/>
        <v>#REF!</v>
      </c>
      <c r="C355" s="76" t="e">
        <f t="shared" si="40"/>
        <v>#REF!</v>
      </c>
    </row>
    <row r="356" spans="2:3" ht="15.75" customHeight="1" x14ac:dyDescent="0.25">
      <c r="B356" s="67" t="e">
        <f t="shared" si="39"/>
        <v>#REF!</v>
      </c>
      <c r="C356" s="76" t="e">
        <f t="shared" si="40"/>
        <v>#REF!</v>
      </c>
    </row>
    <row r="357" spans="2:3" ht="15.75" customHeight="1" x14ac:dyDescent="0.25">
      <c r="B357" s="67" t="e">
        <f t="shared" si="39"/>
        <v>#REF!</v>
      </c>
      <c r="C357" s="76" t="e">
        <f t="shared" si="40"/>
        <v>#REF!</v>
      </c>
    </row>
    <row r="358" spans="2:3" ht="15.75" customHeight="1" x14ac:dyDescent="0.25">
      <c r="B358" s="67" t="e">
        <f t="shared" si="39"/>
        <v>#REF!</v>
      </c>
      <c r="C358" s="76" t="e">
        <f t="shared" si="40"/>
        <v>#REF!</v>
      </c>
    </row>
    <row r="359" spans="2:3" ht="15.75" customHeight="1" x14ac:dyDescent="0.25">
      <c r="B359" s="67" t="e">
        <f t="shared" si="39"/>
        <v>#REF!</v>
      </c>
      <c r="C359" s="76" t="e">
        <f t="shared" si="40"/>
        <v>#REF!</v>
      </c>
    </row>
    <row r="360" spans="2:3" ht="15.75" customHeight="1" x14ac:dyDescent="0.25">
      <c r="B360" s="67" t="e">
        <f t="shared" si="39"/>
        <v>#REF!</v>
      </c>
      <c r="C360" s="76" t="e">
        <f t="shared" si="40"/>
        <v>#REF!</v>
      </c>
    </row>
    <row r="361" spans="2:3" ht="15.75" customHeight="1" x14ac:dyDescent="0.25">
      <c r="B361" s="67" t="e">
        <f t="shared" si="39"/>
        <v>#REF!</v>
      </c>
      <c r="C361" s="76" t="e">
        <f t="shared" si="40"/>
        <v>#REF!</v>
      </c>
    </row>
    <row r="362" spans="2:3" ht="15.75" customHeight="1" x14ac:dyDescent="0.25">
      <c r="B362" s="67" t="e">
        <f t="shared" si="39"/>
        <v>#REF!</v>
      </c>
      <c r="C362" s="76" t="e">
        <f t="shared" si="40"/>
        <v>#REF!</v>
      </c>
    </row>
    <row r="363" spans="2:3" ht="15.75" customHeight="1" x14ac:dyDescent="0.25">
      <c r="B363" s="67" t="e">
        <f t="shared" si="39"/>
        <v>#REF!</v>
      </c>
      <c r="C363" s="76" t="e">
        <f t="shared" si="40"/>
        <v>#REF!</v>
      </c>
    </row>
    <row r="364" spans="2:3" ht="15.75" customHeight="1" x14ac:dyDescent="0.25">
      <c r="B364" s="67" t="e">
        <f t="shared" si="39"/>
        <v>#REF!</v>
      </c>
      <c r="C364" s="76" t="e">
        <f t="shared" si="40"/>
        <v>#REF!</v>
      </c>
    </row>
    <row r="365" spans="2:3" ht="15.75" customHeight="1" x14ac:dyDescent="0.25">
      <c r="B365" s="67" t="e">
        <f t="shared" si="39"/>
        <v>#REF!</v>
      </c>
      <c r="C365" s="76" t="e">
        <f t="shared" si="40"/>
        <v>#REF!</v>
      </c>
    </row>
    <row r="366" spans="2:3" ht="15.75" customHeight="1" x14ac:dyDescent="0.25">
      <c r="B366" s="67" t="e">
        <f t="shared" si="39"/>
        <v>#REF!</v>
      </c>
      <c r="C366" s="76" t="e">
        <f t="shared" si="40"/>
        <v>#REF!</v>
      </c>
    </row>
    <row r="367" spans="2:3" ht="15.75" customHeight="1" x14ac:dyDescent="0.25">
      <c r="B367" s="67" t="e">
        <f t="shared" si="39"/>
        <v>#REF!</v>
      </c>
      <c r="C367" s="76" t="e">
        <f t="shared" si="40"/>
        <v>#REF!</v>
      </c>
    </row>
    <row r="368" spans="2:3" ht="15.75" customHeight="1" x14ac:dyDescent="0.25">
      <c r="B368" s="67" t="e">
        <f t="shared" si="39"/>
        <v>#REF!</v>
      </c>
      <c r="C368" s="76" t="e">
        <f t="shared" si="40"/>
        <v>#REF!</v>
      </c>
    </row>
    <row r="369" spans="2:3" ht="15.75" customHeight="1" x14ac:dyDescent="0.25">
      <c r="B369" s="67" t="e">
        <f t="shared" si="39"/>
        <v>#REF!</v>
      </c>
      <c r="C369" s="76" t="e">
        <f t="shared" si="40"/>
        <v>#REF!</v>
      </c>
    </row>
    <row r="370" spans="2:3" ht="15.75" customHeight="1" x14ac:dyDescent="0.25">
      <c r="B370" s="67" t="e">
        <f t="shared" si="39"/>
        <v>#REF!</v>
      </c>
      <c r="C370" s="76" t="e">
        <f t="shared" si="40"/>
        <v>#REF!</v>
      </c>
    </row>
    <row r="371" spans="2:3" ht="15.75" customHeight="1" x14ac:dyDescent="0.25">
      <c r="B371" s="67" t="e">
        <f t="shared" si="39"/>
        <v>#REF!</v>
      </c>
      <c r="C371" s="76" t="e">
        <f t="shared" si="40"/>
        <v>#REF!</v>
      </c>
    </row>
    <row r="372" spans="2:3" ht="15.75" customHeight="1" x14ac:dyDescent="0.25">
      <c r="B372" s="67" t="e">
        <f t="shared" si="39"/>
        <v>#REF!</v>
      </c>
      <c r="C372" s="76" t="e">
        <f t="shared" si="40"/>
        <v>#REF!</v>
      </c>
    </row>
    <row r="373" spans="2:3" ht="15.75" customHeight="1" x14ac:dyDescent="0.25">
      <c r="B373" s="67" t="e">
        <f t="shared" si="39"/>
        <v>#REF!</v>
      </c>
      <c r="C373" s="76" t="e">
        <f t="shared" si="40"/>
        <v>#REF!</v>
      </c>
    </row>
    <row r="374" spans="2:3" ht="15.75" customHeight="1" x14ac:dyDescent="0.25">
      <c r="B374" s="67" t="e">
        <f t="shared" si="39"/>
        <v>#REF!</v>
      </c>
      <c r="C374" s="76" t="e">
        <f t="shared" si="40"/>
        <v>#REF!</v>
      </c>
    </row>
    <row r="375" spans="2:3" ht="15.75" customHeight="1" x14ac:dyDescent="0.25">
      <c r="B375" s="67" t="e">
        <f t="shared" si="39"/>
        <v>#REF!</v>
      </c>
      <c r="C375" s="76" t="e">
        <f t="shared" si="40"/>
        <v>#REF!</v>
      </c>
    </row>
    <row r="376" spans="2:3" ht="15.75" customHeight="1" x14ac:dyDescent="0.25">
      <c r="B376" s="67" t="e">
        <f t="shared" si="39"/>
        <v>#REF!</v>
      </c>
      <c r="C376" s="76" t="e">
        <f t="shared" si="40"/>
        <v>#REF!</v>
      </c>
    </row>
    <row r="377" spans="2:3" ht="15.75" customHeight="1" x14ac:dyDescent="0.25">
      <c r="B377" s="67" t="e">
        <f t="shared" si="39"/>
        <v>#REF!</v>
      </c>
      <c r="C377" s="76" t="e">
        <f t="shared" si="40"/>
        <v>#REF!</v>
      </c>
    </row>
    <row r="378" spans="2:3" ht="15.75" customHeight="1" x14ac:dyDescent="0.25">
      <c r="B378" s="67" t="e">
        <f t="shared" si="39"/>
        <v>#REF!</v>
      </c>
      <c r="C378" s="76" t="e">
        <f t="shared" si="40"/>
        <v>#REF!</v>
      </c>
    </row>
    <row r="379" spans="2:3" ht="15.75" customHeight="1" x14ac:dyDescent="0.25">
      <c r="B379" s="67" t="e">
        <f t="shared" si="39"/>
        <v>#REF!</v>
      </c>
      <c r="C379" s="76" t="e">
        <f t="shared" si="40"/>
        <v>#REF!</v>
      </c>
    </row>
    <row r="380" spans="2:3" ht="15.75" customHeight="1" x14ac:dyDescent="0.25">
      <c r="B380" s="67" t="e">
        <f t="shared" si="39"/>
        <v>#REF!</v>
      </c>
      <c r="C380" s="76" t="e">
        <f t="shared" si="40"/>
        <v>#REF!</v>
      </c>
    </row>
    <row r="381" spans="2:3" ht="15.75" customHeight="1" x14ac:dyDescent="0.25">
      <c r="B381" s="67" t="e">
        <f t="shared" si="39"/>
        <v>#REF!</v>
      </c>
      <c r="C381" s="76" t="e">
        <f t="shared" si="40"/>
        <v>#REF!</v>
      </c>
    </row>
    <row r="382" spans="2:3" ht="15.75" customHeight="1" x14ac:dyDescent="0.25">
      <c r="B382" s="67" t="e">
        <f t="shared" si="39"/>
        <v>#REF!</v>
      </c>
      <c r="C382" s="76" t="e">
        <f t="shared" si="40"/>
        <v>#REF!</v>
      </c>
    </row>
    <row r="383" spans="2:3" ht="15.75" customHeight="1" x14ac:dyDescent="0.25">
      <c r="B383" s="67" t="e">
        <f t="shared" si="39"/>
        <v>#REF!</v>
      </c>
      <c r="C383" s="76" t="e">
        <f t="shared" si="40"/>
        <v>#REF!</v>
      </c>
    </row>
    <row r="384" spans="2:3" ht="15.75" customHeight="1" x14ac:dyDescent="0.25">
      <c r="B384" s="67" t="e">
        <f t="shared" si="39"/>
        <v>#REF!</v>
      </c>
      <c r="C384" s="76" t="e">
        <f t="shared" si="40"/>
        <v>#REF!</v>
      </c>
    </row>
    <row r="385" spans="2:3" ht="15.75" customHeight="1" x14ac:dyDescent="0.25">
      <c r="B385" s="67" t="e">
        <f t="shared" si="39"/>
        <v>#REF!</v>
      </c>
      <c r="C385" s="76" t="e">
        <f t="shared" si="40"/>
        <v>#REF!</v>
      </c>
    </row>
    <row r="386" spans="2:3" ht="15.75" customHeight="1" x14ac:dyDescent="0.25">
      <c r="B386" s="67" t="e">
        <f t="shared" si="39"/>
        <v>#REF!</v>
      </c>
      <c r="C386" s="76" t="e">
        <f t="shared" si="40"/>
        <v>#REF!</v>
      </c>
    </row>
    <row r="387" spans="2:3" ht="15.75" customHeight="1" x14ac:dyDescent="0.25">
      <c r="B387" s="67" t="e">
        <f t="shared" si="39"/>
        <v>#REF!</v>
      </c>
      <c r="C387" s="76" t="e">
        <f t="shared" si="40"/>
        <v>#REF!</v>
      </c>
    </row>
    <row r="388" spans="2:3" ht="15.75" customHeight="1" x14ac:dyDescent="0.25">
      <c r="B388" s="67" t="e">
        <f t="shared" si="39"/>
        <v>#REF!</v>
      </c>
      <c r="C388" s="76" t="e">
        <f t="shared" si="40"/>
        <v>#REF!</v>
      </c>
    </row>
    <row r="389" spans="2:3" ht="15.75" customHeight="1" x14ac:dyDescent="0.25">
      <c r="B389" s="67" t="e">
        <f t="shared" si="39"/>
        <v>#REF!</v>
      </c>
      <c r="C389" s="76" t="e">
        <f t="shared" si="40"/>
        <v>#REF!</v>
      </c>
    </row>
    <row r="390" spans="2:3" ht="15.75" customHeight="1" x14ac:dyDescent="0.25">
      <c r="B390" s="67" t="e">
        <f t="shared" si="39"/>
        <v>#REF!</v>
      </c>
      <c r="C390" s="76" t="e">
        <f t="shared" si="40"/>
        <v>#REF!</v>
      </c>
    </row>
    <row r="391" spans="2:3" ht="15.75" customHeight="1" x14ac:dyDescent="0.25">
      <c r="B391" s="67" t="e">
        <f t="shared" si="39"/>
        <v>#REF!</v>
      </c>
      <c r="C391" s="76" t="e">
        <f t="shared" si="40"/>
        <v>#REF!</v>
      </c>
    </row>
    <row r="392" spans="2:3" ht="15.75" customHeight="1" x14ac:dyDescent="0.25">
      <c r="B392" s="67" t="e">
        <f t="shared" si="39"/>
        <v>#REF!</v>
      </c>
      <c r="C392" s="76" t="e">
        <f t="shared" si="40"/>
        <v>#REF!</v>
      </c>
    </row>
    <row r="393" spans="2:3" ht="15.75" customHeight="1" x14ac:dyDescent="0.25">
      <c r="B393" s="67" t="e">
        <f t="shared" si="39"/>
        <v>#REF!</v>
      </c>
      <c r="C393" s="76" t="e">
        <f t="shared" si="40"/>
        <v>#REF!</v>
      </c>
    </row>
    <row r="394" spans="2:3" ht="15.75" customHeight="1" x14ac:dyDescent="0.25">
      <c r="B394" s="67" t="e">
        <f t="shared" si="39"/>
        <v>#REF!</v>
      </c>
      <c r="C394" s="76" t="e">
        <f t="shared" si="40"/>
        <v>#REF!</v>
      </c>
    </row>
    <row r="395" spans="2:3" ht="15.75" customHeight="1" x14ac:dyDescent="0.25">
      <c r="B395" s="67" t="e">
        <f t="shared" si="39"/>
        <v>#REF!</v>
      </c>
      <c r="C395" s="76" t="e">
        <f t="shared" si="40"/>
        <v>#REF!</v>
      </c>
    </row>
    <row r="396" spans="2:3" ht="15.75" customHeight="1" x14ac:dyDescent="0.25">
      <c r="B396" s="67" t="e">
        <f t="shared" si="39"/>
        <v>#REF!</v>
      </c>
      <c r="C396" s="76" t="e">
        <f t="shared" si="40"/>
        <v>#REF!</v>
      </c>
    </row>
    <row r="397" spans="2:3" ht="15.75" customHeight="1" x14ac:dyDescent="0.25">
      <c r="B397" s="67" t="e">
        <f t="shared" si="39"/>
        <v>#REF!</v>
      </c>
      <c r="C397" s="76" t="e">
        <f t="shared" si="40"/>
        <v>#REF!</v>
      </c>
    </row>
    <row r="398" spans="2:3" ht="15.75" customHeight="1" x14ac:dyDescent="0.25">
      <c r="B398" s="67" t="e">
        <f t="shared" si="39"/>
        <v>#REF!</v>
      </c>
      <c r="C398" s="76" t="e">
        <f t="shared" si="40"/>
        <v>#REF!</v>
      </c>
    </row>
    <row r="399" spans="2:3" ht="15.75" customHeight="1" x14ac:dyDescent="0.25">
      <c r="B399" s="67" t="e">
        <f t="shared" si="39"/>
        <v>#REF!</v>
      </c>
      <c r="C399" s="76" t="e">
        <f t="shared" si="40"/>
        <v>#REF!</v>
      </c>
    </row>
    <row r="400" spans="2:3" ht="15.75" customHeight="1" x14ac:dyDescent="0.25">
      <c r="B400" s="67" t="e">
        <f t="shared" si="39"/>
        <v>#REF!</v>
      </c>
      <c r="C400" s="76" t="e">
        <f t="shared" si="40"/>
        <v>#REF!</v>
      </c>
    </row>
    <row r="401" spans="2:3" ht="15.75" customHeight="1" x14ac:dyDescent="0.25">
      <c r="B401" s="67" t="e">
        <f t="shared" si="39"/>
        <v>#REF!</v>
      </c>
      <c r="C401" s="76" t="e">
        <f t="shared" si="40"/>
        <v>#REF!</v>
      </c>
    </row>
    <row r="402" spans="2:3" ht="15.75" customHeight="1" x14ac:dyDescent="0.25">
      <c r="B402" s="67" t="e">
        <f t="shared" si="39"/>
        <v>#REF!</v>
      </c>
      <c r="C402" s="76" t="e">
        <f t="shared" si="40"/>
        <v>#REF!</v>
      </c>
    </row>
    <row r="403" spans="2:3" ht="15.75" customHeight="1" x14ac:dyDescent="0.25">
      <c r="B403" s="67" t="e">
        <f t="shared" si="39"/>
        <v>#REF!</v>
      </c>
      <c r="C403" s="76" t="e">
        <f t="shared" si="40"/>
        <v>#REF!</v>
      </c>
    </row>
    <row r="404" spans="2:3" ht="15.75" customHeight="1" x14ac:dyDescent="0.25">
      <c r="B404" s="67" t="e">
        <f t="shared" si="39"/>
        <v>#REF!</v>
      </c>
      <c r="C404" s="76" t="e">
        <f t="shared" si="40"/>
        <v>#REF!</v>
      </c>
    </row>
    <row r="405" spans="2:3" ht="15.75" customHeight="1" x14ac:dyDescent="0.25">
      <c r="B405" s="67" t="e">
        <f t="shared" si="39"/>
        <v>#REF!</v>
      </c>
      <c r="C405" s="76" t="e">
        <f t="shared" si="40"/>
        <v>#REF!</v>
      </c>
    </row>
    <row r="406" spans="2:3" ht="15.75" customHeight="1" x14ac:dyDescent="0.25">
      <c r="B406" s="67" t="e">
        <f t="shared" si="39"/>
        <v>#REF!</v>
      </c>
      <c r="C406" s="76" t="e">
        <f t="shared" si="40"/>
        <v>#REF!</v>
      </c>
    </row>
    <row r="407" spans="2:3" ht="15.75" customHeight="1" x14ac:dyDescent="0.25">
      <c r="B407" s="67" t="e">
        <f t="shared" si="39"/>
        <v>#REF!</v>
      </c>
      <c r="C407" s="76" t="e">
        <f t="shared" si="40"/>
        <v>#REF!</v>
      </c>
    </row>
    <row r="408" spans="2:3" ht="15.75" customHeight="1" x14ac:dyDescent="0.25">
      <c r="B408" s="67" t="e">
        <f t="shared" si="39"/>
        <v>#REF!</v>
      </c>
      <c r="C408" s="76" t="e">
        <f t="shared" si="40"/>
        <v>#REF!</v>
      </c>
    </row>
    <row r="409" spans="2:3" ht="15.75" customHeight="1" x14ac:dyDescent="0.25">
      <c r="B409" s="67" t="e">
        <f t="shared" si="39"/>
        <v>#REF!</v>
      </c>
      <c r="C409" s="76" t="e">
        <f t="shared" si="40"/>
        <v>#REF!</v>
      </c>
    </row>
    <row r="410" spans="2:3" ht="15.75" customHeight="1" x14ac:dyDescent="0.25">
      <c r="B410" s="67" t="e">
        <f t="shared" si="39"/>
        <v>#REF!</v>
      </c>
      <c r="C410" s="76" t="e">
        <f t="shared" si="40"/>
        <v>#REF!</v>
      </c>
    </row>
    <row r="411" spans="2:3" ht="15.75" customHeight="1" x14ac:dyDescent="0.25">
      <c r="B411" s="67" t="e">
        <f t="shared" si="39"/>
        <v>#REF!</v>
      </c>
      <c r="C411" s="76" t="e">
        <f t="shared" si="40"/>
        <v>#REF!</v>
      </c>
    </row>
    <row r="412" spans="2:3" ht="15.75" customHeight="1" x14ac:dyDescent="0.25">
      <c r="B412" s="67" t="e">
        <f t="shared" si="39"/>
        <v>#REF!</v>
      </c>
      <c r="C412" s="76" t="e">
        <f t="shared" si="40"/>
        <v>#REF!</v>
      </c>
    </row>
    <row r="413" spans="2:3" ht="15.75" customHeight="1" x14ac:dyDescent="0.25">
      <c r="B413" s="67" t="e">
        <f t="shared" si="39"/>
        <v>#REF!</v>
      </c>
      <c r="C413" s="76" t="e">
        <f t="shared" si="40"/>
        <v>#REF!</v>
      </c>
    </row>
    <row r="414" spans="2:3" ht="15.75" customHeight="1" x14ac:dyDescent="0.25">
      <c r="B414" s="67" t="e">
        <f t="shared" ref="B414:B477" si="41">IF(B413="","",IF(B413+$C$10&lt;=$C$6,B413+$C$10,""))</f>
        <v>#REF!</v>
      </c>
      <c r="C414" s="76" t="e">
        <f t="shared" ref="C414:C477" si="42">IF(B414&lt;&gt;"",C413-$C$2/COUNT($B$18:$B$511),"")</f>
        <v>#REF!</v>
      </c>
    </row>
    <row r="415" spans="2:3" ht="15.75" customHeight="1" x14ac:dyDescent="0.25">
      <c r="B415" s="67" t="e">
        <f t="shared" si="41"/>
        <v>#REF!</v>
      </c>
      <c r="C415" s="76" t="e">
        <f t="shared" si="42"/>
        <v>#REF!</v>
      </c>
    </row>
    <row r="416" spans="2:3" ht="15.75" customHeight="1" x14ac:dyDescent="0.25">
      <c r="B416" s="67" t="e">
        <f t="shared" si="41"/>
        <v>#REF!</v>
      </c>
      <c r="C416" s="76" t="e">
        <f t="shared" si="42"/>
        <v>#REF!</v>
      </c>
    </row>
    <row r="417" spans="2:3" ht="15.75" customHeight="1" x14ac:dyDescent="0.25">
      <c r="B417" s="67" t="e">
        <f t="shared" si="41"/>
        <v>#REF!</v>
      </c>
      <c r="C417" s="76" t="e">
        <f t="shared" si="42"/>
        <v>#REF!</v>
      </c>
    </row>
    <row r="418" spans="2:3" ht="15.75" customHeight="1" x14ac:dyDescent="0.25">
      <c r="B418" s="67" t="e">
        <f t="shared" si="41"/>
        <v>#REF!</v>
      </c>
      <c r="C418" s="76" t="e">
        <f t="shared" si="42"/>
        <v>#REF!</v>
      </c>
    </row>
    <row r="419" spans="2:3" ht="15.75" customHeight="1" x14ac:dyDescent="0.25">
      <c r="B419" s="67" t="e">
        <f t="shared" si="41"/>
        <v>#REF!</v>
      </c>
      <c r="C419" s="76" t="e">
        <f t="shared" si="42"/>
        <v>#REF!</v>
      </c>
    </row>
    <row r="420" spans="2:3" ht="15.75" customHeight="1" x14ac:dyDescent="0.25">
      <c r="B420" s="67" t="e">
        <f t="shared" si="41"/>
        <v>#REF!</v>
      </c>
      <c r="C420" s="76" t="e">
        <f t="shared" si="42"/>
        <v>#REF!</v>
      </c>
    </row>
    <row r="421" spans="2:3" ht="15.75" customHeight="1" x14ac:dyDescent="0.25">
      <c r="B421" s="67" t="e">
        <f t="shared" si="41"/>
        <v>#REF!</v>
      </c>
      <c r="C421" s="76" t="e">
        <f t="shared" si="42"/>
        <v>#REF!</v>
      </c>
    </row>
    <row r="422" spans="2:3" ht="15.75" customHeight="1" x14ac:dyDescent="0.25">
      <c r="B422" s="67" t="e">
        <f t="shared" si="41"/>
        <v>#REF!</v>
      </c>
      <c r="C422" s="76" t="e">
        <f t="shared" si="42"/>
        <v>#REF!</v>
      </c>
    </row>
    <row r="423" spans="2:3" ht="15.75" customHeight="1" x14ac:dyDescent="0.25">
      <c r="B423" s="67" t="e">
        <f t="shared" si="41"/>
        <v>#REF!</v>
      </c>
      <c r="C423" s="76" t="e">
        <f t="shared" si="42"/>
        <v>#REF!</v>
      </c>
    </row>
    <row r="424" spans="2:3" ht="15.75" customHeight="1" x14ac:dyDescent="0.25">
      <c r="B424" s="67" t="e">
        <f t="shared" si="41"/>
        <v>#REF!</v>
      </c>
      <c r="C424" s="76" t="e">
        <f t="shared" si="42"/>
        <v>#REF!</v>
      </c>
    </row>
    <row r="425" spans="2:3" ht="15.75" customHeight="1" x14ac:dyDescent="0.25">
      <c r="B425" s="67" t="e">
        <f t="shared" si="41"/>
        <v>#REF!</v>
      </c>
      <c r="C425" s="76" t="e">
        <f t="shared" si="42"/>
        <v>#REF!</v>
      </c>
    </row>
    <row r="426" spans="2:3" ht="15.75" customHeight="1" x14ac:dyDescent="0.25">
      <c r="B426" s="67" t="e">
        <f t="shared" si="41"/>
        <v>#REF!</v>
      </c>
      <c r="C426" s="76" t="e">
        <f t="shared" si="42"/>
        <v>#REF!</v>
      </c>
    </row>
    <row r="427" spans="2:3" ht="15.75" customHeight="1" x14ac:dyDescent="0.25">
      <c r="B427" s="67" t="e">
        <f t="shared" si="41"/>
        <v>#REF!</v>
      </c>
      <c r="C427" s="76" t="e">
        <f t="shared" si="42"/>
        <v>#REF!</v>
      </c>
    </row>
    <row r="428" spans="2:3" ht="15.75" customHeight="1" x14ac:dyDescent="0.25">
      <c r="B428" s="67" t="e">
        <f t="shared" si="41"/>
        <v>#REF!</v>
      </c>
      <c r="C428" s="76" t="e">
        <f t="shared" si="42"/>
        <v>#REF!</v>
      </c>
    </row>
    <row r="429" spans="2:3" ht="15.75" customHeight="1" x14ac:dyDescent="0.25">
      <c r="B429" s="67" t="e">
        <f t="shared" si="41"/>
        <v>#REF!</v>
      </c>
      <c r="C429" s="76" t="e">
        <f t="shared" si="42"/>
        <v>#REF!</v>
      </c>
    </row>
    <row r="430" spans="2:3" ht="15.75" customHeight="1" x14ac:dyDescent="0.25">
      <c r="B430" s="67" t="e">
        <f t="shared" si="41"/>
        <v>#REF!</v>
      </c>
      <c r="C430" s="76" t="e">
        <f t="shared" si="42"/>
        <v>#REF!</v>
      </c>
    </row>
    <row r="431" spans="2:3" ht="15.75" customHeight="1" x14ac:dyDescent="0.25">
      <c r="B431" s="67" t="e">
        <f t="shared" si="41"/>
        <v>#REF!</v>
      </c>
      <c r="C431" s="76" t="e">
        <f t="shared" si="42"/>
        <v>#REF!</v>
      </c>
    </row>
    <row r="432" spans="2:3" ht="15.75" customHeight="1" x14ac:dyDescent="0.25">
      <c r="B432" s="67" t="e">
        <f t="shared" si="41"/>
        <v>#REF!</v>
      </c>
      <c r="C432" s="76" t="e">
        <f t="shared" si="42"/>
        <v>#REF!</v>
      </c>
    </row>
    <row r="433" spans="2:3" ht="15.75" customHeight="1" x14ac:dyDescent="0.25">
      <c r="B433" s="67" t="e">
        <f t="shared" si="41"/>
        <v>#REF!</v>
      </c>
      <c r="C433" s="76" t="e">
        <f t="shared" si="42"/>
        <v>#REF!</v>
      </c>
    </row>
    <row r="434" spans="2:3" ht="15.75" customHeight="1" x14ac:dyDescent="0.25">
      <c r="B434" s="67" t="e">
        <f t="shared" si="41"/>
        <v>#REF!</v>
      </c>
      <c r="C434" s="76" t="e">
        <f t="shared" si="42"/>
        <v>#REF!</v>
      </c>
    </row>
    <row r="435" spans="2:3" ht="15.75" customHeight="1" x14ac:dyDescent="0.25">
      <c r="B435" s="67" t="e">
        <f t="shared" si="41"/>
        <v>#REF!</v>
      </c>
      <c r="C435" s="76" t="e">
        <f t="shared" si="42"/>
        <v>#REF!</v>
      </c>
    </row>
    <row r="436" spans="2:3" ht="15.75" customHeight="1" x14ac:dyDescent="0.25">
      <c r="B436" s="67" t="e">
        <f t="shared" si="41"/>
        <v>#REF!</v>
      </c>
      <c r="C436" s="76" t="e">
        <f t="shared" si="42"/>
        <v>#REF!</v>
      </c>
    </row>
    <row r="437" spans="2:3" ht="15.75" customHeight="1" x14ac:dyDescent="0.25">
      <c r="B437" s="67" t="e">
        <f t="shared" si="41"/>
        <v>#REF!</v>
      </c>
      <c r="C437" s="76" t="e">
        <f t="shared" si="42"/>
        <v>#REF!</v>
      </c>
    </row>
    <row r="438" spans="2:3" ht="15.75" customHeight="1" x14ac:dyDescent="0.25">
      <c r="B438" s="67" t="e">
        <f t="shared" si="41"/>
        <v>#REF!</v>
      </c>
      <c r="C438" s="76" t="e">
        <f t="shared" si="42"/>
        <v>#REF!</v>
      </c>
    </row>
    <row r="439" spans="2:3" ht="15.75" customHeight="1" x14ac:dyDescent="0.25">
      <c r="B439" s="67" t="e">
        <f t="shared" si="41"/>
        <v>#REF!</v>
      </c>
      <c r="C439" s="76" t="e">
        <f t="shared" si="42"/>
        <v>#REF!</v>
      </c>
    </row>
    <row r="440" spans="2:3" ht="15.75" customHeight="1" x14ac:dyDescent="0.25">
      <c r="B440" s="67" t="e">
        <f t="shared" si="41"/>
        <v>#REF!</v>
      </c>
      <c r="C440" s="76" t="e">
        <f t="shared" si="42"/>
        <v>#REF!</v>
      </c>
    </row>
    <row r="441" spans="2:3" ht="15.75" customHeight="1" x14ac:dyDescent="0.25">
      <c r="B441" s="67" t="e">
        <f t="shared" si="41"/>
        <v>#REF!</v>
      </c>
      <c r="C441" s="76" t="e">
        <f t="shared" si="42"/>
        <v>#REF!</v>
      </c>
    </row>
    <row r="442" spans="2:3" ht="15.75" customHeight="1" x14ac:dyDescent="0.25">
      <c r="B442" s="67" t="e">
        <f t="shared" si="41"/>
        <v>#REF!</v>
      </c>
      <c r="C442" s="76" t="e">
        <f t="shared" si="42"/>
        <v>#REF!</v>
      </c>
    </row>
    <row r="443" spans="2:3" ht="15.75" customHeight="1" x14ac:dyDescent="0.25">
      <c r="B443" s="67" t="e">
        <f t="shared" si="41"/>
        <v>#REF!</v>
      </c>
      <c r="C443" s="76" t="e">
        <f t="shared" si="42"/>
        <v>#REF!</v>
      </c>
    </row>
    <row r="444" spans="2:3" ht="15.75" customHeight="1" x14ac:dyDescent="0.25">
      <c r="B444" s="67" t="e">
        <f t="shared" si="41"/>
        <v>#REF!</v>
      </c>
      <c r="C444" s="76" t="e">
        <f t="shared" si="42"/>
        <v>#REF!</v>
      </c>
    </row>
    <row r="445" spans="2:3" ht="15.75" customHeight="1" x14ac:dyDescent="0.25">
      <c r="B445" s="67" t="e">
        <f t="shared" si="41"/>
        <v>#REF!</v>
      </c>
      <c r="C445" s="76" t="e">
        <f t="shared" si="42"/>
        <v>#REF!</v>
      </c>
    </row>
    <row r="446" spans="2:3" ht="15.75" customHeight="1" x14ac:dyDescent="0.25">
      <c r="B446" s="67" t="e">
        <f t="shared" si="41"/>
        <v>#REF!</v>
      </c>
      <c r="C446" s="76" t="e">
        <f t="shared" si="42"/>
        <v>#REF!</v>
      </c>
    </row>
    <row r="447" spans="2:3" ht="15.75" customHeight="1" x14ac:dyDescent="0.25">
      <c r="B447" s="67" t="e">
        <f t="shared" si="41"/>
        <v>#REF!</v>
      </c>
      <c r="C447" s="76" t="e">
        <f t="shared" si="42"/>
        <v>#REF!</v>
      </c>
    </row>
    <row r="448" spans="2:3" ht="15.75" customHeight="1" x14ac:dyDescent="0.25">
      <c r="B448" s="67" t="e">
        <f t="shared" si="41"/>
        <v>#REF!</v>
      </c>
      <c r="C448" s="76" t="e">
        <f t="shared" si="42"/>
        <v>#REF!</v>
      </c>
    </row>
    <row r="449" spans="2:3" ht="15.75" customHeight="1" x14ac:dyDescent="0.25">
      <c r="B449" s="67" t="e">
        <f t="shared" si="41"/>
        <v>#REF!</v>
      </c>
      <c r="C449" s="76" t="e">
        <f t="shared" si="42"/>
        <v>#REF!</v>
      </c>
    </row>
    <row r="450" spans="2:3" ht="15.75" customHeight="1" x14ac:dyDescent="0.25">
      <c r="B450" s="67" t="e">
        <f t="shared" si="41"/>
        <v>#REF!</v>
      </c>
      <c r="C450" s="76" t="e">
        <f t="shared" si="42"/>
        <v>#REF!</v>
      </c>
    </row>
    <row r="451" spans="2:3" ht="15.75" customHeight="1" x14ac:dyDescent="0.25">
      <c r="B451" s="67" t="e">
        <f t="shared" si="41"/>
        <v>#REF!</v>
      </c>
      <c r="C451" s="76" t="e">
        <f t="shared" si="42"/>
        <v>#REF!</v>
      </c>
    </row>
    <row r="452" spans="2:3" ht="15.75" customHeight="1" x14ac:dyDescent="0.25">
      <c r="B452" s="67" t="e">
        <f t="shared" si="41"/>
        <v>#REF!</v>
      </c>
      <c r="C452" s="76" t="e">
        <f t="shared" si="42"/>
        <v>#REF!</v>
      </c>
    </row>
    <row r="453" spans="2:3" ht="15.75" customHeight="1" x14ac:dyDescent="0.25">
      <c r="B453" s="67" t="e">
        <f t="shared" si="41"/>
        <v>#REF!</v>
      </c>
      <c r="C453" s="76" t="e">
        <f t="shared" si="42"/>
        <v>#REF!</v>
      </c>
    </row>
    <row r="454" spans="2:3" ht="15.75" customHeight="1" x14ac:dyDescent="0.25">
      <c r="B454" s="67" t="e">
        <f t="shared" si="41"/>
        <v>#REF!</v>
      </c>
      <c r="C454" s="76" t="e">
        <f t="shared" si="42"/>
        <v>#REF!</v>
      </c>
    </row>
    <row r="455" spans="2:3" ht="15.75" customHeight="1" x14ac:dyDescent="0.25">
      <c r="B455" s="67" t="e">
        <f t="shared" si="41"/>
        <v>#REF!</v>
      </c>
      <c r="C455" s="76" t="e">
        <f t="shared" si="42"/>
        <v>#REF!</v>
      </c>
    </row>
    <row r="456" spans="2:3" ht="15.75" customHeight="1" x14ac:dyDescent="0.25">
      <c r="B456" s="67" t="e">
        <f t="shared" si="41"/>
        <v>#REF!</v>
      </c>
      <c r="C456" s="76" t="e">
        <f t="shared" si="42"/>
        <v>#REF!</v>
      </c>
    </row>
    <row r="457" spans="2:3" ht="15.75" customHeight="1" x14ac:dyDescent="0.25">
      <c r="B457" s="67" t="e">
        <f t="shared" si="41"/>
        <v>#REF!</v>
      </c>
      <c r="C457" s="76" t="e">
        <f t="shared" si="42"/>
        <v>#REF!</v>
      </c>
    </row>
    <row r="458" spans="2:3" ht="15.75" customHeight="1" x14ac:dyDescent="0.25">
      <c r="B458" s="67" t="e">
        <f t="shared" si="41"/>
        <v>#REF!</v>
      </c>
      <c r="C458" s="76" t="e">
        <f t="shared" si="42"/>
        <v>#REF!</v>
      </c>
    </row>
    <row r="459" spans="2:3" ht="15.75" customHeight="1" x14ac:dyDescent="0.25">
      <c r="B459" s="67" t="e">
        <f t="shared" si="41"/>
        <v>#REF!</v>
      </c>
      <c r="C459" s="76" t="e">
        <f t="shared" si="42"/>
        <v>#REF!</v>
      </c>
    </row>
    <row r="460" spans="2:3" ht="15.75" customHeight="1" x14ac:dyDescent="0.25">
      <c r="B460" s="67" t="e">
        <f t="shared" si="41"/>
        <v>#REF!</v>
      </c>
      <c r="C460" s="76" t="e">
        <f t="shared" si="42"/>
        <v>#REF!</v>
      </c>
    </row>
    <row r="461" spans="2:3" ht="15.75" customHeight="1" x14ac:dyDescent="0.25">
      <c r="B461" s="67" t="e">
        <f t="shared" si="41"/>
        <v>#REF!</v>
      </c>
      <c r="C461" s="76" t="e">
        <f t="shared" si="42"/>
        <v>#REF!</v>
      </c>
    </row>
    <row r="462" spans="2:3" ht="15.75" customHeight="1" x14ac:dyDescent="0.25">
      <c r="B462" s="67" t="e">
        <f t="shared" si="41"/>
        <v>#REF!</v>
      </c>
      <c r="C462" s="76" t="e">
        <f t="shared" si="42"/>
        <v>#REF!</v>
      </c>
    </row>
    <row r="463" spans="2:3" ht="15.75" customHeight="1" x14ac:dyDescent="0.25">
      <c r="B463" s="67" t="e">
        <f t="shared" si="41"/>
        <v>#REF!</v>
      </c>
      <c r="C463" s="76" t="e">
        <f t="shared" si="42"/>
        <v>#REF!</v>
      </c>
    </row>
    <row r="464" spans="2:3" ht="15.75" customHeight="1" x14ac:dyDescent="0.25">
      <c r="B464" s="67" t="e">
        <f t="shared" si="41"/>
        <v>#REF!</v>
      </c>
      <c r="C464" s="76" t="e">
        <f t="shared" si="42"/>
        <v>#REF!</v>
      </c>
    </row>
    <row r="465" spans="2:3" ht="15.75" customHeight="1" x14ac:dyDescent="0.25">
      <c r="B465" s="67" t="e">
        <f t="shared" si="41"/>
        <v>#REF!</v>
      </c>
      <c r="C465" s="76" t="e">
        <f t="shared" si="42"/>
        <v>#REF!</v>
      </c>
    </row>
    <row r="466" spans="2:3" ht="15.75" customHeight="1" x14ac:dyDescent="0.25">
      <c r="B466" s="67" t="e">
        <f t="shared" si="41"/>
        <v>#REF!</v>
      </c>
      <c r="C466" s="76" t="e">
        <f t="shared" si="42"/>
        <v>#REF!</v>
      </c>
    </row>
    <row r="467" spans="2:3" ht="15.75" customHeight="1" x14ac:dyDescent="0.25">
      <c r="B467" s="67" t="e">
        <f t="shared" si="41"/>
        <v>#REF!</v>
      </c>
      <c r="C467" s="76" t="e">
        <f t="shared" si="42"/>
        <v>#REF!</v>
      </c>
    </row>
    <row r="468" spans="2:3" ht="15.75" customHeight="1" x14ac:dyDescent="0.25">
      <c r="B468" s="67" t="e">
        <f t="shared" si="41"/>
        <v>#REF!</v>
      </c>
      <c r="C468" s="76" t="e">
        <f t="shared" si="42"/>
        <v>#REF!</v>
      </c>
    </row>
    <row r="469" spans="2:3" ht="15.75" customHeight="1" x14ac:dyDescent="0.25">
      <c r="B469" s="67" t="e">
        <f t="shared" si="41"/>
        <v>#REF!</v>
      </c>
      <c r="C469" s="76" t="e">
        <f t="shared" si="42"/>
        <v>#REF!</v>
      </c>
    </row>
    <row r="470" spans="2:3" ht="15.75" customHeight="1" x14ac:dyDescent="0.25">
      <c r="B470" s="67" t="e">
        <f t="shared" si="41"/>
        <v>#REF!</v>
      </c>
      <c r="C470" s="76" t="e">
        <f t="shared" si="42"/>
        <v>#REF!</v>
      </c>
    </row>
    <row r="471" spans="2:3" ht="15.75" customHeight="1" x14ac:dyDescent="0.25">
      <c r="B471" s="67" t="e">
        <f t="shared" si="41"/>
        <v>#REF!</v>
      </c>
      <c r="C471" s="76" t="e">
        <f t="shared" si="42"/>
        <v>#REF!</v>
      </c>
    </row>
    <row r="472" spans="2:3" ht="15.75" customHeight="1" x14ac:dyDescent="0.25">
      <c r="B472" s="67" t="e">
        <f t="shared" si="41"/>
        <v>#REF!</v>
      </c>
      <c r="C472" s="76" t="e">
        <f t="shared" si="42"/>
        <v>#REF!</v>
      </c>
    </row>
    <row r="473" spans="2:3" ht="15.75" customHeight="1" x14ac:dyDescent="0.25">
      <c r="B473" s="67" t="e">
        <f t="shared" si="41"/>
        <v>#REF!</v>
      </c>
      <c r="C473" s="76" t="e">
        <f t="shared" si="42"/>
        <v>#REF!</v>
      </c>
    </row>
    <row r="474" spans="2:3" ht="15.75" customHeight="1" x14ac:dyDescent="0.25">
      <c r="B474" s="67" t="e">
        <f t="shared" si="41"/>
        <v>#REF!</v>
      </c>
      <c r="C474" s="76" t="e">
        <f t="shared" si="42"/>
        <v>#REF!</v>
      </c>
    </row>
    <row r="475" spans="2:3" ht="15.75" customHeight="1" x14ac:dyDescent="0.25">
      <c r="B475" s="67" t="e">
        <f t="shared" si="41"/>
        <v>#REF!</v>
      </c>
      <c r="C475" s="76" t="e">
        <f t="shared" si="42"/>
        <v>#REF!</v>
      </c>
    </row>
    <row r="476" spans="2:3" ht="15.75" customHeight="1" x14ac:dyDescent="0.25">
      <c r="B476" s="67" t="e">
        <f t="shared" si="41"/>
        <v>#REF!</v>
      </c>
      <c r="C476" s="76" t="e">
        <f t="shared" si="42"/>
        <v>#REF!</v>
      </c>
    </row>
    <row r="477" spans="2:3" ht="15.75" customHeight="1" x14ac:dyDescent="0.25">
      <c r="B477" s="67" t="e">
        <f t="shared" si="41"/>
        <v>#REF!</v>
      </c>
      <c r="C477" s="76" t="e">
        <f t="shared" si="42"/>
        <v>#REF!</v>
      </c>
    </row>
    <row r="478" spans="2:3" ht="15.75" customHeight="1" x14ac:dyDescent="0.25">
      <c r="B478" s="67" t="e">
        <f t="shared" ref="B478:B512" si="43">IF(B477="","",IF(B477+$C$10&lt;=$C$6,B477+$C$10,""))</f>
        <v>#REF!</v>
      </c>
      <c r="C478" s="76" t="e">
        <f t="shared" ref="C478:C512" si="44">IF(B478&lt;&gt;"",C477-$C$2/COUNT($B$18:$B$511),"")</f>
        <v>#REF!</v>
      </c>
    </row>
    <row r="479" spans="2:3" ht="15.75" customHeight="1" x14ac:dyDescent="0.25">
      <c r="B479" s="67" t="e">
        <f t="shared" si="43"/>
        <v>#REF!</v>
      </c>
      <c r="C479" s="76" t="e">
        <f t="shared" si="44"/>
        <v>#REF!</v>
      </c>
    </row>
    <row r="480" spans="2:3" ht="15.75" customHeight="1" x14ac:dyDescent="0.25">
      <c r="B480" s="67" t="e">
        <f t="shared" si="43"/>
        <v>#REF!</v>
      </c>
      <c r="C480" s="76" t="e">
        <f t="shared" si="44"/>
        <v>#REF!</v>
      </c>
    </row>
    <row r="481" spans="2:3" ht="15.75" customHeight="1" x14ac:dyDescent="0.25">
      <c r="B481" s="67" t="e">
        <f t="shared" si="43"/>
        <v>#REF!</v>
      </c>
      <c r="C481" s="76" t="e">
        <f t="shared" si="44"/>
        <v>#REF!</v>
      </c>
    </row>
    <row r="482" spans="2:3" ht="15.75" customHeight="1" x14ac:dyDescent="0.25">
      <c r="B482" s="67" t="e">
        <f t="shared" si="43"/>
        <v>#REF!</v>
      </c>
      <c r="C482" s="76" t="e">
        <f t="shared" si="44"/>
        <v>#REF!</v>
      </c>
    </row>
    <row r="483" spans="2:3" ht="15.75" customHeight="1" x14ac:dyDescent="0.25">
      <c r="B483" s="67" t="e">
        <f t="shared" si="43"/>
        <v>#REF!</v>
      </c>
      <c r="C483" s="76" t="e">
        <f t="shared" si="44"/>
        <v>#REF!</v>
      </c>
    </row>
    <row r="484" spans="2:3" ht="15.75" customHeight="1" x14ac:dyDescent="0.25">
      <c r="B484" s="67" t="e">
        <f t="shared" si="43"/>
        <v>#REF!</v>
      </c>
      <c r="C484" s="76" t="e">
        <f t="shared" si="44"/>
        <v>#REF!</v>
      </c>
    </row>
    <row r="485" spans="2:3" ht="15.75" customHeight="1" x14ac:dyDescent="0.25">
      <c r="B485" s="67" t="e">
        <f t="shared" si="43"/>
        <v>#REF!</v>
      </c>
      <c r="C485" s="76" t="e">
        <f t="shared" si="44"/>
        <v>#REF!</v>
      </c>
    </row>
    <row r="486" spans="2:3" ht="15.75" customHeight="1" x14ac:dyDescent="0.25">
      <c r="B486" s="67" t="e">
        <f t="shared" si="43"/>
        <v>#REF!</v>
      </c>
      <c r="C486" s="76" t="e">
        <f t="shared" si="44"/>
        <v>#REF!</v>
      </c>
    </row>
    <row r="487" spans="2:3" ht="15.75" customHeight="1" x14ac:dyDescent="0.25">
      <c r="B487" s="67" t="e">
        <f t="shared" si="43"/>
        <v>#REF!</v>
      </c>
      <c r="C487" s="76" t="e">
        <f t="shared" si="44"/>
        <v>#REF!</v>
      </c>
    </row>
    <row r="488" spans="2:3" ht="15.75" customHeight="1" x14ac:dyDescent="0.25">
      <c r="B488" s="67" t="e">
        <f t="shared" si="43"/>
        <v>#REF!</v>
      </c>
      <c r="C488" s="76" t="e">
        <f t="shared" si="44"/>
        <v>#REF!</v>
      </c>
    </row>
    <row r="489" spans="2:3" ht="15.75" customHeight="1" x14ac:dyDescent="0.25">
      <c r="B489" s="67" t="e">
        <f t="shared" si="43"/>
        <v>#REF!</v>
      </c>
      <c r="C489" s="76" t="e">
        <f t="shared" si="44"/>
        <v>#REF!</v>
      </c>
    </row>
    <row r="490" spans="2:3" ht="15.75" customHeight="1" x14ac:dyDescent="0.25">
      <c r="B490" s="67" t="e">
        <f t="shared" si="43"/>
        <v>#REF!</v>
      </c>
      <c r="C490" s="76" t="e">
        <f t="shared" si="44"/>
        <v>#REF!</v>
      </c>
    </row>
    <row r="491" spans="2:3" ht="15.75" customHeight="1" x14ac:dyDescent="0.25">
      <c r="B491" s="67" t="e">
        <f t="shared" si="43"/>
        <v>#REF!</v>
      </c>
      <c r="C491" s="76" t="e">
        <f t="shared" si="44"/>
        <v>#REF!</v>
      </c>
    </row>
    <row r="492" spans="2:3" ht="15.75" customHeight="1" x14ac:dyDescent="0.25">
      <c r="B492" s="67" t="e">
        <f t="shared" si="43"/>
        <v>#REF!</v>
      </c>
      <c r="C492" s="76" t="e">
        <f t="shared" si="44"/>
        <v>#REF!</v>
      </c>
    </row>
    <row r="493" spans="2:3" ht="15.75" customHeight="1" x14ac:dyDescent="0.25">
      <c r="B493" s="67" t="e">
        <f t="shared" si="43"/>
        <v>#REF!</v>
      </c>
      <c r="C493" s="76" t="e">
        <f t="shared" si="44"/>
        <v>#REF!</v>
      </c>
    </row>
    <row r="494" spans="2:3" ht="15.75" customHeight="1" x14ac:dyDescent="0.25">
      <c r="B494" s="67" t="e">
        <f t="shared" si="43"/>
        <v>#REF!</v>
      </c>
      <c r="C494" s="76" t="e">
        <f t="shared" si="44"/>
        <v>#REF!</v>
      </c>
    </row>
    <row r="495" spans="2:3" ht="15.75" customHeight="1" x14ac:dyDescent="0.25">
      <c r="B495" s="67" t="e">
        <f t="shared" si="43"/>
        <v>#REF!</v>
      </c>
      <c r="C495" s="76" t="e">
        <f t="shared" si="44"/>
        <v>#REF!</v>
      </c>
    </row>
    <row r="496" spans="2:3" ht="15.75" customHeight="1" x14ac:dyDescent="0.25">
      <c r="B496" s="67" t="e">
        <f t="shared" si="43"/>
        <v>#REF!</v>
      </c>
      <c r="C496" s="76" t="e">
        <f t="shared" si="44"/>
        <v>#REF!</v>
      </c>
    </row>
    <row r="497" spans="2:3" ht="15.75" customHeight="1" x14ac:dyDescent="0.25">
      <c r="B497" s="67" t="e">
        <f t="shared" si="43"/>
        <v>#REF!</v>
      </c>
      <c r="C497" s="76" t="e">
        <f t="shared" si="44"/>
        <v>#REF!</v>
      </c>
    </row>
    <row r="498" spans="2:3" ht="15.75" customHeight="1" x14ac:dyDescent="0.25">
      <c r="B498" s="67" t="e">
        <f t="shared" si="43"/>
        <v>#REF!</v>
      </c>
      <c r="C498" s="76" t="e">
        <f t="shared" si="44"/>
        <v>#REF!</v>
      </c>
    </row>
    <row r="499" spans="2:3" ht="15.75" customHeight="1" x14ac:dyDescent="0.25">
      <c r="B499" s="67" t="e">
        <f t="shared" si="43"/>
        <v>#REF!</v>
      </c>
      <c r="C499" s="76" t="e">
        <f t="shared" si="44"/>
        <v>#REF!</v>
      </c>
    </row>
    <row r="500" spans="2:3" ht="15.75" customHeight="1" x14ac:dyDescent="0.25">
      <c r="B500" s="67" t="e">
        <f t="shared" si="43"/>
        <v>#REF!</v>
      </c>
      <c r="C500" s="76" t="e">
        <f t="shared" si="44"/>
        <v>#REF!</v>
      </c>
    </row>
    <row r="501" spans="2:3" ht="15.75" customHeight="1" x14ac:dyDescent="0.25">
      <c r="B501" s="67" t="e">
        <f t="shared" si="43"/>
        <v>#REF!</v>
      </c>
      <c r="C501" s="76" t="e">
        <f t="shared" si="44"/>
        <v>#REF!</v>
      </c>
    </row>
    <row r="502" spans="2:3" ht="15.75" customHeight="1" x14ac:dyDescent="0.25">
      <c r="B502" s="67" t="e">
        <f t="shared" si="43"/>
        <v>#REF!</v>
      </c>
      <c r="C502" s="76" t="e">
        <f t="shared" si="44"/>
        <v>#REF!</v>
      </c>
    </row>
    <row r="503" spans="2:3" ht="15.75" customHeight="1" x14ac:dyDescent="0.25">
      <c r="B503" s="67" t="e">
        <f t="shared" si="43"/>
        <v>#REF!</v>
      </c>
      <c r="C503" s="76" t="e">
        <f t="shared" si="44"/>
        <v>#REF!</v>
      </c>
    </row>
    <row r="504" spans="2:3" ht="15.75" customHeight="1" x14ac:dyDescent="0.25">
      <c r="B504" s="67" t="e">
        <f t="shared" si="43"/>
        <v>#REF!</v>
      </c>
      <c r="C504" s="76" t="e">
        <f t="shared" si="44"/>
        <v>#REF!</v>
      </c>
    </row>
    <row r="505" spans="2:3" ht="15.75" customHeight="1" x14ac:dyDescent="0.25">
      <c r="B505" s="67" t="e">
        <f t="shared" si="43"/>
        <v>#REF!</v>
      </c>
      <c r="C505" s="76" t="e">
        <f t="shared" si="44"/>
        <v>#REF!</v>
      </c>
    </row>
    <row r="506" spans="2:3" ht="15.75" customHeight="1" x14ac:dyDescent="0.25">
      <c r="B506" s="67" t="e">
        <f t="shared" si="43"/>
        <v>#REF!</v>
      </c>
      <c r="C506" s="76" t="e">
        <f t="shared" si="44"/>
        <v>#REF!</v>
      </c>
    </row>
    <row r="507" spans="2:3" ht="15.75" customHeight="1" x14ac:dyDescent="0.25">
      <c r="B507" s="67" t="e">
        <f t="shared" si="43"/>
        <v>#REF!</v>
      </c>
      <c r="C507" s="76" t="e">
        <f t="shared" si="44"/>
        <v>#REF!</v>
      </c>
    </row>
    <row r="508" spans="2:3" ht="15.75" customHeight="1" x14ac:dyDescent="0.25">
      <c r="B508" s="67" t="e">
        <f t="shared" si="43"/>
        <v>#REF!</v>
      </c>
      <c r="C508" s="76" t="e">
        <f t="shared" si="44"/>
        <v>#REF!</v>
      </c>
    </row>
    <row r="509" spans="2:3" ht="15.75" customHeight="1" x14ac:dyDescent="0.25">
      <c r="B509" s="67" t="e">
        <f t="shared" si="43"/>
        <v>#REF!</v>
      </c>
      <c r="C509" s="76" t="e">
        <f t="shared" si="44"/>
        <v>#REF!</v>
      </c>
    </row>
    <row r="510" spans="2:3" ht="15.75" customHeight="1" x14ac:dyDescent="0.25">
      <c r="B510" s="67" t="e">
        <f t="shared" si="43"/>
        <v>#REF!</v>
      </c>
      <c r="C510" s="76" t="e">
        <f t="shared" si="44"/>
        <v>#REF!</v>
      </c>
    </row>
    <row r="511" spans="2:3" ht="15.75" customHeight="1" x14ac:dyDescent="0.25">
      <c r="B511" s="67" t="e">
        <f t="shared" si="43"/>
        <v>#REF!</v>
      </c>
      <c r="C511" s="76" t="e">
        <f t="shared" si="44"/>
        <v>#REF!</v>
      </c>
    </row>
    <row r="512" spans="2:3" ht="15.75" customHeight="1" x14ac:dyDescent="0.25">
      <c r="B512" s="67" t="e">
        <f t="shared" si="43"/>
        <v>#REF!</v>
      </c>
      <c r="C512" s="76" t="e">
        <f t="shared" si="44"/>
        <v>#REF!</v>
      </c>
    </row>
  </sheetData>
  <mergeCells count="3">
    <mergeCell ref="A1:K1"/>
    <mergeCell ref="B13:F13"/>
    <mergeCell ref="G13:L13"/>
  </mergeCells>
  <conditionalFormatting sqref="A15:F15 L15 H15:H68 A16:A40">
    <cfRule type="expression" dxfId="58" priority="13">
      <formula>AND(TODAY()&gt;=$B$15,TODAY()&lt;$B$16)</formula>
    </cfRule>
  </conditionalFormatting>
  <conditionalFormatting sqref="B15:B21 B23:B68">
    <cfRule type="cellIs" dxfId="57" priority="10" operator="greaterThan">
      <formula>$C$6</formula>
    </cfRule>
  </conditionalFormatting>
  <conditionalFormatting sqref="B17:E21 B23:E31 B32:D34 B35:B44 A41:B68 C35:D68">
    <cfRule type="expression" dxfId="56" priority="11">
      <formula>AND(TODAY()&gt;=$B17,TODAY()&lt;$B18)</formula>
    </cfRule>
  </conditionalFormatting>
  <conditionalFormatting sqref="B16:F16 G15:G68 I15:I68">
    <cfRule type="expression" dxfId="55" priority="12">
      <formula>AND(TODAY()&gt;=$B15,TODAY()&lt;$B16)</formula>
    </cfRule>
  </conditionalFormatting>
  <conditionalFormatting sqref="C2:C3">
    <cfRule type="expression" dxfId="54" priority="5">
      <formula>AND(TODAY()&gt;=$B$15,TODAY()&lt;$B$16)</formula>
    </cfRule>
  </conditionalFormatting>
  <conditionalFormatting sqref="E32:E68">
    <cfRule type="expression" dxfId="53" priority="1">
      <formula>AND(TODAY()&gt;=$B32,TODAY()&lt;$B33)</formula>
    </cfRule>
  </conditionalFormatting>
  <conditionalFormatting sqref="J15:K68">
    <cfRule type="expression" dxfId="52" priority="3">
      <formula>AND(TODAY()&gt;=$B$15,TODAY()&lt;$B$16)</formula>
    </cfRule>
  </conditionalFormatting>
  <conditionalFormatting sqref="L16:L21 F17:F68 L23:L68">
    <cfRule type="expression" dxfId="51" priority="9">
      <formula>AND(TODAY()&gt;=$B16,TODAY()&lt;$B17)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36DD50-84FB-4F70-B5CB-BF9DB2787073}">
          <x14:formula1>
            <xm:f>'LEIA-ME'!$A$2:$A$14</xm:f>
          </x14:formula1>
          <xm:sqref>C2</xm:sqref>
        </x14:dataValidation>
        <x14:dataValidation type="list" allowBlank="1" showInputMessage="1" showErrorMessage="1" xr:uid="{2728B74C-45A6-45F5-8D94-3DCC452C857E}">
          <x14:formula1>
            <xm:f>'LEIA-ME'!$C$2:$C$6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AD6C-8462-4E39-A6C4-E49BFA6B0A96}">
  <sheetPr>
    <tabColor theme="9" tint="-0.499984740745262"/>
  </sheetPr>
  <dimension ref="A1:L512"/>
  <sheetViews>
    <sheetView topLeftCell="A29" workbookViewId="0">
      <selection activeCell="F38" sqref="F38:F39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6" width="12.625" style="59" customWidth="1"/>
    <col min="7" max="11" width="13.875" style="59" customWidth="1"/>
    <col min="12" max="12" width="22.25" style="59" customWidth="1"/>
    <col min="13" max="13" width="34.375" style="59" customWidth="1"/>
    <col min="14" max="16384" width="12.625" style="59"/>
  </cols>
  <sheetData>
    <row r="1" spans="1:12" ht="19.5" x14ac:dyDescent="0.25">
      <c r="A1" s="154" t="s">
        <v>20</v>
      </c>
      <c r="B1" s="167"/>
      <c r="C1" s="167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25">
      <c r="A2" s="68"/>
      <c r="B2" s="119" t="s">
        <v>2542</v>
      </c>
      <c r="C2" s="120" t="s">
        <v>76</v>
      </c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15.75" customHeight="1" x14ac:dyDescent="0.25">
      <c r="A3" s="68"/>
      <c r="B3" s="119" t="s">
        <v>66</v>
      </c>
      <c r="C3" s="120" t="s">
        <v>69</v>
      </c>
      <c r="D3" s="70"/>
      <c r="E3" s="71"/>
      <c r="F3" s="71"/>
      <c r="G3" s="65"/>
      <c r="H3" s="65"/>
      <c r="I3" s="65"/>
      <c r="J3" s="65"/>
      <c r="K3" s="65"/>
      <c r="L3" s="65"/>
    </row>
    <row r="4" spans="1:12" ht="15" customHeight="1" x14ac:dyDescent="0.25">
      <c r="B4" s="121" t="s">
        <v>2494</v>
      </c>
      <c r="C4" s="125">
        <f>COUNTIFS(time, C2,
    release, "*" &amp; C3 &amp; "*")</f>
        <v>64</v>
      </c>
      <c r="D4" s="70" t="s">
        <v>25</v>
      </c>
      <c r="E4" s="71" t="s">
        <v>26</v>
      </c>
      <c r="F4" s="71"/>
      <c r="G4" s="65"/>
      <c r="H4" s="65"/>
      <c r="I4" s="65"/>
      <c r="J4" s="65"/>
      <c r="K4" s="65"/>
      <c r="L4" s="65"/>
    </row>
    <row r="5" spans="1:12" ht="15.75" customHeight="1" x14ac:dyDescent="0.25">
      <c r="B5" s="122" t="s">
        <v>27</v>
      </c>
      <c r="C5" s="107">
        <v>45936</v>
      </c>
      <c r="D5" s="70" t="s">
        <v>28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122" t="s">
        <v>29</v>
      </c>
      <c r="C6" s="107">
        <v>46113</v>
      </c>
      <c r="D6" s="70" t="s">
        <v>30</v>
      </c>
      <c r="E6" s="65"/>
      <c r="F6" s="65"/>
      <c r="G6" s="65"/>
      <c r="H6" s="65"/>
      <c r="I6" s="65"/>
      <c r="J6" s="65"/>
      <c r="K6" s="65"/>
      <c r="L6" s="65"/>
    </row>
    <row r="7" spans="1:12" ht="15.75" customHeight="1" x14ac:dyDescent="0.25">
      <c r="B7" s="119" t="s">
        <v>31</v>
      </c>
      <c r="C7" s="106" cm="1">
        <f t="array" ref="C7">IF(MAX(INDEX(J:J, LARGE(IF(J:J&lt;&gt;"", ROW(J:J)), {1;2;3;4;5;6;7;8})))=0,
  1,
  MAX(INDEX(J:J, LARGE(IF(J:J&lt;&gt;"", ROW(J:J)), {1;2;3;4;5;6;7;8}))))</f>
        <v>7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119" t="s">
        <v>34</v>
      </c>
      <c r="C8" s="106" cm="1">
        <f t="array" ref="C8">IF(MIN(INDEX(J:J, LARGE(IF(J:J&lt;&gt;"", ROW(J:J)), {1;2;3;4;5;6;7;8})))=0,
  1,
  MIN(INDEX(J:J, LARGE(IF(J:J&lt;&gt;"", ROW(J:J)), {1;2;3;4;5;6;7;8}))))</f>
        <v>1</v>
      </c>
      <c r="D8" s="70" t="s">
        <v>32</v>
      </c>
      <c r="E8" s="71" t="s">
        <v>33</v>
      </c>
      <c r="F8" s="71"/>
      <c r="G8" s="65"/>
      <c r="H8" s="65"/>
      <c r="I8" s="65"/>
      <c r="J8" s="65"/>
      <c r="K8" s="65"/>
      <c r="L8" s="65"/>
    </row>
    <row r="9" spans="1:12" ht="15.75" customHeight="1" x14ac:dyDescent="0.25">
      <c r="B9" s="122" t="s">
        <v>35</v>
      </c>
      <c r="C9" s="108">
        <v>8</v>
      </c>
      <c r="D9" s="70" t="s">
        <v>32</v>
      </c>
      <c r="E9" s="65"/>
      <c r="F9" s="65"/>
      <c r="G9" s="65"/>
      <c r="H9" s="65"/>
      <c r="I9" s="65"/>
      <c r="J9" s="65"/>
      <c r="K9" s="65"/>
      <c r="L9" s="65"/>
    </row>
    <row r="10" spans="1:12" ht="15.75" customHeight="1" x14ac:dyDescent="0.25">
      <c r="B10" s="122" t="s">
        <v>36</v>
      </c>
      <c r="C10" s="109">
        <v>7</v>
      </c>
      <c r="D10" s="70" t="s">
        <v>37</v>
      </c>
      <c r="E10" s="65"/>
      <c r="F10" s="65"/>
      <c r="G10" s="65"/>
      <c r="H10" s="65"/>
      <c r="I10" s="65"/>
      <c r="J10" s="65"/>
      <c r="K10" s="65"/>
      <c r="L10" s="65"/>
    </row>
    <row r="11" spans="1:12" ht="15.75" hidden="1" customHeight="1" x14ac:dyDescent="0.25">
      <c r="B11" s="112"/>
      <c r="C11" s="65"/>
      <c r="D11" s="113"/>
      <c r="E11" s="65"/>
      <c r="F11" s="65"/>
      <c r="G11" s="65"/>
      <c r="H11" s="65"/>
      <c r="I11" s="65"/>
      <c r="J11" s="65"/>
      <c r="K11" s="65"/>
      <c r="L11" s="65"/>
    </row>
    <row r="12" spans="1:12" s="39" customFormat="1" ht="40.5" customHeight="1" x14ac:dyDescent="0.45">
      <c r="A12" s="103"/>
      <c r="B12" s="61" t="s">
        <v>38</v>
      </c>
      <c r="C12" s="60" t="s">
        <v>39</v>
      </c>
      <c r="D12" s="60" t="s">
        <v>40</v>
      </c>
      <c r="E12" s="60" t="s">
        <v>41</v>
      </c>
      <c r="F12" s="60" t="s">
        <v>42</v>
      </c>
      <c r="G12" s="60" t="s">
        <v>43</v>
      </c>
      <c r="H12" s="60" t="s">
        <v>44</v>
      </c>
      <c r="I12" s="60" t="s">
        <v>45</v>
      </c>
      <c r="J12" s="60" t="s">
        <v>46</v>
      </c>
      <c r="K12" s="60" t="s">
        <v>47</v>
      </c>
      <c r="L12" s="60" t="s">
        <v>48</v>
      </c>
    </row>
    <row r="13" spans="1:12" ht="25.5" customHeight="1" x14ac:dyDescent="0.25">
      <c r="A13" s="91"/>
      <c r="B13" s="162" t="s">
        <v>49</v>
      </c>
      <c r="C13" s="163"/>
      <c r="D13" s="163"/>
      <c r="E13" s="163"/>
      <c r="F13" s="164"/>
      <c r="G13" s="165" t="s">
        <v>2588</v>
      </c>
      <c r="H13" s="166"/>
      <c r="I13" s="166"/>
      <c r="J13" s="166"/>
      <c r="K13" s="166"/>
      <c r="L13" s="166"/>
    </row>
    <row r="14" spans="1:12" ht="31.5" customHeight="1" x14ac:dyDescent="0.25">
      <c r="A14" s="44" t="s">
        <v>51</v>
      </c>
      <c r="B14" s="45" t="s">
        <v>52</v>
      </c>
      <c r="C14" s="46" t="s">
        <v>2495</v>
      </c>
      <c r="D14" s="46" t="s">
        <v>2496</v>
      </c>
      <c r="E14" s="46" t="s">
        <v>55</v>
      </c>
      <c r="F14" s="58" t="s">
        <v>56</v>
      </c>
      <c r="G14" s="47" t="s">
        <v>57</v>
      </c>
      <c r="H14" s="47" t="s">
        <v>58</v>
      </c>
      <c r="I14" s="48" t="s">
        <v>2561</v>
      </c>
      <c r="J14" s="54" t="s">
        <v>60</v>
      </c>
      <c r="K14" s="87" t="s">
        <v>2562</v>
      </c>
      <c r="L14" s="77" t="s">
        <v>62</v>
      </c>
    </row>
    <row r="15" spans="1:12" ht="17.25" customHeight="1" x14ac:dyDescent="0.25">
      <c r="A15" s="73" t="s">
        <v>2543</v>
      </c>
      <c r="B15" s="66">
        <f>C5</f>
        <v>45936</v>
      </c>
      <c r="C15" s="79">
        <f>$C$4</f>
        <v>64</v>
      </c>
      <c r="D15" s="79">
        <f>$C$4</f>
        <v>64</v>
      </c>
      <c r="E15" s="79">
        <f>$C$4</f>
        <v>64</v>
      </c>
      <c r="F15" s="80"/>
      <c r="G15" s="118">
        <f t="shared" ref="G15" si="0">COUNTIFS(dtc, "&gt;=" &amp; INT(B15),
  dtc, "&lt;"  &amp; INT(B15)+1,
  time, $C$2,release, "*" &amp; $C$3 &amp; "*",
  Item, "&lt;&gt;BUG")</f>
        <v>0</v>
      </c>
      <c r="H15" s="118">
        <f t="shared" ref="H15:H37" si="1">COUNTIFS(dtc, "&gt;=" &amp;(INT(B15)+1),dtc,
 "&lt;"  &amp;(INT(B15)+7),time,
 $C$2,release, "*" &amp; $C$3 &amp; "*",Item,
 "&lt;&gt;BUG")</f>
        <v>0</v>
      </c>
      <c r="I15" s="82">
        <f t="shared" ref="I15:I39" si="2">COUNTIFS(time, $C$2,release, "*" &amp; $C$3 &amp; "*",Item,
 "BUG",dtc,
 "&gt;=" &amp; INT(B15),dtc,
 "&lt;"  &amp; INT(B15)+7)</f>
        <v>0</v>
      </c>
      <c r="J15" s="126">
        <f t="shared" ref="J15:J39" si="3">IF(COUNTIFS(time, $C$2, release, "*" &amp; $C$3 &amp; "*", resolvido, "&lt;&gt;" &amp; "", resolvido, "&gt;=" &amp; INT(B15), resolvido, "&lt;" &amp; INT(B15)+7)+K15 &lt; 0,
   0,
   COUNTIFS(time, $C$2, release, "*" &amp; $C$3 &amp; "*", resolvido, "&lt;&gt;" &amp; "", resolvido, "&gt;=" &amp; INT(B15), resolvido, "&lt;" &amp; INT(B15)+7)+K15)</f>
        <v>0</v>
      </c>
      <c r="K15" s="84">
        <f>-COUNTIFS(resolvido, "&gt;=" &amp; INT(B15),resolvido, "&lt;"  &amp; INT(B15)+7,status, "Descartado",time, $C$2,release, "*" &amp; $C$3 &amp; "*")</f>
        <v>0</v>
      </c>
      <c r="L15" s="86"/>
    </row>
    <row r="16" spans="1:12" ht="17.25" customHeight="1" x14ac:dyDescent="0.25">
      <c r="A16" s="73" t="s">
        <v>2544</v>
      </c>
      <c r="B16" s="66">
        <f t="shared" ref="B16:B68" si="4">B15+$C$10</f>
        <v>45943</v>
      </c>
      <c r="C16" s="79">
        <f>IF(OR(C15="",C15=0),"",IF(ISBLANK($J15),IF(C15+$K15-$C$7&lt;=0,IF(AND(C15&gt;0,C15&lt;&gt;""),0,""),C15+$K15-$C$7),IF((C15-$J15)+$K15&lt;=0,IF(AND(C15&gt;0,C15&lt;&gt;""),0,""),(C15-$J15)+$K15)))</f>
        <v>64</v>
      </c>
      <c r="D16" s="79">
        <f>IF(OR(D15="",D15=0),"",IF(ISBLANK($J15),IF(D15+$K15-$C$8&lt;=0,IF(AND(D15&gt;0,D15&lt;&gt;""),0,""),D15+$K15-$C$8),IF((D15-$J15)+$K15&lt;=0,IF(AND(D15&gt;0,D15&lt;&gt;""),0,""),(D15-$J15)+$K15)))</f>
        <v>64</v>
      </c>
      <c r="E16" s="79">
        <f>IF(OR(E15="",E15=0),"",IF(ISBLANK($J15),IF(E15+$K15-$C$9&lt;=0,IF(AND(E15&gt;0,E15&lt;&gt;""),0,""),E15+$K15-$C$9),IF((E15-$J15)+$K15&lt;=0,IF(AND(E15&gt;0,E15&lt;&gt;""),0,""),(E15-$J15)+$K15)))</f>
        <v>64</v>
      </c>
      <c r="F16" s="80">
        <f>IF(J15="","",IF(G15+F15+H15+I15+K15-J15&lt;0,0,G15+F15+H15+I15+K15-J15))</f>
        <v>0</v>
      </c>
      <c r="G16" s="118">
        <f t="shared" ref="G16:G39" si="5">COUNTIFS(dtc, "&gt;=" &amp; INT(B16),
  dtc, "&lt;"  &amp; INT(B16)+1,
  time, $C$2,release, "*" &amp; $C$3 &amp; "*",
  Item, "&lt;&gt;BUG")-COUNTIFS(dtc, "&gt;=" &amp; INT(B16),dtc, "&lt;"  &amp; INT(B16)+7,resolvido, "&gt;=" &amp; INT(B16),resolvido, "&lt;"  &amp; INT(B16)+7,status, "Descartado",time, $C$2,release, "*" &amp; $C$3 &amp; "*")</f>
        <v>0</v>
      </c>
      <c r="H16" s="118">
        <f t="shared" si="1"/>
        <v>4</v>
      </c>
      <c r="I16" s="82">
        <f t="shared" si="2"/>
        <v>0</v>
      </c>
      <c r="J16" s="126">
        <f t="shared" si="3"/>
        <v>0</v>
      </c>
      <c r="K16" s="84">
        <f>COUNTIFS(resolvido, "&gt;=" &amp; INT(B16),resolvido, "&lt;"  &amp; INT(B16)+7,status, "Descartado",time, $C$2,release, "*" &amp; $C$3 &amp; "*")</f>
        <v>0</v>
      </c>
      <c r="L16" s="86"/>
    </row>
    <row r="17" spans="1:12" ht="17.25" customHeight="1" x14ac:dyDescent="0.25">
      <c r="A17" s="73" t="s">
        <v>2545</v>
      </c>
      <c r="B17" s="66">
        <f t="shared" si="4"/>
        <v>45950</v>
      </c>
      <c r="C17" s="79">
        <f t="shared" ref="C17:C44" si="6">IF(OR(C16="",C16=0),"",IF(ISBLANK($J16),IF(C16+$K16-$C$7&lt;=0,IF(AND(C16&gt;0,C16&lt;&gt;""),0,""),C16+$K16-$C$7),IF((C16-$J16)+$K16&lt;=0,IF(AND(C16&gt;0,C16&lt;&gt;""),0,""),(C16-$J16)+$K16)))</f>
        <v>64</v>
      </c>
      <c r="D17" s="79">
        <f t="shared" ref="D17:D47" si="7">IF(OR(D16="",D16=0),"",IF(ISBLANK($J16),IF(D16+$K16-$C$8&lt;=0,IF(AND(D16&gt;0,D16&lt;&gt;""),0,""),D16+$K16-$C$8),IF((D16-$J16)+$K16&lt;=0,IF(AND(D16&gt;0,D16&lt;&gt;""),0,""),(D16-$J16)+$K16)))</f>
        <v>64</v>
      </c>
      <c r="E17" s="79">
        <f t="shared" ref="E17" si="8">IF(OR(E16="",E16=0),"",IF(ISBLANK($J16),IF(E16+$K16-$C$9&lt;=0,IF(AND(E16&gt;0,E16&lt;&gt;""),0,""),E16+$K16-$C$9),IF((E16-$J16)+$K16&lt;=0,IF(AND(E16&gt;0,E16&lt;&gt;""),0,""),(E16-$J16)+$K16)))</f>
        <v>64</v>
      </c>
      <c r="F17" s="80">
        <f t="shared" ref="F17:F34" si="9">IF(J16="","",IF(G16+F16+H16+I16+K16-J16&lt;0,0,G16+F16+H16+I16+K16-J16))</f>
        <v>4</v>
      </c>
      <c r="G17" s="118">
        <f t="shared" si="5"/>
        <v>1</v>
      </c>
      <c r="H17" s="118">
        <f t="shared" si="1"/>
        <v>2</v>
      </c>
      <c r="I17" s="82">
        <f t="shared" si="2"/>
        <v>1</v>
      </c>
      <c r="J17" s="126">
        <f t="shared" si="3"/>
        <v>1</v>
      </c>
      <c r="K17" s="84">
        <f t="shared" ref="K17:K39" si="10">-COUNTIFS(resolvido, "&gt;=" &amp; INT(B17),resolvido, "&lt;"  &amp; INT(B17)+7,status, "Descartado",time, $C$2,release, "*" &amp; $C$3 &amp; "*")</f>
        <v>0</v>
      </c>
      <c r="L17" s="86"/>
    </row>
    <row r="18" spans="1:12" ht="17.25" customHeight="1" x14ac:dyDescent="0.25">
      <c r="A18" s="73" t="s">
        <v>2546</v>
      </c>
      <c r="B18" s="66">
        <f t="shared" si="4"/>
        <v>45957</v>
      </c>
      <c r="C18" s="79">
        <f t="shared" si="6"/>
        <v>63</v>
      </c>
      <c r="D18" s="79">
        <f t="shared" si="7"/>
        <v>63</v>
      </c>
      <c r="E18" s="79">
        <f>IF(OR(E17="",E17=0),"",IF(ISBLANK($J17),IF(E17+$K17-$C$9&lt;=0,IF(AND(E17&gt;0,E17&lt;&gt;""),0,""),E17+$K17-$C$9),IF((E17-$J17)+$K17&lt;=0,IF(AND(E17&gt;0,E17&lt;&gt;""),0,""),(E17-$J17)+$K17)))</f>
        <v>63</v>
      </c>
      <c r="F18" s="80">
        <f t="shared" si="9"/>
        <v>7</v>
      </c>
      <c r="G18" s="118">
        <f t="shared" si="5"/>
        <v>2</v>
      </c>
      <c r="H18" s="118">
        <f t="shared" si="1"/>
        <v>0</v>
      </c>
      <c r="I18" s="82">
        <f t="shared" si="2"/>
        <v>0</v>
      </c>
      <c r="J18" s="126">
        <f t="shared" si="3"/>
        <v>0</v>
      </c>
      <c r="K18" s="84">
        <f t="shared" si="10"/>
        <v>0</v>
      </c>
      <c r="L18" s="111"/>
    </row>
    <row r="19" spans="1:12" ht="17.25" customHeight="1" x14ac:dyDescent="0.25">
      <c r="A19" s="73" t="s">
        <v>2547</v>
      </c>
      <c r="B19" s="66">
        <f t="shared" si="4"/>
        <v>45964</v>
      </c>
      <c r="C19" s="79">
        <f t="shared" si="6"/>
        <v>63</v>
      </c>
      <c r="D19" s="79">
        <f t="shared" si="7"/>
        <v>63</v>
      </c>
      <c r="E19" s="79">
        <f t="shared" ref="E19:E42" si="11">IF(OR(E18="",E18=0),"",IF(ISBLANK($J18),IF(E18+$K18-$C$9&lt;=0,IF(AND(E18&gt;0,E18&lt;&gt;""),0,""),E18+$K18-$C$9),IF((E18-$J18)+$K18&lt;=0,IF(AND(E18&gt;0,E18&lt;&gt;""),0,""),(E18-$J18)+$K18)))</f>
        <v>63</v>
      </c>
      <c r="F19" s="80">
        <f t="shared" si="9"/>
        <v>9</v>
      </c>
      <c r="G19" s="118">
        <f t="shared" si="5"/>
        <v>1</v>
      </c>
      <c r="H19" s="118">
        <f t="shared" si="1"/>
        <v>0</v>
      </c>
      <c r="I19" s="82">
        <f t="shared" si="2"/>
        <v>1</v>
      </c>
      <c r="J19" s="126">
        <f t="shared" si="3"/>
        <v>1</v>
      </c>
      <c r="K19" s="84">
        <f t="shared" si="10"/>
        <v>0</v>
      </c>
      <c r="L19" s="86"/>
    </row>
    <row r="20" spans="1:12" ht="17.25" customHeight="1" x14ac:dyDescent="0.25">
      <c r="A20" s="73" t="s">
        <v>2548</v>
      </c>
      <c r="B20" s="66">
        <f t="shared" si="4"/>
        <v>45971</v>
      </c>
      <c r="C20" s="79">
        <f t="shared" si="6"/>
        <v>62</v>
      </c>
      <c r="D20" s="79">
        <f t="shared" si="7"/>
        <v>62</v>
      </c>
      <c r="E20" s="79">
        <f t="shared" si="11"/>
        <v>62</v>
      </c>
      <c r="F20" s="80">
        <f t="shared" si="9"/>
        <v>10</v>
      </c>
      <c r="G20" s="118">
        <f t="shared" si="5"/>
        <v>1</v>
      </c>
      <c r="H20" s="118">
        <f t="shared" si="1"/>
        <v>0</v>
      </c>
      <c r="I20" s="82">
        <f t="shared" si="2"/>
        <v>0</v>
      </c>
      <c r="J20" s="126">
        <f t="shared" si="3"/>
        <v>5</v>
      </c>
      <c r="K20" s="84">
        <f t="shared" si="10"/>
        <v>0</v>
      </c>
      <c r="L20" s="86"/>
    </row>
    <row r="21" spans="1:12" ht="15.75" customHeight="1" x14ac:dyDescent="0.25">
      <c r="A21" s="73" t="s">
        <v>2549</v>
      </c>
      <c r="B21" s="66">
        <f t="shared" si="4"/>
        <v>45978</v>
      </c>
      <c r="C21" s="79">
        <f t="shared" si="6"/>
        <v>57</v>
      </c>
      <c r="D21" s="79">
        <f t="shared" si="7"/>
        <v>57</v>
      </c>
      <c r="E21" s="79">
        <f t="shared" si="11"/>
        <v>57</v>
      </c>
      <c r="F21" s="80">
        <f t="shared" si="9"/>
        <v>6</v>
      </c>
      <c r="G21" s="118">
        <f t="shared" si="5"/>
        <v>1</v>
      </c>
      <c r="H21" s="118">
        <f t="shared" si="1"/>
        <v>1</v>
      </c>
      <c r="I21" s="82">
        <f t="shared" si="2"/>
        <v>0</v>
      </c>
      <c r="J21" s="126">
        <f t="shared" si="3"/>
        <v>2</v>
      </c>
      <c r="K21" s="84">
        <f t="shared" si="10"/>
        <v>0</v>
      </c>
      <c r="L21" s="86"/>
    </row>
    <row r="22" spans="1:12" ht="15.75" customHeight="1" x14ac:dyDescent="0.25">
      <c r="A22" s="73" t="s">
        <v>2550</v>
      </c>
      <c r="B22" s="66">
        <f t="shared" si="4"/>
        <v>45985</v>
      </c>
      <c r="C22" s="79">
        <f t="shared" si="6"/>
        <v>55</v>
      </c>
      <c r="D22" s="79">
        <f t="shared" si="7"/>
        <v>55</v>
      </c>
      <c r="E22" s="79">
        <f t="shared" si="11"/>
        <v>55</v>
      </c>
      <c r="F22" s="80">
        <f t="shared" si="9"/>
        <v>6</v>
      </c>
      <c r="G22" s="118">
        <f t="shared" si="5"/>
        <v>0</v>
      </c>
      <c r="H22" s="118">
        <f t="shared" si="1"/>
        <v>0</v>
      </c>
      <c r="I22" s="82">
        <f t="shared" si="2"/>
        <v>0</v>
      </c>
      <c r="J22" s="126">
        <f t="shared" si="3"/>
        <v>3</v>
      </c>
      <c r="K22" s="84">
        <f t="shared" si="10"/>
        <v>-1</v>
      </c>
      <c r="L22" s="86"/>
    </row>
    <row r="23" spans="1:12" ht="15.75" customHeight="1" x14ac:dyDescent="0.25">
      <c r="A23" s="73" t="s">
        <v>2551</v>
      </c>
      <c r="B23" s="66">
        <f t="shared" si="4"/>
        <v>45992</v>
      </c>
      <c r="C23" s="79">
        <f t="shared" si="6"/>
        <v>51</v>
      </c>
      <c r="D23" s="79">
        <f t="shared" si="7"/>
        <v>51</v>
      </c>
      <c r="E23" s="79">
        <f t="shared" si="11"/>
        <v>51</v>
      </c>
      <c r="F23" s="80">
        <f t="shared" si="9"/>
        <v>2</v>
      </c>
      <c r="G23" s="118">
        <f t="shared" si="5"/>
        <v>2</v>
      </c>
      <c r="H23" s="118">
        <f t="shared" si="1"/>
        <v>2</v>
      </c>
      <c r="I23" s="82">
        <f t="shared" si="2"/>
        <v>1</v>
      </c>
      <c r="J23" s="126">
        <f t="shared" si="3"/>
        <v>2</v>
      </c>
      <c r="K23" s="84">
        <f t="shared" si="10"/>
        <v>0</v>
      </c>
      <c r="L23" s="86"/>
    </row>
    <row r="24" spans="1:12" ht="15.75" customHeight="1" x14ac:dyDescent="0.25">
      <c r="A24" s="73" t="s">
        <v>2552</v>
      </c>
      <c r="B24" s="66">
        <f t="shared" si="4"/>
        <v>45999</v>
      </c>
      <c r="C24" s="79">
        <f t="shared" si="6"/>
        <v>49</v>
      </c>
      <c r="D24" s="79">
        <f t="shared" si="7"/>
        <v>49</v>
      </c>
      <c r="E24" s="79">
        <f t="shared" si="11"/>
        <v>49</v>
      </c>
      <c r="F24" s="80">
        <f t="shared" si="9"/>
        <v>5</v>
      </c>
      <c r="G24" s="118">
        <f t="shared" si="5"/>
        <v>0</v>
      </c>
      <c r="H24" s="118">
        <f t="shared" si="1"/>
        <v>1</v>
      </c>
      <c r="I24" s="82">
        <f t="shared" si="2"/>
        <v>0</v>
      </c>
      <c r="J24" s="126">
        <f t="shared" si="3"/>
        <v>3</v>
      </c>
      <c r="K24" s="84">
        <f t="shared" si="10"/>
        <v>0</v>
      </c>
      <c r="L24" s="86"/>
    </row>
    <row r="25" spans="1:12" ht="15.75" customHeight="1" x14ac:dyDescent="0.25">
      <c r="A25" s="73" t="s">
        <v>2553</v>
      </c>
      <c r="B25" s="66">
        <f t="shared" si="4"/>
        <v>46006</v>
      </c>
      <c r="C25" s="79">
        <f t="shared" si="6"/>
        <v>46</v>
      </c>
      <c r="D25" s="79">
        <f t="shared" si="7"/>
        <v>46</v>
      </c>
      <c r="E25" s="79">
        <f t="shared" si="11"/>
        <v>46</v>
      </c>
      <c r="F25" s="80">
        <f t="shared" si="9"/>
        <v>3</v>
      </c>
      <c r="G25" s="118">
        <f t="shared" si="5"/>
        <v>2</v>
      </c>
      <c r="H25" s="118">
        <f t="shared" si="1"/>
        <v>0</v>
      </c>
      <c r="I25" s="82">
        <f t="shared" si="2"/>
        <v>0</v>
      </c>
      <c r="J25" s="126">
        <f t="shared" si="3"/>
        <v>2</v>
      </c>
      <c r="K25" s="84">
        <f t="shared" si="10"/>
        <v>0</v>
      </c>
      <c r="L25" s="86"/>
    </row>
    <row r="26" spans="1:12" ht="15.75" customHeight="1" x14ac:dyDescent="0.25">
      <c r="A26" s="73" t="s">
        <v>2554</v>
      </c>
      <c r="B26" s="66">
        <f t="shared" si="4"/>
        <v>46013</v>
      </c>
      <c r="C26" s="79">
        <f t="shared" si="6"/>
        <v>44</v>
      </c>
      <c r="D26" s="79">
        <f t="shared" si="7"/>
        <v>44</v>
      </c>
      <c r="E26" s="79">
        <f t="shared" si="11"/>
        <v>44</v>
      </c>
      <c r="F26" s="80">
        <f t="shared" si="9"/>
        <v>3</v>
      </c>
      <c r="G26" s="118">
        <f t="shared" si="5"/>
        <v>0</v>
      </c>
      <c r="H26" s="118">
        <f t="shared" si="1"/>
        <v>0</v>
      </c>
      <c r="I26" s="82">
        <f t="shared" si="2"/>
        <v>0</v>
      </c>
      <c r="J26" s="126">
        <f t="shared" si="3"/>
        <v>1</v>
      </c>
      <c r="K26" s="84">
        <f t="shared" si="10"/>
        <v>0</v>
      </c>
      <c r="L26" s="86"/>
    </row>
    <row r="27" spans="1:12" ht="15.75" customHeight="1" x14ac:dyDescent="0.25">
      <c r="A27" s="73" t="s">
        <v>2555</v>
      </c>
      <c r="B27" s="66">
        <f t="shared" si="4"/>
        <v>46020</v>
      </c>
      <c r="C27" s="79">
        <f t="shared" si="6"/>
        <v>43</v>
      </c>
      <c r="D27" s="79">
        <f t="shared" si="7"/>
        <v>43</v>
      </c>
      <c r="E27" s="79">
        <f t="shared" si="11"/>
        <v>43</v>
      </c>
      <c r="F27" s="80">
        <f t="shared" si="9"/>
        <v>2</v>
      </c>
      <c r="G27" s="118">
        <f t="shared" si="5"/>
        <v>1</v>
      </c>
      <c r="H27" s="118">
        <f t="shared" si="1"/>
        <v>2</v>
      </c>
      <c r="I27" s="82">
        <f t="shared" si="2"/>
        <v>0</v>
      </c>
      <c r="J27" s="126">
        <f t="shared" si="3"/>
        <v>0</v>
      </c>
      <c r="K27" s="84">
        <f t="shared" si="10"/>
        <v>0</v>
      </c>
      <c r="L27" s="86"/>
    </row>
    <row r="28" spans="1:12" ht="15.75" customHeight="1" x14ac:dyDescent="0.25">
      <c r="A28" s="73" t="s">
        <v>2556</v>
      </c>
      <c r="B28" s="66">
        <f t="shared" si="4"/>
        <v>46027</v>
      </c>
      <c r="C28" s="79">
        <f t="shared" si="6"/>
        <v>43</v>
      </c>
      <c r="D28" s="79">
        <f t="shared" si="7"/>
        <v>43</v>
      </c>
      <c r="E28" s="79">
        <f t="shared" si="11"/>
        <v>43</v>
      </c>
      <c r="F28" s="80">
        <f t="shared" si="9"/>
        <v>5</v>
      </c>
      <c r="G28" s="118">
        <f t="shared" si="5"/>
        <v>0</v>
      </c>
      <c r="H28" s="118">
        <f t="shared" si="1"/>
        <v>0</v>
      </c>
      <c r="I28" s="82">
        <f t="shared" si="2"/>
        <v>1</v>
      </c>
      <c r="J28" s="126">
        <f t="shared" si="3"/>
        <v>2</v>
      </c>
      <c r="K28" s="84">
        <f t="shared" si="10"/>
        <v>0</v>
      </c>
      <c r="L28" s="86"/>
    </row>
    <row r="29" spans="1:12" ht="15.75" customHeight="1" x14ac:dyDescent="0.25">
      <c r="A29" s="73" t="s">
        <v>2557</v>
      </c>
      <c r="B29" s="66">
        <f t="shared" si="4"/>
        <v>46034</v>
      </c>
      <c r="C29" s="79">
        <f>IF(OR(C28="",C28=0),"",IF(ISBLANK($J28),IF(C28+$K28-$C$7&lt;=0,IF(AND(C28&gt;0,C28&lt;&gt;""),0,""),C28+$K28-$C$7),IF((C28-$J28)+$K28&lt;=0,IF(AND(C28&gt;0,C28&lt;&gt;""),0,""),(C28-$J28)+$K28)))</f>
        <v>41</v>
      </c>
      <c r="D29" s="79">
        <f t="shared" si="7"/>
        <v>41</v>
      </c>
      <c r="E29" s="79">
        <f t="shared" si="11"/>
        <v>41</v>
      </c>
      <c r="F29" s="80">
        <f t="shared" si="9"/>
        <v>4</v>
      </c>
      <c r="G29" s="118">
        <f t="shared" si="5"/>
        <v>0</v>
      </c>
      <c r="H29" s="118">
        <f>COUNTIFS(dtc, "&gt;=" &amp;(INT(B29)+1),dtc,
 "&lt;"  &amp;(INT(B29)+7),time,
 $C$2,release, "*" &amp; $C$3 &amp; "*",Item,
 "&lt;&gt;BUG")</f>
        <v>2</v>
      </c>
      <c r="I29" s="82">
        <f t="shared" si="2"/>
        <v>0</v>
      </c>
      <c r="J29" s="126">
        <f t="shared" si="3"/>
        <v>2</v>
      </c>
      <c r="K29" s="84">
        <f t="shared" si="10"/>
        <v>-1</v>
      </c>
      <c r="L29" s="86"/>
    </row>
    <row r="30" spans="1:12" ht="15.75" customHeight="1" x14ac:dyDescent="0.25">
      <c r="A30" s="73" t="s">
        <v>2558</v>
      </c>
      <c r="B30" s="66">
        <f t="shared" si="4"/>
        <v>46041</v>
      </c>
      <c r="C30" s="79">
        <f t="shared" si="6"/>
        <v>38</v>
      </c>
      <c r="D30" s="79">
        <f t="shared" si="7"/>
        <v>38</v>
      </c>
      <c r="E30" s="79">
        <f t="shared" si="11"/>
        <v>38</v>
      </c>
      <c r="F30" s="80">
        <f t="shared" si="9"/>
        <v>3</v>
      </c>
      <c r="G30" s="118">
        <f t="shared" si="5"/>
        <v>2</v>
      </c>
      <c r="H30" s="118">
        <f t="shared" si="1"/>
        <v>1</v>
      </c>
      <c r="I30" s="82">
        <f t="shared" si="2"/>
        <v>0</v>
      </c>
      <c r="J30" s="126">
        <f t="shared" si="3"/>
        <v>4</v>
      </c>
      <c r="K30" s="84">
        <f t="shared" si="10"/>
        <v>0</v>
      </c>
      <c r="L30" s="86"/>
    </row>
    <row r="31" spans="1:12" ht="15.75" customHeight="1" x14ac:dyDescent="0.25">
      <c r="A31" s="73" t="s">
        <v>2559</v>
      </c>
      <c r="B31" s="66">
        <f t="shared" si="4"/>
        <v>46048</v>
      </c>
      <c r="C31" s="79">
        <f t="shared" si="6"/>
        <v>34</v>
      </c>
      <c r="D31" s="79">
        <f t="shared" si="7"/>
        <v>34</v>
      </c>
      <c r="E31" s="79">
        <f>IF(OR(E30="",E30=0),"",IF(ISBLANK($J30),IF(E30+$K30-$C$9&lt;=0,IF(AND(E30&gt;0,E30&lt;&gt;""),0,""),E30+$K30-$C$9),IF((E30-$J30)+$K30&lt;=0,IF(AND(E30&gt;0,E30&lt;&gt;""),0,""),(E30-$J30)+$K30)))</f>
        <v>34</v>
      </c>
      <c r="F31" s="80">
        <f t="shared" si="9"/>
        <v>2</v>
      </c>
      <c r="G31" s="118">
        <f t="shared" si="5"/>
        <v>0</v>
      </c>
      <c r="H31" s="118">
        <f t="shared" si="1"/>
        <v>0</v>
      </c>
      <c r="I31" s="82">
        <f t="shared" si="2"/>
        <v>0</v>
      </c>
      <c r="J31" s="126">
        <f t="shared" si="3"/>
        <v>1</v>
      </c>
      <c r="K31" s="84">
        <f t="shared" si="10"/>
        <v>0</v>
      </c>
      <c r="L31" s="86"/>
    </row>
    <row r="32" spans="1:12" ht="15.75" customHeight="1" x14ac:dyDescent="0.25">
      <c r="A32" s="73" t="s">
        <v>2560</v>
      </c>
      <c r="B32" s="66">
        <f t="shared" si="4"/>
        <v>46055</v>
      </c>
      <c r="C32" s="79">
        <f t="shared" si="6"/>
        <v>33</v>
      </c>
      <c r="D32" s="79">
        <f>IF(OR(D31="",D31=0),"",IF(ISBLANK($J31),IF(D31+$K31-$C$8&lt;=0,IF(AND(D31&gt;0,D31&lt;&gt;""),0,""),D31+$K31-$C$8),IF((D31-$J31)+$K31&lt;=0,IF(AND(D31&gt;0,D31&lt;&gt;""),0,""),(D31-$J31)+$K31)))</f>
        <v>33</v>
      </c>
      <c r="E32" s="79">
        <f t="shared" si="11"/>
        <v>33</v>
      </c>
      <c r="F32" s="80">
        <f t="shared" si="9"/>
        <v>1</v>
      </c>
      <c r="G32" s="118">
        <f t="shared" si="5"/>
        <v>1</v>
      </c>
      <c r="H32" s="118">
        <f t="shared" si="1"/>
        <v>0</v>
      </c>
      <c r="I32" s="82">
        <f t="shared" si="2"/>
        <v>0</v>
      </c>
      <c r="J32" s="126">
        <f t="shared" si="3"/>
        <v>1</v>
      </c>
      <c r="K32" s="84">
        <f t="shared" si="10"/>
        <v>0</v>
      </c>
      <c r="L32" s="86"/>
    </row>
    <row r="33" spans="1:12" ht="15.75" customHeight="1" x14ac:dyDescent="0.25">
      <c r="A33" s="73" t="s">
        <v>2563</v>
      </c>
      <c r="B33" s="66">
        <f t="shared" si="4"/>
        <v>46062</v>
      </c>
      <c r="C33" s="79">
        <f t="shared" si="6"/>
        <v>32</v>
      </c>
      <c r="D33" s="79">
        <f t="shared" si="7"/>
        <v>32</v>
      </c>
      <c r="E33" s="79">
        <f t="shared" si="11"/>
        <v>32</v>
      </c>
      <c r="F33" s="80">
        <f t="shared" si="9"/>
        <v>1</v>
      </c>
      <c r="G33" s="118">
        <f t="shared" si="5"/>
        <v>3</v>
      </c>
      <c r="H33" s="118">
        <f t="shared" si="1"/>
        <v>0</v>
      </c>
      <c r="I33" s="82">
        <f t="shared" si="2"/>
        <v>0</v>
      </c>
      <c r="J33" s="126">
        <f t="shared" si="3"/>
        <v>1</v>
      </c>
      <c r="K33" s="84">
        <f t="shared" si="10"/>
        <v>0</v>
      </c>
      <c r="L33" s="86"/>
    </row>
    <row r="34" spans="1:12" ht="15.75" customHeight="1" x14ac:dyDescent="0.25">
      <c r="A34" s="73" t="s">
        <v>2564</v>
      </c>
      <c r="B34" s="66">
        <f t="shared" si="4"/>
        <v>46069</v>
      </c>
      <c r="C34" s="79">
        <f t="shared" si="6"/>
        <v>31</v>
      </c>
      <c r="D34" s="79">
        <f t="shared" si="7"/>
        <v>31</v>
      </c>
      <c r="E34" s="79">
        <f t="shared" si="11"/>
        <v>31</v>
      </c>
      <c r="F34" s="80">
        <f t="shared" si="9"/>
        <v>3</v>
      </c>
      <c r="G34" s="118">
        <f t="shared" si="5"/>
        <v>0</v>
      </c>
      <c r="H34" s="118">
        <f t="shared" si="1"/>
        <v>0</v>
      </c>
      <c r="I34" s="82">
        <f t="shared" si="2"/>
        <v>0</v>
      </c>
      <c r="J34" s="126">
        <f t="shared" si="3"/>
        <v>3</v>
      </c>
      <c r="K34" s="84">
        <f t="shared" si="10"/>
        <v>0</v>
      </c>
      <c r="L34" s="86"/>
    </row>
    <row r="35" spans="1:12" ht="15.75" customHeight="1" x14ac:dyDescent="0.25">
      <c r="A35" s="73" t="s">
        <v>2565</v>
      </c>
      <c r="B35" s="66">
        <f t="shared" si="4"/>
        <v>46076</v>
      </c>
      <c r="C35" s="79">
        <f t="shared" si="6"/>
        <v>28</v>
      </c>
      <c r="D35" s="79">
        <f t="shared" si="7"/>
        <v>28</v>
      </c>
      <c r="E35" s="79">
        <f t="shared" si="11"/>
        <v>28</v>
      </c>
      <c r="F35" s="80">
        <f t="shared" ref="F35:F46" si="12">IF(J34="","",IF(G34+F34+H34+I34+K34-J34&lt;0,0,G34+F34+H34+I34+K34-J34))</f>
        <v>0</v>
      </c>
      <c r="G35" s="118">
        <f t="shared" si="5"/>
        <v>1</v>
      </c>
      <c r="H35" s="118">
        <f t="shared" si="1"/>
        <v>0</v>
      </c>
      <c r="I35" s="82">
        <f t="shared" si="2"/>
        <v>0</v>
      </c>
      <c r="J35" s="126">
        <f t="shared" si="3"/>
        <v>0</v>
      </c>
      <c r="K35" s="84">
        <f t="shared" si="10"/>
        <v>0</v>
      </c>
      <c r="L35" s="86"/>
    </row>
    <row r="36" spans="1:12" ht="15.75" customHeight="1" x14ac:dyDescent="0.25">
      <c r="A36" s="73" t="s">
        <v>2566</v>
      </c>
      <c r="B36" s="66">
        <f t="shared" si="4"/>
        <v>46083</v>
      </c>
      <c r="C36" s="79">
        <f t="shared" si="6"/>
        <v>28</v>
      </c>
      <c r="D36" s="79">
        <f t="shared" si="7"/>
        <v>28</v>
      </c>
      <c r="E36" s="79">
        <f t="shared" si="11"/>
        <v>28</v>
      </c>
      <c r="F36" s="80">
        <f t="shared" si="12"/>
        <v>1</v>
      </c>
      <c r="G36" s="118">
        <f t="shared" si="5"/>
        <v>0</v>
      </c>
      <c r="H36" s="118">
        <f t="shared" si="1"/>
        <v>1</v>
      </c>
      <c r="I36" s="82">
        <f t="shared" si="2"/>
        <v>0</v>
      </c>
      <c r="J36" s="126">
        <f t="shared" si="3"/>
        <v>0</v>
      </c>
      <c r="K36" s="84">
        <f t="shared" si="10"/>
        <v>0</v>
      </c>
      <c r="L36" s="86"/>
    </row>
    <row r="37" spans="1:12" ht="15.75" customHeight="1" x14ac:dyDescent="0.25">
      <c r="A37" s="73" t="s">
        <v>2567</v>
      </c>
      <c r="B37" s="66">
        <f t="shared" si="4"/>
        <v>46090</v>
      </c>
      <c r="C37" s="79">
        <f t="shared" si="6"/>
        <v>28</v>
      </c>
      <c r="D37" s="79">
        <f t="shared" si="7"/>
        <v>28</v>
      </c>
      <c r="E37" s="79">
        <f t="shared" si="11"/>
        <v>28</v>
      </c>
      <c r="F37" s="80">
        <f t="shared" si="12"/>
        <v>2</v>
      </c>
      <c r="G37" s="118">
        <f t="shared" si="5"/>
        <v>1</v>
      </c>
      <c r="H37" s="118">
        <f t="shared" si="1"/>
        <v>1</v>
      </c>
      <c r="I37" s="82">
        <f t="shared" si="2"/>
        <v>0</v>
      </c>
      <c r="J37" s="126">
        <f t="shared" si="3"/>
        <v>0</v>
      </c>
      <c r="K37" s="84">
        <f t="shared" si="10"/>
        <v>0</v>
      </c>
      <c r="L37" s="86" t="s">
        <v>2589</v>
      </c>
    </row>
    <row r="38" spans="1:12" ht="15.75" customHeight="1" x14ac:dyDescent="0.25">
      <c r="A38" s="73" t="s">
        <v>2568</v>
      </c>
      <c r="B38" s="66">
        <f t="shared" si="4"/>
        <v>46097</v>
      </c>
      <c r="C38" s="79">
        <f t="shared" si="6"/>
        <v>28</v>
      </c>
      <c r="D38" s="79">
        <f t="shared" si="7"/>
        <v>28</v>
      </c>
      <c r="E38" s="79">
        <f t="shared" si="11"/>
        <v>28</v>
      </c>
      <c r="F38" s="80">
        <f t="shared" si="12"/>
        <v>4</v>
      </c>
      <c r="G38" s="118">
        <f t="shared" si="5"/>
        <v>3</v>
      </c>
      <c r="H38" s="118">
        <f t="shared" ref="H38:H39" si="13">COUNTIFS(dtc, "&gt;=" &amp;(INT(B38)+1),dtc,
 "&lt;"  &amp;(INT(B38)+7),time,
 $C$2,release, "*" &amp; $C$3 &amp; "*",Item,
 "&lt;&gt;BUG")</f>
        <v>0</v>
      </c>
      <c r="I38" s="82">
        <f t="shared" si="2"/>
        <v>0</v>
      </c>
      <c r="J38" s="126">
        <f t="shared" si="3"/>
        <v>7</v>
      </c>
      <c r="K38" s="84">
        <f t="shared" si="10"/>
        <v>0</v>
      </c>
      <c r="L38" s="86"/>
    </row>
    <row r="39" spans="1:12" ht="15.75" customHeight="1" x14ac:dyDescent="0.25">
      <c r="A39" s="73" t="s">
        <v>2569</v>
      </c>
      <c r="B39" s="66">
        <f t="shared" si="4"/>
        <v>46104</v>
      </c>
      <c r="C39" s="79">
        <f t="shared" si="6"/>
        <v>21</v>
      </c>
      <c r="D39" s="79">
        <f t="shared" si="7"/>
        <v>21</v>
      </c>
      <c r="E39" s="79">
        <f t="shared" si="11"/>
        <v>21</v>
      </c>
      <c r="F39" s="80">
        <f t="shared" si="12"/>
        <v>0</v>
      </c>
      <c r="G39" s="118">
        <f t="shared" si="5"/>
        <v>1</v>
      </c>
      <c r="H39" s="118">
        <f t="shared" si="13"/>
        <v>0</v>
      </c>
      <c r="I39" s="82">
        <f t="shared" si="2"/>
        <v>0</v>
      </c>
      <c r="J39" s="126">
        <f t="shared" si="3"/>
        <v>0</v>
      </c>
      <c r="K39" s="84">
        <f t="shared" si="10"/>
        <v>0</v>
      </c>
      <c r="L39" s="86"/>
    </row>
    <row r="40" spans="1:12" ht="15.75" customHeight="1" x14ac:dyDescent="0.25">
      <c r="A40" s="73" t="s">
        <v>2570</v>
      </c>
      <c r="B40" s="66">
        <f t="shared" si="4"/>
        <v>46111</v>
      </c>
      <c r="C40" s="79">
        <f t="shared" si="6"/>
        <v>21</v>
      </c>
      <c r="D40" s="79">
        <f t="shared" si="7"/>
        <v>21</v>
      </c>
      <c r="E40" s="79">
        <f t="shared" si="11"/>
        <v>21</v>
      </c>
      <c r="F40" s="80"/>
      <c r="G40" s="118"/>
      <c r="H40" s="118"/>
      <c r="I40" s="82"/>
      <c r="J40" s="126"/>
      <c r="K40" s="84"/>
      <c r="L40" s="86"/>
    </row>
    <row r="41" spans="1:12" ht="15.75" customHeight="1" x14ac:dyDescent="0.25">
      <c r="A41" s="73"/>
      <c r="B41" s="66">
        <f t="shared" si="4"/>
        <v>46118</v>
      </c>
      <c r="C41" s="79">
        <f t="shared" si="6"/>
        <v>14</v>
      </c>
      <c r="D41" s="79">
        <f t="shared" si="7"/>
        <v>20</v>
      </c>
      <c r="E41" s="79">
        <f t="shared" si="11"/>
        <v>13</v>
      </c>
      <c r="F41" s="80" t="str">
        <f t="shared" si="12"/>
        <v/>
      </c>
      <c r="G41" s="118"/>
      <c r="H41" s="118"/>
      <c r="I41" s="82"/>
      <c r="J41" s="126"/>
      <c r="K41" s="84"/>
      <c r="L41" s="86"/>
    </row>
    <row r="42" spans="1:12" ht="15.75" customHeight="1" x14ac:dyDescent="0.25">
      <c r="A42" s="73"/>
      <c r="B42" s="66">
        <f t="shared" si="4"/>
        <v>46125</v>
      </c>
      <c r="C42" s="79">
        <f t="shared" si="6"/>
        <v>7</v>
      </c>
      <c r="D42" s="79">
        <f t="shared" si="7"/>
        <v>19</v>
      </c>
      <c r="E42" s="79">
        <f t="shared" si="11"/>
        <v>5</v>
      </c>
      <c r="F42" s="80" t="str">
        <f t="shared" si="12"/>
        <v/>
      </c>
      <c r="G42" s="118"/>
      <c r="H42" s="118"/>
      <c r="I42" s="82"/>
      <c r="J42" s="126"/>
      <c r="K42" s="84"/>
      <c r="L42" s="86"/>
    </row>
    <row r="43" spans="1:12" ht="15.75" customHeight="1" x14ac:dyDescent="0.25">
      <c r="A43" s="73"/>
      <c r="B43" s="66">
        <f t="shared" si="4"/>
        <v>46132</v>
      </c>
      <c r="C43" s="79">
        <f t="shared" si="6"/>
        <v>0</v>
      </c>
      <c r="D43" s="79">
        <f t="shared" si="7"/>
        <v>18</v>
      </c>
      <c r="E43" s="79">
        <f t="shared" ref="E43:E45" si="14">IF(OR(E42="",E42=0),"",IF(ISBLANK($J42),IF(E42-$K42+$I42-$C$9&lt;=0,IF(AND(E42&gt;0,E42&lt;&gt;""),0,""),E42-$K42+$I42-$C$9),IF((E42-$J42)-$K42+$I42&lt;=0,IF(AND(E42&gt;0,E42&lt;&gt;""),0,""),(E42-$J42)-$K42+$I42)))</f>
        <v>0</v>
      </c>
      <c r="F43" s="80" t="str">
        <f t="shared" si="12"/>
        <v/>
      </c>
      <c r="G43" s="118"/>
      <c r="H43" s="118"/>
      <c r="I43" s="82"/>
      <c r="J43" s="126"/>
      <c r="K43" s="84"/>
      <c r="L43" s="86"/>
    </row>
    <row r="44" spans="1:12" ht="15.75" customHeight="1" x14ac:dyDescent="0.25">
      <c r="A44" s="73"/>
      <c r="B44" s="66">
        <f t="shared" si="4"/>
        <v>46139</v>
      </c>
      <c r="C44" s="79" t="str">
        <f t="shared" si="6"/>
        <v/>
      </c>
      <c r="D44" s="79">
        <f t="shared" si="7"/>
        <v>17</v>
      </c>
      <c r="E44" s="79" t="str">
        <f t="shared" si="14"/>
        <v/>
      </c>
      <c r="F44" s="80" t="str">
        <f t="shared" si="12"/>
        <v/>
      </c>
      <c r="G44" s="118"/>
      <c r="H44" s="118"/>
      <c r="I44" s="82"/>
      <c r="J44" s="126"/>
      <c r="K44" s="84"/>
      <c r="L44" s="86"/>
    </row>
    <row r="45" spans="1:12" ht="15.75" customHeight="1" x14ac:dyDescent="0.25">
      <c r="A45" s="73"/>
      <c r="B45" s="66">
        <f t="shared" si="4"/>
        <v>46146</v>
      </c>
      <c r="C45" s="85" t="str">
        <f t="shared" ref="C45:C68" si="15">IF(OR(C44="",C44=0),"",IF(ISBLANK(J44),IF(C44+K44+I44-$C$7&lt;=0,IF(AND(C44&gt;0,C44&lt;&gt;""),0,""),C44+K44+I44-$C$7),IF((C44-J44)+K44+I44&lt;=0,IF(AND(C44&gt;0,C44&lt;&gt;""),0,""),(C44-J44)+K44+I44)))</f>
        <v/>
      </c>
      <c r="D45" s="79">
        <f t="shared" si="7"/>
        <v>16</v>
      </c>
      <c r="E45" s="79" t="str">
        <f t="shared" si="14"/>
        <v/>
      </c>
      <c r="F45" s="80" t="str">
        <f t="shared" si="12"/>
        <v/>
      </c>
      <c r="G45" s="118"/>
      <c r="H45" s="118"/>
      <c r="I45" s="82"/>
      <c r="J45" s="126"/>
      <c r="K45" s="84"/>
      <c r="L45" s="86"/>
    </row>
    <row r="46" spans="1:12" ht="15.75" customHeight="1" x14ac:dyDescent="0.25">
      <c r="A46" s="73"/>
      <c r="B46" s="66">
        <f t="shared" si="4"/>
        <v>46153</v>
      </c>
      <c r="C46" s="85" t="str">
        <f t="shared" si="15"/>
        <v/>
      </c>
      <c r="D46" s="79">
        <f t="shared" si="7"/>
        <v>15</v>
      </c>
      <c r="E46" s="85" t="str">
        <f t="shared" ref="E46:E68" si="16">IF(OR(E45="",E45=0),"",IF(ISBLANK($J45),IF(E45+$K45+$I45-$C$9&lt;=0,IF(AND(E45&gt;0,E45&lt;&gt;""),0,""),E45+$K45+$I45-$C$9),IF((E45-$J45)+$K45+$I45&lt;=0,IF(AND(E45&gt;0,E45&lt;&gt;""),0,""),(E45-$J45)+$K45+$I45)))</f>
        <v/>
      </c>
      <c r="F46" s="80" t="str">
        <f t="shared" si="12"/>
        <v/>
      </c>
      <c r="G46" s="118"/>
      <c r="H46" s="118"/>
      <c r="I46" s="82"/>
      <c r="J46" s="126"/>
      <c r="K46" s="84"/>
      <c r="L46" s="86"/>
    </row>
    <row r="47" spans="1:12" ht="15.75" customHeight="1" x14ac:dyDescent="0.25">
      <c r="A47" s="73"/>
      <c r="B47" s="66">
        <f t="shared" si="4"/>
        <v>46160</v>
      </c>
      <c r="C47" s="85" t="str">
        <f t="shared" si="15"/>
        <v/>
      </c>
      <c r="D47" s="79">
        <f t="shared" si="7"/>
        <v>14</v>
      </c>
      <c r="E47" s="85" t="str">
        <f t="shared" si="16"/>
        <v/>
      </c>
      <c r="F47" s="80" t="str">
        <f t="shared" ref="F47:F68" si="17">IF(J46="","",IF(G46+F46+H46+I46-J46&lt;0,0,G46+F46+H46+I46-J46))</f>
        <v/>
      </c>
      <c r="G47" s="118"/>
      <c r="H47" s="118"/>
      <c r="I47" s="82"/>
      <c r="J47" s="126"/>
      <c r="K47" s="84"/>
      <c r="L47" s="86"/>
    </row>
    <row r="48" spans="1:12" ht="15.75" customHeight="1" x14ac:dyDescent="0.25">
      <c r="A48" s="73"/>
      <c r="B48" s="66">
        <f t="shared" si="4"/>
        <v>46167</v>
      </c>
      <c r="C48" s="85" t="str">
        <f t="shared" si="15"/>
        <v/>
      </c>
      <c r="D48" s="85">
        <f t="shared" ref="D48:D68" si="18">IF(OR(D47="",D47=0),"",IF(ISBLANK($J47),IF(D47+$K47+$I47-$C$8&lt;=0,IF(AND(D47&gt;0,D47&lt;&gt;""),0,""),D47+$K47+$I47-$C$8),IF((D47-$J47)+$K47+$I47&lt;=0,IF(AND(D47&gt;0,D47&lt;&gt;""),0,""),(D47-$J47)+$K47+$I47)))</f>
        <v>13</v>
      </c>
      <c r="E48" s="85" t="str">
        <f t="shared" si="16"/>
        <v/>
      </c>
      <c r="F48" s="80" t="str">
        <f t="shared" si="17"/>
        <v/>
      </c>
      <c r="G48" s="81"/>
      <c r="H48" s="118"/>
      <c r="I48" s="82"/>
      <c r="J48" s="83"/>
      <c r="K48" s="84"/>
      <c r="L48" s="86"/>
    </row>
    <row r="49" spans="1:12" ht="15.75" customHeight="1" x14ac:dyDescent="0.25">
      <c r="A49" s="73"/>
      <c r="B49" s="66">
        <f t="shared" si="4"/>
        <v>46174</v>
      </c>
      <c r="C49" s="85" t="str">
        <f t="shared" si="15"/>
        <v/>
      </c>
      <c r="D49" s="85">
        <f t="shared" si="18"/>
        <v>12</v>
      </c>
      <c r="E49" s="85" t="str">
        <f t="shared" si="16"/>
        <v/>
      </c>
      <c r="F49" s="80" t="str">
        <f t="shared" si="17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4"/>
        <v>46181</v>
      </c>
      <c r="C50" s="85" t="str">
        <f t="shared" si="15"/>
        <v/>
      </c>
      <c r="D50" s="85">
        <f t="shared" si="18"/>
        <v>11</v>
      </c>
      <c r="E50" s="85" t="str">
        <f t="shared" si="16"/>
        <v/>
      </c>
      <c r="F50" s="80" t="str">
        <f t="shared" si="17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4"/>
        <v>46188</v>
      </c>
      <c r="C51" s="85" t="str">
        <f t="shared" si="15"/>
        <v/>
      </c>
      <c r="D51" s="85">
        <f t="shared" si="18"/>
        <v>10</v>
      </c>
      <c r="E51" s="85" t="str">
        <f t="shared" si="16"/>
        <v/>
      </c>
      <c r="F51" s="80" t="str">
        <f t="shared" si="17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4"/>
        <v>46195</v>
      </c>
      <c r="C52" s="85" t="str">
        <f t="shared" si="15"/>
        <v/>
      </c>
      <c r="D52" s="85">
        <f t="shared" si="18"/>
        <v>9</v>
      </c>
      <c r="E52" s="85" t="str">
        <f t="shared" si="16"/>
        <v/>
      </c>
      <c r="F52" s="80" t="str">
        <f t="shared" si="17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4"/>
        <v>46202</v>
      </c>
      <c r="C53" s="85" t="str">
        <f t="shared" si="15"/>
        <v/>
      </c>
      <c r="D53" s="85">
        <f t="shared" si="18"/>
        <v>8</v>
      </c>
      <c r="E53" s="85" t="str">
        <f t="shared" si="16"/>
        <v/>
      </c>
      <c r="F53" s="80" t="str">
        <f t="shared" si="17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4"/>
        <v>46209</v>
      </c>
      <c r="C54" s="85" t="str">
        <f t="shared" si="15"/>
        <v/>
      </c>
      <c r="D54" s="85">
        <f t="shared" si="18"/>
        <v>7</v>
      </c>
      <c r="E54" s="85" t="str">
        <f t="shared" si="16"/>
        <v/>
      </c>
      <c r="F54" s="80" t="str">
        <f t="shared" si="17"/>
        <v/>
      </c>
      <c r="G54" s="81"/>
      <c r="H54" s="81"/>
      <c r="I54" s="82"/>
      <c r="J54" s="83"/>
      <c r="K54" s="84"/>
      <c r="L54" s="86"/>
    </row>
    <row r="55" spans="1:12" ht="15.75" customHeight="1" x14ac:dyDescent="0.25">
      <c r="A55" s="73"/>
      <c r="B55" s="66">
        <f t="shared" si="4"/>
        <v>46216</v>
      </c>
      <c r="C55" s="85" t="str">
        <f t="shared" si="15"/>
        <v/>
      </c>
      <c r="D55" s="85">
        <f t="shared" si="18"/>
        <v>6</v>
      </c>
      <c r="E55" s="85" t="str">
        <f t="shared" si="16"/>
        <v/>
      </c>
      <c r="F55" s="80" t="str">
        <f t="shared" si="17"/>
        <v/>
      </c>
      <c r="G55" s="81"/>
      <c r="H55" s="81"/>
      <c r="I55" s="82"/>
      <c r="J55" s="83"/>
      <c r="K55" s="84"/>
      <c r="L55" s="86"/>
    </row>
    <row r="56" spans="1:12" ht="15" customHeight="1" x14ac:dyDescent="0.25">
      <c r="A56" s="73"/>
      <c r="B56" s="66">
        <f t="shared" si="4"/>
        <v>46223</v>
      </c>
      <c r="C56" s="85" t="str">
        <f t="shared" si="15"/>
        <v/>
      </c>
      <c r="D56" s="85">
        <f t="shared" si="18"/>
        <v>5</v>
      </c>
      <c r="E56" s="85" t="str">
        <f t="shared" si="16"/>
        <v/>
      </c>
      <c r="F56" s="80" t="str">
        <f t="shared" si="17"/>
        <v/>
      </c>
      <c r="G56" s="81"/>
      <c r="H56" s="81"/>
      <c r="I56" s="82"/>
      <c r="J56" s="83"/>
      <c r="K56" s="84"/>
      <c r="L56" s="86"/>
    </row>
    <row r="57" spans="1:12" ht="15" customHeight="1" x14ac:dyDescent="0.25">
      <c r="A57" s="73"/>
      <c r="B57" s="66">
        <f t="shared" si="4"/>
        <v>46230</v>
      </c>
      <c r="C57" s="85" t="str">
        <f t="shared" si="15"/>
        <v/>
      </c>
      <c r="D57" s="85">
        <f t="shared" si="18"/>
        <v>4</v>
      </c>
      <c r="E57" s="85" t="str">
        <f t="shared" si="16"/>
        <v/>
      </c>
      <c r="F57" s="80" t="str">
        <f t="shared" si="17"/>
        <v/>
      </c>
      <c r="G57" s="81"/>
      <c r="H57" s="81"/>
      <c r="I57" s="82"/>
      <c r="J57" s="83"/>
      <c r="K57" s="84"/>
      <c r="L57" s="86"/>
    </row>
    <row r="58" spans="1:12" ht="15" customHeight="1" x14ac:dyDescent="0.25">
      <c r="A58" s="73"/>
      <c r="B58" s="66">
        <f t="shared" si="4"/>
        <v>46237</v>
      </c>
      <c r="C58" s="85" t="str">
        <f t="shared" si="15"/>
        <v/>
      </c>
      <c r="D58" s="85">
        <f t="shared" si="18"/>
        <v>3</v>
      </c>
      <c r="E58" s="85" t="str">
        <f t="shared" si="16"/>
        <v/>
      </c>
      <c r="F58" s="80" t="str">
        <f t="shared" si="17"/>
        <v/>
      </c>
      <c r="G58" s="81"/>
      <c r="H58" s="81"/>
      <c r="I58" s="82"/>
      <c r="J58" s="83"/>
      <c r="K58" s="84"/>
      <c r="L58" s="86"/>
    </row>
    <row r="59" spans="1:12" ht="15" customHeight="1" x14ac:dyDescent="0.25">
      <c r="A59" s="73"/>
      <c r="B59" s="66">
        <f t="shared" si="4"/>
        <v>46244</v>
      </c>
      <c r="C59" s="85" t="str">
        <f t="shared" si="15"/>
        <v/>
      </c>
      <c r="D59" s="85">
        <f t="shared" si="18"/>
        <v>2</v>
      </c>
      <c r="E59" s="85" t="str">
        <f t="shared" si="16"/>
        <v/>
      </c>
      <c r="F59" s="80" t="str">
        <f t="shared" si="17"/>
        <v/>
      </c>
      <c r="G59" s="81"/>
      <c r="H59" s="81"/>
      <c r="I59" s="82"/>
      <c r="J59" s="83"/>
      <c r="K59" s="84"/>
      <c r="L59" s="86"/>
    </row>
    <row r="60" spans="1:12" ht="15" customHeight="1" x14ac:dyDescent="0.25">
      <c r="A60" s="73"/>
      <c r="B60" s="66">
        <f t="shared" si="4"/>
        <v>46251</v>
      </c>
      <c r="C60" s="85" t="str">
        <f t="shared" si="15"/>
        <v/>
      </c>
      <c r="D60" s="85">
        <f t="shared" si="18"/>
        <v>1</v>
      </c>
      <c r="E60" s="85" t="str">
        <f t="shared" si="16"/>
        <v/>
      </c>
      <c r="F60" s="80" t="str">
        <f t="shared" si="17"/>
        <v/>
      </c>
      <c r="G60" s="81"/>
      <c r="H60" s="81"/>
      <c r="I60" s="82"/>
      <c r="J60" s="83"/>
      <c r="K60" s="84"/>
      <c r="L60" s="86"/>
    </row>
    <row r="61" spans="1:12" ht="15" customHeight="1" x14ac:dyDescent="0.25">
      <c r="A61" s="73"/>
      <c r="B61" s="66">
        <f t="shared" si="4"/>
        <v>46258</v>
      </c>
      <c r="C61" s="85" t="str">
        <f t="shared" si="15"/>
        <v/>
      </c>
      <c r="D61" s="85">
        <f t="shared" si="18"/>
        <v>0</v>
      </c>
      <c r="E61" s="85" t="str">
        <f t="shared" si="16"/>
        <v/>
      </c>
      <c r="F61" s="80" t="str">
        <f t="shared" si="17"/>
        <v/>
      </c>
      <c r="G61" s="81"/>
      <c r="H61" s="81"/>
      <c r="I61" s="82"/>
      <c r="J61" s="83"/>
      <c r="K61" s="84"/>
      <c r="L61" s="86"/>
    </row>
    <row r="62" spans="1:12" ht="15" customHeight="1" x14ac:dyDescent="0.25">
      <c r="A62" s="73"/>
      <c r="B62" s="66">
        <f t="shared" si="4"/>
        <v>46265</v>
      </c>
      <c r="C62" s="85" t="str">
        <f t="shared" si="15"/>
        <v/>
      </c>
      <c r="D62" s="85" t="str">
        <f t="shared" si="18"/>
        <v/>
      </c>
      <c r="E62" s="85" t="str">
        <f t="shared" si="16"/>
        <v/>
      </c>
      <c r="F62" s="80" t="str">
        <f t="shared" si="17"/>
        <v/>
      </c>
      <c r="G62" s="81"/>
      <c r="H62" s="81"/>
      <c r="I62" s="82"/>
      <c r="J62" s="83"/>
      <c r="K62" s="84"/>
      <c r="L62" s="86"/>
    </row>
    <row r="63" spans="1:12" ht="15" customHeight="1" x14ac:dyDescent="0.25">
      <c r="A63" s="73"/>
      <c r="B63" s="66">
        <f t="shared" si="4"/>
        <v>46272</v>
      </c>
      <c r="C63" s="85" t="str">
        <f t="shared" si="15"/>
        <v/>
      </c>
      <c r="D63" s="85" t="str">
        <f t="shared" si="18"/>
        <v/>
      </c>
      <c r="E63" s="85" t="str">
        <f t="shared" si="16"/>
        <v/>
      </c>
      <c r="F63" s="80" t="str">
        <f t="shared" si="17"/>
        <v/>
      </c>
      <c r="G63" s="81"/>
      <c r="H63" s="81"/>
      <c r="I63" s="82"/>
      <c r="J63" s="83"/>
      <c r="K63" s="84"/>
      <c r="L63" s="86"/>
    </row>
    <row r="64" spans="1:12" ht="15" customHeight="1" x14ac:dyDescent="0.25">
      <c r="A64" s="73"/>
      <c r="B64" s="66">
        <f t="shared" si="4"/>
        <v>46279</v>
      </c>
      <c r="C64" s="85" t="str">
        <f t="shared" si="15"/>
        <v/>
      </c>
      <c r="D64" s="85" t="str">
        <f t="shared" si="18"/>
        <v/>
      </c>
      <c r="E64" s="85" t="str">
        <f t="shared" si="16"/>
        <v/>
      </c>
      <c r="F64" s="80" t="str">
        <f t="shared" si="17"/>
        <v/>
      </c>
      <c r="G64" s="81"/>
      <c r="H64" s="81"/>
      <c r="I64" s="82"/>
      <c r="J64" s="83"/>
      <c r="K64" s="84"/>
      <c r="L64" s="86"/>
    </row>
    <row r="65" spans="1:12" ht="15" customHeight="1" x14ac:dyDescent="0.25">
      <c r="A65" s="73"/>
      <c r="B65" s="66">
        <f t="shared" si="4"/>
        <v>46286</v>
      </c>
      <c r="C65" s="85" t="str">
        <f t="shared" si="15"/>
        <v/>
      </c>
      <c r="D65" s="85" t="str">
        <f t="shared" si="18"/>
        <v/>
      </c>
      <c r="E65" s="85" t="str">
        <f t="shared" si="16"/>
        <v/>
      </c>
      <c r="F65" s="80" t="str">
        <f t="shared" si="17"/>
        <v/>
      </c>
      <c r="G65" s="81"/>
      <c r="H65" s="81"/>
      <c r="I65" s="82"/>
      <c r="J65" s="83"/>
      <c r="K65" s="84"/>
      <c r="L65" s="86"/>
    </row>
    <row r="66" spans="1:12" ht="15" customHeight="1" x14ac:dyDescent="0.25">
      <c r="A66" s="73"/>
      <c r="B66" s="66">
        <f t="shared" si="4"/>
        <v>46293</v>
      </c>
      <c r="C66" s="85" t="str">
        <f t="shared" si="15"/>
        <v/>
      </c>
      <c r="D66" s="85" t="str">
        <f t="shared" si="18"/>
        <v/>
      </c>
      <c r="E66" s="85" t="str">
        <f t="shared" si="16"/>
        <v/>
      </c>
      <c r="F66" s="80" t="str">
        <f t="shared" si="17"/>
        <v/>
      </c>
      <c r="G66" s="81"/>
      <c r="H66" s="81"/>
      <c r="I66" s="82"/>
      <c r="J66" s="83"/>
      <c r="K66" s="84"/>
      <c r="L66" s="86"/>
    </row>
    <row r="67" spans="1:12" ht="15" customHeight="1" x14ac:dyDescent="0.25">
      <c r="A67" s="73"/>
      <c r="B67" s="66">
        <f t="shared" si="4"/>
        <v>46300</v>
      </c>
      <c r="C67" s="85" t="str">
        <f t="shared" si="15"/>
        <v/>
      </c>
      <c r="D67" s="85" t="str">
        <f t="shared" si="18"/>
        <v/>
      </c>
      <c r="E67" s="85" t="str">
        <f t="shared" si="16"/>
        <v/>
      </c>
      <c r="F67" s="80" t="str">
        <f t="shared" si="17"/>
        <v/>
      </c>
      <c r="G67" s="81"/>
      <c r="H67" s="81"/>
      <c r="I67" s="82"/>
      <c r="J67" s="83"/>
      <c r="K67" s="84"/>
      <c r="L67" s="86"/>
    </row>
    <row r="68" spans="1:12" ht="15" customHeight="1" x14ac:dyDescent="0.25">
      <c r="A68" s="73"/>
      <c r="B68" s="66">
        <f t="shared" si="4"/>
        <v>46307</v>
      </c>
      <c r="C68" s="85" t="str">
        <f t="shared" si="15"/>
        <v/>
      </c>
      <c r="D68" s="85" t="str">
        <f t="shared" si="18"/>
        <v/>
      </c>
      <c r="E68" s="85" t="str">
        <f t="shared" si="16"/>
        <v/>
      </c>
      <c r="F68" s="80" t="str">
        <f t="shared" si="17"/>
        <v/>
      </c>
      <c r="G68" s="81"/>
      <c r="H68" s="81"/>
      <c r="I68" s="82"/>
      <c r="J68" s="83"/>
      <c r="K68" s="84"/>
      <c r="L68" s="86"/>
    </row>
    <row r="93" spans="2:3" ht="15.75" customHeight="1" x14ac:dyDescent="0.25">
      <c r="B93" s="67" t="e">
        <f>IF(#REF!="","",IF(#REF!+$C$10&lt;=$C$6,#REF!+$C$10,""))</f>
        <v>#REF!</v>
      </c>
      <c r="C93" s="76" t="e">
        <f>IF(B93&lt;&gt;"",#REF!-$C$2/COUNT($B$18:$B$511),"")</f>
        <v>#REF!</v>
      </c>
    </row>
    <row r="94" spans="2:3" ht="15.75" customHeight="1" x14ac:dyDescent="0.25">
      <c r="B94" s="67" t="e">
        <f t="shared" ref="B94:B157" si="19">IF(B93="","",IF(B93+$C$10&lt;=$C$6,B93+$C$10,""))</f>
        <v>#REF!</v>
      </c>
      <c r="C94" s="76" t="e">
        <f t="shared" ref="C94:C157" si="20">IF(B94&lt;&gt;"",C93-$C$2/COUNT($B$18:$B$511),"")</f>
        <v>#REF!</v>
      </c>
    </row>
    <row r="95" spans="2:3" ht="15.75" customHeight="1" x14ac:dyDescent="0.25">
      <c r="B95" s="67" t="e">
        <f t="shared" si="19"/>
        <v>#REF!</v>
      </c>
      <c r="C95" s="76" t="e">
        <f t="shared" si="20"/>
        <v>#REF!</v>
      </c>
    </row>
    <row r="96" spans="2:3" ht="15.75" customHeight="1" x14ac:dyDescent="0.25">
      <c r="B96" s="67" t="e">
        <f t="shared" si="19"/>
        <v>#REF!</v>
      </c>
      <c r="C96" s="76" t="e">
        <f t="shared" si="20"/>
        <v>#REF!</v>
      </c>
    </row>
    <row r="97" spans="2:3" ht="15.75" customHeight="1" x14ac:dyDescent="0.25">
      <c r="B97" s="67" t="e">
        <f t="shared" si="19"/>
        <v>#REF!</v>
      </c>
      <c r="C97" s="76" t="e">
        <f t="shared" si="20"/>
        <v>#REF!</v>
      </c>
    </row>
    <row r="98" spans="2:3" ht="15.75" customHeight="1" x14ac:dyDescent="0.25">
      <c r="B98" s="67" t="e">
        <f t="shared" si="19"/>
        <v>#REF!</v>
      </c>
      <c r="C98" s="76" t="e">
        <f t="shared" si="20"/>
        <v>#REF!</v>
      </c>
    </row>
    <row r="99" spans="2:3" ht="15.75" customHeight="1" x14ac:dyDescent="0.25">
      <c r="B99" s="67" t="e">
        <f t="shared" si="19"/>
        <v>#REF!</v>
      </c>
      <c r="C99" s="76" t="e">
        <f t="shared" si="20"/>
        <v>#REF!</v>
      </c>
    </row>
    <row r="100" spans="2:3" ht="15.75" customHeight="1" x14ac:dyDescent="0.25">
      <c r="B100" s="67" t="e">
        <f t="shared" si="19"/>
        <v>#REF!</v>
      </c>
      <c r="C100" s="76" t="e">
        <f t="shared" si="20"/>
        <v>#REF!</v>
      </c>
    </row>
    <row r="101" spans="2:3" ht="15.75" customHeight="1" x14ac:dyDescent="0.25">
      <c r="B101" s="67" t="e">
        <f t="shared" si="19"/>
        <v>#REF!</v>
      </c>
      <c r="C101" s="76" t="e">
        <f t="shared" si="20"/>
        <v>#REF!</v>
      </c>
    </row>
    <row r="102" spans="2:3" ht="15.75" customHeight="1" x14ac:dyDescent="0.25">
      <c r="B102" s="67" t="e">
        <f t="shared" si="19"/>
        <v>#REF!</v>
      </c>
      <c r="C102" s="76" t="e">
        <f t="shared" si="20"/>
        <v>#REF!</v>
      </c>
    </row>
    <row r="103" spans="2:3" ht="15.75" customHeight="1" x14ac:dyDescent="0.25">
      <c r="B103" s="67" t="e">
        <f t="shared" si="19"/>
        <v>#REF!</v>
      </c>
      <c r="C103" s="76" t="e">
        <f t="shared" si="20"/>
        <v>#REF!</v>
      </c>
    </row>
    <row r="104" spans="2:3" ht="15.75" customHeight="1" x14ac:dyDescent="0.25">
      <c r="B104" s="67" t="e">
        <f t="shared" si="19"/>
        <v>#REF!</v>
      </c>
      <c r="C104" s="76" t="e">
        <f t="shared" si="20"/>
        <v>#REF!</v>
      </c>
    </row>
    <row r="105" spans="2:3" ht="15.75" customHeight="1" x14ac:dyDescent="0.25">
      <c r="B105" s="67" t="e">
        <f t="shared" si="19"/>
        <v>#REF!</v>
      </c>
      <c r="C105" s="76" t="e">
        <f t="shared" si="20"/>
        <v>#REF!</v>
      </c>
    </row>
    <row r="106" spans="2:3" ht="15.75" customHeight="1" x14ac:dyDescent="0.25">
      <c r="B106" s="67" t="e">
        <f t="shared" si="19"/>
        <v>#REF!</v>
      </c>
      <c r="C106" s="76" t="e">
        <f t="shared" si="20"/>
        <v>#REF!</v>
      </c>
    </row>
    <row r="107" spans="2:3" ht="15.75" customHeight="1" x14ac:dyDescent="0.25">
      <c r="B107" s="67" t="e">
        <f t="shared" si="19"/>
        <v>#REF!</v>
      </c>
      <c r="C107" s="76" t="e">
        <f t="shared" si="20"/>
        <v>#REF!</v>
      </c>
    </row>
    <row r="108" spans="2:3" ht="15.75" customHeight="1" x14ac:dyDescent="0.25">
      <c r="B108" s="67" t="e">
        <f t="shared" si="19"/>
        <v>#REF!</v>
      </c>
      <c r="C108" s="76" t="e">
        <f t="shared" si="20"/>
        <v>#REF!</v>
      </c>
    </row>
    <row r="109" spans="2:3" ht="15.75" customHeight="1" x14ac:dyDescent="0.25">
      <c r="B109" s="67" t="e">
        <f t="shared" si="19"/>
        <v>#REF!</v>
      </c>
      <c r="C109" s="76" t="e">
        <f t="shared" si="20"/>
        <v>#REF!</v>
      </c>
    </row>
    <row r="110" spans="2:3" ht="15.75" customHeight="1" x14ac:dyDescent="0.25">
      <c r="B110" s="67" t="e">
        <f t="shared" si="19"/>
        <v>#REF!</v>
      </c>
      <c r="C110" s="76" t="e">
        <f t="shared" si="20"/>
        <v>#REF!</v>
      </c>
    </row>
    <row r="111" spans="2:3" ht="15.75" customHeight="1" x14ac:dyDescent="0.25">
      <c r="B111" s="67" t="e">
        <f t="shared" si="19"/>
        <v>#REF!</v>
      </c>
      <c r="C111" s="76" t="e">
        <f t="shared" si="20"/>
        <v>#REF!</v>
      </c>
    </row>
    <row r="112" spans="2:3" ht="15.75" customHeight="1" x14ac:dyDescent="0.25">
      <c r="B112" s="67" t="e">
        <f t="shared" si="19"/>
        <v>#REF!</v>
      </c>
      <c r="C112" s="76" t="e">
        <f t="shared" si="20"/>
        <v>#REF!</v>
      </c>
    </row>
    <row r="113" spans="2:3" ht="15.75" customHeight="1" x14ac:dyDescent="0.25">
      <c r="B113" s="67" t="e">
        <f t="shared" si="19"/>
        <v>#REF!</v>
      </c>
      <c r="C113" s="76" t="e">
        <f t="shared" si="20"/>
        <v>#REF!</v>
      </c>
    </row>
    <row r="114" spans="2:3" ht="15.75" customHeight="1" x14ac:dyDescent="0.25">
      <c r="B114" s="67" t="e">
        <f t="shared" si="19"/>
        <v>#REF!</v>
      </c>
      <c r="C114" s="76" t="e">
        <f t="shared" si="20"/>
        <v>#REF!</v>
      </c>
    </row>
    <row r="115" spans="2:3" ht="15.75" customHeight="1" x14ac:dyDescent="0.25">
      <c r="B115" s="67" t="e">
        <f t="shared" si="19"/>
        <v>#REF!</v>
      </c>
      <c r="C115" s="76" t="e">
        <f t="shared" si="20"/>
        <v>#REF!</v>
      </c>
    </row>
    <row r="116" spans="2:3" ht="15.75" customHeight="1" x14ac:dyDescent="0.25">
      <c r="B116" s="67" t="e">
        <f t="shared" si="19"/>
        <v>#REF!</v>
      </c>
      <c r="C116" s="76" t="e">
        <f t="shared" si="20"/>
        <v>#REF!</v>
      </c>
    </row>
    <row r="117" spans="2:3" ht="15.75" customHeight="1" x14ac:dyDescent="0.25">
      <c r="B117" s="67" t="e">
        <f t="shared" si="19"/>
        <v>#REF!</v>
      </c>
      <c r="C117" s="76" t="e">
        <f t="shared" si="20"/>
        <v>#REF!</v>
      </c>
    </row>
    <row r="118" spans="2:3" ht="15.75" customHeight="1" x14ac:dyDescent="0.25">
      <c r="B118" s="67" t="e">
        <f t="shared" si="19"/>
        <v>#REF!</v>
      </c>
      <c r="C118" s="76" t="e">
        <f t="shared" si="20"/>
        <v>#REF!</v>
      </c>
    </row>
    <row r="119" spans="2:3" ht="15.75" customHeight="1" x14ac:dyDescent="0.25">
      <c r="B119" s="67" t="e">
        <f t="shared" si="19"/>
        <v>#REF!</v>
      </c>
      <c r="C119" s="76" t="e">
        <f t="shared" si="20"/>
        <v>#REF!</v>
      </c>
    </row>
    <row r="120" spans="2:3" ht="15.75" customHeight="1" x14ac:dyDescent="0.25">
      <c r="B120" s="67" t="e">
        <f t="shared" si="19"/>
        <v>#REF!</v>
      </c>
      <c r="C120" s="76" t="e">
        <f t="shared" si="20"/>
        <v>#REF!</v>
      </c>
    </row>
    <row r="121" spans="2:3" ht="15.75" customHeight="1" x14ac:dyDescent="0.25">
      <c r="B121" s="67" t="e">
        <f t="shared" si="19"/>
        <v>#REF!</v>
      </c>
      <c r="C121" s="76" t="e">
        <f t="shared" si="20"/>
        <v>#REF!</v>
      </c>
    </row>
    <row r="122" spans="2:3" ht="15.75" customHeight="1" x14ac:dyDescent="0.25">
      <c r="B122" s="67" t="e">
        <f t="shared" si="19"/>
        <v>#REF!</v>
      </c>
      <c r="C122" s="76" t="e">
        <f t="shared" si="20"/>
        <v>#REF!</v>
      </c>
    </row>
    <row r="123" spans="2:3" ht="15.75" customHeight="1" x14ac:dyDescent="0.25">
      <c r="B123" s="67" t="e">
        <f t="shared" si="19"/>
        <v>#REF!</v>
      </c>
      <c r="C123" s="76" t="e">
        <f t="shared" si="20"/>
        <v>#REF!</v>
      </c>
    </row>
    <row r="124" spans="2:3" ht="15.75" customHeight="1" x14ac:dyDescent="0.25">
      <c r="B124" s="67" t="e">
        <f t="shared" si="19"/>
        <v>#REF!</v>
      </c>
      <c r="C124" s="76" t="e">
        <f t="shared" si="20"/>
        <v>#REF!</v>
      </c>
    </row>
    <row r="125" spans="2:3" ht="15.75" customHeight="1" x14ac:dyDescent="0.25">
      <c r="B125" s="67" t="e">
        <f t="shared" si="19"/>
        <v>#REF!</v>
      </c>
      <c r="C125" s="76" t="e">
        <f t="shared" si="20"/>
        <v>#REF!</v>
      </c>
    </row>
    <row r="126" spans="2:3" ht="15.75" customHeight="1" x14ac:dyDescent="0.25">
      <c r="B126" s="67" t="e">
        <f t="shared" si="19"/>
        <v>#REF!</v>
      </c>
      <c r="C126" s="76" t="e">
        <f t="shared" si="20"/>
        <v>#REF!</v>
      </c>
    </row>
    <row r="127" spans="2:3" ht="15.75" customHeight="1" x14ac:dyDescent="0.25">
      <c r="B127" s="67" t="e">
        <f t="shared" si="19"/>
        <v>#REF!</v>
      </c>
      <c r="C127" s="76" t="e">
        <f t="shared" si="20"/>
        <v>#REF!</v>
      </c>
    </row>
    <row r="128" spans="2:3" ht="15.75" customHeight="1" x14ac:dyDescent="0.25">
      <c r="B128" s="67" t="e">
        <f t="shared" si="19"/>
        <v>#REF!</v>
      </c>
      <c r="C128" s="76" t="e">
        <f t="shared" si="20"/>
        <v>#REF!</v>
      </c>
    </row>
    <row r="129" spans="2:3" ht="15.75" customHeight="1" x14ac:dyDescent="0.25">
      <c r="B129" s="67" t="e">
        <f t="shared" si="19"/>
        <v>#REF!</v>
      </c>
      <c r="C129" s="76" t="e">
        <f t="shared" si="20"/>
        <v>#REF!</v>
      </c>
    </row>
    <row r="130" spans="2:3" ht="15.75" customHeight="1" x14ac:dyDescent="0.25">
      <c r="B130" s="67" t="e">
        <f t="shared" si="19"/>
        <v>#REF!</v>
      </c>
      <c r="C130" s="76" t="e">
        <f t="shared" si="20"/>
        <v>#REF!</v>
      </c>
    </row>
    <row r="131" spans="2:3" ht="15.75" customHeight="1" x14ac:dyDescent="0.25">
      <c r="B131" s="67" t="e">
        <f t="shared" si="19"/>
        <v>#REF!</v>
      </c>
      <c r="C131" s="76" t="e">
        <f t="shared" si="20"/>
        <v>#REF!</v>
      </c>
    </row>
    <row r="132" spans="2:3" ht="15.75" customHeight="1" x14ac:dyDescent="0.25">
      <c r="B132" s="67" t="e">
        <f t="shared" si="19"/>
        <v>#REF!</v>
      </c>
      <c r="C132" s="76" t="e">
        <f t="shared" si="20"/>
        <v>#REF!</v>
      </c>
    </row>
    <row r="133" spans="2:3" ht="15.75" customHeight="1" x14ac:dyDescent="0.25">
      <c r="B133" s="67" t="e">
        <f t="shared" si="19"/>
        <v>#REF!</v>
      </c>
      <c r="C133" s="76" t="e">
        <f t="shared" si="20"/>
        <v>#REF!</v>
      </c>
    </row>
    <row r="134" spans="2:3" ht="15.75" customHeight="1" x14ac:dyDescent="0.25">
      <c r="B134" s="67" t="e">
        <f t="shared" si="19"/>
        <v>#REF!</v>
      </c>
      <c r="C134" s="76" t="e">
        <f t="shared" si="20"/>
        <v>#REF!</v>
      </c>
    </row>
    <row r="135" spans="2:3" ht="15.75" customHeight="1" x14ac:dyDescent="0.25">
      <c r="B135" s="67" t="e">
        <f t="shared" si="19"/>
        <v>#REF!</v>
      </c>
      <c r="C135" s="76" t="e">
        <f t="shared" si="20"/>
        <v>#REF!</v>
      </c>
    </row>
    <row r="136" spans="2:3" ht="15.75" customHeight="1" x14ac:dyDescent="0.25">
      <c r="B136" s="67" t="e">
        <f t="shared" si="19"/>
        <v>#REF!</v>
      </c>
      <c r="C136" s="76" t="e">
        <f t="shared" si="20"/>
        <v>#REF!</v>
      </c>
    </row>
    <row r="137" spans="2:3" ht="15.75" customHeight="1" x14ac:dyDescent="0.25">
      <c r="B137" s="67" t="e">
        <f t="shared" si="19"/>
        <v>#REF!</v>
      </c>
      <c r="C137" s="76" t="e">
        <f t="shared" si="20"/>
        <v>#REF!</v>
      </c>
    </row>
    <row r="138" spans="2:3" ht="15.75" customHeight="1" x14ac:dyDescent="0.25">
      <c r="B138" s="67" t="e">
        <f t="shared" si="19"/>
        <v>#REF!</v>
      </c>
      <c r="C138" s="76" t="e">
        <f t="shared" si="20"/>
        <v>#REF!</v>
      </c>
    </row>
    <row r="139" spans="2:3" ht="15.75" customHeight="1" x14ac:dyDescent="0.25">
      <c r="B139" s="67" t="e">
        <f t="shared" si="19"/>
        <v>#REF!</v>
      </c>
      <c r="C139" s="76" t="e">
        <f t="shared" si="20"/>
        <v>#REF!</v>
      </c>
    </row>
    <row r="140" spans="2:3" ht="15.75" customHeight="1" x14ac:dyDescent="0.25">
      <c r="B140" s="67" t="e">
        <f t="shared" si="19"/>
        <v>#REF!</v>
      </c>
      <c r="C140" s="76" t="e">
        <f t="shared" si="20"/>
        <v>#REF!</v>
      </c>
    </row>
    <row r="141" spans="2:3" ht="15.75" customHeight="1" x14ac:dyDescent="0.25">
      <c r="B141" s="67" t="e">
        <f t="shared" si="19"/>
        <v>#REF!</v>
      </c>
      <c r="C141" s="76" t="e">
        <f t="shared" si="20"/>
        <v>#REF!</v>
      </c>
    </row>
    <row r="142" spans="2:3" ht="15.75" customHeight="1" x14ac:dyDescent="0.25">
      <c r="B142" s="67" t="e">
        <f t="shared" si="19"/>
        <v>#REF!</v>
      </c>
      <c r="C142" s="76" t="e">
        <f t="shared" si="20"/>
        <v>#REF!</v>
      </c>
    </row>
    <row r="143" spans="2:3" ht="15.75" customHeight="1" x14ac:dyDescent="0.25">
      <c r="B143" s="67" t="e">
        <f t="shared" si="19"/>
        <v>#REF!</v>
      </c>
      <c r="C143" s="76" t="e">
        <f t="shared" si="20"/>
        <v>#REF!</v>
      </c>
    </row>
    <row r="144" spans="2:3" ht="15.75" customHeight="1" x14ac:dyDescent="0.25">
      <c r="B144" s="67" t="e">
        <f t="shared" si="19"/>
        <v>#REF!</v>
      </c>
      <c r="C144" s="76" t="e">
        <f t="shared" si="20"/>
        <v>#REF!</v>
      </c>
    </row>
    <row r="145" spans="2:3" ht="15.75" customHeight="1" x14ac:dyDescent="0.25">
      <c r="B145" s="67" t="e">
        <f t="shared" si="19"/>
        <v>#REF!</v>
      </c>
      <c r="C145" s="76" t="e">
        <f t="shared" si="20"/>
        <v>#REF!</v>
      </c>
    </row>
    <row r="146" spans="2:3" ht="15.75" customHeight="1" x14ac:dyDescent="0.25">
      <c r="B146" s="67" t="e">
        <f t="shared" si="19"/>
        <v>#REF!</v>
      </c>
      <c r="C146" s="76" t="e">
        <f t="shared" si="20"/>
        <v>#REF!</v>
      </c>
    </row>
    <row r="147" spans="2:3" ht="15.75" customHeight="1" x14ac:dyDescent="0.25">
      <c r="B147" s="67" t="e">
        <f t="shared" si="19"/>
        <v>#REF!</v>
      </c>
      <c r="C147" s="76" t="e">
        <f t="shared" si="20"/>
        <v>#REF!</v>
      </c>
    </row>
    <row r="148" spans="2:3" ht="15.75" customHeight="1" x14ac:dyDescent="0.25">
      <c r="B148" s="67" t="e">
        <f t="shared" si="19"/>
        <v>#REF!</v>
      </c>
      <c r="C148" s="76" t="e">
        <f t="shared" si="20"/>
        <v>#REF!</v>
      </c>
    </row>
    <row r="149" spans="2:3" ht="15.75" customHeight="1" x14ac:dyDescent="0.25">
      <c r="B149" s="67" t="e">
        <f t="shared" si="19"/>
        <v>#REF!</v>
      </c>
      <c r="C149" s="76" t="e">
        <f t="shared" si="20"/>
        <v>#REF!</v>
      </c>
    </row>
    <row r="150" spans="2:3" ht="15.75" customHeight="1" x14ac:dyDescent="0.25">
      <c r="B150" s="67" t="e">
        <f t="shared" si="19"/>
        <v>#REF!</v>
      </c>
      <c r="C150" s="76" t="e">
        <f t="shared" si="20"/>
        <v>#REF!</v>
      </c>
    </row>
    <row r="151" spans="2:3" ht="15.75" customHeight="1" x14ac:dyDescent="0.25">
      <c r="B151" s="67" t="e">
        <f t="shared" si="19"/>
        <v>#REF!</v>
      </c>
      <c r="C151" s="76" t="e">
        <f t="shared" si="20"/>
        <v>#REF!</v>
      </c>
    </row>
    <row r="152" spans="2:3" ht="15.75" customHeight="1" x14ac:dyDescent="0.25">
      <c r="B152" s="67" t="e">
        <f t="shared" si="19"/>
        <v>#REF!</v>
      </c>
      <c r="C152" s="76" t="e">
        <f t="shared" si="20"/>
        <v>#REF!</v>
      </c>
    </row>
    <row r="153" spans="2:3" ht="15.75" customHeight="1" x14ac:dyDescent="0.25">
      <c r="B153" s="67" t="e">
        <f t="shared" si="19"/>
        <v>#REF!</v>
      </c>
      <c r="C153" s="76" t="e">
        <f t="shared" si="20"/>
        <v>#REF!</v>
      </c>
    </row>
    <row r="154" spans="2:3" ht="15.75" customHeight="1" x14ac:dyDescent="0.25">
      <c r="B154" s="67" t="e">
        <f t="shared" si="19"/>
        <v>#REF!</v>
      </c>
      <c r="C154" s="76" t="e">
        <f t="shared" si="20"/>
        <v>#REF!</v>
      </c>
    </row>
    <row r="155" spans="2:3" ht="15.75" customHeight="1" x14ac:dyDescent="0.25">
      <c r="B155" s="67" t="e">
        <f t="shared" si="19"/>
        <v>#REF!</v>
      </c>
      <c r="C155" s="76" t="e">
        <f t="shared" si="20"/>
        <v>#REF!</v>
      </c>
    </row>
    <row r="156" spans="2:3" ht="15.75" customHeight="1" x14ac:dyDescent="0.25">
      <c r="B156" s="67" t="e">
        <f t="shared" si="19"/>
        <v>#REF!</v>
      </c>
      <c r="C156" s="76" t="e">
        <f t="shared" si="20"/>
        <v>#REF!</v>
      </c>
    </row>
    <row r="157" spans="2:3" ht="15.75" customHeight="1" x14ac:dyDescent="0.25">
      <c r="B157" s="67" t="e">
        <f t="shared" si="19"/>
        <v>#REF!</v>
      </c>
      <c r="C157" s="76" t="e">
        <f t="shared" si="20"/>
        <v>#REF!</v>
      </c>
    </row>
    <row r="158" spans="2:3" ht="15.75" customHeight="1" x14ac:dyDescent="0.25">
      <c r="B158" s="67" t="e">
        <f t="shared" ref="B158:B221" si="21">IF(B157="","",IF(B157+$C$10&lt;=$C$6,B157+$C$10,""))</f>
        <v>#REF!</v>
      </c>
      <c r="C158" s="76" t="e">
        <f t="shared" ref="C158:C221" si="22">IF(B158&lt;&gt;"",C157-$C$2/COUNT($B$18:$B$511),"")</f>
        <v>#REF!</v>
      </c>
    </row>
    <row r="159" spans="2:3" ht="15.75" customHeight="1" x14ac:dyDescent="0.25">
      <c r="B159" s="67" t="e">
        <f t="shared" si="21"/>
        <v>#REF!</v>
      </c>
      <c r="C159" s="76" t="e">
        <f t="shared" si="22"/>
        <v>#REF!</v>
      </c>
    </row>
    <row r="160" spans="2:3" ht="15.75" customHeight="1" x14ac:dyDescent="0.25">
      <c r="B160" s="67" t="e">
        <f t="shared" si="21"/>
        <v>#REF!</v>
      </c>
      <c r="C160" s="76" t="e">
        <f t="shared" si="22"/>
        <v>#REF!</v>
      </c>
    </row>
    <row r="161" spans="2:3" ht="15.75" customHeight="1" x14ac:dyDescent="0.25">
      <c r="B161" s="67" t="e">
        <f t="shared" si="21"/>
        <v>#REF!</v>
      </c>
      <c r="C161" s="76" t="e">
        <f t="shared" si="22"/>
        <v>#REF!</v>
      </c>
    </row>
    <row r="162" spans="2:3" ht="15.75" customHeight="1" x14ac:dyDescent="0.25">
      <c r="B162" s="67" t="e">
        <f t="shared" si="21"/>
        <v>#REF!</v>
      </c>
      <c r="C162" s="76" t="e">
        <f t="shared" si="22"/>
        <v>#REF!</v>
      </c>
    </row>
    <row r="163" spans="2:3" ht="15.75" customHeight="1" x14ac:dyDescent="0.25">
      <c r="B163" s="67" t="e">
        <f t="shared" si="21"/>
        <v>#REF!</v>
      </c>
      <c r="C163" s="76" t="e">
        <f t="shared" si="22"/>
        <v>#REF!</v>
      </c>
    </row>
    <row r="164" spans="2:3" ht="15.75" customHeight="1" x14ac:dyDescent="0.25">
      <c r="B164" s="67" t="e">
        <f t="shared" si="21"/>
        <v>#REF!</v>
      </c>
      <c r="C164" s="76" t="e">
        <f t="shared" si="22"/>
        <v>#REF!</v>
      </c>
    </row>
    <row r="165" spans="2:3" ht="15.75" customHeight="1" x14ac:dyDescent="0.25">
      <c r="B165" s="67" t="e">
        <f t="shared" si="21"/>
        <v>#REF!</v>
      </c>
      <c r="C165" s="76" t="e">
        <f t="shared" si="22"/>
        <v>#REF!</v>
      </c>
    </row>
    <row r="166" spans="2:3" ht="15.75" customHeight="1" x14ac:dyDescent="0.25">
      <c r="B166" s="67" t="e">
        <f t="shared" si="21"/>
        <v>#REF!</v>
      </c>
      <c r="C166" s="76" t="e">
        <f t="shared" si="22"/>
        <v>#REF!</v>
      </c>
    </row>
    <row r="167" spans="2:3" ht="15.75" customHeight="1" x14ac:dyDescent="0.25">
      <c r="B167" s="67" t="e">
        <f t="shared" si="21"/>
        <v>#REF!</v>
      </c>
      <c r="C167" s="76" t="e">
        <f t="shared" si="22"/>
        <v>#REF!</v>
      </c>
    </row>
    <row r="168" spans="2:3" ht="15.75" customHeight="1" x14ac:dyDescent="0.25">
      <c r="B168" s="67" t="e">
        <f t="shared" si="21"/>
        <v>#REF!</v>
      </c>
      <c r="C168" s="76" t="e">
        <f t="shared" si="22"/>
        <v>#REF!</v>
      </c>
    </row>
    <row r="169" spans="2:3" ht="15.75" customHeight="1" x14ac:dyDescent="0.25">
      <c r="B169" s="67" t="e">
        <f t="shared" si="21"/>
        <v>#REF!</v>
      </c>
      <c r="C169" s="76" t="e">
        <f t="shared" si="22"/>
        <v>#REF!</v>
      </c>
    </row>
    <row r="170" spans="2:3" ht="15.75" customHeight="1" x14ac:dyDescent="0.25">
      <c r="B170" s="67" t="e">
        <f t="shared" si="21"/>
        <v>#REF!</v>
      </c>
      <c r="C170" s="76" t="e">
        <f t="shared" si="22"/>
        <v>#REF!</v>
      </c>
    </row>
    <row r="171" spans="2:3" ht="15.75" customHeight="1" x14ac:dyDescent="0.25">
      <c r="B171" s="67" t="e">
        <f t="shared" si="21"/>
        <v>#REF!</v>
      </c>
      <c r="C171" s="76" t="e">
        <f t="shared" si="22"/>
        <v>#REF!</v>
      </c>
    </row>
    <row r="172" spans="2:3" ht="15.75" customHeight="1" x14ac:dyDescent="0.25">
      <c r="B172" s="67" t="e">
        <f t="shared" si="21"/>
        <v>#REF!</v>
      </c>
      <c r="C172" s="76" t="e">
        <f t="shared" si="22"/>
        <v>#REF!</v>
      </c>
    </row>
    <row r="173" spans="2:3" ht="15.75" customHeight="1" x14ac:dyDescent="0.25">
      <c r="B173" s="67" t="e">
        <f t="shared" si="21"/>
        <v>#REF!</v>
      </c>
      <c r="C173" s="76" t="e">
        <f t="shared" si="22"/>
        <v>#REF!</v>
      </c>
    </row>
    <row r="174" spans="2:3" ht="15.75" customHeight="1" x14ac:dyDescent="0.25">
      <c r="B174" s="67" t="e">
        <f t="shared" si="21"/>
        <v>#REF!</v>
      </c>
      <c r="C174" s="76" t="e">
        <f t="shared" si="22"/>
        <v>#REF!</v>
      </c>
    </row>
    <row r="175" spans="2:3" ht="15.75" customHeight="1" x14ac:dyDescent="0.25">
      <c r="B175" s="67" t="e">
        <f t="shared" si="21"/>
        <v>#REF!</v>
      </c>
      <c r="C175" s="76" t="e">
        <f t="shared" si="22"/>
        <v>#REF!</v>
      </c>
    </row>
    <row r="176" spans="2:3" ht="15.75" customHeight="1" x14ac:dyDescent="0.25">
      <c r="B176" s="67" t="e">
        <f t="shared" si="21"/>
        <v>#REF!</v>
      </c>
      <c r="C176" s="76" t="e">
        <f t="shared" si="22"/>
        <v>#REF!</v>
      </c>
    </row>
    <row r="177" spans="2:3" ht="15.75" customHeight="1" x14ac:dyDescent="0.25">
      <c r="B177" s="67" t="e">
        <f t="shared" si="21"/>
        <v>#REF!</v>
      </c>
      <c r="C177" s="76" t="e">
        <f t="shared" si="22"/>
        <v>#REF!</v>
      </c>
    </row>
    <row r="178" spans="2:3" ht="15.75" customHeight="1" x14ac:dyDescent="0.25">
      <c r="B178" s="67" t="e">
        <f t="shared" si="21"/>
        <v>#REF!</v>
      </c>
      <c r="C178" s="76" t="e">
        <f t="shared" si="22"/>
        <v>#REF!</v>
      </c>
    </row>
    <row r="179" spans="2:3" ht="15.75" customHeight="1" x14ac:dyDescent="0.25">
      <c r="B179" s="67" t="e">
        <f t="shared" si="21"/>
        <v>#REF!</v>
      </c>
      <c r="C179" s="76" t="e">
        <f t="shared" si="22"/>
        <v>#REF!</v>
      </c>
    </row>
    <row r="180" spans="2:3" ht="15.75" customHeight="1" x14ac:dyDescent="0.25">
      <c r="B180" s="67" t="e">
        <f t="shared" si="21"/>
        <v>#REF!</v>
      </c>
      <c r="C180" s="76" t="e">
        <f t="shared" si="22"/>
        <v>#REF!</v>
      </c>
    </row>
    <row r="181" spans="2:3" ht="15.75" customHeight="1" x14ac:dyDescent="0.25">
      <c r="B181" s="67" t="e">
        <f t="shared" si="21"/>
        <v>#REF!</v>
      </c>
      <c r="C181" s="76" t="e">
        <f t="shared" si="22"/>
        <v>#REF!</v>
      </c>
    </row>
    <row r="182" spans="2:3" ht="15.75" customHeight="1" x14ac:dyDescent="0.25">
      <c r="B182" s="67" t="e">
        <f t="shared" si="21"/>
        <v>#REF!</v>
      </c>
      <c r="C182" s="76" t="e">
        <f t="shared" si="22"/>
        <v>#REF!</v>
      </c>
    </row>
    <row r="183" spans="2:3" ht="15.75" customHeight="1" x14ac:dyDescent="0.25">
      <c r="B183" s="67" t="e">
        <f t="shared" si="21"/>
        <v>#REF!</v>
      </c>
      <c r="C183" s="76" t="e">
        <f t="shared" si="22"/>
        <v>#REF!</v>
      </c>
    </row>
    <row r="184" spans="2:3" ht="15.75" customHeight="1" x14ac:dyDescent="0.25">
      <c r="B184" s="67" t="e">
        <f t="shared" si="21"/>
        <v>#REF!</v>
      </c>
      <c r="C184" s="76" t="e">
        <f t="shared" si="22"/>
        <v>#REF!</v>
      </c>
    </row>
    <row r="185" spans="2:3" ht="15.75" customHeight="1" x14ac:dyDescent="0.25">
      <c r="B185" s="67" t="e">
        <f t="shared" si="21"/>
        <v>#REF!</v>
      </c>
      <c r="C185" s="76" t="e">
        <f t="shared" si="22"/>
        <v>#REF!</v>
      </c>
    </row>
    <row r="186" spans="2:3" ht="15.75" customHeight="1" x14ac:dyDescent="0.25">
      <c r="B186" s="67" t="e">
        <f t="shared" si="21"/>
        <v>#REF!</v>
      </c>
      <c r="C186" s="76" t="e">
        <f t="shared" si="22"/>
        <v>#REF!</v>
      </c>
    </row>
    <row r="187" spans="2:3" ht="15.75" customHeight="1" x14ac:dyDescent="0.25">
      <c r="B187" s="67" t="e">
        <f t="shared" si="21"/>
        <v>#REF!</v>
      </c>
      <c r="C187" s="76" t="e">
        <f t="shared" si="22"/>
        <v>#REF!</v>
      </c>
    </row>
    <row r="188" spans="2:3" ht="15.75" customHeight="1" x14ac:dyDescent="0.25">
      <c r="B188" s="67" t="e">
        <f t="shared" si="21"/>
        <v>#REF!</v>
      </c>
      <c r="C188" s="76" t="e">
        <f t="shared" si="22"/>
        <v>#REF!</v>
      </c>
    </row>
    <row r="189" spans="2:3" ht="15.75" customHeight="1" x14ac:dyDescent="0.25">
      <c r="B189" s="67" t="e">
        <f t="shared" si="21"/>
        <v>#REF!</v>
      </c>
      <c r="C189" s="76" t="e">
        <f t="shared" si="22"/>
        <v>#REF!</v>
      </c>
    </row>
    <row r="190" spans="2:3" ht="15.75" customHeight="1" x14ac:dyDescent="0.25">
      <c r="B190" s="67" t="e">
        <f t="shared" si="21"/>
        <v>#REF!</v>
      </c>
      <c r="C190" s="76" t="e">
        <f t="shared" si="22"/>
        <v>#REF!</v>
      </c>
    </row>
    <row r="191" spans="2:3" ht="15.75" customHeight="1" x14ac:dyDescent="0.25">
      <c r="B191" s="67" t="e">
        <f t="shared" si="21"/>
        <v>#REF!</v>
      </c>
      <c r="C191" s="76" t="e">
        <f t="shared" si="22"/>
        <v>#REF!</v>
      </c>
    </row>
    <row r="192" spans="2:3" ht="15.75" customHeight="1" x14ac:dyDescent="0.25">
      <c r="B192" s="67" t="e">
        <f t="shared" si="21"/>
        <v>#REF!</v>
      </c>
      <c r="C192" s="76" t="e">
        <f t="shared" si="22"/>
        <v>#REF!</v>
      </c>
    </row>
    <row r="193" spans="2:3" ht="15.75" customHeight="1" x14ac:dyDescent="0.25">
      <c r="B193" s="67" t="e">
        <f t="shared" si="21"/>
        <v>#REF!</v>
      </c>
      <c r="C193" s="76" t="e">
        <f t="shared" si="22"/>
        <v>#REF!</v>
      </c>
    </row>
    <row r="194" spans="2:3" ht="15.75" customHeight="1" x14ac:dyDescent="0.25">
      <c r="B194" s="67" t="e">
        <f t="shared" si="21"/>
        <v>#REF!</v>
      </c>
      <c r="C194" s="76" t="e">
        <f t="shared" si="22"/>
        <v>#REF!</v>
      </c>
    </row>
    <row r="195" spans="2:3" ht="15.75" customHeight="1" x14ac:dyDescent="0.25">
      <c r="B195" s="67" t="e">
        <f t="shared" si="21"/>
        <v>#REF!</v>
      </c>
      <c r="C195" s="76" t="e">
        <f t="shared" si="22"/>
        <v>#REF!</v>
      </c>
    </row>
    <row r="196" spans="2:3" ht="15.75" customHeight="1" x14ac:dyDescent="0.25">
      <c r="B196" s="67" t="e">
        <f t="shared" si="21"/>
        <v>#REF!</v>
      </c>
      <c r="C196" s="76" t="e">
        <f t="shared" si="22"/>
        <v>#REF!</v>
      </c>
    </row>
    <row r="197" spans="2:3" ht="15.75" customHeight="1" x14ac:dyDescent="0.25">
      <c r="B197" s="67" t="e">
        <f t="shared" si="21"/>
        <v>#REF!</v>
      </c>
      <c r="C197" s="76" t="e">
        <f t="shared" si="22"/>
        <v>#REF!</v>
      </c>
    </row>
    <row r="198" spans="2:3" ht="15.75" customHeight="1" x14ac:dyDescent="0.25">
      <c r="B198" s="67" t="e">
        <f t="shared" si="21"/>
        <v>#REF!</v>
      </c>
      <c r="C198" s="76" t="e">
        <f t="shared" si="22"/>
        <v>#REF!</v>
      </c>
    </row>
    <row r="199" spans="2:3" ht="15.75" customHeight="1" x14ac:dyDescent="0.25">
      <c r="B199" s="67" t="e">
        <f t="shared" si="21"/>
        <v>#REF!</v>
      </c>
      <c r="C199" s="76" t="e">
        <f t="shared" si="22"/>
        <v>#REF!</v>
      </c>
    </row>
    <row r="200" spans="2:3" ht="15.75" customHeight="1" x14ac:dyDescent="0.25">
      <c r="B200" s="67" t="e">
        <f t="shared" si="21"/>
        <v>#REF!</v>
      </c>
      <c r="C200" s="76" t="e">
        <f t="shared" si="22"/>
        <v>#REF!</v>
      </c>
    </row>
    <row r="201" spans="2:3" ht="15.75" customHeight="1" x14ac:dyDescent="0.25">
      <c r="B201" s="67" t="e">
        <f t="shared" si="21"/>
        <v>#REF!</v>
      </c>
      <c r="C201" s="76" t="e">
        <f t="shared" si="22"/>
        <v>#REF!</v>
      </c>
    </row>
    <row r="202" spans="2:3" ht="15.75" customHeight="1" x14ac:dyDescent="0.25">
      <c r="B202" s="67" t="e">
        <f t="shared" si="21"/>
        <v>#REF!</v>
      </c>
      <c r="C202" s="76" t="e">
        <f t="shared" si="22"/>
        <v>#REF!</v>
      </c>
    </row>
    <row r="203" spans="2:3" ht="15.75" customHeight="1" x14ac:dyDescent="0.25">
      <c r="B203" s="67" t="e">
        <f t="shared" si="21"/>
        <v>#REF!</v>
      </c>
      <c r="C203" s="76" t="e">
        <f t="shared" si="22"/>
        <v>#REF!</v>
      </c>
    </row>
    <row r="204" spans="2:3" ht="15.75" customHeight="1" x14ac:dyDescent="0.25">
      <c r="B204" s="67" t="e">
        <f t="shared" si="21"/>
        <v>#REF!</v>
      </c>
      <c r="C204" s="76" t="e">
        <f t="shared" si="22"/>
        <v>#REF!</v>
      </c>
    </row>
    <row r="205" spans="2:3" ht="15.75" customHeight="1" x14ac:dyDescent="0.25">
      <c r="B205" s="67" t="e">
        <f t="shared" si="21"/>
        <v>#REF!</v>
      </c>
      <c r="C205" s="76" t="e">
        <f t="shared" si="22"/>
        <v>#REF!</v>
      </c>
    </row>
    <row r="206" spans="2:3" ht="15.75" customHeight="1" x14ac:dyDescent="0.25">
      <c r="B206" s="67" t="e">
        <f t="shared" si="21"/>
        <v>#REF!</v>
      </c>
      <c r="C206" s="76" t="e">
        <f t="shared" si="22"/>
        <v>#REF!</v>
      </c>
    </row>
    <row r="207" spans="2:3" ht="15.75" customHeight="1" x14ac:dyDescent="0.25">
      <c r="B207" s="67" t="e">
        <f t="shared" si="21"/>
        <v>#REF!</v>
      </c>
      <c r="C207" s="76" t="e">
        <f t="shared" si="22"/>
        <v>#REF!</v>
      </c>
    </row>
    <row r="208" spans="2:3" ht="15.75" customHeight="1" x14ac:dyDescent="0.25">
      <c r="B208" s="67" t="e">
        <f t="shared" si="21"/>
        <v>#REF!</v>
      </c>
      <c r="C208" s="76" t="e">
        <f t="shared" si="22"/>
        <v>#REF!</v>
      </c>
    </row>
    <row r="209" spans="2:3" ht="15.75" customHeight="1" x14ac:dyDescent="0.25">
      <c r="B209" s="67" t="e">
        <f t="shared" si="21"/>
        <v>#REF!</v>
      </c>
      <c r="C209" s="76" t="e">
        <f t="shared" si="22"/>
        <v>#REF!</v>
      </c>
    </row>
    <row r="210" spans="2:3" ht="15.75" customHeight="1" x14ac:dyDescent="0.25">
      <c r="B210" s="67" t="e">
        <f t="shared" si="21"/>
        <v>#REF!</v>
      </c>
      <c r="C210" s="76" t="e">
        <f t="shared" si="22"/>
        <v>#REF!</v>
      </c>
    </row>
    <row r="211" spans="2:3" ht="15.75" customHeight="1" x14ac:dyDescent="0.25">
      <c r="B211" s="67" t="e">
        <f t="shared" si="21"/>
        <v>#REF!</v>
      </c>
      <c r="C211" s="76" t="e">
        <f t="shared" si="22"/>
        <v>#REF!</v>
      </c>
    </row>
    <row r="212" spans="2:3" ht="15.75" customHeight="1" x14ac:dyDescent="0.25">
      <c r="B212" s="67" t="e">
        <f t="shared" si="21"/>
        <v>#REF!</v>
      </c>
      <c r="C212" s="76" t="e">
        <f t="shared" si="22"/>
        <v>#REF!</v>
      </c>
    </row>
    <row r="213" spans="2:3" ht="15.75" customHeight="1" x14ac:dyDescent="0.25">
      <c r="B213" s="67" t="e">
        <f t="shared" si="21"/>
        <v>#REF!</v>
      </c>
      <c r="C213" s="76" t="e">
        <f t="shared" si="22"/>
        <v>#REF!</v>
      </c>
    </row>
    <row r="214" spans="2:3" ht="15.75" customHeight="1" x14ac:dyDescent="0.25">
      <c r="B214" s="67" t="e">
        <f t="shared" si="21"/>
        <v>#REF!</v>
      </c>
      <c r="C214" s="76" t="e">
        <f t="shared" si="22"/>
        <v>#REF!</v>
      </c>
    </row>
    <row r="215" spans="2:3" ht="15.75" customHeight="1" x14ac:dyDescent="0.25">
      <c r="B215" s="67" t="e">
        <f t="shared" si="21"/>
        <v>#REF!</v>
      </c>
      <c r="C215" s="76" t="e">
        <f t="shared" si="22"/>
        <v>#REF!</v>
      </c>
    </row>
    <row r="216" spans="2:3" ht="15.75" customHeight="1" x14ac:dyDescent="0.25">
      <c r="B216" s="67" t="e">
        <f t="shared" si="21"/>
        <v>#REF!</v>
      </c>
      <c r="C216" s="76" t="e">
        <f t="shared" si="22"/>
        <v>#REF!</v>
      </c>
    </row>
    <row r="217" spans="2:3" ht="15.75" customHeight="1" x14ac:dyDescent="0.25">
      <c r="B217" s="67" t="e">
        <f t="shared" si="21"/>
        <v>#REF!</v>
      </c>
      <c r="C217" s="76" t="e">
        <f t="shared" si="22"/>
        <v>#REF!</v>
      </c>
    </row>
    <row r="218" spans="2:3" ht="15.75" customHeight="1" x14ac:dyDescent="0.25">
      <c r="B218" s="67" t="e">
        <f t="shared" si="21"/>
        <v>#REF!</v>
      </c>
      <c r="C218" s="76" t="e">
        <f t="shared" si="22"/>
        <v>#REF!</v>
      </c>
    </row>
    <row r="219" spans="2:3" ht="15.75" customHeight="1" x14ac:dyDescent="0.25">
      <c r="B219" s="67" t="e">
        <f t="shared" si="21"/>
        <v>#REF!</v>
      </c>
      <c r="C219" s="76" t="e">
        <f t="shared" si="22"/>
        <v>#REF!</v>
      </c>
    </row>
    <row r="220" spans="2:3" ht="15.75" customHeight="1" x14ac:dyDescent="0.25">
      <c r="B220" s="67" t="e">
        <f t="shared" si="21"/>
        <v>#REF!</v>
      </c>
      <c r="C220" s="76" t="e">
        <f t="shared" si="22"/>
        <v>#REF!</v>
      </c>
    </row>
    <row r="221" spans="2:3" ht="15.75" customHeight="1" x14ac:dyDescent="0.25">
      <c r="B221" s="67" t="e">
        <f t="shared" si="21"/>
        <v>#REF!</v>
      </c>
      <c r="C221" s="76" t="e">
        <f t="shared" si="22"/>
        <v>#REF!</v>
      </c>
    </row>
    <row r="222" spans="2:3" ht="15.75" customHeight="1" x14ac:dyDescent="0.25">
      <c r="B222" s="67" t="e">
        <f t="shared" ref="B222:B285" si="23">IF(B221="","",IF(B221+$C$10&lt;=$C$6,B221+$C$10,""))</f>
        <v>#REF!</v>
      </c>
      <c r="C222" s="76" t="e">
        <f t="shared" ref="C222:C285" si="24">IF(B222&lt;&gt;"",C221-$C$2/COUNT($B$18:$B$511),"")</f>
        <v>#REF!</v>
      </c>
    </row>
    <row r="223" spans="2:3" ht="15.75" customHeight="1" x14ac:dyDescent="0.25">
      <c r="B223" s="67" t="e">
        <f t="shared" si="23"/>
        <v>#REF!</v>
      </c>
      <c r="C223" s="76" t="e">
        <f t="shared" si="24"/>
        <v>#REF!</v>
      </c>
    </row>
    <row r="224" spans="2:3" ht="15.75" customHeight="1" x14ac:dyDescent="0.25">
      <c r="B224" s="67" t="e">
        <f t="shared" si="23"/>
        <v>#REF!</v>
      </c>
      <c r="C224" s="76" t="e">
        <f t="shared" si="24"/>
        <v>#REF!</v>
      </c>
    </row>
    <row r="225" spans="2:3" ht="15.75" customHeight="1" x14ac:dyDescent="0.25">
      <c r="B225" s="67" t="e">
        <f t="shared" si="23"/>
        <v>#REF!</v>
      </c>
      <c r="C225" s="76" t="e">
        <f t="shared" si="24"/>
        <v>#REF!</v>
      </c>
    </row>
    <row r="226" spans="2:3" ht="15.75" customHeight="1" x14ac:dyDescent="0.25">
      <c r="B226" s="67" t="e">
        <f t="shared" si="23"/>
        <v>#REF!</v>
      </c>
      <c r="C226" s="76" t="e">
        <f t="shared" si="24"/>
        <v>#REF!</v>
      </c>
    </row>
    <row r="227" spans="2:3" ht="15.75" customHeight="1" x14ac:dyDescent="0.25">
      <c r="B227" s="67" t="e">
        <f t="shared" si="23"/>
        <v>#REF!</v>
      </c>
      <c r="C227" s="76" t="e">
        <f t="shared" si="24"/>
        <v>#REF!</v>
      </c>
    </row>
    <row r="228" spans="2:3" ht="15.75" customHeight="1" x14ac:dyDescent="0.25">
      <c r="B228" s="67" t="e">
        <f t="shared" si="23"/>
        <v>#REF!</v>
      </c>
      <c r="C228" s="76" t="e">
        <f t="shared" si="24"/>
        <v>#REF!</v>
      </c>
    </row>
    <row r="229" spans="2:3" ht="15.75" customHeight="1" x14ac:dyDescent="0.25">
      <c r="B229" s="67" t="e">
        <f t="shared" si="23"/>
        <v>#REF!</v>
      </c>
      <c r="C229" s="76" t="e">
        <f t="shared" si="24"/>
        <v>#REF!</v>
      </c>
    </row>
    <row r="230" spans="2:3" ht="15.75" customHeight="1" x14ac:dyDescent="0.25">
      <c r="B230" s="67" t="e">
        <f t="shared" si="23"/>
        <v>#REF!</v>
      </c>
      <c r="C230" s="76" t="e">
        <f t="shared" si="24"/>
        <v>#REF!</v>
      </c>
    </row>
    <row r="231" spans="2:3" ht="15.75" customHeight="1" x14ac:dyDescent="0.25">
      <c r="B231" s="67" t="e">
        <f t="shared" si="23"/>
        <v>#REF!</v>
      </c>
      <c r="C231" s="76" t="e">
        <f t="shared" si="24"/>
        <v>#REF!</v>
      </c>
    </row>
    <row r="232" spans="2:3" ht="15.75" customHeight="1" x14ac:dyDescent="0.25">
      <c r="B232" s="67" t="e">
        <f t="shared" si="23"/>
        <v>#REF!</v>
      </c>
      <c r="C232" s="76" t="e">
        <f t="shared" si="24"/>
        <v>#REF!</v>
      </c>
    </row>
    <row r="233" spans="2:3" ht="15.75" customHeight="1" x14ac:dyDescent="0.25">
      <c r="B233" s="67" t="e">
        <f t="shared" si="23"/>
        <v>#REF!</v>
      </c>
      <c r="C233" s="76" t="e">
        <f t="shared" si="24"/>
        <v>#REF!</v>
      </c>
    </row>
    <row r="234" spans="2:3" ht="15.75" customHeight="1" x14ac:dyDescent="0.25">
      <c r="B234" s="67" t="e">
        <f t="shared" si="23"/>
        <v>#REF!</v>
      </c>
      <c r="C234" s="76" t="e">
        <f t="shared" si="24"/>
        <v>#REF!</v>
      </c>
    </row>
    <row r="235" spans="2:3" ht="15.75" customHeight="1" x14ac:dyDescent="0.25">
      <c r="B235" s="67" t="e">
        <f t="shared" si="23"/>
        <v>#REF!</v>
      </c>
      <c r="C235" s="76" t="e">
        <f t="shared" si="24"/>
        <v>#REF!</v>
      </c>
    </row>
    <row r="236" spans="2:3" ht="15.75" customHeight="1" x14ac:dyDescent="0.25">
      <c r="B236" s="67" t="e">
        <f t="shared" si="23"/>
        <v>#REF!</v>
      </c>
      <c r="C236" s="76" t="e">
        <f t="shared" si="24"/>
        <v>#REF!</v>
      </c>
    </row>
    <row r="237" spans="2:3" ht="15.75" customHeight="1" x14ac:dyDescent="0.25">
      <c r="B237" s="67" t="e">
        <f t="shared" si="23"/>
        <v>#REF!</v>
      </c>
      <c r="C237" s="76" t="e">
        <f t="shared" si="24"/>
        <v>#REF!</v>
      </c>
    </row>
    <row r="238" spans="2:3" ht="15.75" customHeight="1" x14ac:dyDescent="0.25">
      <c r="B238" s="67" t="e">
        <f t="shared" si="23"/>
        <v>#REF!</v>
      </c>
      <c r="C238" s="76" t="e">
        <f t="shared" si="24"/>
        <v>#REF!</v>
      </c>
    </row>
    <row r="239" spans="2:3" ht="15.75" customHeight="1" x14ac:dyDescent="0.25">
      <c r="B239" s="67" t="e">
        <f t="shared" si="23"/>
        <v>#REF!</v>
      </c>
      <c r="C239" s="76" t="e">
        <f t="shared" si="24"/>
        <v>#REF!</v>
      </c>
    </row>
    <row r="240" spans="2:3" ht="15.75" customHeight="1" x14ac:dyDescent="0.25">
      <c r="B240" s="67" t="e">
        <f t="shared" si="23"/>
        <v>#REF!</v>
      </c>
      <c r="C240" s="76" t="e">
        <f t="shared" si="24"/>
        <v>#REF!</v>
      </c>
    </row>
    <row r="241" spans="2:3" ht="15.75" customHeight="1" x14ac:dyDescent="0.25">
      <c r="B241" s="67" t="e">
        <f t="shared" si="23"/>
        <v>#REF!</v>
      </c>
      <c r="C241" s="76" t="e">
        <f t="shared" si="24"/>
        <v>#REF!</v>
      </c>
    </row>
    <row r="242" spans="2:3" ht="15.75" customHeight="1" x14ac:dyDescent="0.25">
      <c r="B242" s="67" t="e">
        <f t="shared" si="23"/>
        <v>#REF!</v>
      </c>
      <c r="C242" s="76" t="e">
        <f t="shared" si="24"/>
        <v>#REF!</v>
      </c>
    </row>
    <row r="243" spans="2:3" ht="15.75" customHeight="1" x14ac:dyDescent="0.25">
      <c r="B243" s="67" t="e">
        <f t="shared" si="23"/>
        <v>#REF!</v>
      </c>
      <c r="C243" s="76" t="e">
        <f t="shared" si="24"/>
        <v>#REF!</v>
      </c>
    </row>
    <row r="244" spans="2:3" ht="15.75" customHeight="1" x14ac:dyDescent="0.25">
      <c r="B244" s="67" t="e">
        <f t="shared" si="23"/>
        <v>#REF!</v>
      </c>
      <c r="C244" s="76" t="e">
        <f t="shared" si="24"/>
        <v>#REF!</v>
      </c>
    </row>
    <row r="245" spans="2:3" ht="15.75" customHeight="1" x14ac:dyDescent="0.25">
      <c r="B245" s="67" t="e">
        <f t="shared" si="23"/>
        <v>#REF!</v>
      </c>
      <c r="C245" s="76" t="e">
        <f t="shared" si="24"/>
        <v>#REF!</v>
      </c>
    </row>
    <row r="246" spans="2:3" ht="15.75" customHeight="1" x14ac:dyDescent="0.25">
      <c r="B246" s="67" t="e">
        <f t="shared" si="23"/>
        <v>#REF!</v>
      </c>
      <c r="C246" s="76" t="e">
        <f t="shared" si="24"/>
        <v>#REF!</v>
      </c>
    </row>
    <row r="247" spans="2:3" ht="15.75" customHeight="1" x14ac:dyDescent="0.25">
      <c r="B247" s="67" t="e">
        <f t="shared" si="23"/>
        <v>#REF!</v>
      </c>
      <c r="C247" s="76" t="e">
        <f t="shared" si="24"/>
        <v>#REF!</v>
      </c>
    </row>
    <row r="248" spans="2:3" ht="15.75" customHeight="1" x14ac:dyDescent="0.25">
      <c r="B248" s="67" t="e">
        <f t="shared" si="23"/>
        <v>#REF!</v>
      </c>
      <c r="C248" s="76" t="e">
        <f t="shared" si="24"/>
        <v>#REF!</v>
      </c>
    </row>
    <row r="249" spans="2:3" ht="15.75" customHeight="1" x14ac:dyDescent="0.25">
      <c r="B249" s="67" t="e">
        <f t="shared" si="23"/>
        <v>#REF!</v>
      </c>
      <c r="C249" s="76" t="e">
        <f t="shared" si="24"/>
        <v>#REF!</v>
      </c>
    </row>
    <row r="250" spans="2:3" ht="15.75" customHeight="1" x14ac:dyDescent="0.25">
      <c r="B250" s="67" t="e">
        <f t="shared" si="23"/>
        <v>#REF!</v>
      </c>
      <c r="C250" s="76" t="e">
        <f t="shared" si="24"/>
        <v>#REF!</v>
      </c>
    </row>
    <row r="251" spans="2:3" ht="15.75" customHeight="1" x14ac:dyDescent="0.25">
      <c r="B251" s="67" t="e">
        <f t="shared" si="23"/>
        <v>#REF!</v>
      </c>
      <c r="C251" s="76" t="e">
        <f t="shared" si="24"/>
        <v>#REF!</v>
      </c>
    </row>
    <row r="252" spans="2:3" ht="15.75" customHeight="1" x14ac:dyDescent="0.25">
      <c r="B252" s="67" t="e">
        <f t="shared" si="23"/>
        <v>#REF!</v>
      </c>
      <c r="C252" s="76" t="e">
        <f t="shared" si="24"/>
        <v>#REF!</v>
      </c>
    </row>
    <row r="253" spans="2:3" ht="15.75" customHeight="1" x14ac:dyDescent="0.25">
      <c r="B253" s="67" t="e">
        <f t="shared" si="23"/>
        <v>#REF!</v>
      </c>
      <c r="C253" s="76" t="e">
        <f t="shared" si="24"/>
        <v>#REF!</v>
      </c>
    </row>
    <row r="254" spans="2:3" ht="15.75" customHeight="1" x14ac:dyDescent="0.25">
      <c r="B254" s="67" t="e">
        <f t="shared" si="23"/>
        <v>#REF!</v>
      </c>
      <c r="C254" s="76" t="e">
        <f t="shared" si="24"/>
        <v>#REF!</v>
      </c>
    </row>
    <row r="255" spans="2:3" ht="15.75" customHeight="1" x14ac:dyDescent="0.25">
      <c r="B255" s="67" t="e">
        <f t="shared" si="23"/>
        <v>#REF!</v>
      </c>
      <c r="C255" s="76" t="e">
        <f t="shared" si="24"/>
        <v>#REF!</v>
      </c>
    </row>
    <row r="256" spans="2:3" ht="15.75" customHeight="1" x14ac:dyDescent="0.25">
      <c r="B256" s="67" t="e">
        <f t="shared" si="23"/>
        <v>#REF!</v>
      </c>
      <c r="C256" s="76" t="e">
        <f t="shared" si="24"/>
        <v>#REF!</v>
      </c>
    </row>
    <row r="257" spans="2:3" ht="15.75" customHeight="1" x14ac:dyDescent="0.25">
      <c r="B257" s="67" t="e">
        <f t="shared" si="23"/>
        <v>#REF!</v>
      </c>
      <c r="C257" s="76" t="e">
        <f t="shared" si="24"/>
        <v>#REF!</v>
      </c>
    </row>
    <row r="258" spans="2:3" ht="15.75" customHeight="1" x14ac:dyDescent="0.25">
      <c r="B258" s="67" t="e">
        <f t="shared" si="23"/>
        <v>#REF!</v>
      </c>
      <c r="C258" s="76" t="e">
        <f t="shared" si="24"/>
        <v>#REF!</v>
      </c>
    </row>
    <row r="259" spans="2:3" ht="15.75" customHeight="1" x14ac:dyDescent="0.25">
      <c r="B259" s="67" t="e">
        <f t="shared" si="23"/>
        <v>#REF!</v>
      </c>
      <c r="C259" s="76" t="e">
        <f t="shared" si="24"/>
        <v>#REF!</v>
      </c>
    </row>
    <row r="260" spans="2:3" ht="15.75" customHeight="1" x14ac:dyDescent="0.25">
      <c r="B260" s="67" t="e">
        <f t="shared" si="23"/>
        <v>#REF!</v>
      </c>
      <c r="C260" s="76" t="e">
        <f t="shared" si="24"/>
        <v>#REF!</v>
      </c>
    </row>
    <row r="261" spans="2:3" ht="15.75" customHeight="1" x14ac:dyDescent="0.25">
      <c r="B261" s="67" t="e">
        <f t="shared" si="23"/>
        <v>#REF!</v>
      </c>
      <c r="C261" s="76" t="e">
        <f t="shared" si="24"/>
        <v>#REF!</v>
      </c>
    </row>
    <row r="262" spans="2:3" ht="15.75" customHeight="1" x14ac:dyDescent="0.25">
      <c r="B262" s="67" t="e">
        <f t="shared" si="23"/>
        <v>#REF!</v>
      </c>
      <c r="C262" s="76" t="e">
        <f t="shared" si="24"/>
        <v>#REF!</v>
      </c>
    </row>
    <row r="263" spans="2:3" ht="15.75" customHeight="1" x14ac:dyDescent="0.25">
      <c r="B263" s="67" t="e">
        <f t="shared" si="23"/>
        <v>#REF!</v>
      </c>
      <c r="C263" s="76" t="e">
        <f t="shared" si="24"/>
        <v>#REF!</v>
      </c>
    </row>
    <row r="264" spans="2:3" ht="15.75" customHeight="1" x14ac:dyDescent="0.25">
      <c r="B264" s="67" t="e">
        <f t="shared" si="23"/>
        <v>#REF!</v>
      </c>
      <c r="C264" s="76" t="e">
        <f t="shared" si="24"/>
        <v>#REF!</v>
      </c>
    </row>
    <row r="265" spans="2:3" ht="15.75" customHeight="1" x14ac:dyDescent="0.25">
      <c r="B265" s="67" t="e">
        <f t="shared" si="23"/>
        <v>#REF!</v>
      </c>
      <c r="C265" s="76" t="e">
        <f t="shared" si="24"/>
        <v>#REF!</v>
      </c>
    </row>
    <row r="266" spans="2:3" ht="15.75" customHeight="1" x14ac:dyDescent="0.25">
      <c r="B266" s="67" t="e">
        <f t="shared" si="23"/>
        <v>#REF!</v>
      </c>
      <c r="C266" s="76" t="e">
        <f t="shared" si="24"/>
        <v>#REF!</v>
      </c>
    </row>
    <row r="267" spans="2:3" ht="15.75" customHeight="1" x14ac:dyDescent="0.25">
      <c r="B267" s="67" t="e">
        <f t="shared" si="23"/>
        <v>#REF!</v>
      </c>
      <c r="C267" s="76" t="e">
        <f t="shared" si="24"/>
        <v>#REF!</v>
      </c>
    </row>
    <row r="268" spans="2:3" ht="15.75" customHeight="1" x14ac:dyDescent="0.25">
      <c r="B268" s="67" t="e">
        <f t="shared" si="23"/>
        <v>#REF!</v>
      </c>
      <c r="C268" s="76" t="e">
        <f t="shared" si="24"/>
        <v>#REF!</v>
      </c>
    </row>
    <row r="269" spans="2:3" ht="15.75" customHeight="1" x14ac:dyDescent="0.25">
      <c r="B269" s="67" t="e">
        <f t="shared" si="23"/>
        <v>#REF!</v>
      </c>
      <c r="C269" s="76" t="e">
        <f t="shared" si="24"/>
        <v>#REF!</v>
      </c>
    </row>
    <row r="270" spans="2:3" ht="15.75" customHeight="1" x14ac:dyDescent="0.25">
      <c r="B270" s="67" t="e">
        <f t="shared" si="23"/>
        <v>#REF!</v>
      </c>
      <c r="C270" s="76" t="e">
        <f t="shared" si="24"/>
        <v>#REF!</v>
      </c>
    </row>
    <row r="271" spans="2:3" ht="15.75" customHeight="1" x14ac:dyDescent="0.25">
      <c r="B271" s="67" t="e">
        <f t="shared" si="23"/>
        <v>#REF!</v>
      </c>
      <c r="C271" s="76" t="e">
        <f t="shared" si="24"/>
        <v>#REF!</v>
      </c>
    </row>
    <row r="272" spans="2:3" ht="15.75" customHeight="1" x14ac:dyDescent="0.25">
      <c r="B272" s="67" t="e">
        <f t="shared" si="23"/>
        <v>#REF!</v>
      </c>
      <c r="C272" s="76" t="e">
        <f t="shared" si="24"/>
        <v>#REF!</v>
      </c>
    </row>
    <row r="273" spans="2:3" ht="15.75" customHeight="1" x14ac:dyDescent="0.25">
      <c r="B273" s="67" t="e">
        <f t="shared" si="23"/>
        <v>#REF!</v>
      </c>
      <c r="C273" s="76" t="e">
        <f t="shared" si="24"/>
        <v>#REF!</v>
      </c>
    </row>
    <row r="274" spans="2:3" ht="15.75" customHeight="1" x14ac:dyDescent="0.25">
      <c r="B274" s="67" t="e">
        <f t="shared" si="23"/>
        <v>#REF!</v>
      </c>
      <c r="C274" s="76" t="e">
        <f t="shared" si="24"/>
        <v>#REF!</v>
      </c>
    </row>
    <row r="275" spans="2:3" ht="15.75" customHeight="1" x14ac:dyDescent="0.25">
      <c r="B275" s="67" t="e">
        <f t="shared" si="23"/>
        <v>#REF!</v>
      </c>
      <c r="C275" s="76" t="e">
        <f t="shared" si="24"/>
        <v>#REF!</v>
      </c>
    </row>
    <row r="276" spans="2:3" ht="15.75" customHeight="1" x14ac:dyDescent="0.25">
      <c r="B276" s="67" t="e">
        <f t="shared" si="23"/>
        <v>#REF!</v>
      </c>
      <c r="C276" s="76" t="e">
        <f t="shared" si="24"/>
        <v>#REF!</v>
      </c>
    </row>
    <row r="277" spans="2:3" ht="15.75" customHeight="1" x14ac:dyDescent="0.25">
      <c r="B277" s="67" t="e">
        <f t="shared" si="23"/>
        <v>#REF!</v>
      </c>
      <c r="C277" s="76" t="e">
        <f t="shared" si="24"/>
        <v>#REF!</v>
      </c>
    </row>
    <row r="278" spans="2:3" ht="15.75" customHeight="1" x14ac:dyDescent="0.25">
      <c r="B278" s="67" t="e">
        <f t="shared" si="23"/>
        <v>#REF!</v>
      </c>
      <c r="C278" s="76" t="e">
        <f t="shared" si="24"/>
        <v>#REF!</v>
      </c>
    </row>
    <row r="279" spans="2:3" ht="15.75" customHeight="1" x14ac:dyDescent="0.25">
      <c r="B279" s="67" t="e">
        <f t="shared" si="23"/>
        <v>#REF!</v>
      </c>
      <c r="C279" s="76" t="e">
        <f t="shared" si="24"/>
        <v>#REF!</v>
      </c>
    </row>
    <row r="280" spans="2:3" ht="15.75" customHeight="1" x14ac:dyDescent="0.25">
      <c r="B280" s="67" t="e">
        <f t="shared" si="23"/>
        <v>#REF!</v>
      </c>
      <c r="C280" s="76" t="e">
        <f t="shared" si="24"/>
        <v>#REF!</v>
      </c>
    </row>
    <row r="281" spans="2:3" ht="15.75" customHeight="1" x14ac:dyDescent="0.25">
      <c r="B281" s="67" t="e">
        <f t="shared" si="23"/>
        <v>#REF!</v>
      </c>
      <c r="C281" s="76" t="e">
        <f t="shared" si="24"/>
        <v>#REF!</v>
      </c>
    </row>
    <row r="282" spans="2:3" ht="15.75" customHeight="1" x14ac:dyDescent="0.25">
      <c r="B282" s="67" t="e">
        <f t="shared" si="23"/>
        <v>#REF!</v>
      </c>
      <c r="C282" s="76" t="e">
        <f t="shared" si="24"/>
        <v>#REF!</v>
      </c>
    </row>
    <row r="283" spans="2:3" ht="15.75" customHeight="1" x14ac:dyDescent="0.25">
      <c r="B283" s="67" t="e">
        <f t="shared" si="23"/>
        <v>#REF!</v>
      </c>
      <c r="C283" s="76" t="e">
        <f t="shared" si="24"/>
        <v>#REF!</v>
      </c>
    </row>
    <row r="284" spans="2:3" ht="15.75" customHeight="1" x14ac:dyDescent="0.25">
      <c r="B284" s="67" t="e">
        <f t="shared" si="23"/>
        <v>#REF!</v>
      </c>
      <c r="C284" s="76" t="e">
        <f t="shared" si="24"/>
        <v>#REF!</v>
      </c>
    </row>
    <row r="285" spans="2:3" ht="15.75" customHeight="1" x14ac:dyDescent="0.25">
      <c r="B285" s="67" t="e">
        <f t="shared" si="23"/>
        <v>#REF!</v>
      </c>
      <c r="C285" s="76" t="e">
        <f t="shared" si="24"/>
        <v>#REF!</v>
      </c>
    </row>
    <row r="286" spans="2:3" ht="15.75" customHeight="1" x14ac:dyDescent="0.25">
      <c r="B286" s="67" t="e">
        <f t="shared" ref="B286:B349" si="25">IF(B285="","",IF(B285+$C$10&lt;=$C$6,B285+$C$10,""))</f>
        <v>#REF!</v>
      </c>
      <c r="C286" s="76" t="e">
        <f t="shared" ref="C286:C349" si="26">IF(B286&lt;&gt;"",C285-$C$2/COUNT($B$18:$B$511),"")</f>
        <v>#REF!</v>
      </c>
    </row>
    <row r="287" spans="2:3" ht="15.75" customHeight="1" x14ac:dyDescent="0.25">
      <c r="B287" s="67" t="e">
        <f t="shared" si="25"/>
        <v>#REF!</v>
      </c>
      <c r="C287" s="76" t="e">
        <f t="shared" si="26"/>
        <v>#REF!</v>
      </c>
    </row>
    <row r="288" spans="2:3" ht="15.75" customHeight="1" x14ac:dyDescent="0.25">
      <c r="B288" s="67" t="e">
        <f t="shared" si="25"/>
        <v>#REF!</v>
      </c>
      <c r="C288" s="76" t="e">
        <f t="shared" si="26"/>
        <v>#REF!</v>
      </c>
    </row>
    <row r="289" spans="2:3" ht="15.75" customHeight="1" x14ac:dyDescent="0.25">
      <c r="B289" s="67" t="e">
        <f t="shared" si="25"/>
        <v>#REF!</v>
      </c>
      <c r="C289" s="76" t="e">
        <f t="shared" si="26"/>
        <v>#REF!</v>
      </c>
    </row>
    <row r="290" spans="2:3" ht="15.75" customHeight="1" x14ac:dyDescent="0.25">
      <c r="B290" s="67" t="e">
        <f t="shared" si="25"/>
        <v>#REF!</v>
      </c>
      <c r="C290" s="76" t="e">
        <f t="shared" si="26"/>
        <v>#REF!</v>
      </c>
    </row>
    <row r="291" spans="2:3" ht="15.75" customHeight="1" x14ac:dyDescent="0.25">
      <c r="B291" s="67" t="e">
        <f t="shared" si="25"/>
        <v>#REF!</v>
      </c>
      <c r="C291" s="76" t="e">
        <f t="shared" si="26"/>
        <v>#REF!</v>
      </c>
    </row>
    <row r="292" spans="2:3" ht="15.75" customHeight="1" x14ac:dyDescent="0.25">
      <c r="B292" s="67" t="e">
        <f t="shared" si="25"/>
        <v>#REF!</v>
      </c>
      <c r="C292" s="76" t="e">
        <f t="shared" si="26"/>
        <v>#REF!</v>
      </c>
    </row>
    <row r="293" spans="2:3" ht="15.75" customHeight="1" x14ac:dyDescent="0.25">
      <c r="B293" s="67" t="e">
        <f t="shared" si="25"/>
        <v>#REF!</v>
      </c>
      <c r="C293" s="76" t="e">
        <f t="shared" si="26"/>
        <v>#REF!</v>
      </c>
    </row>
    <row r="294" spans="2:3" ht="15.75" customHeight="1" x14ac:dyDescent="0.25">
      <c r="B294" s="67" t="e">
        <f t="shared" si="25"/>
        <v>#REF!</v>
      </c>
      <c r="C294" s="76" t="e">
        <f t="shared" si="26"/>
        <v>#REF!</v>
      </c>
    </row>
    <row r="295" spans="2:3" ht="15.75" customHeight="1" x14ac:dyDescent="0.25">
      <c r="B295" s="67" t="e">
        <f t="shared" si="25"/>
        <v>#REF!</v>
      </c>
      <c r="C295" s="76" t="e">
        <f t="shared" si="26"/>
        <v>#REF!</v>
      </c>
    </row>
    <row r="296" spans="2:3" ht="15.75" customHeight="1" x14ac:dyDescent="0.25">
      <c r="B296" s="67" t="e">
        <f t="shared" si="25"/>
        <v>#REF!</v>
      </c>
      <c r="C296" s="76" t="e">
        <f t="shared" si="26"/>
        <v>#REF!</v>
      </c>
    </row>
    <row r="297" spans="2:3" ht="15.75" customHeight="1" x14ac:dyDescent="0.25">
      <c r="B297" s="67" t="e">
        <f t="shared" si="25"/>
        <v>#REF!</v>
      </c>
      <c r="C297" s="76" t="e">
        <f t="shared" si="26"/>
        <v>#REF!</v>
      </c>
    </row>
    <row r="298" spans="2:3" ht="15.75" customHeight="1" x14ac:dyDescent="0.25">
      <c r="B298" s="67" t="e">
        <f t="shared" si="25"/>
        <v>#REF!</v>
      </c>
      <c r="C298" s="76" t="e">
        <f t="shared" si="26"/>
        <v>#REF!</v>
      </c>
    </row>
    <row r="299" spans="2:3" ht="15.75" customHeight="1" x14ac:dyDescent="0.25">
      <c r="B299" s="67" t="e">
        <f t="shared" si="25"/>
        <v>#REF!</v>
      </c>
      <c r="C299" s="76" t="e">
        <f t="shared" si="26"/>
        <v>#REF!</v>
      </c>
    </row>
    <row r="300" spans="2:3" ht="15.75" customHeight="1" x14ac:dyDescent="0.25">
      <c r="B300" s="67" t="e">
        <f t="shared" si="25"/>
        <v>#REF!</v>
      </c>
      <c r="C300" s="76" t="e">
        <f t="shared" si="26"/>
        <v>#REF!</v>
      </c>
    </row>
    <row r="301" spans="2:3" ht="15.75" customHeight="1" x14ac:dyDescent="0.25">
      <c r="B301" s="67" t="e">
        <f t="shared" si="25"/>
        <v>#REF!</v>
      </c>
      <c r="C301" s="76" t="e">
        <f t="shared" si="26"/>
        <v>#REF!</v>
      </c>
    </row>
    <row r="302" spans="2:3" ht="15.75" customHeight="1" x14ac:dyDescent="0.25">
      <c r="B302" s="67" t="e">
        <f t="shared" si="25"/>
        <v>#REF!</v>
      </c>
      <c r="C302" s="76" t="e">
        <f t="shared" si="26"/>
        <v>#REF!</v>
      </c>
    </row>
    <row r="303" spans="2:3" ht="15.75" customHeight="1" x14ac:dyDescent="0.25">
      <c r="B303" s="67" t="e">
        <f t="shared" si="25"/>
        <v>#REF!</v>
      </c>
      <c r="C303" s="76" t="e">
        <f t="shared" si="26"/>
        <v>#REF!</v>
      </c>
    </row>
    <row r="304" spans="2:3" ht="15.75" customHeight="1" x14ac:dyDescent="0.25">
      <c r="B304" s="67" t="e">
        <f t="shared" si="25"/>
        <v>#REF!</v>
      </c>
      <c r="C304" s="76" t="e">
        <f t="shared" si="26"/>
        <v>#REF!</v>
      </c>
    </row>
    <row r="305" spans="2:3" ht="15.75" customHeight="1" x14ac:dyDescent="0.25">
      <c r="B305" s="67" t="e">
        <f t="shared" si="25"/>
        <v>#REF!</v>
      </c>
      <c r="C305" s="76" t="e">
        <f t="shared" si="26"/>
        <v>#REF!</v>
      </c>
    </row>
    <row r="306" spans="2:3" ht="15.75" customHeight="1" x14ac:dyDescent="0.25">
      <c r="B306" s="67" t="e">
        <f t="shared" si="25"/>
        <v>#REF!</v>
      </c>
      <c r="C306" s="76" t="e">
        <f t="shared" si="26"/>
        <v>#REF!</v>
      </c>
    </row>
    <row r="307" spans="2:3" ht="15.75" customHeight="1" x14ac:dyDescent="0.25">
      <c r="B307" s="67" t="e">
        <f t="shared" si="25"/>
        <v>#REF!</v>
      </c>
      <c r="C307" s="76" t="e">
        <f t="shared" si="26"/>
        <v>#REF!</v>
      </c>
    </row>
    <row r="308" spans="2:3" ht="15.75" customHeight="1" x14ac:dyDescent="0.25">
      <c r="B308" s="67" t="e">
        <f t="shared" si="25"/>
        <v>#REF!</v>
      </c>
      <c r="C308" s="76" t="e">
        <f t="shared" si="26"/>
        <v>#REF!</v>
      </c>
    </row>
    <row r="309" spans="2:3" ht="15.75" customHeight="1" x14ac:dyDescent="0.25">
      <c r="B309" s="67" t="e">
        <f t="shared" si="25"/>
        <v>#REF!</v>
      </c>
      <c r="C309" s="76" t="e">
        <f t="shared" si="26"/>
        <v>#REF!</v>
      </c>
    </row>
    <row r="310" spans="2:3" ht="15.75" customHeight="1" x14ac:dyDescent="0.25">
      <c r="B310" s="67" t="e">
        <f t="shared" si="25"/>
        <v>#REF!</v>
      </c>
      <c r="C310" s="76" t="e">
        <f t="shared" si="26"/>
        <v>#REF!</v>
      </c>
    </row>
    <row r="311" spans="2:3" ht="15.75" customHeight="1" x14ac:dyDescent="0.25">
      <c r="B311" s="67" t="e">
        <f t="shared" si="25"/>
        <v>#REF!</v>
      </c>
      <c r="C311" s="76" t="e">
        <f t="shared" si="26"/>
        <v>#REF!</v>
      </c>
    </row>
    <row r="312" spans="2:3" ht="15.75" customHeight="1" x14ac:dyDescent="0.25">
      <c r="B312" s="67" t="e">
        <f t="shared" si="25"/>
        <v>#REF!</v>
      </c>
      <c r="C312" s="76" t="e">
        <f t="shared" si="26"/>
        <v>#REF!</v>
      </c>
    </row>
    <row r="313" spans="2:3" ht="15.75" customHeight="1" x14ac:dyDescent="0.25">
      <c r="B313" s="67" t="e">
        <f t="shared" si="25"/>
        <v>#REF!</v>
      </c>
      <c r="C313" s="76" t="e">
        <f t="shared" si="26"/>
        <v>#REF!</v>
      </c>
    </row>
    <row r="314" spans="2:3" ht="15.75" customHeight="1" x14ac:dyDescent="0.25">
      <c r="B314" s="67" t="e">
        <f t="shared" si="25"/>
        <v>#REF!</v>
      </c>
      <c r="C314" s="76" t="e">
        <f t="shared" si="26"/>
        <v>#REF!</v>
      </c>
    </row>
    <row r="315" spans="2:3" ht="15.75" customHeight="1" x14ac:dyDescent="0.25">
      <c r="B315" s="67" t="e">
        <f t="shared" si="25"/>
        <v>#REF!</v>
      </c>
      <c r="C315" s="76" t="e">
        <f t="shared" si="26"/>
        <v>#REF!</v>
      </c>
    </row>
    <row r="316" spans="2:3" ht="15.75" customHeight="1" x14ac:dyDescent="0.25">
      <c r="B316" s="67" t="e">
        <f t="shared" si="25"/>
        <v>#REF!</v>
      </c>
      <c r="C316" s="76" t="e">
        <f t="shared" si="26"/>
        <v>#REF!</v>
      </c>
    </row>
    <row r="317" spans="2:3" ht="15.75" customHeight="1" x14ac:dyDescent="0.25">
      <c r="B317" s="67" t="e">
        <f t="shared" si="25"/>
        <v>#REF!</v>
      </c>
      <c r="C317" s="76" t="e">
        <f t="shared" si="26"/>
        <v>#REF!</v>
      </c>
    </row>
    <row r="318" spans="2:3" ht="15.75" customHeight="1" x14ac:dyDescent="0.25">
      <c r="B318" s="67" t="e">
        <f t="shared" si="25"/>
        <v>#REF!</v>
      </c>
      <c r="C318" s="76" t="e">
        <f t="shared" si="26"/>
        <v>#REF!</v>
      </c>
    </row>
    <row r="319" spans="2:3" ht="15.75" customHeight="1" x14ac:dyDescent="0.25">
      <c r="B319" s="67" t="e">
        <f t="shared" si="25"/>
        <v>#REF!</v>
      </c>
      <c r="C319" s="76" t="e">
        <f t="shared" si="26"/>
        <v>#REF!</v>
      </c>
    </row>
    <row r="320" spans="2:3" ht="15.75" customHeight="1" x14ac:dyDescent="0.25">
      <c r="B320" s="67" t="e">
        <f t="shared" si="25"/>
        <v>#REF!</v>
      </c>
      <c r="C320" s="76" t="e">
        <f t="shared" si="26"/>
        <v>#REF!</v>
      </c>
    </row>
    <row r="321" spans="2:3" ht="15.75" customHeight="1" x14ac:dyDescent="0.25">
      <c r="B321" s="67" t="e">
        <f t="shared" si="25"/>
        <v>#REF!</v>
      </c>
      <c r="C321" s="76" t="e">
        <f t="shared" si="26"/>
        <v>#REF!</v>
      </c>
    </row>
    <row r="322" spans="2:3" ht="15.75" customHeight="1" x14ac:dyDescent="0.25">
      <c r="B322" s="67" t="e">
        <f t="shared" si="25"/>
        <v>#REF!</v>
      </c>
      <c r="C322" s="76" t="e">
        <f t="shared" si="26"/>
        <v>#REF!</v>
      </c>
    </row>
    <row r="323" spans="2:3" ht="15.75" customHeight="1" x14ac:dyDescent="0.25">
      <c r="B323" s="67" t="e">
        <f t="shared" si="25"/>
        <v>#REF!</v>
      </c>
      <c r="C323" s="76" t="e">
        <f t="shared" si="26"/>
        <v>#REF!</v>
      </c>
    </row>
    <row r="324" spans="2:3" ht="15.75" customHeight="1" x14ac:dyDescent="0.25">
      <c r="B324" s="67" t="e">
        <f t="shared" si="25"/>
        <v>#REF!</v>
      </c>
      <c r="C324" s="76" t="e">
        <f t="shared" si="26"/>
        <v>#REF!</v>
      </c>
    </row>
    <row r="325" spans="2:3" ht="15.75" customHeight="1" x14ac:dyDescent="0.25">
      <c r="B325" s="67" t="e">
        <f t="shared" si="25"/>
        <v>#REF!</v>
      </c>
      <c r="C325" s="76" t="e">
        <f t="shared" si="26"/>
        <v>#REF!</v>
      </c>
    </row>
    <row r="326" spans="2:3" ht="15.75" customHeight="1" x14ac:dyDescent="0.25">
      <c r="B326" s="67" t="e">
        <f t="shared" si="25"/>
        <v>#REF!</v>
      </c>
      <c r="C326" s="76" t="e">
        <f t="shared" si="26"/>
        <v>#REF!</v>
      </c>
    </row>
    <row r="327" spans="2:3" ht="15.75" customHeight="1" x14ac:dyDescent="0.25">
      <c r="B327" s="67" t="e">
        <f t="shared" si="25"/>
        <v>#REF!</v>
      </c>
      <c r="C327" s="76" t="e">
        <f t="shared" si="26"/>
        <v>#REF!</v>
      </c>
    </row>
    <row r="328" spans="2:3" ht="15.75" customHeight="1" x14ac:dyDescent="0.25">
      <c r="B328" s="67" t="e">
        <f t="shared" si="25"/>
        <v>#REF!</v>
      </c>
      <c r="C328" s="76" t="e">
        <f t="shared" si="26"/>
        <v>#REF!</v>
      </c>
    </row>
    <row r="329" spans="2:3" ht="15.75" customHeight="1" x14ac:dyDescent="0.25">
      <c r="B329" s="67" t="e">
        <f t="shared" si="25"/>
        <v>#REF!</v>
      </c>
      <c r="C329" s="76" t="e">
        <f t="shared" si="26"/>
        <v>#REF!</v>
      </c>
    </row>
    <row r="330" spans="2:3" ht="15.75" customHeight="1" x14ac:dyDescent="0.25">
      <c r="B330" s="67" t="e">
        <f t="shared" si="25"/>
        <v>#REF!</v>
      </c>
      <c r="C330" s="76" t="e">
        <f t="shared" si="26"/>
        <v>#REF!</v>
      </c>
    </row>
    <row r="331" spans="2:3" ht="15.75" customHeight="1" x14ac:dyDescent="0.25">
      <c r="B331" s="67" t="e">
        <f t="shared" si="25"/>
        <v>#REF!</v>
      </c>
      <c r="C331" s="76" t="e">
        <f t="shared" si="26"/>
        <v>#REF!</v>
      </c>
    </row>
    <row r="332" spans="2:3" ht="15.75" customHeight="1" x14ac:dyDescent="0.25">
      <c r="B332" s="67" t="e">
        <f t="shared" si="25"/>
        <v>#REF!</v>
      </c>
      <c r="C332" s="76" t="e">
        <f t="shared" si="26"/>
        <v>#REF!</v>
      </c>
    </row>
    <row r="333" spans="2:3" ht="15.75" customHeight="1" x14ac:dyDescent="0.25">
      <c r="B333" s="67" t="e">
        <f t="shared" si="25"/>
        <v>#REF!</v>
      </c>
      <c r="C333" s="76" t="e">
        <f t="shared" si="26"/>
        <v>#REF!</v>
      </c>
    </row>
    <row r="334" spans="2:3" ht="15.75" customHeight="1" x14ac:dyDescent="0.25">
      <c r="B334" s="67" t="e">
        <f t="shared" si="25"/>
        <v>#REF!</v>
      </c>
      <c r="C334" s="76" t="e">
        <f t="shared" si="26"/>
        <v>#REF!</v>
      </c>
    </row>
    <row r="335" spans="2:3" ht="15.75" customHeight="1" x14ac:dyDescent="0.25">
      <c r="B335" s="67" t="e">
        <f t="shared" si="25"/>
        <v>#REF!</v>
      </c>
      <c r="C335" s="76" t="e">
        <f t="shared" si="26"/>
        <v>#REF!</v>
      </c>
    </row>
    <row r="336" spans="2:3" ht="15.75" customHeight="1" x14ac:dyDescent="0.25">
      <c r="B336" s="67" t="e">
        <f t="shared" si="25"/>
        <v>#REF!</v>
      </c>
      <c r="C336" s="76" t="e">
        <f t="shared" si="26"/>
        <v>#REF!</v>
      </c>
    </row>
    <row r="337" spans="2:3" ht="15.75" customHeight="1" x14ac:dyDescent="0.25">
      <c r="B337" s="67" t="e">
        <f t="shared" si="25"/>
        <v>#REF!</v>
      </c>
      <c r="C337" s="76" t="e">
        <f t="shared" si="26"/>
        <v>#REF!</v>
      </c>
    </row>
    <row r="338" spans="2:3" ht="15.75" customHeight="1" x14ac:dyDescent="0.25">
      <c r="B338" s="67" t="e">
        <f t="shared" si="25"/>
        <v>#REF!</v>
      </c>
      <c r="C338" s="76" t="e">
        <f t="shared" si="26"/>
        <v>#REF!</v>
      </c>
    </row>
    <row r="339" spans="2:3" ht="15.75" customHeight="1" x14ac:dyDescent="0.25">
      <c r="B339" s="67" t="e">
        <f t="shared" si="25"/>
        <v>#REF!</v>
      </c>
      <c r="C339" s="76" t="e">
        <f t="shared" si="26"/>
        <v>#REF!</v>
      </c>
    </row>
    <row r="340" spans="2:3" ht="15.75" customHeight="1" x14ac:dyDescent="0.25">
      <c r="B340" s="67" t="e">
        <f t="shared" si="25"/>
        <v>#REF!</v>
      </c>
      <c r="C340" s="76" t="e">
        <f t="shared" si="26"/>
        <v>#REF!</v>
      </c>
    </row>
    <row r="341" spans="2:3" ht="15.75" customHeight="1" x14ac:dyDescent="0.25">
      <c r="B341" s="67" t="e">
        <f t="shared" si="25"/>
        <v>#REF!</v>
      </c>
      <c r="C341" s="76" t="e">
        <f t="shared" si="26"/>
        <v>#REF!</v>
      </c>
    </row>
    <row r="342" spans="2:3" ht="15.75" customHeight="1" x14ac:dyDescent="0.25">
      <c r="B342" s="67" t="e">
        <f t="shared" si="25"/>
        <v>#REF!</v>
      </c>
      <c r="C342" s="76" t="e">
        <f t="shared" si="26"/>
        <v>#REF!</v>
      </c>
    </row>
    <row r="343" spans="2:3" ht="15.75" customHeight="1" x14ac:dyDescent="0.25">
      <c r="B343" s="67" t="e">
        <f t="shared" si="25"/>
        <v>#REF!</v>
      </c>
      <c r="C343" s="76" t="e">
        <f t="shared" si="26"/>
        <v>#REF!</v>
      </c>
    </row>
    <row r="344" spans="2:3" ht="15.75" customHeight="1" x14ac:dyDescent="0.25">
      <c r="B344" s="67" t="e">
        <f t="shared" si="25"/>
        <v>#REF!</v>
      </c>
      <c r="C344" s="76" t="e">
        <f t="shared" si="26"/>
        <v>#REF!</v>
      </c>
    </row>
    <row r="345" spans="2:3" ht="15.75" customHeight="1" x14ac:dyDescent="0.25">
      <c r="B345" s="67" t="e">
        <f t="shared" si="25"/>
        <v>#REF!</v>
      </c>
      <c r="C345" s="76" t="e">
        <f t="shared" si="26"/>
        <v>#REF!</v>
      </c>
    </row>
    <row r="346" spans="2:3" ht="15.75" customHeight="1" x14ac:dyDescent="0.25">
      <c r="B346" s="67" t="e">
        <f t="shared" si="25"/>
        <v>#REF!</v>
      </c>
      <c r="C346" s="76" t="e">
        <f t="shared" si="26"/>
        <v>#REF!</v>
      </c>
    </row>
    <row r="347" spans="2:3" ht="15.75" customHeight="1" x14ac:dyDescent="0.25">
      <c r="B347" s="67" t="e">
        <f t="shared" si="25"/>
        <v>#REF!</v>
      </c>
      <c r="C347" s="76" t="e">
        <f t="shared" si="26"/>
        <v>#REF!</v>
      </c>
    </row>
    <row r="348" spans="2:3" ht="15.75" customHeight="1" x14ac:dyDescent="0.25">
      <c r="B348" s="67" t="e">
        <f t="shared" si="25"/>
        <v>#REF!</v>
      </c>
      <c r="C348" s="76" t="e">
        <f t="shared" si="26"/>
        <v>#REF!</v>
      </c>
    </row>
    <row r="349" spans="2:3" ht="15.75" customHeight="1" x14ac:dyDescent="0.25">
      <c r="B349" s="67" t="e">
        <f t="shared" si="25"/>
        <v>#REF!</v>
      </c>
      <c r="C349" s="76" t="e">
        <f t="shared" si="26"/>
        <v>#REF!</v>
      </c>
    </row>
    <row r="350" spans="2:3" ht="15.75" customHeight="1" x14ac:dyDescent="0.25">
      <c r="B350" s="67" t="e">
        <f t="shared" ref="B350:B413" si="27">IF(B349="","",IF(B349+$C$10&lt;=$C$6,B349+$C$10,""))</f>
        <v>#REF!</v>
      </c>
      <c r="C350" s="76" t="e">
        <f t="shared" ref="C350:C413" si="28">IF(B350&lt;&gt;"",C349-$C$2/COUNT($B$18:$B$511),"")</f>
        <v>#REF!</v>
      </c>
    </row>
    <row r="351" spans="2:3" ht="15.75" customHeight="1" x14ac:dyDescent="0.25">
      <c r="B351" s="67" t="e">
        <f t="shared" si="27"/>
        <v>#REF!</v>
      </c>
      <c r="C351" s="76" t="e">
        <f t="shared" si="28"/>
        <v>#REF!</v>
      </c>
    </row>
    <row r="352" spans="2:3" ht="15.75" customHeight="1" x14ac:dyDescent="0.25">
      <c r="B352" s="67" t="e">
        <f t="shared" si="27"/>
        <v>#REF!</v>
      </c>
      <c r="C352" s="76" t="e">
        <f t="shared" si="28"/>
        <v>#REF!</v>
      </c>
    </row>
    <row r="353" spans="2:3" ht="15.75" customHeight="1" x14ac:dyDescent="0.25">
      <c r="B353" s="67" t="e">
        <f t="shared" si="27"/>
        <v>#REF!</v>
      </c>
      <c r="C353" s="76" t="e">
        <f t="shared" si="28"/>
        <v>#REF!</v>
      </c>
    </row>
    <row r="354" spans="2:3" ht="15.75" customHeight="1" x14ac:dyDescent="0.25">
      <c r="B354" s="67" t="e">
        <f t="shared" si="27"/>
        <v>#REF!</v>
      </c>
      <c r="C354" s="76" t="e">
        <f t="shared" si="28"/>
        <v>#REF!</v>
      </c>
    </row>
    <row r="355" spans="2:3" ht="15.75" customHeight="1" x14ac:dyDescent="0.25">
      <c r="B355" s="67" t="e">
        <f t="shared" si="27"/>
        <v>#REF!</v>
      </c>
      <c r="C355" s="76" t="e">
        <f t="shared" si="28"/>
        <v>#REF!</v>
      </c>
    </row>
    <row r="356" spans="2:3" ht="15.75" customHeight="1" x14ac:dyDescent="0.25">
      <c r="B356" s="67" t="e">
        <f t="shared" si="27"/>
        <v>#REF!</v>
      </c>
      <c r="C356" s="76" t="e">
        <f t="shared" si="28"/>
        <v>#REF!</v>
      </c>
    </row>
    <row r="357" spans="2:3" ht="15.75" customHeight="1" x14ac:dyDescent="0.25">
      <c r="B357" s="67" t="e">
        <f t="shared" si="27"/>
        <v>#REF!</v>
      </c>
      <c r="C357" s="76" t="e">
        <f t="shared" si="28"/>
        <v>#REF!</v>
      </c>
    </row>
    <row r="358" spans="2:3" ht="15.75" customHeight="1" x14ac:dyDescent="0.25">
      <c r="B358" s="67" t="e">
        <f t="shared" si="27"/>
        <v>#REF!</v>
      </c>
      <c r="C358" s="76" t="e">
        <f t="shared" si="28"/>
        <v>#REF!</v>
      </c>
    </row>
    <row r="359" spans="2:3" ht="15.75" customHeight="1" x14ac:dyDescent="0.25">
      <c r="B359" s="67" t="e">
        <f t="shared" si="27"/>
        <v>#REF!</v>
      </c>
      <c r="C359" s="76" t="e">
        <f t="shared" si="28"/>
        <v>#REF!</v>
      </c>
    </row>
    <row r="360" spans="2:3" ht="15.75" customHeight="1" x14ac:dyDescent="0.25">
      <c r="B360" s="67" t="e">
        <f t="shared" si="27"/>
        <v>#REF!</v>
      </c>
      <c r="C360" s="76" t="e">
        <f t="shared" si="28"/>
        <v>#REF!</v>
      </c>
    </row>
    <row r="361" spans="2:3" ht="15.75" customHeight="1" x14ac:dyDescent="0.25">
      <c r="B361" s="67" t="e">
        <f t="shared" si="27"/>
        <v>#REF!</v>
      </c>
      <c r="C361" s="76" t="e">
        <f t="shared" si="28"/>
        <v>#REF!</v>
      </c>
    </row>
    <row r="362" spans="2:3" ht="15.75" customHeight="1" x14ac:dyDescent="0.25">
      <c r="B362" s="67" t="e">
        <f t="shared" si="27"/>
        <v>#REF!</v>
      </c>
      <c r="C362" s="76" t="e">
        <f t="shared" si="28"/>
        <v>#REF!</v>
      </c>
    </row>
    <row r="363" spans="2:3" ht="15.75" customHeight="1" x14ac:dyDescent="0.25">
      <c r="B363" s="67" t="e">
        <f t="shared" si="27"/>
        <v>#REF!</v>
      </c>
      <c r="C363" s="76" t="e">
        <f t="shared" si="28"/>
        <v>#REF!</v>
      </c>
    </row>
    <row r="364" spans="2:3" ht="15.75" customHeight="1" x14ac:dyDescent="0.25">
      <c r="B364" s="67" t="e">
        <f t="shared" si="27"/>
        <v>#REF!</v>
      </c>
      <c r="C364" s="76" t="e">
        <f t="shared" si="28"/>
        <v>#REF!</v>
      </c>
    </row>
    <row r="365" spans="2:3" ht="15.75" customHeight="1" x14ac:dyDescent="0.25">
      <c r="B365" s="67" t="e">
        <f t="shared" si="27"/>
        <v>#REF!</v>
      </c>
      <c r="C365" s="76" t="e">
        <f t="shared" si="28"/>
        <v>#REF!</v>
      </c>
    </row>
    <row r="366" spans="2:3" ht="15.75" customHeight="1" x14ac:dyDescent="0.25">
      <c r="B366" s="67" t="e">
        <f t="shared" si="27"/>
        <v>#REF!</v>
      </c>
      <c r="C366" s="76" t="e">
        <f t="shared" si="28"/>
        <v>#REF!</v>
      </c>
    </row>
    <row r="367" spans="2:3" ht="15.75" customHeight="1" x14ac:dyDescent="0.25">
      <c r="B367" s="67" t="e">
        <f t="shared" si="27"/>
        <v>#REF!</v>
      </c>
      <c r="C367" s="76" t="e">
        <f t="shared" si="28"/>
        <v>#REF!</v>
      </c>
    </row>
    <row r="368" spans="2:3" ht="15.75" customHeight="1" x14ac:dyDescent="0.25">
      <c r="B368" s="67" t="e">
        <f t="shared" si="27"/>
        <v>#REF!</v>
      </c>
      <c r="C368" s="76" t="e">
        <f t="shared" si="28"/>
        <v>#REF!</v>
      </c>
    </row>
    <row r="369" spans="2:3" ht="15.75" customHeight="1" x14ac:dyDescent="0.25">
      <c r="B369" s="67" t="e">
        <f t="shared" si="27"/>
        <v>#REF!</v>
      </c>
      <c r="C369" s="76" t="e">
        <f t="shared" si="28"/>
        <v>#REF!</v>
      </c>
    </row>
    <row r="370" spans="2:3" ht="15.75" customHeight="1" x14ac:dyDescent="0.25">
      <c r="B370" s="67" t="e">
        <f t="shared" si="27"/>
        <v>#REF!</v>
      </c>
      <c r="C370" s="76" t="e">
        <f t="shared" si="28"/>
        <v>#REF!</v>
      </c>
    </row>
    <row r="371" spans="2:3" ht="15.75" customHeight="1" x14ac:dyDescent="0.25">
      <c r="B371" s="67" t="e">
        <f t="shared" si="27"/>
        <v>#REF!</v>
      </c>
      <c r="C371" s="76" t="e">
        <f t="shared" si="28"/>
        <v>#REF!</v>
      </c>
    </row>
    <row r="372" spans="2:3" ht="15.75" customHeight="1" x14ac:dyDescent="0.25">
      <c r="B372" s="67" t="e">
        <f t="shared" si="27"/>
        <v>#REF!</v>
      </c>
      <c r="C372" s="76" t="e">
        <f t="shared" si="28"/>
        <v>#REF!</v>
      </c>
    </row>
    <row r="373" spans="2:3" ht="15.75" customHeight="1" x14ac:dyDescent="0.25">
      <c r="B373" s="67" t="e">
        <f t="shared" si="27"/>
        <v>#REF!</v>
      </c>
      <c r="C373" s="76" t="e">
        <f t="shared" si="28"/>
        <v>#REF!</v>
      </c>
    </row>
    <row r="374" spans="2:3" ht="15.75" customHeight="1" x14ac:dyDescent="0.25">
      <c r="B374" s="67" t="e">
        <f t="shared" si="27"/>
        <v>#REF!</v>
      </c>
      <c r="C374" s="76" t="e">
        <f t="shared" si="28"/>
        <v>#REF!</v>
      </c>
    </row>
    <row r="375" spans="2:3" ht="15.75" customHeight="1" x14ac:dyDescent="0.25">
      <c r="B375" s="67" t="e">
        <f t="shared" si="27"/>
        <v>#REF!</v>
      </c>
      <c r="C375" s="76" t="e">
        <f t="shared" si="28"/>
        <v>#REF!</v>
      </c>
    </row>
    <row r="376" spans="2:3" ht="15.75" customHeight="1" x14ac:dyDescent="0.25">
      <c r="B376" s="67" t="e">
        <f t="shared" si="27"/>
        <v>#REF!</v>
      </c>
      <c r="C376" s="76" t="e">
        <f t="shared" si="28"/>
        <v>#REF!</v>
      </c>
    </row>
    <row r="377" spans="2:3" ht="15.75" customHeight="1" x14ac:dyDescent="0.25">
      <c r="B377" s="67" t="e">
        <f t="shared" si="27"/>
        <v>#REF!</v>
      </c>
      <c r="C377" s="76" t="e">
        <f t="shared" si="28"/>
        <v>#REF!</v>
      </c>
    </row>
    <row r="378" spans="2:3" ht="15.75" customHeight="1" x14ac:dyDescent="0.25">
      <c r="B378" s="67" t="e">
        <f t="shared" si="27"/>
        <v>#REF!</v>
      </c>
      <c r="C378" s="76" t="e">
        <f t="shared" si="28"/>
        <v>#REF!</v>
      </c>
    </row>
    <row r="379" spans="2:3" ht="15.75" customHeight="1" x14ac:dyDescent="0.25">
      <c r="B379" s="67" t="e">
        <f t="shared" si="27"/>
        <v>#REF!</v>
      </c>
      <c r="C379" s="76" t="e">
        <f t="shared" si="28"/>
        <v>#REF!</v>
      </c>
    </row>
    <row r="380" spans="2:3" ht="15.75" customHeight="1" x14ac:dyDescent="0.25">
      <c r="B380" s="67" t="e">
        <f t="shared" si="27"/>
        <v>#REF!</v>
      </c>
      <c r="C380" s="76" t="e">
        <f t="shared" si="28"/>
        <v>#REF!</v>
      </c>
    </row>
    <row r="381" spans="2:3" ht="15.75" customHeight="1" x14ac:dyDescent="0.25">
      <c r="B381" s="67" t="e">
        <f t="shared" si="27"/>
        <v>#REF!</v>
      </c>
      <c r="C381" s="76" t="e">
        <f t="shared" si="28"/>
        <v>#REF!</v>
      </c>
    </row>
    <row r="382" spans="2:3" ht="15.75" customHeight="1" x14ac:dyDescent="0.25">
      <c r="B382" s="67" t="e">
        <f t="shared" si="27"/>
        <v>#REF!</v>
      </c>
      <c r="C382" s="76" t="e">
        <f t="shared" si="28"/>
        <v>#REF!</v>
      </c>
    </row>
    <row r="383" spans="2:3" ht="15.75" customHeight="1" x14ac:dyDescent="0.25">
      <c r="B383" s="67" t="e">
        <f t="shared" si="27"/>
        <v>#REF!</v>
      </c>
      <c r="C383" s="76" t="e">
        <f t="shared" si="28"/>
        <v>#REF!</v>
      </c>
    </row>
    <row r="384" spans="2:3" ht="15.75" customHeight="1" x14ac:dyDescent="0.25">
      <c r="B384" s="67" t="e">
        <f t="shared" si="27"/>
        <v>#REF!</v>
      </c>
      <c r="C384" s="76" t="e">
        <f t="shared" si="28"/>
        <v>#REF!</v>
      </c>
    </row>
    <row r="385" spans="2:3" ht="15.75" customHeight="1" x14ac:dyDescent="0.25">
      <c r="B385" s="67" t="e">
        <f t="shared" si="27"/>
        <v>#REF!</v>
      </c>
      <c r="C385" s="76" t="e">
        <f t="shared" si="28"/>
        <v>#REF!</v>
      </c>
    </row>
    <row r="386" spans="2:3" ht="15.75" customHeight="1" x14ac:dyDescent="0.25">
      <c r="B386" s="67" t="e">
        <f t="shared" si="27"/>
        <v>#REF!</v>
      </c>
      <c r="C386" s="76" t="e">
        <f t="shared" si="28"/>
        <v>#REF!</v>
      </c>
    </row>
    <row r="387" spans="2:3" ht="15.75" customHeight="1" x14ac:dyDescent="0.25">
      <c r="B387" s="67" t="e">
        <f t="shared" si="27"/>
        <v>#REF!</v>
      </c>
      <c r="C387" s="76" t="e">
        <f t="shared" si="28"/>
        <v>#REF!</v>
      </c>
    </row>
    <row r="388" spans="2:3" ht="15.75" customHeight="1" x14ac:dyDescent="0.25">
      <c r="B388" s="67" t="e">
        <f t="shared" si="27"/>
        <v>#REF!</v>
      </c>
      <c r="C388" s="76" t="e">
        <f t="shared" si="28"/>
        <v>#REF!</v>
      </c>
    </row>
    <row r="389" spans="2:3" ht="15.75" customHeight="1" x14ac:dyDescent="0.25">
      <c r="B389" s="67" t="e">
        <f t="shared" si="27"/>
        <v>#REF!</v>
      </c>
      <c r="C389" s="76" t="e">
        <f t="shared" si="28"/>
        <v>#REF!</v>
      </c>
    </row>
    <row r="390" spans="2:3" ht="15.75" customHeight="1" x14ac:dyDescent="0.25">
      <c r="B390" s="67" t="e">
        <f t="shared" si="27"/>
        <v>#REF!</v>
      </c>
      <c r="C390" s="76" t="e">
        <f t="shared" si="28"/>
        <v>#REF!</v>
      </c>
    </row>
    <row r="391" spans="2:3" ht="15.75" customHeight="1" x14ac:dyDescent="0.25">
      <c r="B391" s="67" t="e">
        <f t="shared" si="27"/>
        <v>#REF!</v>
      </c>
      <c r="C391" s="76" t="e">
        <f t="shared" si="28"/>
        <v>#REF!</v>
      </c>
    </row>
    <row r="392" spans="2:3" ht="15.75" customHeight="1" x14ac:dyDescent="0.25">
      <c r="B392" s="67" t="e">
        <f t="shared" si="27"/>
        <v>#REF!</v>
      </c>
      <c r="C392" s="76" t="e">
        <f t="shared" si="28"/>
        <v>#REF!</v>
      </c>
    </row>
    <row r="393" spans="2:3" ht="15.75" customHeight="1" x14ac:dyDescent="0.25">
      <c r="B393" s="67" t="e">
        <f t="shared" si="27"/>
        <v>#REF!</v>
      </c>
      <c r="C393" s="76" t="e">
        <f t="shared" si="28"/>
        <v>#REF!</v>
      </c>
    </row>
    <row r="394" spans="2:3" ht="15.75" customHeight="1" x14ac:dyDescent="0.25">
      <c r="B394" s="67" t="e">
        <f t="shared" si="27"/>
        <v>#REF!</v>
      </c>
      <c r="C394" s="76" t="e">
        <f t="shared" si="28"/>
        <v>#REF!</v>
      </c>
    </row>
    <row r="395" spans="2:3" ht="15.75" customHeight="1" x14ac:dyDescent="0.25">
      <c r="B395" s="67" t="e">
        <f t="shared" si="27"/>
        <v>#REF!</v>
      </c>
      <c r="C395" s="76" t="e">
        <f t="shared" si="28"/>
        <v>#REF!</v>
      </c>
    </row>
    <row r="396" spans="2:3" ht="15.75" customHeight="1" x14ac:dyDescent="0.25">
      <c r="B396" s="67" t="e">
        <f t="shared" si="27"/>
        <v>#REF!</v>
      </c>
      <c r="C396" s="76" t="e">
        <f t="shared" si="28"/>
        <v>#REF!</v>
      </c>
    </row>
    <row r="397" spans="2:3" ht="15.75" customHeight="1" x14ac:dyDescent="0.25">
      <c r="B397" s="67" t="e">
        <f t="shared" si="27"/>
        <v>#REF!</v>
      </c>
      <c r="C397" s="76" t="e">
        <f t="shared" si="28"/>
        <v>#REF!</v>
      </c>
    </row>
    <row r="398" spans="2:3" ht="15.75" customHeight="1" x14ac:dyDescent="0.25">
      <c r="B398" s="67" t="e">
        <f t="shared" si="27"/>
        <v>#REF!</v>
      </c>
      <c r="C398" s="76" t="e">
        <f t="shared" si="28"/>
        <v>#REF!</v>
      </c>
    </row>
    <row r="399" spans="2:3" ht="15.75" customHeight="1" x14ac:dyDescent="0.25">
      <c r="B399" s="67" t="e">
        <f t="shared" si="27"/>
        <v>#REF!</v>
      </c>
      <c r="C399" s="76" t="e">
        <f t="shared" si="28"/>
        <v>#REF!</v>
      </c>
    </row>
    <row r="400" spans="2:3" ht="15.75" customHeight="1" x14ac:dyDescent="0.25">
      <c r="B400" s="67" t="e">
        <f t="shared" si="27"/>
        <v>#REF!</v>
      </c>
      <c r="C400" s="76" t="e">
        <f t="shared" si="28"/>
        <v>#REF!</v>
      </c>
    </row>
    <row r="401" spans="2:3" ht="15.75" customHeight="1" x14ac:dyDescent="0.25">
      <c r="B401" s="67" t="e">
        <f t="shared" si="27"/>
        <v>#REF!</v>
      </c>
      <c r="C401" s="76" t="e">
        <f t="shared" si="28"/>
        <v>#REF!</v>
      </c>
    </row>
    <row r="402" spans="2:3" ht="15.75" customHeight="1" x14ac:dyDescent="0.25">
      <c r="B402" s="67" t="e">
        <f t="shared" si="27"/>
        <v>#REF!</v>
      </c>
      <c r="C402" s="76" t="e">
        <f t="shared" si="28"/>
        <v>#REF!</v>
      </c>
    </row>
    <row r="403" spans="2:3" ht="15.75" customHeight="1" x14ac:dyDescent="0.25">
      <c r="B403" s="67" t="e">
        <f t="shared" si="27"/>
        <v>#REF!</v>
      </c>
      <c r="C403" s="76" t="e">
        <f t="shared" si="28"/>
        <v>#REF!</v>
      </c>
    </row>
    <row r="404" spans="2:3" ht="15.75" customHeight="1" x14ac:dyDescent="0.25">
      <c r="B404" s="67" t="e">
        <f t="shared" si="27"/>
        <v>#REF!</v>
      </c>
      <c r="C404" s="76" t="e">
        <f t="shared" si="28"/>
        <v>#REF!</v>
      </c>
    </row>
    <row r="405" spans="2:3" ht="15.75" customHeight="1" x14ac:dyDescent="0.25">
      <c r="B405" s="67" t="e">
        <f t="shared" si="27"/>
        <v>#REF!</v>
      </c>
      <c r="C405" s="76" t="e">
        <f t="shared" si="28"/>
        <v>#REF!</v>
      </c>
    </row>
    <row r="406" spans="2:3" ht="15.75" customHeight="1" x14ac:dyDescent="0.25">
      <c r="B406" s="67" t="e">
        <f t="shared" si="27"/>
        <v>#REF!</v>
      </c>
      <c r="C406" s="76" t="e">
        <f t="shared" si="28"/>
        <v>#REF!</v>
      </c>
    </row>
    <row r="407" spans="2:3" ht="15.75" customHeight="1" x14ac:dyDescent="0.25">
      <c r="B407" s="67" t="e">
        <f t="shared" si="27"/>
        <v>#REF!</v>
      </c>
      <c r="C407" s="76" t="e">
        <f t="shared" si="28"/>
        <v>#REF!</v>
      </c>
    </row>
    <row r="408" spans="2:3" ht="15.75" customHeight="1" x14ac:dyDescent="0.25">
      <c r="B408" s="67" t="e">
        <f t="shared" si="27"/>
        <v>#REF!</v>
      </c>
      <c r="C408" s="76" t="e">
        <f t="shared" si="28"/>
        <v>#REF!</v>
      </c>
    </row>
    <row r="409" spans="2:3" ht="15.75" customHeight="1" x14ac:dyDescent="0.25">
      <c r="B409" s="67" t="e">
        <f t="shared" si="27"/>
        <v>#REF!</v>
      </c>
      <c r="C409" s="76" t="e">
        <f t="shared" si="28"/>
        <v>#REF!</v>
      </c>
    </row>
    <row r="410" spans="2:3" ht="15.75" customHeight="1" x14ac:dyDescent="0.25">
      <c r="B410" s="67" t="e">
        <f t="shared" si="27"/>
        <v>#REF!</v>
      </c>
      <c r="C410" s="76" t="e">
        <f t="shared" si="28"/>
        <v>#REF!</v>
      </c>
    </row>
    <row r="411" spans="2:3" ht="15.75" customHeight="1" x14ac:dyDescent="0.25">
      <c r="B411" s="67" t="e">
        <f t="shared" si="27"/>
        <v>#REF!</v>
      </c>
      <c r="C411" s="76" t="e">
        <f t="shared" si="28"/>
        <v>#REF!</v>
      </c>
    </row>
    <row r="412" spans="2:3" ht="15.75" customHeight="1" x14ac:dyDescent="0.25">
      <c r="B412" s="67" t="e">
        <f t="shared" si="27"/>
        <v>#REF!</v>
      </c>
      <c r="C412" s="76" t="e">
        <f t="shared" si="28"/>
        <v>#REF!</v>
      </c>
    </row>
    <row r="413" spans="2:3" ht="15.75" customHeight="1" x14ac:dyDescent="0.25">
      <c r="B413" s="67" t="e">
        <f t="shared" si="27"/>
        <v>#REF!</v>
      </c>
      <c r="C413" s="76" t="e">
        <f t="shared" si="28"/>
        <v>#REF!</v>
      </c>
    </row>
    <row r="414" spans="2:3" ht="15.75" customHeight="1" x14ac:dyDescent="0.25">
      <c r="B414" s="67" t="e">
        <f t="shared" ref="B414:B477" si="29">IF(B413="","",IF(B413+$C$10&lt;=$C$6,B413+$C$10,""))</f>
        <v>#REF!</v>
      </c>
      <c r="C414" s="76" t="e">
        <f t="shared" ref="C414:C477" si="30">IF(B414&lt;&gt;"",C413-$C$2/COUNT($B$18:$B$511),"")</f>
        <v>#REF!</v>
      </c>
    </row>
    <row r="415" spans="2:3" ht="15.75" customHeight="1" x14ac:dyDescent="0.25">
      <c r="B415" s="67" t="e">
        <f t="shared" si="29"/>
        <v>#REF!</v>
      </c>
      <c r="C415" s="76" t="e">
        <f t="shared" si="30"/>
        <v>#REF!</v>
      </c>
    </row>
    <row r="416" spans="2:3" ht="15.75" customHeight="1" x14ac:dyDescent="0.25">
      <c r="B416" s="67" t="e">
        <f t="shared" si="29"/>
        <v>#REF!</v>
      </c>
      <c r="C416" s="76" t="e">
        <f t="shared" si="30"/>
        <v>#REF!</v>
      </c>
    </row>
    <row r="417" spans="2:3" ht="15.75" customHeight="1" x14ac:dyDescent="0.25">
      <c r="B417" s="67" t="e">
        <f t="shared" si="29"/>
        <v>#REF!</v>
      </c>
      <c r="C417" s="76" t="e">
        <f t="shared" si="30"/>
        <v>#REF!</v>
      </c>
    </row>
    <row r="418" spans="2:3" ht="15.75" customHeight="1" x14ac:dyDescent="0.25">
      <c r="B418" s="67" t="e">
        <f t="shared" si="29"/>
        <v>#REF!</v>
      </c>
      <c r="C418" s="76" t="e">
        <f t="shared" si="30"/>
        <v>#REF!</v>
      </c>
    </row>
    <row r="419" spans="2:3" ht="15.75" customHeight="1" x14ac:dyDescent="0.25">
      <c r="B419" s="67" t="e">
        <f t="shared" si="29"/>
        <v>#REF!</v>
      </c>
      <c r="C419" s="76" t="e">
        <f t="shared" si="30"/>
        <v>#REF!</v>
      </c>
    </row>
    <row r="420" spans="2:3" ht="15.75" customHeight="1" x14ac:dyDescent="0.25">
      <c r="B420" s="67" t="e">
        <f t="shared" si="29"/>
        <v>#REF!</v>
      </c>
      <c r="C420" s="76" t="e">
        <f t="shared" si="30"/>
        <v>#REF!</v>
      </c>
    </row>
    <row r="421" spans="2:3" ht="15.75" customHeight="1" x14ac:dyDescent="0.25">
      <c r="B421" s="67" t="e">
        <f t="shared" si="29"/>
        <v>#REF!</v>
      </c>
      <c r="C421" s="76" t="e">
        <f t="shared" si="30"/>
        <v>#REF!</v>
      </c>
    </row>
    <row r="422" spans="2:3" ht="15.75" customHeight="1" x14ac:dyDescent="0.25">
      <c r="B422" s="67" t="e">
        <f t="shared" si="29"/>
        <v>#REF!</v>
      </c>
      <c r="C422" s="76" t="e">
        <f t="shared" si="30"/>
        <v>#REF!</v>
      </c>
    </row>
    <row r="423" spans="2:3" ht="15.75" customHeight="1" x14ac:dyDescent="0.25">
      <c r="B423" s="67" t="e">
        <f t="shared" si="29"/>
        <v>#REF!</v>
      </c>
      <c r="C423" s="76" t="e">
        <f t="shared" si="30"/>
        <v>#REF!</v>
      </c>
    </row>
    <row r="424" spans="2:3" ht="15.75" customHeight="1" x14ac:dyDescent="0.25">
      <c r="B424" s="67" t="e">
        <f t="shared" si="29"/>
        <v>#REF!</v>
      </c>
      <c r="C424" s="76" t="e">
        <f t="shared" si="30"/>
        <v>#REF!</v>
      </c>
    </row>
    <row r="425" spans="2:3" ht="15.75" customHeight="1" x14ac:dyDescent="0.25">
      <c r="B425" s="67" t="e">
        <f t="shared" si="29"/>
        <v>#REF!</v>
      </c>
      <c r="C425" s="76" t="e">
        <f t="shared" si="30"/>
        <v>#REF!</v>
      </c>
    </row>
    <row r="426" spans="2:3" ht="15.75" customHeight="1" x14ac:dyDescent="0.25">
      <c r="B426" s="67" t="e">
        <f t="shared" si="29"/>
        <v>#REF!</v>
      </c>
      <c r="C426" s="76" t="e">
        <f t="shared" si="30"/>
        <v>#REF!</v>
      </c>
    </row>
    <row r="427" spans="2:3" ht="15.75" customHeight="1" x14ac:dyDescent="0.25">
      <c r="B427" s="67" t="e">
        <f t="shared" si="29"/>
        <v>#REF!</v>
      </c>
      <c r="C427" s="76" t="e">
        <f t="shared" si="30"/>
        <v>#REF!</v>
      </c>
    </row>
    <row r="428" spans="2:3" ht="15.75" customHeight="1" x14ac:dyDescent="0.25">
      <c r="B428" s="67" t="e">
        <f t="shared" si="29"/>
        <v>#REF!</v>
      </c>
      <c r="C428" s="76" t="e">
        <f t="shared" si="30"/>
        <v>#REF!</v>
      </c>
    </row>
    <row r="429" spans="2:3" ht="15.75" customHeight="1" x14ac:dyDescent="0.25">
      <c r="B429" s="67" t="e">
        <f t="shared" si="29"/>
        <v>#REF!</v>
      </c>
      <c r="C429" s="76" t="e">
        <f t="shared" si="30"/>
        <v>#REF!</v>
      </c>
    </row>
    <row r="430" spans="2:3" ht="15.75" customHeight="1" x14ac:dyDescent="0.25">
      <c r="B430" s="67" t="e">
        <f t="shared" si="29"/>
        <v>#REF!</v>
      </c>
      <c r="C430" s="76" t="e">
        <f t="shared" si="30"/>
        <v>#REF!</v>
      </c>
    </row>
    <row r="431" spans="2:3" ht="15.75" customHeight="1" x14ac:dyDescent="0.25">
      <c r="B431" s="67" t="e">
        <f t="shared" si="29"/>
        <v>#REF!</v>
      </c>
      <c r="C431" s="76" t="e">
        <f t="shared" si="30"/>
        <v>#REF!</v>
      </c>
    </row>
    <row r="432" spans="2:3" ht="15.75" customHeight="1" x14ac:dyDescent="0.25">
      <c r="B432" s="67" t="e">
        <f t="shared" si="29"/>
        <v>#REF!</v>
      </c>
      <c r="C432" s="76" t="e">
        <f t="shared" si="30"/>
        <v>#REF!</v>
      </c>
    </row>
    <row r="433" spans="2:3" ht="15.75" customHeight="1" x14ac:dyDescent="0.25">
      <c r="B433" s="67" t="e">
        <f t="shared" si="29"/>
        <v>#REF!</v>
      </c>
      <c r="C433" s="76" t="e">
        <f t="shared" si="30"/>
        <v>#REF!</v>
      </c>
    </row>
    <row r="434" spans="2:3" ht="15.75" customHeight="1" x14ac:dyDescent="0.25">
      <c r="B434" s="67" t="e">
        <f t="shared" si="29"/>
        <v>#REF!</v>
      </c>
      <c r="C434" s="76" t="e">
        <f t="shared" si="30"/>
        <v>#REF!</v>
      </c>
    </row>
    <row r="435" spans="2:3" ht="15.75" customHeight="1" x14ac:dyDescent="0.25">
      <c r="B435" s="67" t="e">
        <f t="shared" si="29"/>
        <v>#REF!</v>
      </c>
      <c r="C435" s="76" t="e">
        <f t="shared" si="30"/>
        <v>#REF!</v>
      </c>
    </row>
    <row r="436" spans="2:3" ht="15.75" customHeight="1" x14ac:dyDescent="0.25">
      <c r="B436" s="67" t="e">
        <f t="shared" si="29"/>
        <v>#REF!</v>
      </c>
      <c r="C436" s="76" t="e">
        <f t="shared" si="30"/>
        <v>#REF!</v>
      </c>
    </row>
    <row r="437" spans="2:3" ht="15.75" customHeight="1" x14ac:dyDescent="0.25">
      <c r="B437" s="67" t="e">
        <f t="shared" si="29"/>
        <v>#REF!</v>
      </c>
      <c r="C437" s="76" t="e">
        <f t="shared" si="30"/>
        <v>#REF!</v>
      </c>
    </row>
    <row r="438" spans="2:3" ht="15.75" customHeight="1" x14ac:dyDescent="0.25">
      <c r="B438" s="67" t="e">
        <f t="shared" si="29"/>
        <v>#REF!</v>
      </c>
      <c r="C438" s="76" t="e">
        <f t="shared" si="30"/>
        <v>#REF!</v>
      </c>
    </row>
    <row r="439" spans="2:3" ht="15.75" customHeight="1" x14ac:dyDescent="0.25">
      <c r="B439" s="67" t="e">
        <f t="shared" si="29"/>
        <v>#REF!</v>
      </c>
      <c r="C439" s="76" t="e">
        <f t="shared" si="30"/>
        <v>#REF!</v>
      </c>
    </row>
    <row r="440" spans="2:3" ht="15.75" customHeight="1" x14ac:dyDescent="0.25">
      <c r="B440" s="67" t="e">
        <f t="shared" si="29"/>
        <v>#REF!</v>
      </c>
      <c r="C440" s="76" t="e">
        <f t="shared" si="30"/>
        <v>#REF!</v>
      </c>
    </row>
    <row r="441" spans="2:3" ht="15.75" customHeight="1" x14ac:dyDescent="0.25">
      <c r="B441" s="67" t="e">
        <f t="shared" si="29"/>
        <v>#REF!</v>
      </c>
      <c r="C441" s="76" t="e">
        <f t="shared" si="30"/>
        <v>#REF!</v>
      </c>
    </row>
    <row r="442" spans="2:3" ht="15.75" customHeight="1" x14ac:dyDescent="0.25">
      <c r="B442" s="67" t="e">
        <f t="shared" si="29"/>
        <v>#REF!</v>
      </c>
      <c r="C442" s="76" t="e">
        <f t="shared" si="30"/>
        <v>#REF!</v>
      </c>
    </row>
    <row r="443" spans="2:3" ht="15.75" customHeight="1" x14ac:dyDescent="0.25">
      <c r="B443" s="67" t="e">
        <f t="shared" si="29"/>
        <v>#REF!</v>
      </c>
      <c r="C443" s="76" t="e">
        <f t="shared" si="30"/>
        <v>#REF!</v>
      </c>
    </row>
    <row r="444" spans="2:3" ht="15.75" customHeight="1" x14ac:dyDescent="0.25">
      <c r="B444" s="67" t="e">
        <f t="shared" si="29"/>
        <v>#REF!</v>
      </c>
      <c r="C444" s="76" t="e">
        <f t="shared" si="30"/>
        <v>#REF!</v>
      </c>
    </row>
    <row r="445" spans="2:3" ht="15.75" customHeight="1" x14ac:dyDescent="0.25">
      <c r="B445" s="67" t="e">
        <f t="shared" si="29"/>
        <v>#REF!</v>
      </c>
      <c r="C445" s="76" t="e">
        <f t="shared" si="30"/>
        <v>#REF!</v>
      </c>
    </row>
    <row r="446" spans="2:3" ht="15.75" customHeight="1" x14ac:dyDescent="0.25">
      <c r="B446" s="67" t="e">
        <f t="shared" si="29"/>
        <v>#REF!</v>
      </c>
      <c r="C446" s="76" t="e">
        <f t="shared" si="30"/>
        <v>#REF!</v>
      </c>
    </row>
    <row r="447" spans="2:3" ht="15.75" customHeight="1" x14ac:dyDescent="0.25">
      <c r="B447" s="67" t="e">
        <f t="shared" si="29"/>
        <v>#REF!</v>
      </c>
      <c r="C447" s="76" t="e">
        <f t="shared" si="30"/>
        <v>#REF!</v>
      </c>
    </row>
    <row r="448" spans="2:3" ht="15.75" customHeight="1" x14ac:dyDescent="0.25">
      <c r="B448" s="67" t="e">
        <f t="shared" si="29"/>
        <v>#REF!</v>
      </c>
      <c r="C448" s="76" t="e">
        <f t="shared" si="30"/>
        <v>#REF!</v>
      </c>
    </row>
    <row r="449" spans="2:3" ht="15.75" customHeight="1" x14ac:dyDescent="0.25">
      <c r="B449" s="67" t="e">
        <f t="shared" si="29"/>
        <v>#REF!</v>
      </c>
      <c r="C449" s="76" t="e">
        <f t="shared" si="30"/>
        <v>#REF!</v>
      </c>
    </row>
    <row r="450" spans="2:3" ht="15.75" customHeight="1" x14ac:dyDescent="0.25">
      <c r="B450" s="67" t="e">
        <f t="shared" si="29"/>
        <v>#REF!</v>
      </c>
      <c r="C450" s="76" t="e">
        <f t="shared" si="30"/>
        <v>#REF!</v>
      </c>
    </row>
    <row r="451" spans="2:3" ht="15.75" customHeight="1" x14ac:dyDescent="0.25">
      <c r="B451" s="67" t="e">
        <f t="shared" si="29"/>
        <v>#REF!</v>
      </c>
      <c r="C451" s="76" t="e">
        <f t="shared" si="30"/>
        <v>#REF!</v>
      </c>
    </row>
    <row r="452" spans="2:3" ht="15.75" customHeight="1" x14ac:dyDescent="0.25">
      <c r="B452" s="67" t="e">
        <f t="shared" si="29"/>
        <v>#REF!</v>
      </c>
      <c r="C452" s="76" t="e">
        <f t="shared" si="30"/>
        <v>#REF!</v>
      </c>
    </row>
    <row r="453" spans="2:3" ht="15.75" customHeight="1" x14ac:dyDescent="0.25">
      <c r="B453" s="67" t="e">
        <f t="shared" si="29"/>
        <v>#REF!</v>
      </c>
      <c r="C453" s="76" t="e">
        <f t="shared" si="30"/>
        <v>#REF!</v>
      </c>
    </row>
    <row r="454" spans="2:3" ht="15.75" customHeight="1" x14ac:dyDescent="0.25">
      <c r="B454" s="67" t="e">
        <f t="shared" si="29"/>
        <v>#REF!</v>
      </c>
      <c r="C454" s="76" t="e">
        <f t="shared" si="30"/>
        <v>#REF!</v>
      </c>
    </row>
    <row r="455" spans="2:3" ht="15.75" customHeight="1" x14ac:dyDescent="0.25">
      <c r="B455" s="67" t="e">
        <f t="shared" si="29"/>
        <v>#REF!</v>
      </c>
      <c r="C455" s="76" t="e">
        <f t="shared" si="30"/>
        <v>#REF!</v>
      </c>
    </row>
    <row r="456" spans="2:3" ht="15.75" customHeight="1" x14ac:dyDescent="0.25">
      <c r="B456" s="67" t="e">
        <f t="shared" si="29"/>
        <v>#REF!</v>
      </c>
      <c r="C456" s="76" t="e">
        <f t="shared" si="30"/>
        <v>#REF!</v>
      </c>
    </row>
    <row r="457" spans="2:3" ht="15.75" customHeight="1" x14ac:dyDescent="0.25">
      <c r="B457" s="67" t="e">
        <f t="shared" si="29"/>
        <v>#REF!</v>
      </c>
      <c r="C457" s="76" t="e">
        <f t="shared" si="30"/>
        <v>#REF!</v>
      </c>
    </row>
    <row r="458" spans="2:3" ht="15.75" customHeight="1" x14ac:dyDescent="0.25">
      <c r="B458" s="67" t="e">
        <f t="shared" si="29"/>
        <v>#REF!</v>
      </c>
      <c r="C458" s="76" t="e">
        <f t="shared" si="30"/>
        <v>#REF!</v>
      </c>
    </row>
    <row r="459" spans="2:3" ht="15.75" customHeight="1" x14ac:dyDescent="0.25">
      <c r="B459" s="67" t="e">
        <f t="shared" si="29"/>
        <v>#REF!</v>
      </c>
      <c r="C459" s="76" t="e">
        <f t="shared" si="30"/>
        <v>#REF!</v>
      </c>
    </row>
    <row r="460" spans="2:3" ht="15.75" customHeight="1" x14ac:dyDescent="0.25">
      <c r="B460" s="67" t="e">
        <f t="shared" si="29"/>
        <v>#REF!</v>
      </c>
      <c r="C460" s="76" t="e">
        <f t="shared" si="30"/>
        <v>#REF!</v>
      </c>
    </row>
    <row r="461" spans="2:3" ht="15.75" customHeight="1" x14ac:dyDescent="0.25">
      <c r="B461" s="67" t="e">
        <f t="shared" si="29"/>
        <v>#REF!</v>
      </c>
      <c r="C461" s="76" t="e">
        <f t="shared" si="30"/>
        <v>#REF!</v>
      </c>
    </row>
    <row r="462" spans="2:3" ht="15.75" customHeight="1" x14ac:dyDescent="0.25">
      <c r="B462" s="67" t="e">
        <f t="shared" si="29"/>
        <v>#REF!</v>
      </c>
      <c r="C462" s="76" t="e">
        <f t="shared" si="30"/>
        <v>#REF!</v>
      </c>
    </row>
    <row r="463" spans="2:3" ht="15.75" customHeight="1" x14ac:dyDescent="0.25">
      <c r="B463" s="67" t="e">
        <f t="shared" si="29"/>
        <v>#REF!</v>
      </c>
      <c r="C463" s="76" t="e">
        <f t="shared" si="30"/>
        <v>#REF!</v>
      </c>
    </row>
    <row r="464" spans="2:3" ht="15.75" customHeight="1" x14ac:dyDescent="0.25">
      <c r="B464" s="67" t="e">
        <f t="shared" si="29"/>
        <v>#REF!</v>
      </c>
      <c r="C464" s="76" t="e">
        <f t="shared" si="30"/>
        <v>#REF!</v>
      </c>
    </row>
    <row r="465" spans="2:3" ht="15.75" customHeight="1" x14ac:dyDescent="0.25">
      <c r="B465" s="67" t="e">
        <f t="shared" si="29"/>
        <v>#REF!</v>
      </c>
      <c r="C465" s="76" t="e">
        <f t="shared" si="30"/>
        <v>#REF!</v>
      </c>
    </row>
    <row r="466" spans="2:3" ht="15.75" customHeight="1" x14ac:dyDescent="0.25">
      <c r="B466" s="67" t="e">
        <f t="shared" si="29"/>
        <v>#REF!</v>
      </c>
      <c r="C466" s="76" t="e">
        <f t="shared" si="30"/>
        <v>#REF!</v>
      </c>
    </row>
    <row r="467" spans="2:3" ht="15.75" customHeight="1" x14ac:dyDescent="0.25">
      <c r="B467" s="67" t="e">
        <f t="shared" si="29"/>
        <v>#REF!</v>
      </c>
      <c r="C467" s="76" t="e">
        <f t="shared" si="30"/>
        <v>#REF!</v>
      </c>
    </row>
    <row r="468" spans="2:3" ht="15.75" customHeight="1" x14ac:dyDescent="0.25">
      <c r="B468" s="67" t="e">
        <f t="shared" si="29"/>
        <v>#REF!</v>
      </c>
      <c r="C468" s="76" t="e">
        <f t="shared" si="30"/>
        <v>#REF!</v>
      </c>
    </row>
    <row r="469" spans="2:3" ht="15.75" customHeight="1" x14ac:dyDescent="0.25">
      <c r="B469" s="67" t="e">
        <f t="shared" si="29"/>
        <v>#REF!</v>
      </c>
      <c r="C469" s="76" t="e">
        <f t="shared" si="30"/>
        <v>#REF!</v>
      </c>
    </row>
    <row r="470" spans="2:3" ht="15.75" customHeight="1" x14ac:dyDescent="0.25">
      <c r="B470" s="67" t="e">
        <f t="shared" si="29"/>
        <v>#REF!</v>
      </c>
      <c r="C470" s="76" t="e">
        <f t="shared" si="30"/>
        <v>#REF!</v>
      </c>
    </row>
    <row r="471" spans="2:3" ht="15.75" customHeight="1" x14ac:dyDescent="0.25">
      <c r="B471" s="67" t="e">
        <f t="shared" si="29"/>
        <v>#REF!</v>
      </c>
      <c r="C471" s="76" t="e">
        <f t="shared" si="30"/>
        <v>#REF!</v>
      </c>
    </row>
    <row r="472" spans="2:3" ht="15.75" customHeight="1" x14ac:dyDescent="0.25">
      <c r="B472" s="67" t="e">
        <f t="shared" si="29"/>
        <v>#REF!</v>
      </c>
      <c r="C472" s="76" t="e">
        <f t="shared" si="30"/>
        <v>#REF!</v>
      </c>
    </row>
    <row r="473" spans="2:3" ht="15.75" customHeight="1" x14ac:dyDescent="0.25">
      <c r="B473" s="67" t="e">
        <f t="shared" si="29"/>
        <v>#REF!</v>
      </c>
      <c r="C473" s="76" t="e">
        <f t="shared" si="30"/>
        <v>#REF!</v>
      </c>
    </row>
    <row r="474" spans="2:3" ht="15.75" customHeight="1" x14ac:dyDescent="0.25">
      <c r="B474" s="67" t="e">
        <f t="shared" si="29"/>
        <v>#REF!</v>
      </c>
      <c r="C474" s="76" t="e">
        <f t="shared" si="30"/>
        <v>#REF!</v>
      </c>
    </row>
    <row r="475" spans="2:3" ht="15.75" customHeight="1" x14ac:dyDescent="0.25">
      <c r="B475" s="67" t="e">
        <f t="shared" si="29"/>
        <v>#REF!</v>
      </c>
      <c r="C475" s="76" t="e">
        <f t="shared" si="30"/>
        <v>#REF!</v>
      </c>
    </row>
    <row r="476" spans="2:3" ht="15.75" customHeight="1" x14ac:dyDescent="0.25">
      <c r="B476" s="67" t="e">
        <f t="shared" si="29"/>
        <v>#REF!</v>
      </c>
      <c r="C476" s="76" t="e">
        <f t="shared" si="30"/>
        <v>#REF!</v>
      </c>
    </row>
    <row r="477" spans="2:3" ht="15.75" customHeight="1" x14ac:dyDescent="0.25">
      <c r="B477" s="67" t="e">
        <f t="shared" si="29"/>
        <v>#REF!</v>
      </c>
      <c r="C477" s="76" t="e">
        <f t="shared" si="30"/>
        <v>#REF!</v>
      </c>
    </row>
    <row r="478" spans="2:3" ht="15.75" customHeight="1" x14ac:dyDescent="0.25">
      <c r="B478" s="67" t="e">
        <f t="shared" ref="B478:B512" si="31">IF(B477="","",IF(B477+$C$10&lt;=$C$6,B477+$C$10,""))</f>
        <v>#REF!</v>
      </c>
      <c r="C478" s="76" t="e">
        <f t="shared" ref="C478:C512" si="32">IF(B478&lt;&gt;"",C477-$C$2/COUNT($B$18:$B$511),"")</f>
        <v>#REF!</v>
      </c>
    </row>
    <row r="479" spans="2:3" ht="15.75" customHeight="1" x14ac:dyDescent="0.25">
      <c r="B479" s="67" t="e">
        <f t="shared" si="31"/>
        <v>#REF!</v>
      </c>
      <c r="C479" s="76" t="e">
        <f t="shared" si="32"/>
        <v>#REF!</v>
      </c>
    </row>
    <row r="480" spans="2:3" ht="15.75" customHeight="1" x14ac:dyDescent="0.25">
      <c r="B480" s="67" t="e">
        <f t="shared" si="31"/>
        <v>#REF!</v>
      </c>
      <c r="C480" s="76" t="e">
        <f t="shared" si="32"/>
        <v>#REF!</v>
      </c>
    </row>
    <row r="481" spans="2:3" ht="15.75" customHeight="1" x14ac:dyDescent="0.25">
      <c r="B481" s="67" t="e">
        <f t="shared" si="31"/>
        <v>#REF!</v>
      </c>
      <c r="C481" s="76" t="e">
        <f t="shared" si="32"/>
        <v>#REF!</v>
      </c>
    </row>
    <row r="482" spans="2:3" ht="15.75" customHeight="1" x14ac:dyDescent="0.25">
      <c r="B482" s="67" t="e">
        <f t="shared" si="31"/>
        <v>#REF!</v>
      </c>
      <c r="C482" s="76" t="e">
        <f t="shared" si="32"/>
        <v>#REF!</v>
      </c>
    </row>
    <row r="483" spans="2:3" ht="15.75" customHeight="1" x14ac:dyDescent="0.25">
      <c r="B483" s="67" t="e">
        <f t="shared" si="31"/>
        <v>#REF!</v>
      </c>
      <c r="C483" s="76" t="e">
        <f t="shared" si="32"/>
        <v>#REF!</v>
      </c>
    </row>
    <row r="484" spans="2:3" ht="15.75" customHeight="1" x14ac:dyDescent="0.25">
      <c r="B484" s="67" t="e">
        <f t="shared" si="31"/>
        <v>#REF!</v>
      </c>
      <c r="C484" s="76" t="e">
        <f t="shared" si="32"/>
        <v>#REF!</v>
      </c>
    </row>
    <row r="485" spans="2:3" ht="15.75" customHeight="1" x14ac:dyDescent="0.25">
      <c r="B485" s="67" t="e">
        <f t="shared" si="31"/>
        <v>#REF!</v>
      </c>
      <c r="C485" s="76" t="e">
        <f t="shared" si="32"/>
        <v>#REF!</v>
      </c>
    </row>
    <row r="486" spans="2:3" ht="15.75" customHeight="1" x14ac:dyDescent="0.25">
      <c r="B486" s="67" t="e">
        <f t="shared" si="31"/>
        <v>#REF!</v>
      </c>
      <c r="C486" s="76" t="e">
        <f t="shared" si="32"/>
        <v>#REF!</v>
      </c>
    </row>
    <row r="487" spans="2:3" ht="15.75" customHeight="1" x14ac:dyDescent="0.25">
      <c r="B487" s="67" t="e">
        <f t="shared" si="31"/>
        <v>#REF!</v>
      </c>
      <c r="C487" s="76" t="e">
        <f t="shared" si="32"/>
        <v>#REF!</v>
      </c>
    </row>
    <row r="488" spans="2:3" ht="15.75" customHeight="1" x14ac:dyDescent="0.25">
      <c r="B488" s="67" t="e">
        <f t="shared" si="31"/>
        <v>#REF!</v>
      </c>
      <c r="C488" s="76" t="e">
        <f t="shared" si="32"/>
        <v>#REF!</v>
      </c>
    </row>
    <row r="489" spans="2:3" ht="15.75" customHeight="1" x14ac:dyDescent="0.25">
      <c r="B489" s="67" t="e">
        <f t="shared" si="31"/>
        <v>#REF!</v>
      </c>
      <c r="C489" s="76" t="e">
        <f t="shared" si="32"/>
        <v>#REF!</v>
      </c>
    </row>
    <row r="490" spans="2:3" ht="15.75" customHeight="1" x14ac:dyDescent="0.25">
      <c r="B490" s="67" t="e">
        <f t="shared" si="31"/>
        <v>#REF!</v>
      </c>
      <c r="C490" s="76" t="e">
        <f t="shared" si="32"/>
        <v>#REF!</v>
      </c>
    </row>
    <row r="491" spans="2:3" ht="15.75" customHeight="1" x14ac:dyDescent="0.25">
      <c r="B491" s="67" t="e">
        <f t="shared" si="31"/>
        <v>#REF!</v>
      </c>
      <c r="C491" s="76" t="e">
        <f t="shared" si="32"/>
        <v>#REF!</v>
      </c>
    </row>
    <row r="492" spans="2:3" ht="15.75" customHeight="1" x14ac:dyDescent="0.25">
      <c r="B492" s="67" t="e">
        <f t="shared" si="31"/>
        <v>#REF!</v>
      </c>
      <c r="C492" s="76" t="e">
        <f t="shared" si="32"/>
        <v>#REF!</v>
      </c>
    </row>
    <row r="493" spans="2:3" ht="15.75" customHeight="1" x14ac:dyDescent="0.25">
      <c r="B493" s="67" t="e">
        <f t="shared" si="31"/>
        <v>#REF!</v>
      </c>
      <c r="C493" s="76" t="e">
        <f t="shared" si="32"/>
        <v>#REF!</v>
      </c>
    </row>
    <row r="494" spans="2:3" ht="15.75" customHeight="1" x14ac:dyDescent="0.25">
      <c r="B494" s="67" t="e">
        <f t="shared" si="31"/>
        <v>#REF!</v>
      </c>
      <c r="C494" s="76" t="e">
        <f t="shared" si="32"/>
        <v>#REF!</v>
      </c>
    </row>
    <row r="495" spans="2:3" ht="15.75" customHeight="1" x14ac:dyDescent="0.25">
      <c r="B495" s="67" t="e">
        <f t="shared" si="31"/>
        <v>#REF!</v>
      </c>
      <c r="C495" s="76" t="e">
        <f t="shared" si="32"/>
        <v>#REF!</v>
      </c>
    </row>
    <row r="496" spans="2:3" ht="15.75" customHeight="1" x14ac:dyDescent="0.25">
      <c r="B496" s="67" t="e">
        <f t="shared" si="31"/>
        <v>#REF!</v>
      </c>
      <c r="C496" s="76" t="e">
        <f t="shared" si="32"/>
        <v>#REF!</v>
      </c>
    </row>
    <row r="497" spans="2:3" ht="15.75" customHeight="1" x14ac:dyDescent="0.25">
      <c r="B497" s="67" t="e">
        <f t="shared" si="31"/>
        <v>#REF!</v>
      </c>
      <c r="C497" s="76" t="e">
        <f t="shared" si="32"/>
        <v>#REF!</v>
      </c>
    </row>
    <row r="498" spans="2:3" ht="15.75" customHeight="1" x14ac:dyDescent="0.25">
      <c r="B498" s="67" t="e">
        <f t="shared" si="31"/>
        <v>#REF!</v>
      </c>
      <c r="C498" s="76" t="e">
        <f t="shared" si="32"/>
        <v>#REF!</v>
      </c>
    </row>
    <row r="499" spans="2:3" ht="15.75" customHeight="1" x14ac:dyDescent="0.25">
      <c r="B499" s="67" t="e">
        <f t="shared" si="31"/>
        <v>#REF!</v>
      </c>
      <c r="C499" s="76" t="e">
        <f t="shared" si="32"/>
        <v>#REF!</v>
      </c>
    </row>
    <row r="500" spans="2:3" ht="15.75" customHeight="1" x14ac:dyDescent="0.25">
      <c r="B500" s="67" t="e">
        <f t="shared" si="31"/>
        <v>#REF!</v>
      </c>
      <c r="C500" s="76" t="e">
        <f t="shared" si="32"/>
        <v>#REF!</v>
      </c>
    </row>
    <row r="501" spans="2:3" ht="15.75" customHeight="1" x14ac:dyDescent="0.25">
      <c r="B501" s="67" t="e">
        <f t="shared" si="31"/>
        <v>#REF!</v>
      </c>
      <c r="C501" s="76" t="e">
        <f t="shared" si="32"/>
        <v>#REF!</v>
      </c>
    </row>
    <row r="502" spans="2:3" ht="15.75" customHeight="1" x14ac:dyDescent="0.25">
      <c r="B502" s="67" t="e">
        <f t="shared" si="31"/>
        <v>#REF!</v>
      </c>
      <c r="C502" s="76" t="e">
        <f t="shared" si="32"/>
        <v>#REF!</v>
      </c>
    </row>
    <row r="503" spans="2:3" ht="15.75" customHeight="1" x14ac:dyDescent="0.25">
      <c r="B503" s="67" t="e">
        <f t="shared" si="31"/>
        <v>#REF!</v>
      </c>
      <c r="C503" s="76" t="e">
        <f t="shared" si="32"/>
        <v>#REF!</v>
      </c>
    </row>
    <row r="504" spans="2:3" ht="15.75" customHeight="1" x14ac:dyDescent="0.25">
      <c r="B504" s="67" t="e">
        <f t="shared" si="31"/>
        <v>#REF!</v>
      </c>
      <c r="C504" s="76" t="e">
        <f t="shared" si="32"/>
        <v>#REF!</v>
      </c>
    </row>
    <row r="505" spans="2:3" ht="15.75" customHeight="1" x14ac:dyDescent="0.25">
      <c r="B505" s="67" t="e">
        <f t="shared" si="31"/>
        <v>#REF!</v>
      </c>
      <c r="C505" s="76" t="e">
        <f t="shared" si="32"/>
        <v>#REF!</v>
      </c>
    </row>
    <row r="506" spans="2:3" ht="15.75" customHeight="1" x14ac:dyDescent="0.25">
      <c r="B506" s="67" t="e">
        <f t="shared" si="31"/>
        <v>#REF!</v>
      </c>
      <c r="C506" s="76" t="e">
        <f t="shared" si="32"/>
        <v>#REF!</v>
      </c>
    </row>
    <row r="507" spans="2:3" ht="15.75" customHeight="1" x14ac:dyDescent="0.25">
      <c r="B507" s="67" t="e">
        <f t="shared" si="31"/>
        <v>#REF!</v>
      </c>
      <c r="C507" s="76" t="e">
        <f t="shared" si="32"/>
        <v>#REF!</v>
      </c>
    </row>
    <row r="508" spans="2:3" ht="15.75" customHeight="1" x14ac:dyDescent="0.25">
      <c r="B508" s="67" t="e">
        <f t="shared" si="31"/>
        <v>#REF!</v>
      </c>
      <c r="C508" s="76" t="e">
        <f t="shared" si="32"/>
        <v>#REF!</v>
      </c>
    </row>
    <row r="509" spans="2:3" ht="15.75" customHeight="1" x14ac:dyDescent="0.25">
      <c r="B509" s="67" t="e">
        <f t="shared" si="31"/>
        <v>#REF!</v>
      </c>
      <c r="C509" s="76" t="e">
        <f t="shared" si="32"/>
        <v>#REF!</v>
      </c>
    </row>
    <row r="510" spans="2:3" ht="15.75" customHeight="1" x14ac:dyDescent="0.25">
      <c r="B510" s="67" t="e">
        <f t="shared" si="31"/>
        <v>#REF!</v>
      </c>
      <c r="C510" s="76" t="e">
        <f t="shared" si="32"/>
        <v>#REF!</v>
      </c>
    </row>
    <row r="511" spans="2:3" ht="15.75" customHeight="1" x14ac:dyDescent="0.25">
      <c r="B511" s="67" t="e">
        <f t="shared" si="31"/>
        <v>#REF!</v>
      </c>
      <c r="C511" s="76" t="e">
        <f t="shared" si="32"/>
        <v>#REF!</v>
      </c>
    </row>
    <row r="512" spans="2:3" ht="15.75" customHeight="1" x14ac:dyDescent="0.25">
      <c r="B512" s="67" t="e">
        <f t="shared" si="31"/>
        <v>#REF!</v>
      </c>
      <c r="C512" s="76" t="e">
        <f t="shared" si="32"/>
        <v>#REF!</v>
      </c>
    </row>
  </sheetData>
  <mergeCells count="3">
    <mergeCell ref="A1:K1"/>
    <mergeCell ref="B13:F13"/>
    <mergeCell ref="G13:L13"/>
  </mergeCells>
  <conditionalFormatting sqref="A15:F15 L15 H15:H48 A16:A40">
    <cfRule type="expression" dxfId="50" priority="8">
      <formula>AND(TODAY()&gt;=$B$15,TODAY()&lt;$B$16)</formula>
    </cfRule>
  </conditionalFormatting>
  <conditionalFormatting sqref="B15:B21 B23:B68">
    <cfRule type="cellIs" dxfId="49" priority="5" operator="greaterThan">
      <formula>$C$6</formula>
    </cfRule>
  </conditionalFormatting>
  <conditionalFormatting sqref="B17:B21 B23:B41 A41:B44 A45:C47 A48:G48 A49:L68 I15:I47 K43:L47 I48:L48">
    <cfRule type="expression" dxfId="48" priority="6">
      <formula>AND(TODAY()&gt;=$B15,TODAY()&lt;$B16)</formula>
    </cfRule>
  </conditionalFormatting>
  <conditionalFormatting sqref="B16:F16 G15:G47 C17:C44">
    <cfRule type="expression" dxfId="47" priority="7">
      <formula>AND(TODAY()&gt;=$B15,TODAY()&lt;$B16)</formula>
    </cfRule>
  </conditionalFormatting>
  <conditionalFormatting sqref="C2:C3">
    <cfRule type="expression" dxfId="46" priority="2">
      <formula>AND(TODAY()&gt;=$B$15,TODAY()&lt;$B$16)</formula>
    </cfRule>
  </conditionalFormatting>
  <conditionalFormatting sqref="J15:J47">
    <cfRule type="expression" dxfId="45" priority="1">
      <formula>AND(TODAY()&gt;=$B$15,TODAY()&lt;$B$16)</formula>
    </cfRule>
  </conditionalFormatting>
  <conditionalFormatting sqref="K15:K42">
    <cfRule type="expression" dxfId="44" priority="3">
      <formula>AND(TODAY()&gt;=$B$15,TODAY()&lt;$B$16)</formula>
    </cfRule>
  </conditionalFormatting>
  <conditionalFormatting sqref="L16:L21 D17:F47 L23:L42">
    <cfRule type="expression" dxfId="43" priority="4">
      <formula>AND(TODAY()&gt;=$B16,TODAY()&lt;$B17)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D716762-0B26-4EB5-9F66-1459FF131D9F}">
          <x14:formula1>
            <xm:f>'LEIA-ME'!$C$2:$C$6</xm:f>
          </x14:formula1>
          <xm:sqref>C3</xm:sqref>
        </x14:dataValidation>
        <x14:dataValidation type="list" allowBlank="1" showInputMessage="1" showErrorMessage="1" xr:uid="{BBF081FF-C63C-4559-AA29-7C81BF945981}">
          <x14:formula1>
            <xm:f>'LEIA-ME'!$A$2:$A$14</xm:f>
          </x14:formula1>
          <xm:sqref>C2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B814-5BAF-48CE-8920-3A77D5562DA1}">
  <sheetPr>
    <tabColor theme="9" tint="-0.499984740745262"/>
  </sheetPr>
  <dimension ref="A1:L512"/>
  <sheetViews>
    <sheetView topLeftCell="A31" workbookViewId="0">
      <selection activeCell="G39" sqref="G39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6" width="12.625" style="59" customWidth="1"/>
    <col min="7" max="11" width="13.875" style="59" customWidth="1"/>
    <col min="12" max="12" width="22.25" style="59" customWidth="1"/>
    <col min="13" max="13" width="34.375" style="59" customWidth="1"/>
    <col min="14" max="16384" width="12.625" style="59"/>
  </cols>
  <sheetData>
    <row r="1" spans="1:12" ht="19.5" x14ac:dyDescent="0.25">
      <c r="A1" s="154" t="s">
        <v>20</v>
      </c>
      <c r="B1" s="167"/>
      <c r="C1" s="167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25">
      <c r="A2" s="68"/>
      <c r="B2" s="119" t="s">
        <v>2542</v>
      </c>
      <c r="C2" s="120" t="s">
        <v>73</v>
      </c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15.75" customHeight="1" x14ac:dyDescent="0.25">
      <c r="A3" s="68"/>
      <c r="B3" s="119" t="s">
        <v>66</v>
      </c>
      <c r="C3" s="120" t="s">
        <v>75</v>
      </c>
      <c r="D3" s="70"/>
      <c r="E3" s="71"/>
      <c r="F3" s="71"/>
      <c r="G3" s="65"/>
      <c r="H3" s="65"/>
      <c r="I3" s="65"/>
      <c r="J3" s="65"/>
      <c r="K3" s="65"/>
      <c r="L3" s="65"/>
    </row>
    <row r="4" spans="1:12" ht="15" customHeight="1" x14ac:dyDescent="0.25">
      <c r="B4" s="121" t="s">
        <v>2494</v>
      </c>
      <c r="C4" s="125">
        <f>COUNTIFS(time, C2,
    release, "*" &amp; C3 &amp; "*")</f>
        <v>31</v>
      </c>
      <c r="D4" s="70" t="s">
        <v>25</v>
      </c>
      <c r="E4" s="71" t="s">
        <v>26</v>
      </c>
      <c r="F4" s="71"/>
      <c r="G4" s="65"/>
      <c r="H4" s="65"/>
      <c r="I4" s="65"/>
      <c r="J4" s="65"/>
      <c r="K4" s="65"/>
      <c r="L4" s="65"/>
    </row>
    <row r="5" spans="1:12" ht="15.75" customHeight="1" x14ac:dyDescent="0.25">
      <c r="B5" s="122" t="s">
        <v>27</v>
      </c>
      <c r="C5" s="107">
        <v>45936</v>
      </c>
      <c r="D5" s="70" t="s">
        <v>28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122" t="s">
        <v>29</v>
      </c>
      <c r="C6" s="107">
        <v>46113</v>
      </c>
      <c r="D6" s="70" t="s">
        <v>30</v>
      </c>
      <c r="E6" s="65"/>
      <c r="F6" s="65"/>
      <c r="G6" s="65"/>
      <c r="H6" s="65"/>
      <c r="I6" s="65"/>
      <c r="J6" s="65"/>
      <c r="K6" s="65"/>
      <c r="L6" s="65"/>
    </row>
    <row r="7" spans="1:12" ht="15.75" customHeight="1" x14ac:dyDescent="0.25">
      <c r="B7" s="119" t="s">
        <v>31</v>
      </c>
      <c r="C7" s="106" cm="1">
        <f t="array" ref="C7">IF(MAX(INDEX(J:J, LARGE(IF(J:J&lt;&gt;"", ROW(J:J)), {1;2;3;4;5;6;7;8})))=0,
  1,
  MAX(INDEX(J:J, LARGE(IF(J:J&lt;&gt;"", ROW(J:J)), {1;2;3;4;5;6;7;8}))))</f>
        <v>5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119" t="s">
        <v>34</v>
      </c>
      <c r="C8" s="106" cm="1">
        <f t="array" ref="C8">IF(MIN(INDEX(J:J, LARGE(IF(J:J&lt;&gt;"", ROW(J:J)), {1;2;3;4;5;6;7;8})))=0,
  1,
  MIN(INDEX(J:J, LARGE(IF(J:J&lt;&gt;"", ROW(J:J)), {1;2;3;4;5;6;7;8}))))</f>
        <v>1</v>
      </c>
      <c r="D8" s="70" t="s">
        <v>32</v>
      </c>
      <c r="E8" s="71" t="s">
        <v>33</v>
      </c>
      <c r="F8" s="71"/>
      <c r="G8" s="65"/>
      <c r="H8" s="65"/>
      <c r="I8" s="65"/>
      <c r="J8" s="65"/>
      <c r="K8" s="65"/>
      <c r="L8" s="65"/>
    </row>
    <row r="9" spans="1:12" ht="15.75" customHeight="1" x14ac:dyDescent="0.25">
      <c r="B9" s="122" t="s">
        <v>35</v>
      </c>
      <c r="C9" s="108">
        <v>8</v>
      </c>
      <c r="D9" s="70" t="s">
        <v>32</v>
      </c>
      <c r="E9" s="65"/>
      <c r="F9" s="65"/>
      <c r="G9" s="65"/>
      <c r="H9" s="65"/>
      <c r="I9" s="65"/>
      <c r="J9" s="65"/>
      <c r="K9" s="65"/>
      <c r="L9" s="65"/>
    </row>
    <row r="10" spans="1:12" ht="15.75" customHeight="1" x14ac:dyDescent="0.25">
      <c r="B10" s="122" t="s">
        <v>36</v>
      </c>
      <c r="C10" s="109">
        <v>7</v>
      </c>
      <c r="D10" s="70" t="s">
        <v>37</v>
      </c>
      <c r="E10" s="65"/>
      <c r="F10" s="65"/>
      <c r="G10" s="65"/>
      <c r="H10" s="65"/>
      <c r="I10" s="65"/>
      <c r="J10" s="65"/>
      <c r="K10" s="65"/>
      <c r="L10" s="65"/>
    </row>
    <row r="11" spans="1:12" ht="15.75" hidden="1" customHeight="1" x14ac:dyDescent="0.25">
      <c r="B11" s="112"/>
      <c r="C11" s="65"/>
      <c r="D11" s="113"/>
      <c r="E11" s="65"/>
      <c r="F11" s="65"/>
      <c r="G11" s="65"/>
      <c r="H11" s="65"/>
      <c r="I11" s="65"/>
      <c r="J11" s="65"/>
      <c r="K11" s="65"/>
      <c r="L11" s="65"/>
    </row>
    <row r="12" spans="1:12" s="39" customFormat="1" ht="40.5" customHeight="1" x14ac:dyDescent="0.45">
      <c r="A12" s="103"/>
      <c r="B12" s="61" t="s">
        <v>38</v>
      </c>
      <c r="C12" s="60" t="s">
        <v>39</v>
      </c>
      <c r="D12" s="60" t="s">
        <v>40</v>
      </c>
      <c r="E12" s="60" t="s">
        <v>41</v>
      </c>
      <c r="F12" s="60" t="s">
        <v>42</v>
      </c>
      <c r="G12" s="60" t="s">
        <v>43</v>
      </c>
      <c r="H12" s="60" t="s">
        <v>44</v>
      </c>
      <c r="I12" s="60" t="s">
        <v>45</v>
      </c>
      <c r="J12" s="60" t="s">
        <v>46</v>
      </c>
      <c r="K12" s="60" t="s">
        <v>47</v>
      </c>
      <c r="L12" s="60" t="s">
        <v>48</v>
      </c>
    </row>
    <row r="13" spans="1:12" ht="19.5" customHeight="1" x14ac:dyDescent="0.25">
      <c r="A13" s="91"/>
      <c r="B13" s="162" t="s">
        <v>49</v>
      </c>
      <c r="C13" s="163"/>
      <c r="D13" s="163"/>
      <c r="E13" s="163"/>
      <c r="F13" s="164"/>
      <c r="G13" s="165" t="s">
        <v>50</v>
      </c>
      <c r="H13" s="166"/>
      <c r="I13" s="166"/>
      <c r="J13" s="166"/>
      <c r="K13" s="166"/>
      <c r="L13" s="166"/>
    </row>
    <row r="14" spans="1:12" ht="31.5" customHeight="1" x14ac:dyDescent="0.25">
      <c r="A14" s="44" t="s">
        <v>51</v>
      </c>
      <c r="B14" s="45" t="s">
        <v>52</v>
      </c>
      <c r="C14" s="46" t="s">
        <v>2495</v>
      </c>
      <c r="D14" s="46" t="s">
        <v>2496</v>
      </c>
      <c r="E14" s="46" t="s">
        <v>55</v>
      </c>
      <c r="F14" s="58" t="s">
        <v>56</v>
      </c>
      <c r="G14" s="47" t="s">
        <v>57</v>
      </c>
      <c r="H14" s="47" t="s">
        <v>58</v>
      </c>
      <c r="I14" s="48" t="s">
        <v>2561</v>
      </c>
      <c r="J14" s="54" t="s">
        <v>60</v>
      </c>
      <c r="K14" s="87" t="s">
        <v>2562</v>
      </c>
      <c r="L14" s="77" t="s">
        <v>62</v>
      </c>
    </row>
    <row r="15" spans="1:12" ht="17.25" customHeight="1" x14ac:dyDescent="0.25">
      <c r="A15" s="73" t="s">
        <v>2543</v>
      </c>
      <c r="B15" s="66">
        <f>C5</f>
        <v>45936</v>
      </c>
      <c r="C15" s="79">
        <f>$C$4</f>
        <v>31</v>
      </c>
      <c r="D15" s="79">
        <f>$C$4</f>
        <v>31</v>
      </c>
      <c r="E15" s="79">
        <f>$C$4</f>
        <v>31</v>
      </c>
      <c r="F15" s="80"/>
      <c r="G15" s="118">
        <f t="shared" ref="G15" si="0">COUNTIFS(dtc, "&gt;=" &amp; INT(B15),
  dtc, "&lt;"  &amp; INT(B15)+1,
  time, $C$2,release, "*" &amp; $C$3 &amp; "*",
  Item, "&lt;&gt;BUG")</f>
        <v>0</v>
      </c>
      <c r="H15" s="118">
        <f t="shared" ref="H15:H36" si="1">COUNTIFS(dtc, "&gt;=" &amp;(INT(B15)+1),dtc,
 "&lt;"  &amp;(INT(B15)+7),time,
 $C$2,release, "*" &amp; $C$3 &amp; "*",Item,
 "&lt;&gt;BUG")</f>
        <v>0</v>
      </c>
      <c r="I15" s="82">
        <f t="shared" ref="I15:I36" si="2">COUNTIFS(time, $C$2,release, "*" &amp; $C$3 &amp; "*",Item,
 "BUG",dtc,
 "&gt;=" &amp; INT(B15),dtc,
 "&lt;"  &amp; INT(B15)+7)</f>
        <v>0</v>
      </c>
      <c r="J15" s="126">
        <f t="shared" ref="J15:J36" si="3">IF(COUNTIFS(time, $C$2, release, "*" &amp; $C$3 &amp; "*", resolvido, "&lt;&gt;" &amp; "", resolvido, "&gt;=" &amp; INT(B15), resolvido, "&lt;" &amp; INT(B15)+7)+K15 &lt; 0,
   0,
   COUNTIFS(time, $C$2, release, "*" &amp; $C$3 &amp; "*", resolvido, "&lt;&gt;" &amp; "", resolvido, "&gt;=" &amp; INT(B15), resolvido, "&lt;" &amp; INT(B15)+7)+K15)</f>
        <v>0</v>
      </c>
      <c r="K15" s="84">
        <f>-COUNTIFS(resolvido, "&gt;=" &amp; INT(B15),resolvido, "&lt;"  &amp; INT(B15)+7,status, "Descartado",time, $C$2,release, "*" &amp; $C$3 &amp; "*")</f>
        <v>0</v>
      </c>
      <c r="L15" s="86"/>
    </row>
    <row r="16" spans="1:12" ht="17.25" customHeight="1" x14ac:dyDescent="0.25">
      <c r="A16" s="73" t="s">
        <v>2544</v>
      </c>
      <c r="B16" s="66">
        <f t="shared" ref="B16:B68" si="4">B15+$C$10</f>
        <v>45943</v>
      </c>
      <c r="C16" s="79">
        <f>IF(OR(C15="",C15=0),"",IF(ISBLANK($J15),IF(C15+$K15-$C$7&lt;=0,IF(AND(C15&gt;0,C15&lt;&gt;""),0,""),C15+$K15-$C$7),IF((C15-$J15)+$K15&lt;=0,IF(AND(C15&gt;0,C15&lt;&gt;""),0,""),(C15-$J15)+$K15)))</f>
        <v>31</v>
      </c>
      <c r="D16" s="79">
        <f>IF(OR(D15="",D15=0),"",IF(ISBLANK($J15),IF(D15+$K15-$C$8&lt;=0,IF(AND(D15&gt;0,D15&lt;&gt;""),0,""),D15+$K15-$C$8),IF((D15-$J15)+$K15&lt;=0,IF(AND(D15&gt;0,D15&lt;&gt;""),0,""),(D15-$J15)+$K15)))</f>
        <v>31</v>
      </c>
      <c r="E16" s="79">
        <f>IF(OR(E15="",E15=0),"",IF(ISBLANK($J15),IF(E15+$K15-$C$9&lt;=0,IF(AND(E15&gt;0,E15&lt;&gt;""),0,""),E15+$K15-$C$9),IF((E15-$J15)+$K15&lt;=0,IF(AND(E15&gt;0,E15&lt;&gt;""),0,""),(E15-$J15)+$K15)))</f>
        <v>31</v>
      </c>
      <c r="F16" s="80">
        <f>IF(J15="","",IF(G15+F15+H15+I15+K15-J15&lt;0,0,G15+F15+H15+I15+K15-J15))</f>
        <v>0</v>
      </c>
      <c r="G16" s="118">
        <f t="shared" ref="G16:G36" si="5">COUNTIFS(dtc, "&gt;=" &amp; INT(B16),
  dtc, "&lt;"  &amp; INT(B16)+1,
  time, $C$2,release, "*" &amp; $C$3 &amp; "*",
  Item, "&lt;&gt;BUG")-COUNTIFS(dtc, "&gt;=" &amp; INT(B16),dtc, "&lt;"  &amp; INT(B16)+7,resolvido, "&gt;=" &amp; INT(B16),resolvido, "&lt;"  &amp; INT(B16)+7,status, "Descartado",time, $C$2,release, "*" &amp; $C$3 &amp; "*")</f>
        <v>0</v>
      </c>
      <c r="H16" s="118">
        <f t="shared" si="1"/>
        <v>0</v>
      </c>
      <c r="I16" s="82">
        <f t="shared" si="2"/>
        <v>0</v>
      </c>
      <c r="J16" s="126">
        <f t="shared" si="3"/>
        <v>0</v>
      </c>
      <c r="K16" s="84">
        <f>COUNTIFS(resolvido, "&gt;=" &amp; INT(B16),resolvido, "&lt;"  &amp; INT(B16)+7,status, "Descartado",time, $C$2,release, "*" &amp; $C$3 &amp; "*")</f>
        <v>0</v>
      </c>
      <c r="L16" s="86"/>
    </row>
    <row r="17" spans="1:12" ht="17.25" customHeight="1" x14ac:dyDescent="0.25">
      <c r="A17" s="73" t="s">
        <v>2545</v>
      </c>
      <c r="B17" s="66">
        <f t="shared" si="4"/>
        <v>45950</v>
      </c>
      <c r="C17" s="79">
        <f t="shared" ref="C17:C37" si="6">IF(OR(C16="",C16=0),"",IF(ISBLANK($J16),IF(C16+$K16-$C$7&lt;=0,IF(AND(C16&gt;0,C16&lt;&gt;""),0,""),C16+$K16-$C$7),IF((C16-$J16)+$K16&lt;=0,IF(AND(C16&gt;0,C16&lt;&gt;""),0,""),(C16-$J16)+$K16)))</f>
        <v>31</v>
      </c>
      <c r="D17" s="79">
        <f t="shared" ref="D17:D47" si="7">IF(OR(D16="",D16=0),"",IF(ISBLANK($J16),IF(D16+$K16-$C$8&lt;=0,IF(AND(D16&gt;0,D16&lt;&gt;""),0,""),D16+$K16-$C$8),IF((D16-$J16)+$K16&lt;=0,IF(AND(D16&gt;0,D16&lt;&gt;""),0,""),(D16-$J16)+$K16)))</f>
        <v>31</v>
      </c>
      <c r="E17" s="79">
        <f t="shared" ref="E17" si="8">IF(OR(E16="",E16=0),"",IF(ISBLANK($J16),IF(E16+$K16-$C$9&lt;=0,IF(AND(E16&gt;0,E16&lt;&gt;""),0,""),E16+$K16-$C$9),IF((E16-$J16)+$K16&lt;=0,IF(AND(E16&gt;0,E16&lt;&gt;""),0,""),(E16-$J16)+$K16)))</f>
        <v>31</v>
      </c>
      <c r="F17" s="80">
        <f t="shared" ref="F17:F28" si="9">IF(J16="","",IF(G16+F16+H16+I16+K16-J16&lt;0,0,G16+F16+H16+I16+K16-J16))</f>
        <v>0</v>
      </c>
      <c r="G17" s="118">
        <f t="shared" si="5"/>
        <v>0</v>
      </c>
      <c r="H17" s="118">
        <f t="shared" si="1"/>
        <v>0</v>
      </c>
      <c r="I17" s="82">
        <f t="shared" si="2"/>
        <v>0</v>
      </c>
      <c r="J17" s="126">
        <f t="shared" si="3"/>
        <v>0</v>
      </c>
      <c r="K17" s="84">
        <f t="shared" ref="K17:K36" si="10">-COUNTIFS(resolvido, "&gt;=" &amp; INT(B17),resolvido, "&lt;"  &amp; INT(B17)+7,status, "Descartado",time, $C$2,release, "*" &amp; $C$3 &amp; "*")</f>
        <v>0</v>
      </c>
      <c r="L17" s="86"/>
    </row>
    <row r="18" spans="1:12" ht="17.25" customHeight="1" x14ac:dyDescent="0.25">
      <c r="A18" s="73" t="s">
        <v>2546</v>
      </c>
      <c r="B18" s="66">
        <f t="shared" si="4"/>
        <v>45957</v>
      </c>
      <c r="C18" s="79">
        <f t="shared" si="6"/>
        <v>31</v>
      </c>
      <c r="D18" s="79">
        <f t="shared" si="7"/>
        <v>31</v>
      </c>
      <c r="E18" s="79">
        <f>IF(OR(E17="",E17=0),"",IF(ISBLANK($J17),IF(E17+$K17-$C$9&lt;=0,IF(AND(E17&gt;0,E17&lt;&gt;""),0,""),E17+$K17-$C$9),IF((E17-$J17)+$K17&lt;=0,IF(AND(E17&gt;0,E17&lt;&gt;""),0,""),(E17-$J17)+$K17)))</f>
        <v>31</v>
      </c>
      <c r="F18" s="80">
        <f t="shared" si="9"/>
        <v>0</v>
      </c>
      <c r="G18" s="118">
        <f t="shared" si="5"/>
        <v>0</v>
      </c>
      <c r="H18" s="118">
        <f t="shared" si="1"/>
        <v>0</v>
      </c>
      <c r="I18" s="82">
        <f t="shared" si="2"/>
        <v>0</v>
      </c>
      <c r="J18" s="126">
        <f t="shared" si="3"/>
        <v>0</v>
      </c>
      <c r="K18" s="84">
        <f t="shared" si="10"/>
        <v>0</v>
      </c>
      <c r="L18" s="111"/>
    </row>
    <row r="19" spans="1:12" ht="17.25" customHeight="1" x14ac:dyDescent="0.25">
      <c r="A19" s="73" t="s">
        <v>2547</v>
      </c>
      <c r="B19" s="66">
        <f t="shared" si="4"/>
        <v>45964</v>
      </c>
      <c r="C19" s="79">
        <f t="shared" si="6"/>
        <v>31</v>
      </c>
      <c r="D19" s="79">
        <f t="shared" si="7"/>
        <v>31</v>
      </c>
      <c r="E19" s="79">
        <f t="shared" ref="E19:E37" si="11">IF(OR(E18="",E18=0),"",IF(ISBLANK($J18),IF(E18+$K18-$C$9&lt;=0,IF(AND(E18&gt;0,E18&lt;&gt;""),0,""),E18+$K18-$C$9),IF((E18-$J18)+$K18&lt;=0,IF(AND(E18&gt;0,E18&lt;&gt;""),0,""),(E18-$J18)+$K18)))</f>
        <v>31</v>
      </c>
      <c r="F19" s="80">
        <f t="shared" si="9"/>
        <v>0</v>
      </c>
      <c r="G19" s="118">
        <f t="shared" si="5"/>
        <v>0</v>
      </c>
      <c r="H19" s="118">
        <f t="shared" si="1"/>
        <v>0</v>
      </c>
      <c r="I19" s="82">
        <f t="shared" si="2"/>
        <v>0</v>
      </c>
      <c r="J19" s="126">
        <f t="shared" si="3"/>
        <v>0</v>
      </c>
      <c r="K19" s="84">
        <f t="shared" si="10"/>
        <v>0</v>
      </c>
      <c r="L19" s="86"/>
    </row>
    <row r="20" spans="1:12" ht="17.25" customHeight="1" x14ac:dyDescent="0.25">
      <c r="A20" s="73" t="s">
        <v>2548</v>
      </c>
      <c r="B20" s="66">
        <f t="shared" si="4"/>
        <v>45971</v>
      </c>
      <c r="C20" s="79">
        <f t="shared" si="6"/>
        <v>31</v>
      </c>
      <c r="D20" s="79">
        <f t="shared" si="7"/>
        <v>31</v>
      </c>
      <c r="E20" s="79">
        <f t="shared" si="11"/>
        <v>31</v>
      </c>
      <c r="F20" s="80">
        <f t="shared" si="9"/>
        <v>0</v>
      </c>
      <c r="G20" s="118">
        <f t="shared" si="5"/>
        <v>0</v>
      </c>
      <c r="H20" s="118">
        <f t="shared" si="1"/>
        <v>0</v>
      </c>
      <c r="I20" s="82">
        <f t="shared" si="2"/>
        <v>0</v>
      </c>
      <c r="J20" s="126">
        <f t="shared" si="3"/>
        <v>0</v>
      </c>
      <c r="K20" s="84">
        <f t="shared" si="10"/>
        <v>0</v>
      </c>
      <c r="L20" s="86"/>
    </row>
    <row r="21" spans="1:12" ht="15.75" customHeight="1" x14ac:dyDescent="0.25">
      <c r="A21" s="73" t="s">
        <v>2549</v>
      </c>
      <c r="B21" s="66">
        <f t="shared" si="4"/>
        <v>45978</v>
      </c>
      <c r="C21" s="79">
        <f t="shared" si="6"/>
        <v>31</v>
      </c>
      <c r="D21" s="79">
        <f t="shared" si="7"/>
        <v>31</v>
      </c>
      <c r="E21" s="79">
        <f t="shared" si="11"/>
        <v>31</v>
      </c>
      <c r="F21" s="80">
        <f t="shared" si="9"/>
        <v>0</v>
      </c>
      <c r="G21" s="118">
        <f t="shared" si="5"/>
        <v>0</v>
      </c>
      <c r="H21" s="118">
        <f t="shared" si="1"/>
        <v>0</v>
      </c>
      <c r="I21" s="82">
        <f t="shared" si="2"/>
        <v>0</v>
      </c>
      <c r="J21" s="126">
        <f t="shared" si="3"/>
        <v>0</v>
      </c>
      <c r="K21" s="84">
        <f t="shared" si="10"/>
        <v>0</v>
      </c>
      <c r="L21" s="86"/>
    </row>
    <row r="22" spans="1:12" ht="15.75" customHeight="1" x14ac:dyDescent="0.25">
      <c r="A22" s="73" t="s">
        <v>2550</v>
      </c>
      <c r="B22" s="66">
        <f t="shared" si="4"/>
        <v>45985</v>
      </c>
      <c r="C22" s="79">
        <f t="shared" si="6"/>
        <v>31</v>
      </c>
      <c r="D22" s="79">
        <f t="shared" si="7"/>
        <v>31</v>
      </c>
      <c r="E22" s="79">
        <f t="shared" si="11"/>
        <v>31</v>
      </c>
      <c r="F22" s="80">
        <f t="shared" si="9"/>
        <v>0</v>
      </c>
      <c r="G22" s="118">
        <f t="shared" si="5"/>
        <v>0</v>
      </c>
      <c r="H22" s="118">
        <f t="shared" si="1"/>
        <v>0</v>
      </c>
      <c r="I22" s="82">
        <f t="shared" si="2"/>
        <v>0</v>
      </c>
      <c r="J22" s="126">
        <f t="shared" si="3"/>
        <v>0</v>
      </c>
      <c r="K22" s="84">
        <f t="shared" si="10"/>
        <v>0</v>
      </c>
      <c r="L22" s="86"/>
    </row>
    <row r="23" spans="1:12" ht="15.75" customHeight="1" x14ac:dyDescent="0.25">
      <c r="A23" s="73" t="s">
        <v>2551</v>
      </c>
      <c r="B23" s="66">
        <f t="shared" si="4"/>
        <v>45992</v>
      </c>
      <c r="C23" s="79">
        <f t="shared" si="6"/>
        <v>31</v>
      </c>
      <c r="D23" s="79">
        <f t="shared" si="7"/>
        <v>31</v>
      </c>
      <c r="E23" s="79">
        <f t="shared" si="11"/>
        <v>31</v>
      </c>
      <c r="F23" s="80">
        <f t="shared" si="9"/>
        <v>0</v>
      </c>
      <c r="G23" s="118">
        <f t="shared" si="5"/>
        <v>0</v>
      </c>
      <c r="H23" s="118">
        <f t="shared" si="1"/>
        <v>0</v>
      </c>
      <c r="I23" s="82">
        <f t="shared" si="2"/>
        <v>0</v>
      </c>
      <c r="J23" s="126">
        <f t="shared" si="3"/>
        <v>0</v>
      </c>
      <c r="K23" s="84">
        <f t="shared" si="10"/>
        <v>0</v>
      </c>
      <c r="L23" s="86"/>
    </row>
    <row r="24" spans="1:12" ht="15.75" customHeight="1" x14ac:dyDescent="0.25">
      <c r="A24" s="73" t="s">
        <v>2552</v>
      </c>
      <c r="B24" s="66">
        <f t="shared" si="4"/>
        <v>45999</v>
      </c>
      <c r="C24" s="79">
        <f t="shared" si="6"/>
        <v>31</v>
      </c>
      <c r="D24" s="79">
        <f t="shared" si="7"/>
        <v>31</v>
      </c>
      <c r="E24" s="79">
        <f t="shared" si="11"/>
        <v>31</v>
      </c>
      <c r="F24" s="80">
        <f t="shared" si="9"/>
        <v>0</v>
      </c>
      <c r="G24" s="118">
        <f t="shared" si="5"/>
        <v>0</v>
      </c>
      <c r="H24" s="118">
        <f t="shared" si="1"/>
        <v>0</v>
      </c>
      <c r="I24" s="82">
        <f t="shared" si="2"/>
        <v>0</v>
      </c>
      <c r="J24" s="126">
        <f t="shared" si="3"/>
        <v>0</v>
      </c>
      <c r="K24" s="84">
        <f t="shared" si="10"/>
        <v>0</v>
      </c>
      <c r="L24" s="86"/>
    </row>
    <row r="25" spans="1:12" ht="15.75" customHeight="1" x14ac:dyDescent="0.25">
      <c r="A25" s="73" t="s">
        <v>2553</v>
      </c>
      <c r="B25" s="66">
        <f t="shared" si="4"/>
        <v>46006</v>
      </c>
      <c r="C25" s="79">
        <f t="shared" si="6"/>
        <v>31</v>
      </c>
      <c r="D25" s="79">
        <f t="shared" si="7"/>
        <v>31</v>
      </c>
      <c r="E25" s="79">
        <f t="shared" si="11"/>
        <v>31</v>
      </c>
      <c r="F25" s="80">
        <f t="shared" si="9"/>
        <v>0</v>
      </c>
      <c r="G25" s="118">
        <f t="shared" si="5"/>
        <v>0</v>
      </c>
      <c r="H25" s="118">
        <f t="shared" si="1"/>
        <v>0</v>
      </c>
      <c r="I25" s="82">
        <f t="shared" si="2"/>
        <v>0</v>
      </c>
      <c r="J25" s="126">
        <f t="shared" si="3"/>
        <v>0</v>
      </c>
      <c r="K25" s="84">
        <f t="shared" si="10"/>
        <v>0</v>
      </c>
      <c r="L25" s="86"/>
    </row>
    <row r="26" spans="1:12" ht="15.75" customHeight="1" x14ac:dyDescent="0.25">
      <c r="A26" s="73" t="s">
        <v>2554</v>
      </c>
      <c r="B26" s="66">
        <f t="shared" si="4"/>
        <v>46013</v>
      </c>
      <c r="C26" s="79">
        <f t="shared" si="6"/>
        <v>31</v>
      </c>
      <c r="D26" s="79">
        <f t="shared" si="7"/>
        <v>31</v>
      </c>
      <c r="E26" s="79">
        <f t="shared" si="11"/>
        <v>31</v>
      </c>
      <c r="F26" s="80">
        <f t="shared" si="9"/>
        <v>0</v>
      </c>
      <c r="G26" s="118">
        <f t="shared" si="5"/>
        <v>0</v>
      </c>
      <c r="H26" s="118">
        <f t="shared" si="1"/>
        <v>1</v>
      </c>
      <c r="I26" s="82">
        <f t="shared" si="2"/>
        <v>0</v>
      </c>
      <c r="J26" s="126">
        <f t="shared" si="3"/>
        <v>0</v>
      </c>
      <c r="K26" s="84">
        <f t="shared" si="10"/>
        <v>0</v>
      </c>
      <c r="L26" s="86"/>
    </row>
    <row r="27" spans="1:12" ht="15.75" customHeight="1" x14ac:dyDescent="0.25">
      <c r="A27" s="73" t="s">
        <v>2555</v>
      </c>
      <c r="B27" s="66">
        <f t="shared" si="4"/>
        <v>46020</v>
      </c>
      <c r="C27" s="79">
        <f t="shared" si="6"/>
        <v>31</v>
      </c>
      <c r="D27" s="79">
        <f t="shared" si="7"/>
        <v>31</v>
      </c>
      <c r="E27" s="79">
        <f t="shared" si="11"/>
        <v>31</v>
      </c>
      <c r="F27" s="80">
        <f t="shared" si="9"/>
        <v>1</v>
      </c>
      <c r="G27" s="118">
        <f t="shared" si="5"/>
        <v>0</v>
      </c>
      <c r="H27" s="118">
        <f t="shared" si="1"/>
        <v>0</v>
      </c>
      <c r="I27" s="82">
        <f t="shared" si="2"/>
        <v>0</v>
      </c>
      <c r="J27" s="126">
        <f t="shared" si="3"/>
        <v>0</v>
      </c>
      <c r="K27" s="84">
        <f t="shared" si="10"/>
        <v>0</v>
      </c>
      <c r="L27" s="86"/>
    </row>
    <row r="28" spans="1:12" ht="15.75" customHeight="1" x14ac:dyDescent="0.25">
      <c r="A28" s="73" t="s">
        <v>2556</v>
      </c>
      <c r="B28" s="66">
        <f t="shared" si="4"/>
        <v>46027</v>
      </c>
      <c r="C28" s="79">
        <f t="shared" si="6"/>
        <v>31</v>
      </c>
      <c r="D28" s="79">
        <f t="shared" si="7"/>
        <v>31</v>
      </c>
      <c r="E28" s="79">
        <f t="shared" si="11"/>
        <v>31</v>
      </c>
      <c r="F28" s="80">
        <f t="shared" si="9"/>
        <v>1</v>
      </c>
      <c r="G28" s="118">
        <f t="shared" si="5"/>
        <v>0</v>
      </c>
      <c r="H28" s="118">
        <f t="shared" si="1"/>
        <v>0</v>
      </c>
      <c r="I28" s="82">
        <f t="shared" si="2"/>
        <v>0</v>
      </c>
      <c r="J28" s="126">
        <f t="shared" si="3"/>
        <v>0</v>
      </c>
      <c r="K28" s="84">
        <f t="shared" si="10"/>
        <v>0</v>
      </c>
      <c r="L28" s="86"/>
    </row>
    <row r="29" spans="1:12" ht="15.75" customHeight="1" x14ac:dyDescent="0.25">
      <c r="A29" s="73" t="s">
        <v>2557</v>
      </c>
      <c r="B29" s="66">
        <f t="shared" si="4"/>
        <v>46034</v>
      </c>
      <c r="C29" s="79">
        <f>IF(OR(C28="",C28=0),"",IF(ISBLANK($J28),IF(C28+$K28-$C$7&lt;=0,IF(AND(C28&gt;0,C28&lt;&gt;""),0,""),C28+$K28-$C$7),IF((C28-$J28)+$K28&lt;=0,IF(AND(C28&gt;0,C28&lt;&gt;""),0,""),(C28-$J28)+$K28)))</f>
        <v>31</v>
      </c>
      <c r="D29" s="79">
        <f t="shared" si="7"/>
        <v>31</v>
      </c>
      <c r="E29" s="79">
        <f t="shared" si="11"/>
        <v>31</v>
      </c>
      <c r="F29" s="80">
        <f t="shared" ref="F29:F68" si="12">IF(J28="","",IF(G28+F28+H28+I28-J28&lt;0,0,G28+F28+H28+I28-J28))</f>
        <v>1</v>
      </c>
      <c r="G29" s="118">
        <f t="shared" si="5"/>
        <v>2</v>
      </c>
      <c r="H29" s="118">
        <f t="shared" si="1"/>
        <v>0</v>
      </c>
      <c r="I29" s="82">
        <f t="shared" si="2"/>
        <v>0</v>
      </c>
      <c r="J29" s="126">
        <f t="shared" si="3"/>
        <v>0</v>
      </c>
      <c r="K29" s="84">
        <f t="shared" si="10"/>
        <v>0</v>
      </c>
      <c r="L29" s="86"/>
    </row>
    <row r="30" spans="1:12" ht="15.75" customHeight="1" x14ac:dyDescent="0.25">
      <c r="A30" s="73" t="s">
        <v>2558</v>
      </c>
      <c r="B30" s="66">
        <f t="shared" si="4"/>
        <v>46041</v>
      </c>
      <c r="C30" s="79">
        <f t="shared" si="6"/>
        <v>31</v>
      </c>
      <c r="D30" s="79">
        <f t="shared" si="7"/>
        <v>31</v>
      </c>
      <c r="E30" s="79">
        <f t="shared" si="11"/>
        <v>31</v>
      </c>
      <c r="F30" s="80">
        <f t="shared" si="12"/>
        <v>3</v>
      </c>
      <c r="G30" s="118">
        <f t="shared" si="5"/>
        <v>0</v>
      </c>
      <c r="H30" s="118">
        <f t="shared" si="1"/>
        <v>0</v>
      </c>
      <c r="I30" s="82">
        <f t="shared" si="2"/>
        <v>0</v>
      </c>
      <c r="J30" s="126">
        <f t="shared" si="3"/>
        <v>0</v>
      </c>
      <c r="K30" s="84">
        <f t="shared" si="10"/>
        <v>0</v>
      </c>
      <c r="L30" s="86"/>
    </row>
    <row r="31" spans="1:12" ht="15.75" customHeight="1" x14ac:dyDescent="0.25">
      <c r="A31" s="73" t="s">
        <v>2559</v>
      </c>
      <c r="B31" s="66">
        <f t="shared" si="4"/>
        <v>46048</v>
      </c>
      <c r="C31" s="79">
        <f t="shared" si="6"/>
        <v>31</v>
      </c>
      <c r="D31" s="79">
        <f t="shared" si="7"/>
        <v>31</v>
      </c>
      <c r="E31" s="79">
        <f>IF(OR(E30="",E30=0),"",IF(ISBLANK($J30),IF(E30+$K30-$C$9&lt;=0,IF(AND(E30&gt;0,E30&lt;&gt;""),0,""),E30+$K30-$C$9),IF((E30-$J30)+$K30&lt;=0,IF(AND(E30&gt;0,E30&lt;&gt;""),0,""),(E30-$J30)+$K30)))</f>
        <v>31</v>
      </c>
      <c r="F31" s="80">
        <f t="shared" si="12"/>
        <v>3</v>
      </c>
      <c r="G31" s="118">
        <f t="shared" si="5"/>
        <v>2</v>
      </c>
      <c r="H31" s="118">
        <f t="shared" si="1"/>
        <v>0</v>
      </c>
      <c r="I31" s="82">
        <f t="shared" si="2"/>
        <v>0</v>
      </c>
      <c r="J31" s="126">
        <f t="shared" si="3"/>
        <v>0</v>
      </c>
      <c r="K31" s="84">
        <f t="shared" si="10"/>
        <v>-1</v>
      </c>
      <c r="L31" s="86"/>
    </row>
    <row r="32" spans="1:12" ht="15.75" customHeight="1" x14ac:dyDescent="0.25">
      <c r="A32" s="73" t="s">
        <v>2560</v>
      </c>
      <c r="B32" s="66">
        <f t="shared" si="4"/>
        <v>46055</v>
      </c>
      <c r="C32" s="79">
        <f t="shared" si="6"/>
        <v>30</v>
      </c>
      <c r="D32" s="79">
        <f>IF(OR(D31="",D31=0),"",IF(ISBLANK($J31),IF(D31+$K31-$C$8&lt;=0,IF(AND(D31&gt;0,D31&lt;&gt;""),0,""),D31+$K31-$C$8),IF((D31-$J31)+$K31&lt;=0,IF(AND(D31&gt;0,D31&lt;&gt;""),0,""),(D31-$J31)+$K31)))</f>
        <v>30</v>
      </c>
      <c r="E32" s="79">
        <f t="shared" si="11"/>
        <v>30</v>
      </c>
      <c r="F32" s="80">
        <f t="shared" si="12"/>
        <v>5</v>
      </c>
      <c r="G32" s="118">
        <f t="shared" si="5"/>
        <v>0</v>
      </c>
      <c r="H32" s="118">
        <f t="shared" si="1"/>
        <v>1</v>
      </c>
      <c r="I32" s="82">
        <f t="shared" si="2"/>
        <v>0</v>
      </c>
      <c r="J32" s="126">
        <f t="shared" si="3"/>
        <v>1</v>
      </c>
      <c r="K32" s="84">
        <f t="shared" si="10"/>
        <v>0</v>
      </c>
      <c r="L32" s="86"/>
    </row>
    <row r="33" spans="1:12" ht="15.75" customHeight="1" x14ac:dyDescent="0.25">
      <c r="A33" s="73" t="s">
        <v>2563</v>
      </c>
      <c r="B33" s="66">
        <f t="shared" si="4"/>
        <v>46062</v>
      </c>
      <c r="C33" s="79">
        <f t="shared" si="6"/>
        <v>29</v>
      </c>
      <c r="D33" s="79">
        <f t="shared" si="7"/>
        <v>29</v>
      </c>
      <c r="E33" s="79">
        <f t="shared" si="11"/>
        <v>29</v>
      </c>
      <c r="F33" s="80">
        <f t="shared" si="12"/>
        <v>5</v>
      </c>
      <c r="G33" s="118">
        <f t="shared" si="5"/>
        <v>1</v>
      </c>
      <c r="H33" s="118">
        <f t="shared" si="1"/>
        <v>1</v>
      </c>
      <c r="I33" s="82">
        <f t="shared" si="2"/>
        <v>1</v>
      </c>
      <c r="J33" s="126">
        <f t="shared" si="3"/>
        <v>3</v>
      </c>
      <c r="K33" s="84">
        <f t="shared" si="10"/>
        <v>0</v>
      </c>
      <c r="L33" s="86" t="s">
        <v>2590</v>
      </c>
    </row>
    <row r="34" spans="1:12" ht="15.75" customHeight="1" x14ac:dyDescent="0.25">
      <c r="A34" s="73" t="s">
        <v>2564</v>
      </c>
      <c r="B34" s="66">
        <f t="shared" si="4"/>
        <v>46069</v>
      </c>
      <c r="C34" s="79">
        <f t="shared" si="6"/>
        <v>26</v>
      </c>
      <c r="D34" s="79">
        <f t="shared" si="7"/>
        <v>26</v>
      </c>
      <c r="E34" s="79">
        <f t="shared" si="11"/>
        <v>26</v>
      </c>
      <c r="F34" s="80">
        <f t="shared" si="12"/>
        <v>5</v>
      </c>
      <c r="G34" s="118">
        <f t="shared" si="5"/>
        <v>0</v>
      </c>
      <c r="H34" s="118">
        <f t="shared" si="1"/>
        <v>1</v>
      </c>
      <c r="I34" s="82">
        <f t="shared" si="2"/>
        <v>4</v>
      </c>
      <c r="J34" s="126">
        <f t="shared" si="3"/>
        <v>0</v>
      </c>
      <c r="K34" s="84">
        <f t="shared" si="10"/>
        <v>0</v>
      </c>
      <c r="L34" s="86" t="s">
        <v>2591</v>
      </c>
    </row>
    <row r="35" spans="1:12" ht="15.75" customHeight="1" x14ac:dyDescent="0.25">
      <c r="A35" s="73" t="s">
        <v>2565</v>
      </c>
      <c r="B35" s="66">
        <f t="shared" si="4"/>
        <v>46076</v>
      </c>
      <c r="C35" s="79">
        <f t="shared" si="6"/>
        <v>26</v>
      </c>
      <c r="D35" s="79">
        <f t="shared" si="7"/>
        <v>26</v>
      </c>
      <c r="E35" s="79">
        <f t="shared" si="11"/>
        <v>26</v>
      </c>
      <c r="F35" s="80">
        <f t="shared" si="12"/>
        <v>10</v>
      </c>
      <c r="G35" s="118">
        <f t="shared" si="5"/>
        <v>0</v>
      </c>
      <c r="H35" s="118">
        <f t="shared" si="1"/>
        <v>1</v>
      </c>
      <c r="I35" s="82">
        <f t="shared" si="2"/>
        <v>1</v>
      </c>
      <c r="J35" s="126">
        <f t="shared" si="3"/>
        <v>3</v>
      </c>
      <c r="K35" s="84">
        <f t="shared" si="10"/>
        <v>0</v>
      </c>
      <c r="L35" s="86" t="s">
        <v>2592</v>
      </c>
    </row>
    <row r="36" spans="1:12" ht="15.75" customHeight="1" x14ac:dyDescent="0.25">
      <c r="A36" s="73" t="s">
        <v>2566</v>
      </c>
      <c r="B36" s="66">
        <f t="shared" si="4"/>
        <v>46083</v>
      </c>
      <c r="C36" s="79">
        <f t="shared" si="6"/>
        <v>23</v>
      </c>
      <c r="D36" s="79">
        <f t="shared" si="7"/>
        <v>23</v>
      </c>
      <c r="E36" s="79">
        <f t="shared" si="11"/>
        <v>23</v>
      </c>
      <c r="F36" s="80">
        <f t="shared" si="12"/>
        <v>9</v>
      </c>
      <c r="G36" s="118">
        <f t="shared" si="5"/>
        <v>0</v>
      </c>
      <c r="H36" s="118">
        <f t="shared" si="1"/>
        <v>2</v>
      </c>
      <c r="I36" s="82">
        <f t="shared" si="2"/>
        <v>0</v>
      </c>
      <c r="J36" s="126">
        <f t="shared" si="3"/>
        <v>5</v>
      </c>
      <c r="K36" s="84">
        <f t="shared" si="10"/>
        <v>-1</v>
      </c>
      <c r="L36" s="86" t="s">
        <v>2592</v>
      </c>
    </row>
    <row r="37" spans="1:12" ht="15.75" customHeight="1" x14ac:dyDescent="0.25">
      <c r="A37" s="73" t="s">
        <v>2567</v>
      </c>
      <c r="B37" s="66">
        <f t="shared" si="4"/>
        <v>46090</v>
      </c>
      <c r="C37" s="79">
        <f t="shared" si="6"/>
        <v>17</v>
      </c>
      <c r="D37" s="79">
        <f t="shared" si="7"/>
        <v>17</v>
      </c>
      <c r="E37" s="79">
        <f t="shared" si="11"/>
        <v>17</v>
      </c>
      <c r="F37" s="80">
        <f t="shared" si="12"/>
        <v>6</v>
      </c>
      <c r="G37" s="118">
        <f>COUNTIFS(dtc, "&gt;=" &amp; INT(B37),
  dtc, "&lt;"  &amp; INT(B37)+1,
  time, $C$2,release, "*" &amp; $C$3 &amp; "*",
  Item, "&lt;&gt;BUG")-COUNTIFS(dtc, "&gt;=" &amp; INT(B37),dtc, "&lt;"  &amp; INT(B37)+7,resolvido, "&gt;=" &amp; INT(B37),resolvido, "&lt;"  &amp; INT(B37)+7,status, "Descartado",time, $C$2,release, "*" &amp; $C$3 &amp; "*")</f>
        <v>1</v>
      </c>
      <c r="H37" s="118">
        <f>COUNTIFS(dtc, "&gt;=" &amp;(INT(B37)+1),dtc,
 "&lt;"  &amp;(INT(B37)+7),time,
 $C$2,release, "*" &amp; $C$3 &amp; "*",Item,
 "&lt;&gt;BUG")</f>
        <v>3</v>
      </c>
      <c r="I37" s="82">
        <f>COUNTIFS(time, $C$2,release, "*" &amp; $C$3 &amp; "*",Item,
 "BUG",dtc,
 "&gt;=" &amp; INT(B37),dtc,
 "&lt;"  &amp; INT(B37)+7)</f>
        <v>0</v>
      </c>
      <c r="J37" s="126">
        <f>IF(COUNTIFS(time, $C$2, release, "*" &amp; $C$3 &amp; "*", resolvido, "&lt;&gt;" &amp; "", resolvido, "&gt;=" &amp; INT(B37), resolvido, "&lt;" &amp; INT(B37)+7)+K37 &lt; 0,
   0,
   COUNTIFS(time, $C$2, release, "*" &amp; $C$3 &amp; "*", resolvido, "&lt;&gt;" &amp; "", resolvido, "&gt;=" &amp; INT(B37), resolvido, "&lt;" &amp; INT(B37)+7)+K37)</f>
        <v>3</v>
      </c>
      <c r="K37" s="84">
        <f>-COUNTIFS(resolvido, "&gt;=" &amp; INT(B37),resolvido, "&lt;"  &amp; INT(B37)+7,status, "Descartado",time, $C$2,release, "*" &amp; $C$3 &amp; "*")</f>
        <v>0</v>
      </c>
      <c r="L37" s="86" t="s">
        <v>2593</v>
      </c>
    </row>
    <row r="38" spans="1:12" ht="15.75" customHeight="1" x14ac:dyDescent="0.25">
      <c r="A38" s="73" t="s">
        <v>2568</v>
      </c>
      <c r="B38" s="66">
        <f t="shared" si="4"/>
        <v>46097</v>
      </c>
      <c r="C38" s="79">
        <f>IF(OR(C37="",C37=0),"",IF(ISBLANK($J37),IF(C37+$K37-$C$7&lt;=0,IF(AND(C37&gt;0,C37&lt;&gt;""),0,""),C37+$K37-$C$7),IF((C37-$J37)+$K37&lt;=0,IF(AND(C37&gt;0,C37&lt;&gt;""),0,""),(C37-$J37)+$K37)))</f>
        <v>14</v>
      </c>
      <c r="D38" s="79">
        <f>IF(OR(D37="",D37=0),"",IF(ISBLANK($J37),IF(D37+$K37-$C$8&lt;=0,IF(AND(D37&gt;0,D37&lt;&gt;""),0,""),D37+$K37-$C$8),IF((D37-$J37)+$K37&lt;=0,IF(AND(D37&gt;0,D37&lt;&gt;""),0,""),(D37-$J37)+$K37)))</f>
        <v>14</v>
      </c>
      <c r="E38" s="79">
        <f>IF(OR(E37="",E37=0),"",IF(ISBLANK($J37),IF(E37+$K37-$C$9&lt;=0,IF(AND(E37&gt;0,E37&lt;&gt;""),0,""),E37+$K37-$C$9),IF((E37-$J37)+$K37&lt;=0,IF(AND(E37&gt;0,E37&lt;&gt;""),0,""),(E37-$J37)+$K37)))</f>
        <v>14</v>
      </c>
      <c r="F38" s="80">
        <f ca="1">IF(TODAY() &lt;B37," ",IF(J37="","",IF(G37+F37+H37+I37-J37&lt;0,0,G37+F37+H37+I37-J37)))</f>
        <v>7</v>
      </c>
      <c r="G38" s="118">
        <f>COUNTIFS(dtc, "&gt;=" &amp; INT(B38),
  dtc, "&lt;"  &amp; INT(B38)+1,
  time, $C$2,release, "*" &amp; $C$3 &amp; "*",
  Item, "&lt;&gt;BUG")-COUNTIFS(dtc, "&gt;=" &amp; INT(B38),dtc, "&lt;"  &amp; INT(B38)+7,resolvido, "&gt;=" &amp; INT(B38),resolvido, "&lt;"  &amp; INT(B38)+7,status, "Descartado",time, $C$2,release, "*" &amp; $C$3 &amp; "*")</f>
        <v>0</v>
      </c>
      <c r="H38" s="118">
        <f>COUNTIFS(dtc, "&gt;=" &amp;(INT(B38)+1),dtc,
 "&lt;"  &amp;(INT(B38)+7),time,
 $C$2,release, "*" &amp; $C$3 &amp; "*",Item,
 "&lt;&gt;BUG")</f>
        <v>2</v>
      </c>
      <c r="I38" s="82">
        <f>COUNTIFS(time, $C$2,release, "*" &amp; $C$3 &amp; "*",Item,
 "BUG",dtc,
 "&gt;=" &amp; INT(B38),dtc,
 "&lt;"  &amp; INT(B38)+7)</f>
        <v>3</v>
      </c>
      <c r="J38" s="126">
        <f>IF(COUNTIFS(time, $C$2, release, "*" &amp; $C$3 &amp; "*", resolvido, "&lt;&gt;" &amp; "", resolvido, "&gt;=" &amp; INT(B38), resolvido, "&lt;" &amp; INT(B38)+7)+K38 &lt; 0,
   0,
   COUNTIFS(time, $C$2, release, "*" &amp; $C$3 &amp; "*", resolvido, "&lt;&gt;" &amp; "", resolvido, "&gt;=" &amp; INT(B38), resolvido, "&lt;" &amp; INT(B38)+7)+K38)</f>
        <v>4</v>
      </c>
      <c r="K38" s="84">
        <f>-COUNTIFS(resolvido, "&gt;=" &amp; INT(B38),resolvido, "&lt;"  &amp; INT(B38)+7,status, "Descartado",time, $C$2,release, "*" &amp; $C$3 &amp; "*")</f>
        <v>0</v>
      </c>
      <c r="L38" s="86" t="s">
        <v>2594</v>
      </c>
    </row>
    <row r="39" spans="1:12" ht="15.75" customHeight="1" x14ac:dyDescent="0.25">
      <c r="A39" s="73" t="s">
        <v>2569</v>
      </c>
      <c r="B39" s="66">
        <f t="shared" si="4"/>
        <v>46104</v>
      </c>
      <c r="C39" s="79">
        <f>IF(OR(C38="",C38=0),"",IF(ISBLANK($J38),IF(C38+$K38-$C$7&lt;=0,IF(AND(C38&gt;0,C38&lt;&gt;""),0,""),C38+$K38-$C$7),IF((C38-$J38)+$K38&lt;=0,IF(AND(C38&gt;0,C38&lt;&gt;""),0,""),(C38-$J38)+$K38)))</f>
        <v>10</v>
      </c>
      <c r="D39" s="79">
        <f>IF(OR(D38="",D38=0),"",IF(ISBLANK($J38),IF(D38+$K38-$C$8&lt;=0,IF(AND(D38&gt;0,D38&lt;&gt;""),0,""),D38+$K38-$C$8),IF((D38-$J38)+$K38&lt;=0,IF(AND(D38&gt;0,D38&lt;&gt;""),0,""),(D38-$J38)+$K38)))</f>
        <v>10</v>
      </c>
      <c r="E39" s="79">
        <f>IF(OR(E38="",E38=0),"",IF(ISBLANK($J38),IF(E38+$K38-$C$9&lt;=0,IF(AND(E38&gt;0,E38&lt;&gt;""),0,""),E38+$K38-$C$9),IF((E38-$J38)+$K38&lt;=0,IF(AND(E38&gt;0,E38&lt;&gt;""),0,""),(E38-$J38)+$K38)))</f>
        <v>10</v>
      </c>
      <c r="F39" s="80">
        <f ca="1">IF(TODAY() &lt;B38," ",IF(J38="","",IF(G38+F38+H38+I38-J38&lt;0,0,G38+F38+H38+I38-J38)))</f>
        <v>8</v>
      </c>
      <c r="G39" s="118">
        <f>COUNTIFS(dtc, "&gt;=" &amp; INT(B39),
  dtc, "&lt;"  &amp; INT(B39)+1,
  time, $C$2,release, "*" &amp; $C$3 &amp; "*",
  Item, "&lt;&gt;BUG")-COUNTIFS(dtc, "&gt;=" &amp; INT(B39),dtc, "&lt;"  &amp; INT(B39)+7,resolvido, "&gt;=" &amp; INT(B39),resolvido, "&lt;"  &amp; INT(B39)+7,status, "Descartado",time, $C$2,release, "*" &amp; $C$3 &amp; "*")</f>
        <v>0</v>
      </c>
      <c r="H39" s="118">
        <f>COUNTIFS(dtc, "&gt;=" &amp;(INT(B39)+1),dtc,
 "&lt;"  &amp;(INT(B39)+7),time,
 $C$2,release, "*" &amp; $C$3 &amp; "*",Item,
 "&lt;&gt;BUG")</f>
        <v>0</v>
      </c>
      <c r="I39" s="82">
        <f>COUNTIFS(time, $C$2,release, "*" &amp; $C$3 &amp; "*",Item,
 "BUG",dtc,
 "&gt;=" &amp; INT(B39),dtc,
 "&lt;"  &amp; INT(B39)+7)</f>
        <v>0</v>
      </c>
      <c r="J39" s="126">
        <f>IF(COUNTIFS(time, $C$2, release, "*" &amp; $C$3 &amp; "*", resolvido, "&lt;&gt;" &amp; "", resolvido, "&gt;=" &amp; INT(B39), resolvido, "&lt;" &amp; INT(B39)+7)+K39 &lt; 0,
   0,
   COUNTIFS(time, $C$2, release, "*" &amp; $C$3 &amp; "*", resolvido, "&lt;&gt;" &amp; "", resolvido, "&gt;=" &amp; INT(B39), resolvido, "&lt;" &amp; INT(B39)+7)+K39)</f>
        <v>0</v>
      </c>
      <c r="K39" s="84">
        <f>-COUNTIFS(resolvido, "&gt;=" &amp; INT(B39),resolvido, "&lt;"  &amp; INT(B39)+7,status, "Descartado",time, $C$2,release, "*" &amp; $C$3 &amp; "*")</f>
        <v>0</v>
      </c>
      <c r="L39" s="80" t="str">
        <f ca="1">IF(TODAY() &lt;H38," ",IF(P38="","",IF(M38+L38+N38+O38-P38&lt;0,0,M38+L38+N38+O38-P38)))</f>
        <v/>
      </c>
    </row>
    <row r="40" spans="1:12" ht="15.75" customHeight="1" x14ac:dyDescent="0.25">
      <c r="A40" s="73" t="s">
        <v>2570</v>
      </c>
      <c r="B40" s="66">
        <f t="shared" si="4"/>
        <v>46111</v>
      </c>
      <c r="C40" s="79">
        <f t="shared" ref="C40:C43" si="13">IF(OR(C39="",C39=0),"",IF(ISBLANK($J39),IF(C39+$K39-$C$7&lt;=0,IF(AND(C39&gt;0,C39&lt;&gt;""),0,""),C39+$K39-$C$7),IF((C39-$J39)+$K39&lt;=0,IF(AND(C39&gt;0,C39&lt;&gt;""),0,""),(C39-$J39)+$K39)))</f>
        <v>10</v>
      </c>
      <c r="D40" s="79">
        <f t="shared" si="7"/>
        <v>10</v>
      </c>
      <c r="E40" s="79">
        <f t="shared" ref="E40:E44" si="14">IF(OR(E39="",E39=0),"",IF(ISBLANK($J39),IF(E39+$K39-$C$9&lt;=0,IF(AND(E39&gt;0,E39&lt;&gt;""),0,""),E39+$K39-$C$9),IF((E39-$J39)+$K39&lt;=0,IF(AND(E39&gt;0,E39&lt;&gt;""),0,""),(E39-$J39)+$K39)))</f>
        <v>10</v>
      </c>
      <c r="F40" s="80"/>
      <c r="G40" s="118"/>
      <c r="H40" s="118"/>
      <c r="I40" s="82"/>
      <c r="J40" s="126"/>
      <c r="K40" s="84"/>
      <c r="L40" s="86"/>
    </row>
    <row r="41" spans="1:12" ht="15.75" customHeight="1" x14ac:dyDescent="0.25">
      <c r="A41" s="73"/>
      <c r="B41" s="66">
        <f t="shared" si="4"/>
        <v>46118</v>
      </c>
      <c r="C41" s="79">
        <f t="shared" si="13"/>
        <v>5</v>
      </c>
      <c r="D41" s="79">
        <f t="shared" si="7"/>
        <v>9</v>
      </c>
      <c r="E41" s="79">
        <f t="shared" si="14"/>
        <v>2</v>
      </c>
      <c r="F41" s="80" t="str">
        <f t="shared" ref="F41:F44" ca="1" si="15">IF(TODAY() &lt;B40," ",IF(J40="","",IF(G40+F40+H40+I40-J40&lt;0,0,G40+F40+H40+I40-J40)))</f>
        <v/>
      </c>
      <c r="G41" s="118"/>
      <c r="H41" s="118"/>
      <c r="I41" s="82"/>
      <c r="J41" s="126"/>
      <c r="K41" s="84"/>
      <c r="L41" s="86"/>
    </row>
    <row r="42" spans="1:12" ht="15.75" customHeight="1" x14ac:dyDescent="0.25">
      <c r="A42" s="73"/>
      <c r="B42" s="66">
        <f t="shared" si="4"/>
        <v>46125</v>
      </c>
      <c r="C42" s="79">
        <f t="shared" si="13"/>
        <v>0</v>
      </c>
      <c r="D42" s="79">
        <f t="shared" si="7"/>
        <v>8</v>
      </c>
      <c r="E42" s="79">
        <f t="shared" si="14"/>
        <v>0</v>
      </c>
      <c r="F42" s="80" t="str">
        <f t="shared" ca="1" si="15"/>
        <v xml:space="preserve"> </v>
      </c>
      <c r="G42" s="118"/>
      <c r="H42" s="118"/>
      <c r="I42" s="82"/>
      <c r="J42" s="126"/>
      <c r="K42" s="84"/>
      <c r="L42" s="86"/>
    </row>
    <row r="43" spans="1:12" ht="15.75" customHeight="1" x14ac:dyDescent="0.25">
      <c r="A43" s="73"/>
      <c r="B43" s="66">
        <f t="shared" si="4"/>
        <v>46132</v>
      </c>
      <c r="C43" s="79" t="str">
        <f t="shared" si="13"/>
        <v/>
      </c>
      <c r="D43" s="79">
        <f t="shared" si="7"/>
        <v>7</v>
      </c>
      <c r="E43" s="79" t="str">
        <f t="shared" si="14"/>
        <v/>
      </c>
      <c r="F43" s="80" t="str">
        <f t="shared" ca="1" si="15"/>
        <v xml:space="preserve"> </v>
      </c>
      <c r="G43" s="81"/>
      <c r="H43" s="81"/>
      <c r="I43" s="82"/>
      <c r="J43" s="126"/>
      <c r="K43" s="84"/>
      <c r="L43" s="86"/>
    </row>
    <row r="44" spans="1:12" ht="15.75" customHeight="1" x14ac:dyDescent="0.25">
      <c r="A44" s="73"/>
      <c r="B44" s="66">
        <f t="shared" si="4"/>
        <v>46139</v>
      </c>
      <c r="C44" s="85" t="str">
        <f t="shared" ref="C44:C68" si="16">IF(OR(C43="",C43=0),"",IF(ISBLANK(J43),IF(C43+K43+I43-$C$7&lt;=0,IF(AND(C43&gt;0,C43&lt;&gt;""),0,""),C43+K43+I43-$C$7),IF((C43-J43)+K43+I43&lt;=0,IF(AND(C43&gt;0,C43&lt;&gt;""),0,""),(C43-J43)+K43+I43)))</f>
        <v/>
      </c>
      <c r="D44" s="79">
        <f t="shared" si="7"/>
        <v>6</v>
      </c>
      <c r="E44" s="79" t="str">
        <f t="shared" si="14"/>
        <v/>
      </c>
      <c r="F44" s="80" t="str">
        <f t="shared" ca="1" si="15"/>
        <v xml:space="preserve"> </v>
      </c>
      <c r="G44" s="81"/>
      <c r="H44" s="81"/>
      <c r="I44" s="82"/>
      <c r="J44" s="83"/>
      <c r="K44" s="84"/>
      <c r="L44" s="86"/>
    </row>
    <row r="45" spans="1:12" ht="15.75" customHeight="1" x14ac:dyDescent="0.25">
      <c r="A45" s="73"/>
      <c r="B45" s="66">
        <f t="shared" si="4"/>
        <v>46146</v>
      </c>
      <c r="C45" s="85" t="str">
        <f t="shared" si="16"/>
        <v/>
      </c>
      <c r="D45" s="79">
        <f t="shared" si="7"/>
        <v>5</v>
      </c>
      <c r="E45" s="79" t="str">
        <f t="shared" ref="E45" si="17">IF(OR(E44="",E44=0),"",IF(ISBLANK($J44),IF(E44-$K44+$I44-$C$9&lt;=0,IF(AND(E44&gt;0,E44&lt;&gt;""),0,""),E44-$K44+$I44-$C$9),IF((E44-$J44)-$K44+$I44&lt;=0,IF(AND(E44&gt;0,E44&lt;&gt;""),0,""),(E44-$J44)-$K44+$I44)))</f>
        <v/>
      </c>
      <c r="F45" s="80" t="str">
        <f t="shared" si="12"/>
        <v/>
      </c>
      <c r="G45" s="81"/>
      <c r="H45" s="81"/>
      <c r="I45" s="82"/>
      <c r="J45" s="83"/>
      <c r="K45" s="84"/>
      <c r="L45" s="86"/>
    </row>
    <row r="46" spans="1:12" ht="15.75" customHeight="1" x14ac:dyDescent="0.25">
      <c r="A46" s="73"/>
      <c r="B46" s="66">
        <f t="shared" si="4"/>
        <v>46153</v>
      </c>
      <c r="C46" s="85" t="str">
        <f t="shared" si="16"/>
        <v/>
      </c>
      <c r="D46" s="79">
        <f t="shared" si="7"/>
        <v>4</v>
      </c>
      <c r="E46" s="85" t="str">
        <f t="shared" ref="E46:E68" si="18">IF(OR(E45="",E45=0),"",IF(ISBLANK($J45),IF(E45+$K45+$I45-$C$9&lt;=0,IF(AND(E45&gt;0,E45&lt;&gt;""),0,""),E45+$K45+$I45-$C$9),IF((E45-$J45)+$K45+$I45&lt;=0,IF(AND(E45&gt;0,E45&lt;&gt;""),0,""),(E45-$J45)+$K45+$I45)))</f>
        <v/>
      </c>
      <c r="F46" s="80" t="str">
        <f t="shared" si="12"/>
        <v/>
      </c>
      <c r="G46" s="81"/>
      <c r="H46" s="81"/>
      <c r="I46" s="82"/>
      <c r="J46" s="83"/>
      <c r="K46" s="84"/>
      <c r="L46" s="86"/>
    </row>
    <row r="47" spans="1:12" ht="15.75" customHeight="1" x14ac:dyDescent="0.25">
      <c r="A47" s="73"/>
      <c r="B47" s="66">
        <f t="shared" si="4"/>
        <v>46160</v>
      </c>
      <c r="C47" s="85" t="str">
        <f t="shared" si="16"/>
        <v/>
      </c>
      <c r="D47" s="79">
        <f t="shared" si="7"/>
        <v>3</v>
      </c>
      <c r="E47" s="85" t="str">
        <f t="shared" si="18"/>
        <v/>
      </c>
      <c r="F47" s="80" t="str">
        <f t="shared" si="12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/>
      <c r="B48" s="66">
        <f t="shared" si="4"/>
        <v>46167</v>
      </c>
      <c r="C48" s="85" t="str">
        <f t="shared" si="16"/>
        <v/>
      </c>
      <c r="D48" s="85">
        <f t="shared" ref="D48:D68" si="19">IF(OR(D47="",D47=0),"",IF(ISBLANK($J47),IF(D47+$K47+$I47-$C$8&lt;=0,IF(AND(D47&gt;0,D47&lt;&gt;""),0,""),D47+$K47+$I47-$C$8),IF((D47-$J47)+$K47+$I47&lt;=0,IF(AND(D47&gt;0,D47&lt;&gt;""),0,""),(D47-$J47)+$K47+$I47)))</f>
        <v>2</v>
      </c>
      <c r="E48" s="85" t="str">
        <f t="shared" si="18"/>
        <v/>
      </c>
      <c r="F48" s="80" t="str">
        <f t="shared" si="12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4"/>
        <v>46174</v>
      </c>
      <c r="C49" s="85" t="str">
        <f t="shared" si="16"/>
        <v/>
      </c>
      <c r="D49" s="85">
        <f t="shared" si="19"/>
        <v>1</v>
      </c>
      <c r="E49" s="85" t="str">
        <f t="shared" si="18"/>
        <v/>
      </c>
      <c r="F49" s="80" t="str">
        <f t="shared" si="12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4"/>
        <v>46181</v>
      </c>
      <c r="C50" s="85" t="str">
        <f t="shared" si="16"/>
        <v/>
      </c>
      <c r="D50" s="85">
        <f t="shared" si="19"/>
        <v>0</v>
      </c>
      <c r="E50" s="85" t="str">
        <f t="shared" si="18"/>
        <v/>
      </c>
      <c r="F50" s="80" t="str">
        <f t="shared" si="12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4"/>
        <v>46188</v>
      </c>
      <c r="C51" s="85" t="str">
        <f t="shared" si="16"/>
        <v/>
      </c>
      <c r="D51" s="85" t="str">
        <f t="shared" si="19"/>
        <v/>
      </c>
      <c r="E51" s="85" t="str">
        <f t="shared" si="18"/>
        <v/>
      </c>
      <c r="F51" s="80" t="str">
        <f t="shared" si="12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4"/>
        <v>46195</v>
      </c>
      <c r="C52" s="85" t="str">
        <f t="shared" si="16"/>
        <v/>
      </c>
      <c r="D52" s="85" t="str">
        <f t="shared" si="19"/>
        <v/>
      </c>
      <c r="E52" s="85" t="str">
        <f t="shared" si="18"/>
        <v/>
      </c>
      <c r="F52" s="80" t="str">
        <f t="shared" si="12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4"/>
        <v>46202</v>
      </c>
      <c r="C53" s="85" t="str">
        <f t="shared" si="16"/>
        <v/>
      </c>
      <c r="D53" s="85" t="str">
        <f t="shared" si="19"/>
        <v/>
      </c>
      <c r="E53" s="85" t="str">
        <f t="shared" si="18"/>
        <v/>
      </c>
      <c r="F53" s="80" t="str">
        <f t="shared" si="12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4"/>
        <v>46209</v>
      </c>
      <c r="C54" s="85" t="str">
        <f t="shared" si="16"/>
        <v/>
      </c>
      <c r="D54" s="85" t="str">
        <f t="shared" si="19"/>
        <v/>
      </c>
      <c r="E54" s="85" t="str">
        <f t="shared" si="18"/>
        <v/>
      </c>
      <c r="F54" s="80" t="str">
        <f t="shared" si="12"/>
        <v/>
      </c>
      <c r="G54" s="81"/>
      <c r="H54" s="81"/>
      <c r="I54" s="82"/>
      <c r="J54" s="83"/>
      <c r="K54" s="84"/>
      <c r="L54" s="86"/>
    </row>
    <row r="55" spans="1:12" ht="15.75" customHeight="1" x14ac:dyDescent="0.25">
      <c r="A55" s="73"/>
      <c r="B55" s="66">
        <f t="shared" si="4"/>
        <v>46216</v>
      </c>
      <c r="C55" s="85" t="str">
        <f t="shared" si="16"/>
        <v/>
      </c>
      <c r="D55" s="85" t="str">
        <f t="shared" si="19"/>
        <v/>
      </c>
      <c r="E55" s="85" t="str">
        <f t="shared" si="18"/>
        <v/>
      </c>
      <c r="F55" s="80" t="str">
        <f t="shared" si="12"/>
        <v/>
      </c>
      <c r="G55" s="81"/>
      <c r="H55" s="81"/>
      <c r="I55" s="82"/>
      <c r="J55" s="83"/>
      <c r="K55" s="84"/>
      <c r="L55" s="86"/>
    </row>
    <row r="56" spans="1:12" ht="15" customHeight="1" x14ac:dyDescent="0.25">
      <c r="A56" s="73"/>
      <c r="B56" s="66">
        <f t="shared" si="4"/>
        <v>46223</v>
      </c>
      <c r="C56" s="85" t="str">
        <f t="shared" si="16"/>
        <v/>
      </c>
      <c r="D56" s="85" t="str">
        <f t="shared" si="19"/>
        <v/>
      </c>
      <c r="E56" s="85" t="str">
        <f t="shared" si="18"/>
        <v/>
      </c>
      <c r="F56" s="80" t="str">
        <f t="shared" si="12"/>
        <v/>
      </c>
      <c r="G56" s="81"/>
      <c r="H56" s="81"/>
      <c r="I56" s="82"/>
      <c r="J56" s="83"/>
      <c r="K56" s="84"/>
      <c r="L56" s="86"/>
    </row>
    <row r="57" spans="1:12" ht="15" customHeight="1" x14ac:dyDescent="0.25">
      <c r="A57" s="73"/>
      <c r="B57" s="66">
        <f t="shared" si="4"/>
        <v>46230</v>
      </c>
      <c r="C57" s="85" t="str">
        <f t="shared" si="16"/>
        <v/>
      </c>
      <c r="D57" s="85" t="str">
        <f t="shared" si="19"/>
        <v/>
      </c>
      <c r="E57" s="85" t="str">
        <f t="shared" si="18"/>
        <v/>
      </c>
      <c r="F57" s="80" t="str">
        <f t="shared" si="12"/>
        <v/>
      </c>
      <c r="G57" s="81"/>
      <c r="H57" s="81"/>
      <c r="I57" s="82"/>
      <c r="J57" s="83"/>
      <c r="K57" s="84"/>
      <c r="L57" s="86"/>
    </row>
    <row r="58" spans="1:12" ht="15" customHeight="1" x14ac:dyDescent="0.25">
      <c r="A58" s="73"/>
      <c r="B58" s="66">
        <f t="shared" si="4"/>
        <v>46237</v>
      </c>
      <c r="C58" s="85" t="str">
        <f t="shared" si="16"/>
        <v/>
      </c>
      <c r="D58" s="85" t="str">
        <f t="shared" si="19"/>
        <v/>
      </c>
      <c r="E58" s="85" t="str">
        <f t="shared" si="18"/>
        <v/>
      </c>
      <c r="F58" s="80" t="str">
        <f t="shared" si="12"/>
        <v/>
      </c>
      <c r="G58" s="81"/>
      <c r="H58" s="81"/>
      <c r="I58" s="82"/>
      <c r="J58" s="83"/>
      <c r="K58" s="84"/>
      <c r="L58" s="86"/>
    </row>
    <row r="59" spans="1:12" ht="15" customHeight="1" x14ac:dyDescent="0.25">
      <c r="A59" s="73"/>
      <c r="B59" s="66">
        <f t="shared" si="4"/>
        <v>46244</v>
      </c>
      <c r="C59" s="85" t="str">
        <f t="shared" si="16"/>
        <v/>
      </c>
      <c r="D59" s="85" t="str">
        <f t="shared" si="19"/>
        <v/>
      </c>
      <c r="E59" s="85" t="str">
        <f t="shared" si="18"/>
        <v/>
      </c>
      <c r="F59" s="80" t="str">
        <f t="shared" si="12"/>
        <v/>
      </c>
      <c r="G59" s="81"/>
      <c r="H59" s="81"/>
      <c r="I59" s="82"/>
      <c r="J59" s="83"/>
      <c r="K59" s="84"/>
      <c r="L59" s="86"/>
    </row>
    <row r="60" spans="1:12" ht="15" customHeight="1" x14ac:dyDescent="0.25">
      <c r="A60" s="73"/>
      <c r="B60" s="66">
        <f t="shared" si="4"/>
        <v>46251</v>
      </c>
      <c r="C60" s="85" t="str">
        <f t="shared" si="16"/>
        <v/>
      </c>
      <c r="D60" s="85" t="str">
        <f t="shared" si="19"/>
        <v/>
      </c>
      <c r="E60" s="85" t="str">
        <f t="shared" si="18"/>
        <v/>
      </c>
      <c r="F60" s="80" t="str">
        <f t="shared" si="12"/>
        <v/>
      </c>
      <c r="G60" s="81"/>
      <c r="H60" s="81"/>
      <c r="I60" s="82"/>
      <c r="J60" s="83"/>
      <c r="K60" s="84"/>
      <c r="L60" s="86"/>
    </row>
    <row r="61" spans="1:12" ht="15" customHeight="1" x14ac:dyDescent="0.25">
      <c r="A61" s="73"/>
      <c r="B61" s="66">
        <f t="shared" si="4"/>
        <v>46258</v>
      </c>
      <c r="C61" s="85" t="str">
        <f t="shared" si="16"/>
        <v/>
      </c>
      <c r="D61" s="85" t="str">
        <f t="shared" si="19"/>
        <v/>
      </c>
      <c r="E61" s="85" t="str">
        <f t="shared" si="18"/>
        <v/>
      </c>
      <c r="F61" s="80" t="str">
        <f t="shared" si="12"/>
        <v/>
      </c>
      <c r="G61" s="81"/>
      <c r="H61" s="81"/>
      <c r="I61" s="82"/>
      <c r="J61" s="83"/>
      <c r="K61" s="84"/>
      <c r="L61" s="86"/>
    </row>
    <row r="62" spans="1:12" ht="15" customHeight="1" x14ac:dyDescent="0.25">
      <c r="A62" s="73"/>
      <c r="B62" s="66">
        <f t="shared" si="4"/>
        <v>46265</v>
      </c>
      <c r="C62" s="85" t="str">
        <f t="shared" si="16"/>
        <v/>
      </c>
      <c r="D62" s="85" t="str">
        <f t="shared" si="19"/>
        <v/>
      </c>
      <c r="E62" s="85" t="str">
        <f t="shared" si="18"/>
        <v/>
      </c>
      <c r="F62" s="80" t="str">
        <f t="shared" si="12"/>
        <v/>
      </c>
      <c r="G62" s="81"/>
      <c r="H62" s="81"/>
      <c r="I62" s="82"/>
      <c r="J62" s="83"/>
      <c r="K62" s="84"/>
      <c r="L62" s="86"/>
    </row>
    <row r="63" spans="1:12" ht="15" customHeight="1" x14ac:dyDescent="0.25">
      <c r="A63" s="73"/>
      <c r="B63" s="66">
        <f t="shared" si="4"/>
        <v>46272</v>
      </c>
      <c r="C63" s="85" t="str">
        <f t="shared" si="16"/>
        <v/>
      </c>
      <c r="D63" s="85" t="str">
        <f t="shared" si="19"/>
        <v/>
      </c>
      <c r="E63" s="85" t="str">
        <f t="shared" si="18"/>
        <v/>
      </c>
      <c r="F63" s="80" t="str">
        <f t="shared" si="12"/>
        <v/>
      </c>
      <c r="G63" s="81"/>
      <c r="H63" s="81"/>
      <c r="I63" s="82"/>
      <c r="J63" s="83"/>
      <c r="K63" s="84"/>
      <c r="L63" s="86"/>
    </row>
    <row r="64" spans="1:12" ht="15" customHeight="1" x14ac:dyDescent="0.25">
      <c r="A64" s="73"/>
      <c r="B64" s="66">
        <f t="shared" si="4"/>
        <v>46279</v>
      </c>
      <c r="C64" s="85" t="str">
        <f t="shared" si="16"/>
        <v/>
      </c>
      <c r="D64" s="85" t="str">
        <f t="shared" si="19"/>
        <v/>
      </c>
      <c r="E64" s="85" t="str">
        <f t="shared" si="18"/>
        <v/>
      </c>
      <c r="F64" s="80" t="str">
        <f t="shared" si="12"/>
        <v/>
      </c>
      <c r="G64" s="81"/>
      <c r="H64" s="81"/>
      <c r="I64" s="82"/>
      <c r="J64" s="83"/>
      <c r="K64" s="84"/>
      <c r="L64" s="86"/>
    </row>
    <row r="65" spans="1:12" ht="15" customHeight="1" x14ac:dyDescent="0.25">
      <c r="A65" s="73"/>
      <c r="B65" s="66">
        <f t="shared" si="4"/>
        <v>46286</v>
      </c>
      <c r="C65" s="85" t="str">
        <f t="shared" si="16"/>
        <v/>
      </c>
      <c r="D65" s="85" t="str">
        <f t="shared" si="19"/>
        <v/>
      </c>
      <c r="E65" s="85" t="str">
        <f t="shared" si="18"/>
        <v/>
      </c>
      <c r="F65" s="80" t="str">
        <f t="shared" si="12"/>
        <v/>
      </c>
      <c r="G65" s="81"/>
      <c r="H65" s="81"/>
      <c r="I65" s="82"/>
      <c r="J65" s="83"/>
      <c r="K65" s="84"/>
      <c r="L65" s="86"/>
    </row>
    <row r="66" spans="1:12" ht="15" customHeight="1" x14ac:dyDescent="0.25">
      <c r="A66" s="73"/>
      <c r="B66" s="66">
        <f t="shared" si="4"/>
        <v>46293</v>
      </c>
      <c r="C66" s="85" t="str">
        <f t="shared" si="16"/>
        <v/>
      </c>
      <c r="D66" s="85" t="str">
        <f t="shared" si="19"/>
        <v/>
      </c>
      <c r="E66" s="85" t="str">
        <f t="shared" si="18"/>
        <v/>
      </c>
      <c r="F66" s="80" t="str">
        <f t="shared" si="12"/>
        <v/>
      </c>
      <c r="G66" s="81"/>
      <c r="H66" s="81"/>
      <c r="I66" s="82"/>
      <c r="J66" s="83"/>
      <c r="K66" s="84"/>
      <c r="L66" s="86"/>
    </row>
    <row r="67" spans="1:12" ht="15" customHeight="1" x14ac:dyDescent="0.25">
      <c r="A67" s="73"/>
      <c r="B67" s="66">
        <f t="shared" si="4"/>
        <v>46300</v>
      </c>
      <c r="C67" s="85" t="str">
        <f t="shared" si="16"/>
        <v/>
      </c>
      <c r="D67" s="85" t="str">
        <f t="shared" si="19"/>
        <v/>
      </c>
      <c r="E67" s="85" t="str">
        <f t="shared" si="18"/>
        <v/>
      </c>
      <c r="F67" s="80" t="str">
        <f t="shared" si="12"/>
        <v/>
      </c>
      <c r="G67" s="81"/>
      <c r="H67" s="81"/>
      <c r="I67" s="82"/>
      <c r="J67" s="83"/>
      <c r="K67" s="84"/>
      <c r="L67" s="86"/>
    </row>
    <row r="68" spans="1:12" ht="15" customHeight="1" x14ac:dyDescent="0.25">
      <c r="A68" s="73"/>
      <c r="B68" s="66">
        <f t="shared" si="4"/>
        <v>46307</v>
      </c>
      <c r="C68" s="85" t="str">
        <f t="shared" si="16"/>
        <v/>
      </c>
      <c r="D68" s="85" t="str">
        <f t="shared" si="19"/>
        <v/>
      </c>
      <c r="E68" s="85" t="str">
        <f t="shared" si="18"/>
        <v/>
      </c>
      <c r="F68" s="80" t="str">
        <f t="shared" si="12"/>
        <v/>
      </c>
      <c r="G68" s="81"/>
      <c r="H68" s="81"/>
      <c r="I68" s="82"/>
      <c r="J68" s="83"/>
      <c r="K68" s="84"/>
      <c r="L68" s="86"/>
    </row>
    <row r="93" spans="2:3" ht="15.75" customHeight="1" x14ac:dyDescent="0.25">
      <c r="B93" s="67" t="e">
        <f>IF(#REF!="","",IF(#REF!+$C$10&lt;=$C$6,#REF!+$C$10,""))</f>
        <v>#REF!</v>
      </c>
      <c r="C93" s="76" t="e">
        <f>IF(B93&lt;&gt;"",#REF!-$C$2/COUNT($B$18:$B$511),"")</f>
        <v>#REF!</v>
      </c>
    </row>
    <row r="94" spans="2:3" ht="15.75" customHeight="1" x14ac:dyDescent="0.25">
      <c r="B94" s="67" t="e">
        <f t="shared" ref="B94:B157" si="20">IF(B93="","",IF(B93+$C$10&lt;=$C$6,B93+$C$10,""))</f>
        <v>#REF!</v>
      </c>
      <c r="C94" s="76" t="e">
        <f t="shared" ref="C94:C157" si="21">IF(B94&lt;&gt;"",C93-$C$2/COUNT($B$18:$B$511),"")</f>
        <v>#REF!</v>
      </c>
    </row>
    <row r="95" spans="2:3" ht="15.75" customHeight="1" x14ac:dyDescent="0.25">
      <c r="B95" s="67" t="e">
        <f t="shared" si="20"/>
        <v>#REF!</v>
      </c>
      <c r="C95" s="76" t="e">
        <f t="shared" si="21"/>
        <v>#REF!</v>
      </c>
    </row>
    <row r="96" spans="2:3" ht="15.75" customHeight="1" x14ac:dyDescent="0.25">
      <c r="B96" s="67" t="e">
        <f t="shared" si="20"/>
        <v>#REF!</v>
      </c>
      <c r="C96" s="76" t="e">
        <f t="shared" si="21"/>
        <v>#REF!</v>
      </c>
    </row>
    <row r="97" spans="2:3" ht="15.75" customHeight="1" x14ac:dyDescent="0.25">
      <c r="B97" s="67" t="e">
        <f t="shared" si="20"/>
        <v>#REF!</v>
      </c>
      <c r="C97" s="76" t="e">
        <f t="shared" si="21"/>
        <v>#REF!</v>
      </c>
    </row>
    <row r="98" spans="2:3" ht="15.75" customHeight="1" x14ac:dyDescent="0.25">
      <c r="B98" s="67" t="e">
        <f t="shared" si="20"/>
        <v>#REF!</v>
      </c>
      <c r="C98" s="76" t="e">
        <f t="shared" si="21"/>
        <v>#REF!</v>
      </c>
    </row>
    <row r="99" spans="2:3" ht="15.75" customHeight="1" x14ac:dyDescent="0.25">
      <c r="B99" s="67" t="e">
        <f t="shared" si="20"/>
        <v>#REF!</v>
      </c>
      <c r="C99" s="76" t="e">
        <f t="shared" si="21"/>
        <v>#REF!</v>
      </c>
    </row>
    <row r="100" spans="2:3" ht="15.75" customHeight="1" x14ac:dyDescent="0.25">
      <c r="B100" s="67" t="e">
        <f t="shared" si="20"/>
        <v>#REF!</v>
      </c>
      <c r="C100" s="76" t="e">
        <f t="shared" si="21"/>
        <v>#REF!</v>
      </c>
    </row>
    <row r="101" spans="2:3" ht="15.75" customHeight="1" x14ac:dyDescent="0.25">
      <c r="B101" s="67" t="e">
        <f t="shared" si="20"/>
        <v>#REF!</v>
      </c>
      <c r="C101" s="76" t="e">
        <f t="shared" si="21"/>
        <v>#REF!</v>
      </c>
    </row>
    <row r="102" spans="2:3" ht="15.75" customHeight="1" x14ac:dyDescent="0.25">
      <c r="B102" s="67" t="e">
        <f t="shared" si="20"/>
        <v>#REF!</v>
      </c>
      <c r="C102" s="76" t="e">
        <f t="shared" si="21"/>
        <v>#REF!</v>
      </c>
    </row>
    <row r="103" spans="2:3" ht="15.75" customHeight="1" x14ac:dyDescent="0.25">
      <c r="B103" s="67" t="e">
        <f t="shared" si="20"/>
        <v>#REF!</v>
      </c>
      <c r="C103" s="76" t="e">
        <f t="shared" si="21"/>
        <v>#REF!</v>
      </c>
    </row>
    <row r="104" spans="2:3" ht="15.75" customHeight="1" x14ac:dyDescent="0.25">
      <c r="B104" s="67" t="e">
        <f t="shared" si="20"/>
        <v>#REF!</v>
      </c>
      <c r="C104" s="76" t="e">
        <f t="shared" si="21"/>
        <v>#REF!</v>
      </c>
    </row>
    <row r="105" spans="2:3" ht="15.75" customHeight="1" x14ac:dyDescent="0.25">
      <c r="B105" s="67" t="e">
        <f t="shared" si="20"/>
        <v>#REF!</v>
      </c>
      <c r="C105" s="76" t="e">
        <f t="shared" si="21"/>
        <v>#REF!</v>
      </c>
    </row>
    <row r="106" spans="2:3" ht="15.75" customHeight="1" x14ac:dyDescent="0.25">
      <c r="B106" s="67" t="e">
        <f t="shared" si="20"/>
        <v>#REF!</v>
      </c>
      <c r="C106" s="76" t="e">
        <f t="shared" si="21"/>
        <v>#REF!</v>
      </c>
    </row>
    <row r="107" spans="2:3" ht="15.75" customHeight="1" x14ac:dyDescent="0.25">
      <c r="B107" s="67" t="e">
        <f t="shared" si="20"/>
        <v>#REF!</v>
      </c>
      <c r="C107" s="76" t="e">
        <f t="shared" si="21"/>
        <v>#REF!</v>
      </c>
    </row>
    <row r="108" spans="2:3" ht="15.75" customHeight="1" x14ac:dyDescent="0.25">
      <c r="B108" s="67" t="e">
        <f t="shared" si="20"/>
        <v>#REF!</v>
      </c>
      <c r="C108" s="76" t="e">
        <f t="shared" si="21"/>
        <v>#REF!</v>
      </c>
    </row>
    <row r="109" spans="2:3" ht="15.75" customHeight="1" x14ac:dyDescent="0.25">
      <c r="B109" s="67" t="e">
        <f t="shared" si="20"/>
        <v>#REF!</v>
      </c>
      <c r="C109" s="76" t="e">
        <f t="shared" si="21"/>
        <v>#REF!</v>
      </c>
    </row>
    <row r="110" spans="2:3" ht="15.75" customHeight="1" x14ac:dyDescent="0.25">
      <c r="B110" s="67" t="e">
        <f t="shared" si="20"/>
        <v>#REF!</v>
      </c>
      <c r="C110" s="76" t="e">
        <f t="shared" si="21"/>
        <v>#REF!</v>
      </c>
    </row>
    <row r="111" spans="2:3" ht="15.75" customHeight="1" x14ac:dyDescent="0.25">
      <c r="B111" s="67" t="e">
        <f t="shared" si="20"/>
        <v>#REF!</v>
      </c>
      <c r="C111" s="76" t="e">
        <f t="shared" si="21"/>
        <v>#REF!</v>
      </c>
    </row>
    <row r="112" spans="2:3" ht="15.75" customHeight="1" x14ac:dyDescent="0.25">
      <c r="B112" s="67" t="e">
        <f t="shared" si="20"/>
        <v>#REF!</v>
      </c>
      <c r="C112" s="76" t="e">
        <f t="shared" si="21"/>
        <v>#REF!</v>
      </c>
    </row>
    <row r="113" spans="2:3" ht="15.75" customHeight="1" x14ac:dyDescent="0.25">
      <c r="B113" s="67" t="e">
        <f t="shared" si="20"/>
        <v>#REF!</v>
      </c>
      <c r="C113" s="76" t="e">
        <f t="shared" si="21"/>
        <v>#REF!</v>
      </c>
    </row>
    <row r="114" spans="2:3" ht="15.75" customHeight="1" x14ac:dyDescent="0.25">
      <c r="B114" s="67" t="e">
        <f t="shared" si="20"/>
        <v>#REF!</v>
      </c>
      <c r="C114" s="76" t="e">
        <f t="shared" si="21"/>
        <v>#REF!</v>
      </c>
    </row>
    <row r="115" spans="2:3" ht="15.75" customHeight="1" x14ac:dyDescent="0.25">
      <c r="B115" s="67" t="e">
        <f t="shared" si="20"/>
        <v>#REF!</v>
      </c>
      <c r="C115" s="76" t="e">
        <f t="shared" si="21"/>
        <v>#REF!</v>
      </c>
    </row>
    <row r="116" spans="2:3" ht="15.75" customHeight="1" x14ac:dyDescent="0.25">
      <c r="B116" s="67" t="e">
        <f t="shared" si="20"/>
        <v>#REF!</v>
      </c>
      <c r="C116" s="76" t="e">
        <f t="shared" si="21"/>
        <v>#REF!</v>
      </c>
    </row>
    <row r="117" spans="2:3" ht="15.75" customHeight="1" x14ac:dyDescent="0.25">
      <c r="B117" s="67" t="e">
        <f t="shared" si="20"/>
        <v>#REF!</v>
      </c>
      <c r="C117" s="76" t="e">
        <f t="shared" si="21"/>
        <v>#REF!</v>
      </c>
    </row>
    <row r="118" spans="2:3" ht="15.75" customHeight="1" x14ac:dyDescent="0.25">
      <c r="B118" s="67" t="e">
        <f t="shared" si="20"/>
        <v>#REF!</v>
      </c>
      <c r="C118" s="76" t="e">
        <f t="shared" si="21"/>
        <v>#REF!</v>
      </c>
    </row>
    <row r="119" spans="2:3" ht="15.75" customHeight="1" x14ac:dyDescent="0.25">
      <c r="B119" s="67" t="e">
        <f t="shared" si="20"/>
        <v>#REF!</v>
      </c>
      <c r="C119" s="76" t="e">
        <f t="shared" si="21"/>
        <v>#REF!</v>
      </c>
    </row>
    <row r="120" spans="2:3" ht="15.75" customHeight="1" x14ac:dyDescent="0.25">
      <c r="B120" s="67" t="e">
        <f t="shared" si="20"/>
        <v>#REF!</v>
      </c>
      <c r="C120" s="76" t="e">
        <f t="shared" si="21"/>
        <v>#REF!</v>
      </c>
    </row>
    <row r="121" spans="2:3" ht="15.75" customHeight="1" x14ac:dyDescent="0.25">
      <c r="B121" s="67" t="e">
        <f t="shared" si="20"/>
        <v>#REF!</v>
      </c>
      <c r="C121" s="76" t="e">
        <f t="shared" si="21"/>
        <v>#REF!</v>
      </c>
    </row>
    <row r="122" spans="2:3" ht="15.75" customHeight="1" x14ac:dyDescent="0.25">
      <c r="B122" s="67" t="e">
        <f t="shared" si="20"/>
        <v>#REF!</v>
      </c>
      <c r="C122" s="76" t="e">
        <f t="shared" si="21"/>
        <v>#REF!</v>
      </c>
    </row>
    <row r="123" spans="2:3" ht="15.75" customHeight="1" x14ac:dyDescent="0.25">
      <c r="B123" s="67" t="e">
        <f t="shared" si="20"/>
        <v>#REF!</v>
      </c>
      <c r="C123" s="76" t="e">
        <f t="shared" si="21"/>
        <v>#REF!</v>
      </c>
    </row>
    <row r="124" spans="2:3" ht="15.75" customHeight="1" x14ac:dyDescent="0.25">
      <c r="B124" s="67" t="e">
        <f t="shared" si="20"/>
        <v>#REF!</v>
      </c>
      <c r="C124" s="76" t="e">
        <f t="shared" si="21"/>
        <v>#REF!</v>
      </c>
    </row>
    <row r="125" spans="2:3" ht="15.75" customHeight="1" x14ac:dyDescent="0.25">
      <c r="B125" s="67" t="e">
        <f t="shared" si="20"/>
        <v>#REF!</v>
      </c>
      <c r="C125" s="76" t="e">
        <f t="shared" si="21"/>
        <v>#REF!</v>
      </c>
    </row>
    <row r="126" spans="2:3" ht="15.75" customHeight="1" x14ac:dyDescent="0.25">
      <c r="B126" s="67" t="e">
        <f t="shared" si="20"/>
        <v>#REF!</v>
      </c>
      <c r="C126" s="76" t="e">
        <f t="shared" si="21"/>
        <v>#REF!</v>
      </c>
    </row>
    <row r="127" spans="2:3" ht="15.75" customHeight="1" x14ac:dyDescent="0.25">
      <c r="B127" s="67" t="e">
        <f t="shared" si="20"/>
        <v>#REF!</v>
      </c>
      <c r="C127" s="76" t="e">
        <f t="shared" si="21"/>
        <v>#REF!</v>
      </c>
    </row>
    <row r="128" spans="2:3" ht="15.75" customHeight="1" x14ac:dyDescent="0.25">
      <c r="B128" s="67" t="e">
        <f t="shared" si="20"/>
        <v>#REF!</v>
      </c>
      <c r="C128" s="76" t="e">
        <f t="shared" si="21"/>
        <v>#REF!</v>
      </c>
    </row>
    <row r="129" spans="2:3" ht="15.75" customHeight="1" x14ac:dyDescent="0.25">
      <c r="B129" s="67" t="e">
        <f t="shared" si="20"/>
        <v>#REF!</v>
      </c>
      <c r="C129" s="76" t="e">
        <f t="shared" si="21"/>
        <v>#REF!</v>
      </c>
    </row>
    <row r="130" spans="2:3" ht="15.75" customHeight="1" x14ac:dyDescent="0.25">
      <c r="B130" s="67" t="e">
        <f t="shared" si="20"/>
        <v>#REF!</v>
      </c>
      <c r="C130" s="76" t="e">
        <f t="shared" si="21"/>
        <v>#REF!</v>
      </c>
    </row>
    <row r="131" spans="2:3" ht="15.75" customHeight="1" x14ac:dyDescent="0.25">
      <c r="B131" s="67" t="e">
        <f t="shared" si="20"/>
        <v>#REF!</v>
      </c>
      <c r="C131" s="76" t="e">
        <f t="shared" si="21"/>
        <v>#REF!</v>
      </c>
    </row>
    <row r="132" spans="2:3" ht="15.75" customHeight="1" x14ac:dyDescent="0.25">
      <c r="B132" s="67" t="e">
        <f t="shared" si="20"/>
        <v>#REF!</v>
      </c>
      <c r="C132" s="76" t="e">
        <f t="shared" si="21"/>
        <v>#REF!</v>
      </c>
    </row>
    <row r="133" spans="2:3" ht="15.75" customHeight="1" x14ac:dyDescent="0.25">
      <c r="B133" s="67" t="e">
        <f t="shared" si="20"/>
        <v>#REF!</v>
      </c>
      <c r="C133" s="76" t="e">
        <f t="shared" si="21"/>
        <v>#REF!</v>
      </c>
    </row>
    <row r="134" spans="2:3" ht="15.75" customHeight="1" x14ac:dyDescent="0.25">
      <c r="B134" s="67" t="e">
        <f t="shared" si="20"/>
        <v>#REF!</v>
      </c>
      <c r="C134" s="76" t="e">
        <f t="shared" si="21"/>
        <v>#REF!</v>
      </c>
    </row>
    <row r="135" spans="2:3" ht="15.75" customHeight="1" x14ac:dyDescent="0.25">
      <c r="B135" s="67" t="e">
        <f t="shared" si="20"/>
        <v>#REF!</v>
      </c>
      <c r="C135" s="76" t="e">
        <f t="shared" si="21"/>
        <v>#REF!</v>
      </c>
    </row>
    <row r="136" spans="2:3" ht="15.75" customHeight="1" x14ac:dyDescent="0.25">
      <c r="B136" s="67" t="e">
        <f t="shared" si="20"/>
        <v>#REF!</v>
      </c>
      <c r="C136" s="76" t="e">
        <f t="shared" si="21"/>
        <v>#REF!</v>
      </c>
    </row>
    <row r="137" spans="2:3" ht="15.75" customHeight="1" x14ac:dyDescent="0.25">
      <c r="B137" s="67" t="e">
        <f t="shared" si="20"/>
        <v>#REF!</v>
      </c>
      <c r="C137" s="76" t="e">
        <f t="shared" si="21"/>
        <v>#REF!</v>
      </c>
    </row>
    <row r="138" spans="2:3" ht="15.75" customHeight="1" x14ac:dyDescent="0.25">
      <c r="B138" s="67" t="e">
        <f t="shared" si="20"/>
        <v>#REF!</v>
      </c>
      <c r="C138" s="76" t="e">
        <f t="shared" si="21"/>
        <v>#REF!</v>
      </c>
    </row>
    <row r="139" spans="2:3" ht="15.75" customHeight="1" x14ac:dyDescent="0.25">
      <c r="B139" s="67" t="e">
        <f t="shared" si="20"/>
        <v>#REF!</v>
      </c>
      <c r="C139" s="76" t="e">
        <f t="shared" si="21"/>
        <v>#REF!</v>
      </c>
    </row>
    <row r="140" spans="2:3" ht="15.75" customHeight="1" x14ac:dyDescent="0.25">
      <c r="B140" s="67" t="e">
        <f t="shared" si="20"/>
        <v>#REF!</v>
      </c>
      <c r="C140" s="76" t="e">
        <f t="shared" si="21"/>
        <v>#REF!</v>
      </c>
    </row>
    <row r="141" spans="2:3" ht="15.75" customHeight="1" x14ac:dyDescent="0.25">
      <c r="B141" s="67" t="e">
        <f t="shared" si="20"/>
        <v>#REF!</v>
      </c>
      <c r="C141" s="76" t="e">
        <f t="shared" si="21"/>
        <v>#REF!</v>
      </c>
    </row>
    <row r="142" spans="2:3" ht="15.75" customHeight="1" x14ac:dyDescent="0.25">
      <c r="B142" s="67" t="e">
        <f t="shared" si="20"/>
        <v>#REF!</v>
      </c>
      <c r="C142" s="76" t="e">
        <f t="shared" si="21"/>
        <v>#REF!</v>
      </c>
    </row>
    <row r="143" spans="2:3" ht="15.75" customHeight="1" x14ac:dyDescent="0.25">
      <c r="B143" s="67" t="e">
        <f t="shared" si="20"/>
        <v>#REF!</v>
      </c>
      <c r="C143" s="76" t="e">
        <f t="shared" si="21"/>
        <v>#REF!</v>
      </c>
    </row>
    <row r="144" spans="2:3" ht="15.75" customHeight="1" x14ac:dyDescent="0.25">
      <c r="B144" s="67" t="e">
        <f t="shared" si="20"/>
        <v>#REF!</v>
      </c>
      <c r="C144" s="76" t="e">
        <f t="shared" si="21"/>
        <v>#REF!</v>
      </c>
    </row>
    <row r="145" spans="2:3" ht="15.75" customHeight="1" x14ac:dyDescent="0.25">
      <c r="B145" s="67" t="e">
        <f t="shared" si="20"/>
        <v>#REF!</v>
      </c>
      <c r="C145" s="76" t="e">
        <f t="shared" si="21"/>
        <v>#REF!</v>
      </c>
    </row>
    <row r="146" spans="2:3" ht="15.75" customHeight="1" x14ac:dyDescent="0.25">
      <c r="B146" s="67" t="e">
        <f t="shared" si="20"/>
        <v>#REF!</v>
      </c>
      <c r="C146" s="76" t="e">
        <f t="shared" si="21"/>
        <v>#REF!</v>
      </c>
    </row>
    <row r="147" spans="2:3" ht="15.75" customHeight="1" x14ac:dyDescent="0.25">
      <c r="B147" s="67" t="e">
        <f t="shared" si="20"/>
        <v>#REF!</v>
      </c>
      <c r="C147" s="76" t="e">
        <f t="shared" si="21"/>
        <v>#REF!</v>
      </c>
    </row>
    <row r="148" spans="2:3" ht="15.75" customHeight="1" x14ac:dyDescent="0.25">
      <c r="B148" s="67" t="e">
        <f t="shared" si="20"/>
        <v>#REF!</v>
      </c>
      <c r="C148" s="76" t="e">
        <f t="shared" si="21"/>
        <v>#REF!</v>
      </c>
    </row>
    <row r="149" spans="2:3" ht="15.75" customHeight="1" x14ac:dyDescent="0.25">
      <c r="B149" s="67" t="e">
        <f t="shared" si="20"/>
        <v>#REF!</v>
      </c>
      <c r="C149" s="76" t="e">
        <f t="shared" si="21"/>
        <v>#REF!</v>
      </c>
    </row>
    <row r="150" spans="2:3" ht="15.75" customHeight="1" x14ac:dyDescent="0.25">
      <c r="B150" s="67" t="e">
        <f t="shared" si="20"/>
        <v>#REF!</v>
      </c>
      <c r="C150" s="76" t="e">
        <f t="shared" si="21"/>
        <v>#REF!</v>
      </c>
    </row>
    <row r="151" spans="2:3" ht="15.75" customHeight="1" x14ac:dyDescent="0.25">
      <c r="B151" s="67" t="e">
        <f t="shared" si="20"/>
        <v>#REF!</v>
      </c>
      <c r="C151" s="76" t="e">
        <f t="shared" si="21"/>
        <v>#REF!</v>
      </c>
    </row>
    <row r="152" spans="2:3" ht="15.75" customHeight="1" x14ac:dyDescent="0.25">
      <c r="B152" s="67" t="e">
        <f t="shared" si="20"/>
        <v>#REF!</v>
      </c>
      <c r="C152" s="76" t="e">
        <f t="shared" si="21"/>
        <v>#REF!</v>
      </c>
    </row>
    <row r="153" spans="2:3" ht="15.75" customHeight="1" x14ac:dyDescent="0.25">
      <c r="B153" s="67" t="e">
        <f t="shared" si="20"/>
        <v>#REF!</v>
      </c>
      <c r="C153" s="76" t="e">
        <f t="shared" si="21"/>
        <v>#REF!</v>
      </c>
    </row>
    <row r="154" spans="2:3" ht="15.75" customHeight="1" x14ac:dyDescent="0.25">
      <c r="B154" s="67" t="e">
        <f t="shared" si="20"/>
        <v>#REF!</v>
      </c>
      <c r="C154" s="76" t="e">
        <f t="shared" si="21"/>
        <v>#REF!</v>
      </c>
    </row>
    <row r="155" spans="2:3" ht="15.75" customHeight="1" x14ac:dyDescent="0.25">
      <c r="B155" s="67" t="e">
        <f t="shared" si="20"/>
        <v>#REF!</v>
      </c>
      <c r="C155" s="76" t="e">
        <f t="shared" si="21"/>
        <v>#REF!</v>
      </c>
    </row>
    <row r="156" spans="2:3" ht="15.75" customHeight="1" x14ac:dyDescent="0.25">
      <c r="B156" s="67" t="e">
        <f t="shared" si="20"/>
        <v>#REF!</v>
      </c>
      <c r="C156" s="76" t="e">
        <f t="shared" si="21"/>
        <v>#REF!</v>
      </c>
    </row>
    <row r="157" spans="2:3" ht="15.75" customHeight="1" x14ac:dyDescent="0.25">
      <c r="B157" s="67" t="e">
        <f t="shared" si="20"/>
        <v>#REF!</v>
      </c>
      <c r="C157" s="76" t="e">
        <f t="shared" si="21"/>
        <v>#REF!</v>
      </c>
    </row>
    <row r="158" spans="2:3" ht="15.75" customHeight="1" x14ac:dyDescent="0.25">
      <c r="B158" s="67" t="e">
        <f t="shared" ref="B158:B221" si="22">IF(B157="","",IF(B157+$C$10&lt;=$C$6,B157+$C$10,""))</f>
        <v>#REF!</v>
      </c>
      <c r="C158" s="76" t="e">
        <f t="shared" ref="C158:C221" si="23">IF(B158&lt;&gt;"",C157-$C$2/COUNT($B$18:$B$511),"")</f>
        <v>#REF!</v>
      </c>
    </row>
    <row r="159" spans="2:3" ht="15.75" customHeight="1" x14ac:dyDescent="0.25">
      <c r="B159" s="67" t="e">
        <f t="shared" si="22"/>
        <v>#REF!</v>
      </c>
      <c r="C159" s="76" t="e">
        <f t="shared" si="23"/>
        <v>#REF!</v>
      </c>
    </row>
    <row r="160" spans="2:3" ht="15.75" customHeight="1" x14ac:dyDescent="0.25">
      <c r="B160" s="67" t="e">
        <f t="shared" si="22"/>
        <v>#REF!</v>
      </c>
      <c r="C160" s="76" t="e">
        <f t="shared" si="23"/>
        <v>#REF!</v>
      </c>
    </row>
    <row r="161" spans="2:3" ht="15.75" customHeight="1" x14ac:dyDescent="0.25">
      <c r="B161" s="67" t="e">
        <f t="shared" si="22"/>
        <v>#REF!</v>
      </c>
      <c r="C161" s="76" t="e">
        <f t="shared" si="23"/>
        <v>#REF!</v>
      </c>
    </row>
    <row r="162" spans="2:3" ht="15.75" customHeight="1" x14ac:dyDescent="0.25">
      <c r="B162" s="67" t="e">
        <f t="shared" si="22"/>
        <v>#REF!</v>
      </c>
      <c r="C162" s="76" t="e">
        <f t="shared" si="23"/>
        <v>#REF!</v>
      </c>
    </row>
    <row r="163" spans="2:3" ht="15.75" customHeight="1" x14ac:dyDescent="0.25">
      <c r="B163" s="67" t="e">
        <f t="shared" si="22"/>
        <v>#REF!</v>
      </c>
      <c r="C163" s="76" t="e">
        <f t="shared" si="23"/>
        <v>#REF!</v>
      </c>
    </row>
    <row r="164" spans="2:3" ht="15.75" customHeight="1" x14ac:dyDescent="0.25">
      <c r="B164" s="67" t="e">
        <f t="shared" si="22"/>
        <v>#REF!</v>
      </c>
      <c r="C164" s="76" t="e">
        <f t="shared" si="23"/>
        <v>#REF!</v>
      </c>
    </row>
    <row r="165" spans="2:3" ht="15.75" customHeight="1" x14ac:dyDescent="0.25">
      <c r="B165" s="67" t="e">
        <f t="shared" si="22"/>
        <v>#REF!</v>
      </c>
      <c r="C165" s="76" t="e">
        <f t="shared" si="23"/>
        <v>#REF!</v>
      </c>
    </row>
    <row r="166" spans="2:3" ht="15.75" customHeight="1" x14ac:dyDescent="0.25">
      <c r="B166" s="67" t="e">
        <f t="shared" si="22"/>
        <v>#REF!</v>
      </c>
      <c r="C166" s="76" t="e">
        <f t="shared" si="23"/>
        <v>#REF!</v>
      </c>
    </row>
    <row r="167" spans="2:3" ht="15.75" customHeight="1" x14ac:dyDescent="0.25">
      <c r="B167" s="67" t="e">
        <f t="shared" si="22"/>
        <v>#REF!</v>
      </c>
      <c r="C167" s="76" t="e">
        <f t="shared" si="23"/>
        <v>#REF!</v>
      </c>
    </row>
    <row r="168" spans="2:3" ht="15.75" customHeight="1" x14ac:dyDescent="0.25">
      <c r="B168" s="67" t="e">
        <f t="shared" si="22"/>
        <v>#REF!</v>
      </c>
      <c r="C168" s="76" t="e">
        <f t="shared" si="23"/>
        <v>#REF!</v>
      </c>
    </row>
    <row r="169" spans="2:3" ht="15.75" customHeight="1" x14ac:dyDescent="0.25">
      <c r="B169" s="67" t="e">
        <f t="shared" si="22"/>
        <v>#REF!</v>
      </c>
      <c r="C169" s="76" t="e">
        <f t="shared" si="23"/>
        <v>#REF!</v>
      </c>
    </row>
    <row r="170" spans="2:3" ht="15.75" customHeight="1" x14ac:dyDescent="0.25">
      <c r="B170" s="67" t="e">
        <f t="shared" si="22"/>
        <v>#REF!</v>
      </c>
      <c r="C170" s="76" t="e">
        <f t="shared" si="23"/>
        <v>#REF!</v>
      </c>
    </row>
    <row r="171" spans="2:3" ht="15.75" customHeight="1" x14ac:dyDescent="0.25">
      <c r="B171" s="67" t="e">
        <f t="shared" si="22"/>
        <v>#REF!</v>
      </c>
      <c r="C171" s="76" t="e">
        <f t="shared" si="23"/>
        <v>#REF!</v>
      </c>
    </row>
    <row r="172" spans="2:3" ht="15.75" customHeight="1" x14ac:dyDescent="0.25">
      <c r="B172" s="67" t="e">
        <f t="shared" si="22"/>
        <v>#REF!</v>
      </c>
      <c r="C172" s="76" t="e">
        <f t="shared" si="23"/>
        <v>#REF!</v>
      </c>
    </row>
    <row r="173" spans="2:3" ht="15.75" customHeight="1" x14ac:dyDescent="0.25">
      <c r="B173" s="67" t="e">
        <f t="shared" si="22"/>
        <v>#REF!</v>
      </c>
      <c r="C173" s="76" t="e">
        <f t="shared" si="23"/>
        <v>#REF!</v>
      </c>
    </row>
    <row r="174" spans="2:3" ht="15.75" customHeight="1" x14ac:dyDescent="0.25">
      <c r="B174" s="67" t="e">
        <f t="shared" si="22"/>
        <v>#REF!</v>
      </c>
      <c r="C174" s="76" t="e">
        <f t="shared" si="23"/>
        <v>#REF!</v>
      </c>
    </row>
    <row r="175" spans="2:3" ht="15.75" customHeight="1" x14ac:dyDescent="0.25">
      <c r="B175" s="67" t="e">
        <f t="shared" si="22"/>
        <v>#REF!</v>
      </c>
      <c r="C175" s="76" t="e">
        <f t="shared" si="23"/>
        <v>#REF!</v>
      </c>
    </row>
    <row r="176" spans="2:3" ht="15.75" customHeight="1" x14ac:dyDescent="0.25">
      <c r="B176" s="67" t="e">
        <f t="shared" si="22"/>
        <v>#REF!</v>
      </c>
      <c r="C176" s="76" t="e">
        <f t="shared" si="23"/>
        <v>#REF!</v>
      </c>
    </row>
    <row r="177" spans="2:3" ht="15.75" customHeight="1" x14ac:dyDescent="0.25">
      <c r="B177" s="67" t="e">
        <f t="shared" si="22"/>
        <v>#REF!</v>
      </c>
      <c r="C177" s="76" t="e">
        <f t="shared" si="23"/>
        <v>#REF!</v>
      </c>
    </row>
    <row r="178" spans="2:3" ht="15.75" customHeight="1" x14ac:dyDescent="0.25">
      <c r="B178" s="67" t="e">
        <f t="shared" si="22"/>
        <v>#REF!</v>
      </c>
      <c r="C178" s="76" t="e">
        <f t="shared" si="23"/>
        <v>#REF!</v>
      </c>
    </row>
    <row r="179" spans="2:3" ht="15.75" customHeight="1" x14ac:dyDescent="0.25">
      <c r="B179" s="67" t="e">
        <f t="shared" si="22"/>
        <v>#REF!</v>
      </c>
      <c r="C179" s="76" t="e">
        <f t="shared" si="23"/>
        <v>#REF!</v>
      </c>
    </row>
    <row r="180" spans="2:3" ht="15.75" customHeight="1" x14ac:dyDescent="0.25">
      <c r="B180" s="67" t="e">
        <f t="shared" si="22"/>
        <v>#REF!</v>
      </c>
      <c r="C180" s="76" t="e">
        <f t="shared" si="23"/>
        <v>#REF!</v>
      </c>
    </row>
    <row r="181" spans="2:3" ht="15.75" customHeight="1" x14ac:dyDescent="0.25">
      <c r="B181" s="67" t="e">
        <f t="shared" si="22"/>
        <v>#REF!</v>
      </c>
      <c r="C181" s="76" t="e">
        <f t="shared" si="23"/>
        <v>#REF!</v>
      </c>
    </row>
    <row r="182" spans="2:3" ht="15.75" customHeight="1" x14ac:dyDescent="0.25">
      <c r="B182" s="67" t="e">
        <f t="shared" si="22"/>
        <v>#REF!</v>
      </c>
      <c r="C182" s="76" t="e">
        <f t="shared" si="23"/>
        <v>#REF!</v>
      </c>
    </row>
    <row r="183" spans="2:3" ht="15.75" customHeight="1" x14ac:dyDescent="0.25">
      <c r="B183" s="67" t="e">
        <f t="shared" si="22"/>
        <v>#REF!</v>
      </c>
      <c r="C183" s="76" t="e">
        <f t="shared" si="23"/>
        <v>#REF!</v>
      </c>
    </row>
    <row r="184" spans="2:3" ht="15.75" customHeight="1" x14ac:dyDescent="0.25">
      <c r="B184" s="67" t="e">
        <f t="shared" si="22"/>
        <v>#REF!</v>
      </c>
      <c r="C184" s="76" t="e">
        <f t="shared" si="23"/>
        <v>#REF!</v>
      </c>
    </row>
    <row r="185" spans="2:3" ht="15.75" customHeight="1" x14ac:dyDescent="0.25">
      <c r="B185" s="67" t="e">
        <f t="shared" si="22"/>
        <v>#REF!</v>
      </c>
      <c r="C185" s="76" t="e">
        <f t="shared" si="23"/>
        <v>#REF!</v>
      </c>
    </row>
    <row r="186" spans="2:3" ht="15.75" customHeight="1" x14ac:dyDescent="0.25">
      <c r="B186" s="67" t="e">
        <f t="shared" si="22"/>
        <v>#REF!</v>
      </c>
      <c r="C186" s="76" t="e">
        <f t="shared" si="23"/>
        <v>#REF!</v>
      </c>
    </row>
    <row r="187" spans="2:3" ht="15.75" customHeight="1" x14ac:dyDescent="0.25">
      <c r="B187" s="67" t="e">
        <f t="shared" si="22"/>
        <v>#REF!</v>
      </c>
      <c r="C187" s="76" t="e">
        <f t="shared" si="23"/>
        <v>#REF!</v>
      </c>
    </row>
    <row r="188" spans="2:3" ht="15.75" customHeight="1" x14ac:dyDescent="0.25">
      <c r="B188" s="67" t="e">
        <f t="shared" si="22"/>
        <v>#REF!</v>
      </c>
      <c r="C188" s="76" t="e">
        <f t="shared" si="23"/>
        <v>#REF!</v>
      </c>
    </row>
    <row r="189" spans="2:3" ht="15.75" customHeight="1" x14ac:dyDescent="0.25">
      <c r="B189" s="67" t="e">
        <f t="shared" si="22"/>
        <v>#REF!</v>
      </c>
      <c r="C189" s="76" t="e">
        <f t="shared" si="23"/>
        <v>#REF!</v>
      </c>
    </row>
    <row r="190" spans="2:3" ht="15.75" customHeight="1" x14ac:dyDescent="0.25">
      <c r="B190" s="67" t="e">
        <f t="shared" si="22"/>
        <v>#REF!</v>
      </c>
      <c r="C190" s="76" t="e">
        <f t="shared" si="23"/>
        <v>#REF!</v>
      </c>
    </row>
    <row r="191" spans="2:3" ht="15.75" customHeight="1" x14ac:dyDescent="0.25">
      <c r="B191" s="67" t="e">
        <f t="shared" si="22"/>
        <v>#REF!</v>
      </c>
      <c r="C191" s="76" t="e">
        <f t="shared" si="23"/>
        <v>#REF!</v>
      </c>
    </row>
    <row r="192" spans="2:3" ht="15.75" customHeight="1" x14ac:dyDescent="0.25">
      <c r="B192" s="67" t="e">
        <f t="shared" si="22"/>
        <v>#REF!</v>
      </c>
      <c r="C192" s="76" t="e">
        <f t="shared" si="23"/>
        <v>#REF!</v>
      </c>
    </row>
    <row r="193" spans="2:3" ht="15.75" customHeight="1" x14ac:dyDescent="0.25">
      <c r="B193" s="67" t="e">
        <f t="shared" si="22"/>
        <v>#REF!</v>
      </c>
      <c r="C193" s="76" t="e">
        <f t="shared" si="23"/>
        <v>#REF!</v>
      </c>
    </row>
    <row r="194" spans="2:3" ht="15.75" customHeight="1" x14ac:dyDescent="0.25">
      <c r="B194" s="67" t="e">
        <f t="shared" si="22"/>
        <v>#REF!</v>
      </c>
      <c r="C194" s="76" t="e">
        <f t="shared" si="23"/>
        <v>#REF!</v>
      </c>
    </row>
    <row r="195" spans="2:3" ht="15.75" customHeight="1" x14ac:dyDescent="0.25">
      <c r="B195" s="67" t="e">
        <f t="shared" si="22"/>
        <v>#REF!</v>
      </c>
      <c r="C195" s="76" t="e">
        <f t="shared" si="23"/>
        <v>#REF!</v>
      </c>
    </row>
    <row r="196" spans="2:3" ht="15.75" customHeight="1" x14ac:dyDescent="0.25">
      <c r="B196" s="67" t="e">
        <f t="shared" si="22"/>
        <v>#REF!</v>
      </c>
      <c r="C196" s="76" t="e">
        <f t="shared" si="23"/>
        <v>#REF!</v>
      </c>
    </row>
    <row r="197" spans="2:3" ht="15.75" customHeight="1" x14ac:dyDescent="0.25">
      <c r="B197" s="67" t="e">
        <f t="shared" si="22"/>
        <v>#REF!</v>
      </c>
      <c r="C197" s="76" t="e">
        <f t="shared" si="23"/>
        <v>#REF!</v>
      </c>
    </row>
    <row r="198" spans="2:3" ht="15.75" customHeight="1" x14ac:dyDescent="0.25">
      <c r="B198" s="67" t="e">
        <f t="shared" si="22"/>
        <v>#REF!</v>
      </c>
      <c r="C198" s="76" t="e">
        <f t="shared" si="23"/>
        <v>#REF!</v>
      </c>
    </row>
    <row r="199" spans="2:3" ht="15.75" customHeight="1" x14ac:dyDescent="0.25">
      <c r="B199" s="67" t="e">
        <f t="shared" si="22"/>
        <v>#REF!</v>
      </c>
      <c r="C199" s="76" t="e">
        <f t="shared" si="23"/>
        <v>#REF!</v>
      </c>
    </row>
    <row r="200" spans="2:3" ht="15.75" customHeight="1" x14ac:dyDescent="0.25">
      <c r="B200" s="67" t="e">
        <f t="shared" si="22"/>
        <v>#REF!</v>
      </c>
      <c r="C200" s="76" t="e">
        <f t="shared" si="23"/>
        <v>#REF!</v>
      </c>
    </row>
    <row r="201" spans="2:3" ht="15.75" customHeight="1" x14ac:dyDescent="0.25">
      <c r="B201" s="67" t="e">
        <f t="shared" si="22"/>
        <v>#REF!</v>
      </c>
      <c r="C201" s="76" t="e">
        <f t="shared" si="23"/>
        <v>#REF!</v>
      </c>
    </row>
    <row r="202" spans="2:3" ht="15.75" customHeight="1" x14ac:dyDescent="0.25">
      <c r="B202" s="67" t="e">
        <f t="shared" si="22"/>
        <v>#REF!</v>
      </c>
      <c r="C202" s="76" t="e">
        <f t="shared" si="23"/>
        <v>#REF!</v>
      </c>
    </row>
    <row r="203" spans="2:3" ht="15.75" customHeight="1" x14ac:dyDescent="0.25">
      <c r="B203" s="67" t="e">
        <f t="shared" si="22"/>
        <v>#REF!</v>
      </c>
      <c r="C203" s="76" t="e">
        <f t="shared" si="23"/>
        <v>#REF!</v>
      </c>
    </row>
    <row r="204" spans="2:3" ht="15.75" customHeight="1" x14ac:dyDescent="0.25">
      <c r="B204" s="67" t="e">
        <f t="shared" si="22"/>
        <v>#REF!</v>
      </c>
      <c r="C204" s="76" t="e">
        <f t="shared" si="23"/>
        <v>#REF!</v>
      </c>
    </row>
    <row r="205" spans="2:3" ht="15.75" customHeight="1" x14ac:dyDescent="0.25">
      <c r="B205" s="67" t="e">
        <f t="shared" si="22"/>
        <v>#REF!</v>
      </c>
      <c r="C205" s="76" t="e">
        <f t="shared" si="23"/>
        <v>#REF!</v>
      </c>
    </row>
    <row r="206" spans="2:3" ht="15.75" customHeight="1" x14ac:dyDescent="0.25">
      <c r="B206" s="67" t="e">
        <f t="shared" si="22"/>
        <v>#REF!</v>
      </c>
      <c r="C206" s="76" t="e">
        <f t="shared" si="23"/>
        <v>#REF!</v>
      </c>
    </row>
    <row r="207" spans="2:3" ht="15.75" customHeight="1" x14ac:dyDescent="0.25">
      <c r="B207" s="67" t="e">
        <f t="shared" si="22"/>
        <v>#REF!</v>
      </c>
      <c r="C207" s="76" t="e">
        <f t="shared" si="23"/>
        <v>#REF!</v>
      </c>
    </row>
    <row r="208" spans="2:3" ht="15.75" customHeight="1" x14ac:dyDescent="0.25">
      <c r="B208" s="67" t="e">
        <f t="shared" si="22"/>
        <v>#REF!</v>
      </c>
      <c r="C208" s="76" t="e">
        <f t="shared" si="23"/>
        <v>#REF!</v>
      </c>
    </row>
    <row r="209" spans="2:3" ht="15.75" customHeight="1" x14ac:dyDescent="0.25">
      <c r="B209" s="67" t="e">
        <f t="shared" si="22"/>
        <v>#REF!</v>
      </c>
      <c r="C209" s="76" t="e">
        <f t="shared" si="23"/>
        <v>#REF!</v>
      </c>
    </row>
    <row r="210" spans="2:3" ht="15.75" customHeight="1" x14ac:dyDescent="0.25">
      <c r="B210" s="67" t="e">
        <f t="shared" si="22"/>
        <v>#REF!</v>
      </c>
      <c r="C210" s="76" t="e">
        <f t="shared" si="23"/>
        <v>#REF!</v>
      </c>
    </row>
    <row r="211" spans="2:3" ht="15.75" customHeight="1" x14ac:dyDescent="0.25">
      <c r="B211" s="67" t="e">
        <f t="shared" si="22"/>
        <v>#REF!</v>
      </c>
      <c r="C211" s="76" t="e">
        <f t="shared" si="23"/>
        <v>#REF!</v>
      </c>
    </row>
    <row r="212" spans="2:3" ht="15.75" customHeight="1" x14ac:dyDescent="0.25">
      <c r="B212" s="67" t="e">
        <f t="shared" si="22"/>
        <v>#REF!</v>
      </c>
      <c r="C212" s="76" t="e">
        <f t="shared" si="23"/>
        <v>#REF!</v>
      </c>
    </row>
    <row r="213" spans="2:3" ht="15.75" customHeight="1" x14ac:dyDescent="0.25">
      <c r="B213" s="67" t="e">
        <f t="shared" si="22"/>
        <v>#REF!</v>
      </c>
      <c r="C213" s="76" t="e">
        <f t="shared" si="23"/>
        <v>#REF!</v>
      </c>
    </row>
    <row r="214" spans="2:3" ht="15.75" customHeight="1" x14ac:dyDescent="0.25">
      <c r="B214" s="67" t="e">
        <f t="shared" si="22"/>
        <v>#REF!</v>
      </c>
      <c r="C214" s="76" t="e">
        <f t="shared" si="23"/>
        <v>#REF!</v>
      </c>
    </row>
    <row r="215" spans="2:3" ht="15.75" customHeight="1" x14ac:dyDescent="0.25">
      <c r="B215" s="67" t="e">
        <f t="shared" si="22"/>
        <v>#REF!</v>
      </c>
      <c r="C215" s="76" t="e">
        <f t="shared" si="23"/>
        <v>#REF!</v>
      </c>
    </row>
    <row r="216" spans="2:3" ht="15.75" customHeight="1" x14ac:dyDescent="0.25">
      <c r="B216" s="67" t="e">
        <f t="shared" si="22"/>
        <v>#REF!</v>
      </c>
      <c r="C216" s="76" t="e">
        <f t="shared" si="23"/>
        <v>#REF!</v>
      </c>
    </row>
    <row r="217" spans="2:3" ht="15.75" customHeight="1" x14ac:dyDescent="0.25">
      <c r="B217" s="67" t="e">
        <f t="shared" si="22"/>
        <v>#REF!</v>
      </c>
      <c r="C217" s="76" t="e">
        <f t="shared" si="23"/>
        <v>#REF!</v>
      </c>
    </row>
    <row r="218" spans="2:3" ht="15.75" customHeight="1" x14ac:dyDescent="0.25">
      <c r="B218" s="67" t="e">
        <f t="shared" si="22"/>
        <v>#REF!</v>
      </c>
      <c r="C218" s="76" t="e">
        <f t="shared" si="23"/>
        <v>#REF!</v>
      </c>
    </row>
    <row r="219" spans="2:3" ht="15.75" customHeight="1" x14ac:dyDescent="0.25">
      <c r="B219" s="67" t="e">
        <f t="shared" si="22"/>
        <v>#REF!</v>
      </c>
      <c r="C219" s="76" t="e">
        <f t="shared" si="23"/>
        <v>#REF!</v>
      </c>
    </row>
    <row r="220" spans="2:3" ht="15.75" customHeight="1" x14ac:dyDescent="0.25">
      <c r="B220" s="67" t="e">
        <f t="shared" si="22"/>
        <v>#REF!</v>
      </c>
      <c r="C220" s="76" t="e">
        <f t="shared" si="23"/>
        <v>#REF!</v>
      </c>
    </row>
    <row r="221" spans="2:3" ht="15.75" customHeight="1" x14ac:dyDescent="0.25">
      <c r="B221" s="67" t="e">
        <f t="shared" si="22"/>
        <v>#REF!</v>
      </c>
      <c r="C221" s="76" t="e">
        <f t="shared" si="23"/>
        <v>#REF!</v>
      </c>
    </row>
    <row r="222" spans="2:3" ht="15.75" customHeight="1" x14ac:dyDescent="0.25">
      <c r="B222" s="67" t="e">
        <f t="shared" ref="B222:B285" si="24">IF(B221="","",IF(B221+$C$10&lt;=$C$6,B221+$C$10,""))</f>
        <v>#REF!</v>
      </c>
      <c r="C222" s="76" t="e">
        <f t="shared" ref="C222:C285" si="25">IF(B222&lt;&gt;"",C221-$C$2/COUNT($B$18:$B$511),"")</f>
        <v>#REF!</v>
      </c>
    </row>
    <row r="223" spans="2:3" ht="15.75" customHeight="1" x14ac:dyDescent="0.25">
      <c r="B223" s="67" t="e">
        <f t="shared" si="24"/>
        <v>#REF!</v>
      </c>
      <c r="C223" s="76" t="e">
        <f t="shared" si="25"/>
        <v>#REF!</v>
      </c>
    </row>
    <row r="224" spans="2:3" ht="15.75" customHeight="1" x14ac:dyDescent="0.25">
      <c r="B224" s="67" t="e">
        <f t="shared" si="24"/>
        <v>#REF!</v>
      </c>
      <c r="C224" s="76" t="e">
        <f t="shared" si="25"/>
        <v>#REF!</v>
      </c>
    </row>
    <row r="225" spans="2:3" ht="15.75" customHeight="1" x14ac:dyDescent="0.25">
      <c r="B225" s="67" t="e">
        <f t="shared" si="24"/>
        <v>#REF!</v>
      </c>
      <c r="C225" s="76" t="e">
        <f t="shared" si="25"/>
        <v>#REF!</v>
      </c>
    </row>
    <row r="226" spans="2:3" ht="15.75" customHeight="1" x14ac:dyDescent="0.25">
      <c r="B226" s="67" t="e">
        <f t="shared" si="24"/>
        <v>#REF!</v>
      </c>
      <c r="C226" s="76" t="e">
        <f t="shared" si="25"/>
        <v>#REF!</v>
      </c>
    </row>
    <row r="227" spans="2:3" ht="15.75" customHeight="1" x14ac:dyDescent="0.25">
      <c r="B227" s="67" t="e">
        <f t="shared" si="24"/>
        <v>#REF!</v>
      </c>
      <c r="C227" s="76" t="e">
        <f t="shared" si="25"/>
        <v>#REF!</v>
      </c>
    </row>
    <row r="228" spans="2:3" ht="15.75" customHeight="1" x14ac:dyDescent="0.25">
      <c r="B228" s="67" t="e">
        <f t="shared" si="24"/>
        <v>#REF!</v>
      </c>
      <c r="C228" s="76" t="e">
        <f t="shared" si="25"/>
        <v>#REF!</v>
      </c>
    </row>
    <row r="229" spans="2:3" ht="15.75" customHeight="1" x14ac:dyDescent="0.25">
      <c r="B229" s="67" t="e">
        <f t="shared" si="24"/>
        <v>#REF!</v>
      </c>
      <c r="C229" s="76" t="e">
        <f t="shared" si="25"/>
        <v>#REF!</v>
      </c>
    </row>
    <row r="230" spans="2:3" ht="15.75" customHeight="1" x14ac:dyDescent="0.25">
      <c r="B230" s="67" t="e">
        <f t="shared" si="24"/>
        <v>#REF!</v>
      </c>
      <c r="C230" s="76" t="e">
        <f t="shared" si="25"/>
        <v>#REF!</v>
      </c>
    </row>
    <row r="231" spans="2:3" ht="15.75" customHeight="1" x14ac:dyDescent="0.25">
      <c r="B231" s="67" t="e">
        <f t="shared" si="24"/>
        <v>#REF!</v>
      </c>
      <c r="C231" s="76" t="e">
        <f t="shared" si="25"/>
        <v>#REF!</v>
      </c>
    </row>
    <row r="232" spans="2:3" ht="15.75" customHeight="1" x14ac:dyDescent="0.25">
      <c r="B232" s="67" t="e">
        <f t="shared" si="24"/>
        <v>#REF!</v>
      </c>
      <c r="C232" s="76" t="e">
        <f t="shared" si="25"/>
        <v>#REF!</v>
      </c>
    </row>
    <row r="233" spans="2:3" ht="15.75" customHeight="1" x14ac:dyDescent="0.25">
      <c r="B233" s="67" t="e">
        <f t="shared" si="24"/>
        <v>#REF!</v>
      </c>
      <c r="C233" s="76" t="e">
        <f t="shared" si="25"/>
        <v>#REF!</v>
      </c>
    </row>
    <row r="234" spans="2:3" ht="15.75" customHeight="1" x14ac:dyDescent="0.25">
      <c r="B234" s="67" t="e">
        <f t="shared" si="24"/>
        <v>#REF!</v>
      </c>
      <c r="C234" s="76" t="e">
        <f t="shared" si="25"/>
        <v>#REF!</v>
      </c>
    </row>
    <row r="235" spans="2:3" ht="15.75" customHeight="1" x14ac:dyDescent="0.25">
      <c r="B235" s="67" t="e">
        <f t="shared" si="24"/>
        <v>#REF!</v>
      </c>
      <c r="C235" s="76" t="e">
        <f t="shared" si="25"/>
        <v>#REF!</v>
      </c>
    </row>
    <row r="236" spans="2:3" ht="15.75" customHeight="1" x14ac:dyDescent="0.25">
      <c r="B236" s="67" t="e">
        <f t="shared" si="24"/>
        <v>#REF!</v>
      </c>
      <c r="C236" s="76" t="e">
        <f t="shared" si="25"/>
        <v>#REF!</v>
      </c>
    </row>
    <row r="237" spans="2:3" ht="15.75" customHeight="1" x14ac:dyDescent="0.25">
      <c r="B237" s="67" t="e">
        <f t="shared" si="24"/>
        <v>#REF!</v>
      </c>
      <c r="C237" s="76" t="e">
        <f t="shared" si="25"/>
        <v>#REF!</v>
      </c>
    </row>
    <row r="238" spans="2:3" ht="15.75" customHeight="1" x14ac:dyDescent="0.25">
      <c r="B238" s="67" t="e">
        <f t="shared" si="24"/>
        <v>#REF!</v>
      </c>
      <c r="C238" s="76" t="e">
        <f t="shared" si="25"/>
        <v>#REF!</v>
      </c>
    </row>
    <row r="239" spans="2:3" ht="15.75" customHeight="1" x14ac:dyDescent="0.25">
      <c r="B239" s="67" t="e">
        <f t="shared" si="24"/>
        <v>#REF!</v>
      </c>
      <c r="C239" s="76" t="e">
        <f t="shared" si="25"/>
        <v>#REF!</v>
      </c>
    </row>
    <row r="240" spans="2:3" ht="15.75" customHeight="1" x14ac:dyDescent="0.25">
      <c r="B240" s="67" t="e">
        <f t="shared" si="24"/>
        <v>#REF!</v>
      </c>
      <c r="C240" s="76" t="e">
        <f t="shared" si="25"/>
        <v>#REF!</v>
      </c>
    </row>
    <row r="241" spans="2:3" ht="15.75" customHeight="1" x14ac:dyDescent="0.25">
      <c r="B241" s="67" t="e">
        <f t="shared" si="24"/>
        <v>#REF!</v>
      </c>
      <c r="C241" s="76" t="e">
        <f t="shared" si="25"/>
        <v>#REF!</v>
      </c>
    </row>
    <row r="242" spans="2:3" ht="15.75" customHeight="1" x14ac:dyDescent="0.25">
      <c r="B242" s="67" t="e">
        <f t="shared" si="24"/>
        <v>#REF!</v>
      </c>
      <c r="C242" s="76" t="e">
        <f t="shared" si="25"/>
        <v>#REF!</v>
      </c>
    </row>
    <row r="243" spans="2:3" ht="15.75" customHeight="1" x14ac:dyDescent="0.25">
      <c r="B243" s="67" t="e">
        <f t="shared" si="24"/>
        <v>#REF!</v>
      </c>
      <c r="C243" s="76" t="e">
        <f t="shared" si="25"/>
        <v>#REF!</v>
      </c>
    </row>
    <row r="244" spans="2:3" ht="15.75" customHeight="1" x14ac:dyDescent="0.25">
      <c r="B244" s="67" t="e">
        <f t="shared" si="24"/>
        <v>#REF!</v>
      </c>
      <c r="C244" s="76" t="e">
        <f t="shared" si="25"/>
        <v>#REF!</v>
      </c>
    </row>
    <row r="245" spans="2:3" ht="15.75" customHeight="1" x14ac:dyDescent="0.25">
      <c r="B245" s="67" t="e">
        <f t="shared" si="24"/>
        <v>#REF!</v>
      </c>
      <c r="C245" s="76" t="e">
        <f t="shared" si="25"/>
        <v>#REF!</v>
      </c>
    </row>
    <row r="246" spans="2:3" ht="15.75" customHeight="1" x14ac:dyDescent="0.25">
      <c r="B246" s="67" t="e">
        <f t="shared" si="24"/>
        <v>#REF!</v>
      </c>
      <c r="C246" s="76" t="e">
        <f t="shared" si="25"/>
        <v>#REF!</v>
      </c>
    </row>
    <row r="247" spans="2:3" ht="15.75" customHeight="1" x14ac:dyDescent="0.25">
      <c r="B247" s="67" t="e">
        <f t="shared" si="24"/>
        <v>#REF!</v>
      </c>
      <c r="C247" s="76" t="e">
        <f t="shared" si="25"/>
        <v>#REF!</v>
      </c>
    </row>
    <row r="248" spans="2:3" ht="15.75" customHeight="1" x14ac:dyDescent="0.25">
      <c r="B248" s="67" t="e">
        <f t="shared" si="24"/>
        <v>#REF!</v>
      </c>
      <c r="C248" s="76" t="e">
        <f t="shared" si="25"/>
        <v>#REF!</v>
      </c>
    </row>
    <row r="249" spans="2:3" ht="15.75" customHeight="1" x14ac:dyDescent="0.25">
      <c r="B249" s="67" t="e">
        <f t="shared" si="24"/>
        <v>#REF!</v>
      </c>
      <c r="C249" s="76" t="e">
        <f t="shared" si="25"/>
        <v>#REF!</v>
      </c>
    </row>
    <row r="250" spans="2:3" ht="15.75" customHeight="1" x14ac:dyDescent="0.25">
      <c r="B250" s="67" t="e">
        <f t="shared" si="24"/>
        <v>#REF!</v>
      </c>
      <c r="C250" s="76" t="e">
        <f t="shared" si="25"/>
        <v>#REF!</v>
      </c>
    </row>
    <row r="251" spans="2:3" ht="15.75" customHeight="1" x14ac:dyDescent="0.25">
      <c r="B251" s="67" t="e">
        <f t="shared" si="24"/>
        <v>#REF!</v>
      </c>
      <c r="C251" s="76" t="e">
        <f t="shared" si="25"/>
        <v>#REF!</v>
      </c>
    </row>
    <row r="252" spans="2:3" ht="15.75" customHeight="1" x14ac:dyDescent="0.25">
      <c r="B252" s="67" t="e">
        <f t="shared" si="24"/>
        <v>#REF!</v>
      </c>
      <c r="C252" s="76" t="e">
        <f t="shared" si="25"/>
        <v>#REF!</v>
      </c>
    </row>
    <row r="253" spans="2:3" ht="15.75" customHeight="1" x14ac:dyDescent="0.25">
      <c r="B253" s="67" t="e">
        <f t="shared" si="24"/>
        <v>#REF!</v>
      </c>
      <c r="C253" s="76" t="e">
        <f t="shared" si="25"/>
        <v>#REF!</v>
      </c>
    </row>
    <row r="254" spans="2:3" ht="15.75" customHeight="1" x14ac:dyDescent="0.25">
      <c r="B254" s="67" t="e">
        <f t="shared" si="24"/>
        <v>#REF!</v>
      </c>
      <c r="C254" s="76" t="e">
        <f t="shared" si="25"/>
        <v>#REF!</v>
      </c>
    </row>
    <row r="255" spans="2:3" ht="15.75" customHeight="1" x14ac:dyDescent="0.25">
      <c r="B255" s="67" t="e">
        <f t="shared" si="24"/>
        <v>#REF!</v>
      </c>
      <c r="C255" s="76" t="e">
        <f t="shared" si="25"/>
        <v>#REF!</v>
      </c>
    </row>
    <row r="256" spans="2:3" ht="15.75" customHeight="1" x14ac:dyDescent="0.25">
      <c r="B256" s="67" t="e">
        <f t="shared" si="24"/>
        <v>#REF!</v>
      </c>
      <c r="C256" s="76" t="e">
        <f t="shared" si="25"/>
        <v>#REF!</v>
      </c>
    </row>
    <row r="257" spans="2:3" ht="15.75" customHeight="1" x14ac:dyDescent="0.25">
      <c r="B257" s="67" t="e">
        <f t="shared" si="24"/>
        <v>#REF!</v>
      </c>
      <c r="C257" s="76" t="e">
        <f t="shared" si="25"/>
        <v>#REF!</v>
      </c>
    </row>
    <row r="258" spans="2:3" ht="15.75" customHeight="1" x14ac:dyDescent="0.25">
      <c r="B258" s="67" t="e">
        <f t="shared" si="24"/>
        <v>#REF!</v>
      </c>
      <c r="C258" s="76" t="e">
        <f t="shared" si="25"/>
        <v>#REF!</v>
      </c>
    </row>
    <row r="259" spans="2:3" ht="15.75" customHeight="1" x14ac:dyDescent="0.25">
      <c r="B259" s="67" t="e">
        <f t="shared" si="24"/>
        <v>#REF!</v>
      </c>
      <c r="C259" s="76" t="e">
        <f t="shared" si="25"/>
        <v>#REF!</v>
      </c>
    </row>
    <row r="260" spans="2:3" ht="15.75" customHeight="1" x14ac:dyDescent="0.25">
      <c r="B260" s="67" t="e">
        <f t="shared" si="24"/>
        <v>#REF!</v>
      </c>
      <c r="C260" s="76" t="e">
        <f t="shared" si="25"/>
        <v>#REF!</v>
      </c>
    </row>
    <row r="261" spans="2:3" ht="15.75" customHeight="1" x14ac:dyDescent="0.25">
      <c r="B261" s="67" t="e">
        <f t="shared" si="24"/>
        <v>#REF!</v>
      </c>
      <c r="C261" s="76" t="e">
        <f t="shared" si="25"/>
        <v>#REF!</v>
      </c>
    </row>
    <row r="262" spans="2:3" ht="15.75" customHeight="1" x14ac:dyDescent="0.25">
      <c r="B262" s="67" t="e">
        <f t="shared" si="24"/>
        <v>#REF!</v>
      </c>
      <c r="C262" s="76" t="e">
        <f t="shared" si="25"/>
        <v>#REF!</v>
      </c>
    </row>
    <row r="263" spans="2:3" ht="15.75" customHeight="1" x14ac:dyDescent="0.25">
      <c r="B263" s="67" t="e">
        <f t="shared" si="24"/>
        <v>#REF!</v>
      </c>
      <c r="C263" s="76" t="e">
        <f t="shared" si="25"/>
        <v>#REF!</v>
      </c>
    </row>
    <row r="264" spans="2:3" ht="15.75" customHeight="1" x14ac:dyDescent="0.25">
      <c r="B264" s="67" t="e">
        <f t="shared" si="24"/>
        <v>#REF!</v>
      </c>
      <c r="C264" s="76" t="e">
        <f t="shared" si="25"/>
        <v>#REF!</v>
      </c>
    </row>
    <row r="265" spans="2:3" ht="15.75" customHeight="1" x14ac:dyDescent="0.25">
      <c r="B265" s="67" t="e">
        <f t="shared" si="24"/>
        <v>#REF!</v>
      </c>
      <c r="C265" s="76" t="e">
        <f t="shared" si="25"/>
        <v>#REF!</v>
      </c>
    </row>
    <row r="266" spans="2:3" ht="15.75" customHeight="1" x14ac:dyDescent="0.25">
      <c r="B266" s="67" t="e">
        <f t="shared" si="24"/>
        <v>#REF!</v>
      </c>
      <c r="C266" s="76" t="e">
        <f t="shared" si="25"/>
        <v>#REF!</v>
      </c>
    </row>
    <row r="267" spans="2:3" ht="15.75" customHeight="1" x14ac:dyDescent="0.25">
      <c r="B267" s="67" t="e">
        <f t="shared" si="24"/>
        <v>#REF!</v>
      </c>
      <c r="C267" s="76" t="e">
        <f t="shared" si="25"/>
        <v>#REF!</v>
      </c>
    </row>
    <row r="268" spans="2:3" ht="15.75" customHeight="1" x14ac:dyDescent="0.25">
      <c r="B268" s="67" t="e">
        <f t="shared" si="24"/>
        <v>#REF!</v>
      </c>
      <c r="C268" s="76" t="e">
        <f t="shared" si="25"/>
        <v>#REF!</v>
      </c>
    </row>
    <row r="269" spans="2:3" ht="15.75" customHeight="1" x14ac:dyDescent="0.25">
      <c r="B269" s="67" t="e">
        <f t="shared" si="24"/>
        <v>#REF!</v>
      </c>
      <c r="C269" s="76" t="e">
        <f t="shared" si="25"/>
        <v>#REF!</v>
      </c>
    </row>
    <row r="270" spans="2:3" ht="15.75" customHeight="1" x14ac:dyDescent="0.25">
      <c r="B270" s="67" t="e">
        <f t="shared" si="24"/>
        <v>#REF!</v>
      </c>
      <c r="C270" s="76" t="e">
        <f t="shared" si="25"/>
        <v>#REF!</v>
      </c>
    </row>
    <row r="271" spans="2:3" ht="15.75" customHeight="1" x14ac:dyDescent="0.25">
      <c r="B271" s="67" t="e">
        <f t="shared" si="24"/>
        <v>#REF!</v>
      </c>
      <c r="C271" s="76" t="e">
        <f t="shared" si="25"/>
        <v>#REF!</v>
      </c>
    </row>
    <row r="272" spans="2:3" ht="15.75" customHeight="1" x14ac:dyDescent="0.25">
      <c r="B272" s="67" t="e">
        <f t="shared" si="24"/>
        <v>#REF!</v>
      </c>
      <c r="C272" s="76" t="e">
        <f t="shared" si="25"/>
        <v>#REF!</v>
      </c>
    </row>
    <row r="273" spans="2:3" ht="15.75" customHeight="1" x14ac:dyDescent="0.25">
      <c r="B273" s="67" t="e">
        <f t="shared" si="24"/>
        <v>#REF!</v>
      </c>
      <c r="C273" s="76" t="e">
        <f t="shared" si="25"/>
        <v>#REF!</v>
      </c>
    </row>
    <row r="274" spans="2:3" ht="15.75" customHeight="1" x14ac:dyDescent="0.25">
      <c r="B274" s="67" t="e">
        <f t="shared" si="24"/>
        <v>#REF!</v>
      </c>
      <c r="C274" s="76" t="e">
        <f t="shared" si="25"/>
        <v>#REF!</v>
      </c>
    </row>
    <row r="275" spans="2:3" ht="15.75" customHeight="1" x14ac:dyDescent="0.25">
      <c r="B275" s="67" t="e">
        <f t="shared" si="24"/>
        <v>#REF!</v>
      </c>
      <c r="C275" s="76" t="e">
        <f t="shared" si="25"/>
        <v>#REF!</v>
      </c>
    </row>
    <row r="276" spans="2:3" ht="15.75" customHeight="1" x14ac:dyDescent="0.25">
      <c r="B276" s="67" t="e">
        <f t="shared" si="24"/>
        <v>#REF!</v>
      </c>
      <c r="C276" s="76" t="e">
        <f t="shared" si="25"/>
        <v>#REF!</v>
      </c>
    </row>
    <row r="277" spans="2:3" ht="15.75" customHeight="1" x14ac:dyDescent="0.25">
      <c r="B277" s="67" t="e">
        <f t="shared" si="24"/>
        <v>#REF!</v>
      </c>
      <c r="C277" s="76" t="e">
        <f t="shared" si="25"/>
        <v>#REF!</v>
      </c>
    </row>
    <row r="278" spans="2:3" ht="15.75" customHeight="1" x14ac:dyDescent="0.25">
      <c r="B278" s="67" t="e">
        <f t="shared" si="24"/>
        <v>#REF!</v>
      </c>
      <c r="C278" s="76" t="e">
        <f t="shared" si="25"/>
        <v>#REF!</v>
      </c>
    </row>
    <row r="279" spans="2:3" ht="15.75" customHeight="1" x14ac:dyDescent="0.25">
      <c r="B279" s="67" t="e">
        <f t="shared" si="24"/>
        <v>#REF!</v>
      </c>
      <c r="C279" s="76" t="e">
        <f t="shared" si="25"/>
        <v>#REF!</v>
      </c>
    </row>
    <row r="280" spans="2:3" ht="15.75" customHeight="1" x14ac:dyDescent="0.25">
      <c r="B280" s="67" t="e">
        <f t="shared" si="24"/>
        <v>#REF!</v>
      </c>
      <c r="C280" s="76" t="e">
        <f t="shared" si="25"/>
        <v>#REF!</v>
      </c>
    </row>
    <row r="281" spans="2:3" ht="15.75" customHeight="1" x14ac:dyDescent="0.25">
      <c r="B281" s="67" t="e">
        <f t="shared" si="24"/>
        <v>#REF!</v>
      </c>
      <c r="C281" s="76" t="e">
        <f t="shared" si="25"/>
        <v>#REF!</v>
      </c>
    </row>
    <row r="282" spans="2:3" ht="15.75" customHeight="1" x14ac:dyDescent="0.25">
      <c r="B282" s="67" t="e">
        <f t="shared" si="24"/>
        <v>#REF!</v>
      </c>
      <c r="C282" s="76" t="e">
        <f t="shared" si="25"/>
        <v>#REF!</v>
      </c>
    </row>
    <row r="283" spans="2:3" ht="15.75" customHeight="1" x14ac:dyDescent="0.25">
      <c r="B283" s="67" t="e">
        <f t="shared" si="24"/>
        <v>#REF!</v>
      </c>
      <c r="C283" s="76" t="e">
        <f t="shared" si="25"/>
        <v>#REF!</v>
      </c>
    </row>
    <row r="284" spans="2:3" ht="15.75" customHeight="1" x14ac:dyDescent="0.25">
      <c r="B284" s="67" t="e">
        <f t="shared" si="24"/>
        <v>#REF!</v>
      </c>
      <c r="C284" s="76" t="e">
        <f t="shared" si="25"/>
        <v>#REF!</v>
      </c>
    </row>
    <row r="285" spans="2:3" ht="15.75" customHeight="1" x14ac:dyDescent="0.25">
      <c r="B285" s="67" t="e">
        <f t="shared" si="24"/>
        <v>#REF!</v>
      </c>
      <c r="C285" s="76" t="e">
        <f t="shared" si="25"/>
        <v>#REF!</v>
      </c>
    </row>
    <row r="286" spans="2:3" ht="15.75" customHeight="1" x14ac:dyDescent="0.25">
      <c r="B286" s="67" t="e">
        <f t="shared" ref="B286:B349" si="26">IF(B285="","",IF(B285+$C$10&lt;=$C$6,B285+$C$10,""))</f>
        <v>#REF!</v>
      </c>
      <c r="C286" s="76" t="e">
        <f t="shared" ref="C286:C349" si="27">IF(B286&lt;&gt;"",C285-$C$2/COUNT($B$18:$B$511),"")</f>
        <v>#REF!</v>
      </c>
    </row>
    <row r="287" spans="2:3" ht="15.75" customHeight="1" x14ac:dyDescent="0.25">
      <c r="B287" s="67" t="e">
        <f t="shared" si="26"/>
        <v>#REF!</v>
      </c>
      <c r="C287" s="76" t="e">
        <f t="shared" si="27"/>
        <v>#REF!</v>
      </c>
    </row>
    <row r="288" spans="2:3" ht="15.75" customHeight="1" x14ac:dyDescent="0.25">
      <c r="B288" s="67" t="e">
        <f t="shared" si="26"/>
        <v>#REF!</v>
      </c>
      <c r="C288" s="76" t="e">
        <f t="shared" si="27"/>
        <v>#REF!</v>
      </c>
    </row>
    <row r="289" spans="2:3" ht="15.75" customHeight="1" x14ac:dyDescent="0.25">
      <c r="B289" s="67" t="e">
        <f t="shared" si="26"/>
        <v>#REF!</v>
      </c>
      <c r="C289" s="76" t="e">
        <f t="shared" si="27"/>
        <v>#REF!</v>
      </c>
    </row>
    <row r="290" spans="2:3" ht="15.75" customHeight="1" x14ac:dyDescent="0.25">
      <c r="B290" s="67" t="e">
        <f t="shared" si="26"/>
        <v>#REF!</v>
      </c>
      <c r="C290" s="76" t="e">
        <f t="shared" si="27"/>
        <v>#REF!</v>
      </c>
    </row>
    <row r="291" spans="2:3" ht="15.75" customHeight="1" x14ac:dyDescent="0.25">
      <c r="B291" s="67" t="e">
        <f t="shared" si="26"/>
        <v>#REF!</v>
      </c>
      <c r="C291" s="76" t="e">
        <f t="shared" si="27"/>
        <v>#REF!</v>
      </c>
    </row>
    <row r="292" spans="2:3" ht="15.75" customHeight="1" x14ac:dyDescent="0.25">
      <c r="B292" s="67" t="e">
        <f t="shared" si="26"/>
        <v>#REF!</v>
      </c>
      <c r="C292" s="76" t="e">
        <f t="shared" si="27"/>
        <v>#REF!</v>
      </c>
    </row>
    <row r="293" spans="2:3" ht="15.75" customHeight="1" x14ac:dyDescent="0.25">
      <c r="B293" s="67" t="e">
        <f t="shared" si="26"/>
        <v>#REF!</v>
      </c>
      <c r="C293" s="76" t="e">
        <f t="shared" si="27"/>
        <v>#REF!</v>
      </c>
    </row>
    <row r="294" spans="2:3" ht="15.75" customHeight="1" x14ac:dyDescent="0.25">
      <c r="B294" s="67" t="e">
        <f t="shared" si="26"/>
        <v>#REF!</v>
      </c>
      <c r="C294" s="76" t="e">
        <f t="shared" si="27"/>
        <v>#REF!</v>
      </c>
    </row>
    <row r="295" spans="2:3" ht="15.75" customHeight="1" x14ac:dyDescent="0.25">
      <c r="B295" s="67" t="e">
        <f t="shared" si="26"/>
        <v>#REF!</v>
      </c>
      <c r="C295" s="76" t="e">
        <f t="shared" si="27"/>
        <v>#REF!</v>
      </c>
    </row>
    <row r="296" spans="2:3" ht="15.75" customHeight="1" x14ac:dyDescent="0.25">
      <c r="B296" s="67" t="e">
        <f t="shared" si="26"/>
        <v>#REF!</v>
      </c>
      <c r="C296" s="76" t="e">
        <f t="shared" si="27"/>
        <v>#REF!</v>
      </c>
    </row>
    <row r="297" spans="2:3" ht="15.75" customHeight="1" x14ac:dyDescent="0.25">
      <c r="B297" s="67" t="e">
        <f t="shared" si="26"/>
        <v>#REF!</v>
      </c>
      <c r="C297" s="76" t="e">
        <f t="shared" si="27"/>
        <v>#REF!</v>
      </c>
    </row>
    <row r="298" spans="2:3" ht="15.75" customHeight="1" x14ac:dyDescent="0.25">
      <c r="B298" s="67" t="e">
        <f t="shared" si="26"/>
        <v>#REF!</v>
      </c>
      <c r="C298" s="76" t="e">
        <f t="shared" si="27"/>
        <v>#REF!</v>
      </c>
    </row>
    <row r="299" spans="2:3" ht="15.75" customHeight="1" x14ac:dyDescent="0.25">
      <c r="B299" s="67" t="e">
        <f t="shared" si="26"/>
        <v>#REF!</v>
      </c>
      <c r="C299" s="76" t="e">
        <f t="shared" si="27"/>
        <v>#REF!</v>
      </c>
    </row>
    <row r="300" spans="2:3" ht="15.75" customHeight="1" x14ac:dyDescent="0.25">
      <c r="B300" s="67" t="e">
        <f t="shared" si="26"/>
        <v>#REF!</v>
      </c>
      <c r="C300" s="76" t="e">
        <f t="shared" si="27"/>
        <v>#REF!</v>
      </c>
    </row>
    <row r="301" spans="2:3" ht="15.75" customHeight="1" x14ac:dyDescent="0.25">
      <c r="B301" s="67" t="e">
        <f t="shared" si="26"/>
        <v>#REF!</v>
      </c>
      <c r="C301" s="76" t="e">
        <f t="shared" si="27"/>
        <v>#REF!</v>
      </c>
    </row>
    <row r="302" spans="2:3" ht="15.75" customHeight="1" x14ac:dyDescent="0.25">
      <c r="B302" s="67" t="e">
        <f t="shared" si="26"/>
        <v>#REF!</v>
      </c>
      <c r="C302" s="76" t="e">
        <f t="shared" si="27"/>
        <v>#REF!</v>
      </c>
    </row>
    <row r="303" spans="2:3" ht="15.75" customHeight="1" x14ac:dyDescent="0.25">
      <c r="B303" s="67" t="e">
        <f t="shared" si="26"/>
        <v>#REF!</v>
      </c>
      <c r="C303" s="76" t="e">
        <f t="shared" si="27"/>
        <v>#REF!</v>
      </c>
    </row>
    <row r="304" spans="2:3" ht="15.75" customHeight="1" x14ac:dyDescent="0.25">
      <c r="B304" s="67" t="e">
        <f t="shared" si="26"/>
        <v>#REF!</v>
      </c>
      <c r="C304" s="76" t="e">
        <f t="shared" si="27"/>
        <v>#REF!</v>
      </c>
    </row>
    <row r="305" spans="2:3" ht="15.75" customHeight="1" x14ac:dyDescent="0.25">
      <c r="B305" s="67" t="e">
        <f t="shared" si="26"/>
        <v>#REF!</v>
      </c>
      <c r="C305" s="76" t="e">
        <f t="shared" si="27"/>
        <v>#REF!</v>
      </c>
    </row>
    <row r="306" spans="2:3" ht="15.75" customHeight="1" x14ac:dyDescent="0.25">
      <c r="B306" s="67" t="e">
        <f t="shared" si="26"/>
        <v>#REF!</v>
      </c>
      <c r="C306" s="76" t="e">
        <f t="shared" si="27"/>
        <v>#REF!</v>
      </c>
    </row>
    <row r="307" spans="2:3" ht="15.75" customHeight="1" x14ac:dyDescent="0.25">
      <c r="B307" s="67" t="e">
        <f t="shared" si="26"/>
        <v>#REF!</v>
      </c>
      <c r="C307" s="76" t="e">
        <f t="shared" si="27"/>
        <v>#REF!</v>
      </c>
    </row>
    <row r="308" spans="2:3" ht="15.75" customHeight="1" x14ac:dyDescent="0.25">
      <c r="B308" s="67" t="e">
        <f t="shared" si="26"/>
        <v>#REF!</v>
      </c>
      <c r="C308" s="76" t="e">
        <f t="shared" si="27"/>
        <v>#REF!</v>
      </c>
    </row>
    <row r="309" spans="2:3" ht="15.75" customHeight="1" x14ac:dyDescent="0.25">
      <c r="B309" s="67" t="e">
        <f t="shared" si="26"/>
        <v>#REF!</v>
      </c>
      <c r="C309" s="76" t="e">
        <f t="shared" si="27"/>
        <v>#REF!</v>
      </c>
    </row>
    <row r="310" spans="2:3" ht="15.75" customHeight="1" x14ac:dyDescent="0.25">
      <c r="B310" s="67" t="e">
        <f t="shared" si="26"/>
        <v>#REF!</v>
      </c>
      <c r="C310" s="76" t="e">
        <f t="shared" si="27"/>
        <v>#REF!</v>
      </c>
    </row>
    <row r="311" spans="2:3" ht="15.75" customHeight="1" x14ac:dyDescent="0.25">
      <c r="B311" s="67" t="e">
        <f t="shared" si="26"/>
        <v>#REF!</v>
      </c>
      <c r="C311" s="76" t="e">
        <f t="shared" si="27"/>
        <v>#REF!</v>
      </c>
    </row>
    <row r="312" spans="2:3" ht="15.75" customHeight="1" x14ac:dyDescent="0.25">
      <c r="B312" s="67" t="e">
        <f t="shared" si="26"/>
        <v>#REF!</v>
      </c>
      <c r="C312" s="76" t="e">
        <f t="shared" si="27"/>
        <v>#REF!</v>
      </c>
    </row>
    <row r="313" spans="2:3" ht="15.75" customHeight="1" x14ac:dyDescent="0.25">
      <c r="B313" s="67" t="e">
        <f t="shared" si="26"/>
        <v>#REF!</v>
      </c>
      <c r="C313" s="76" t="e">
        <f t="shared" si="27"/>
        <v>#REF!</v>
      </c>
    </row>
    <row r="314" spans="2:3" ht="15.75" customHeight="1" x14ac:dyDescent="0.25">
      <c r="B314" s="67" t="e">
        <f t="shared" si="26"/>
        <v>#REF!</v>
      </c>
      <c r="C314" s="76" t="e">
        <f t="shared" si="27"/>
        <v>#REF!</v>
      </c>
    </row>
    <row r="315" spans="2:3" ht="15.75" customHeight="1" x14ac:dyDescent="0.25">
      <c r="B315" s="67" t="e">
        <f t="shared" si="26"/>
        <v>#REF!</v>
      </c>
      <c r="C315" s="76" t="e">
        <f t="shared" si="27"/>
        <v>#REF!</v>
      </c>
    </row>
    <row r="316" spans="2:3" ht="15.75" customHeight="1" x14ac:dyDescent="0.25">
      <c r="B316" s="67" t="e">
        <f t="shared" si="26"/>
        <v>#REF!</v>
      </c>
      <c r="C316" s="76" t="e">
        <f t="shared" si="27"/>
        <v>#REF!</v>
      </c>
    </row>
    <row r="317" spans="2:3" ht="15.75" customHeight="1" x14ac:dyDescent="0.25">
      <c r="B317" s="67" t="e">
        <f t="shared" si="26"/>
        <v>#REF!</v>
      </c>
      <c r="C317" s="76" t="e">
        <f t="shared" si="27"/>
        <v>#REF!</v>
      </c>
    </row>
    <row r="318" spans="2:3" ht="15.75" customHeight="1" x14ac:dyDescent="0.25">
      <c r="B318" s="67" t="e">
        <f t="shared" si="26"/>
        <v>#REF!</v>
      </c>
      <c r="C318" s="76" t="e">
        <f t="shared" si="27"/>
        <v>#REF!</v>
      </c>
    </row>
    <row r="319" spans="2:3" ht="15.75" customHeight="1" x14ac:dyDescent="0.25">
      <c r="B319" s="67" t="e">
        <f t="shared" si="26"/>
        <v>#REF!</v>
      </c>
      <c r="C319" s="76" t="e">
        <f t="shared" si="27"/>
        <v>#REF!</v>
      </c>
    </row>
    <row r="320" spans="2:3" ht="15.75" customHeight="1" x14ac:dyDescent="0.25">
      <c r="B320" s="67" t="e">
        <f t="shared" si="26"/>
        <v>#REF!</v>
      </c>
      <c r="C320" s="76" t="e">
        <f t="shared" si="27"/>
        <v>#REF!</v>
      </c>
    </row>
    <row r="321" spans="2:3" ht="15.75" customHeight="1" x14ac:dyDescent="0.25">
      <c r="B321" s="67" t="e">
        <f t="shared" si="26"/>
        <v>#REF!</v>
      </c>
      <c r="C321" s="76" t="e">
        <f t="shared" si="27"/>
        <v>#REF!</v>
      </c>
    </row>
    <row r="322" spans="2:3" ht="15.75" customHeight="1" x14ac:dyDescent="0.25">
      <c r="B322" s="67" t="e">
        <f t="shared" si="26"/>
        <v>#REF!</v>
      </c>
      <c r="C322" s="76" t="e">
        <f t="shared" si="27"/>
        <v>#REF!</v>
      </c>
    </row>
    <row r="323" spans="2:3" ht="15.75" customHeight="1" x14ac:dyDescent="0.25">
      <c r="B323" s="67" t="e">
        <f t="shared" si="26"/>
        <v>#REF!</v>
      </c>
      <c r="C323" s="76" t="e">
        <f t="shared" si="27"/>
        <v>#REF!</v>
      </c>
    </row>
    <row r="324" spans="2:3" ht="15.75" customHeight="1" x14ac:dyDescent="0.25">
      <c r="B324" s="67" t="e">
        <f t="shared" si="26"/>
        <v>#REF!</v>
      </c>
      <c r="C324" s="76" t="e">
        <f t="shared" si="27"/>
        <v>#REF!</v>
      </c>
    </row>
    <row r="325" spans="2:3" ht="15.75" customHeight="1" x14ac:dyDescent="0.25">
      <c r="B325" s="67" t="e">
        <f t="shared" si="26"/>
        <v>#REF!</v>
      </c>
      <c r="C325" s="76" t="e">
        <f t="shared" si="27"/>
        <v>#REF!</v>
      </c>
    </row>
    <row r="326" spans="2:3" ht="15.75" customHeight="1" x14ac:dyDescent="0.25">
      <c r="B326" s="67" t="e">
        <f t="shared" si="26"/>
        <v>#REF!</v>
      </c>
      <c r="C326" s="76" t="e">
        <f t="shared" si="27"/>
        <v>#REF!</v>
      </c>
    </row>
    <row r="327" spans="2:3" ht="15.75" customHeight="1" x14ac:dyDescent="0.25">
      <c r="B327" s="67" t="e">
        <f t="shared" si="26"/>
        <v>#REF!</v>
      </c>
      <c r="C327" s="76" t="e">
        <f t="shared" si="27"/>
        <v>#REF!</v>
      </c>
    </row>
    <row r="328" spans="2:3" ht="15.75" customHeight="1" x14ac:dyDescent="0.25">
      <c r="B328" s="67" t="e">
        <f t="shared" si="26"/>
        <v>#REF!</v>
      </c>
      <c r="C328" s="76" t="e">
        <f t="shared" si="27"/>
        <v>#REF!</v>
      </c>
    </row>
    <row r="329" spans="2:3" ht="15.75" customHeight="1" x14ac:dyDescent="0.25">
      <c r="B329" s="67" t="e">
        <f t="shared" si="26"/>
        <v>#REF!</v>
      </c>
      <c r="C329" s="76" t="e">
        <f t="shared" si="27"/>
        <v>#REF!</v>
      </c>
    </row>
    <row r="330" spans="2:3" ht="15.75" customHeight="1" x14ac:dyDescent="0.25">
      <c r="B330" s="67" t="e">
        <f t="shared" si="26"/>
        <v>#REF!</v>
      </c>
      <c r="C330" s="76" t="e">
        <f t="shared" si="27"/>
        <v>#REF!</v>
      </c>
    </row>
    <row r="331" spans="2:3" ht="15.75" customHeight="1" x14ac:dyDescent="0.25">
      <c r="B331" s="67" t="e">
        <f t="shared" si="26"/>
        <v>#REF!</v>
      </c>
      <c r="C331" s="76" t="e">
        <f t="shared" si="27"/>
        <v>#REF!</v>
      </c>
    </row>
    <row r="332" spans="2:3" ht="15.75" customHeight="1" x14ac:dyDescent="0.25">
      <c r="B332" s="67" t="e">
        <f t="shared" si="26"/>
        <v>#REF!</v>
      </c>
      <c r="C332" s="76" t="e">
        <f t="shared" si="27"/>
        <v>#REF!</v>
      </c>
    </row>
    <row r="333" spans="2:3" ht="15.75" customHeight="1" x14ac:dyDescent="0.25">
      <c r="B333" s="67" t="e">
        <f t="shared" si="26"/>
        <v>#REF!</v>
      </c>
      <c r="C333" s="76" t="e">
        <f t="shared" si="27"/>
        <v>#REF!</v>
      </c>
    </row>
    <row r="334" spans="2:3" ht="15.75" customHeight="1" x14ac:dyDescent="0.25">
      <c r="B334" s="67" t="e">
        <f t="shared" si="26"/>
        <v>#REF!</v>
      </c>
      <c r="C334" s="76" t="e">
        <f t="shared" si="27"/>
        <v>#REF!</v>
      </c>
    </row>
    <row r="335" spans="2:3" ht="15.75" customHeight="1" x14ac:dyDescent="0.25">
      <c r="B335" s="67" t="e">
        <f t="shared" si="26"/>
        <v>#REF!</v>
      </c>
      <c r="C335" s="76" t="e">
        <f t="shared" si="27"/>
        <v>#REF!</v>
      </c>
    </row>
    <row r="336" spans="2:3" ht="15.75" customHeight="1" x14ac:dyDescent="0.25">
      <c r="B336" s="67" t="e">
        <f t="shared" si="26"/>
        <v>#REF!</v>
      </c>
      <c r="C336" s="76" t="e">
        <f t="shared" si="27"/>
        <v>#REF!</v>
      </c>
    </row>
    <row r="337" spans="2:3" ht="15.75" customHeight="1" x14ac:dyDescent="0.25">
      <c r="B337" s="67" t="e">
        <f t="shared" si="26"/>
        <v>#REF!</v>
      </c>
      <c r="C337" s="76" t="e">
        <f t="shared" si="27"/>
        <v>#REF!</v>
      </c>
    </row>
    <row r="338" spans="2:3" ht="15.75" customHeight="1" x14ac:dyDescent="0.25">
      <c r="B338" s="67" t="e">
        <f t="shared" si="26"/>
        <v>#REF!</v>
      </c>
      <c r="C338" s="76" t="e">
        <f t="shared" si="27"/>
        <v>#REF!</v>
      </c>
    </row>
    <row r="339" spans="2:3" ht="15.75" customHeight="1" x14ac:dyDescent="0.25">
      <c r="B339" s="67" t="e">
        <f t="shared" si="26"/>
        <v>#REF!</v>
      </c>
      <c r="C339" s="76" t="e">
        <f t="shared" si="27"/>
        <v>#REF!</v>
      </c>
    </row>
    <row r="340" spans="2:3" ht="15.75" customHeight="1" x14ac:dyDescent="0.25">
      <c r="B340" s="67" t="e">
        <f t="shared" si="26"/>
        <v>#REF!</v>
      </c>
      <c r="C340" s="76" t="e">
        <f t="shared" si="27"/>
        <v>#REF!</v>
      </c>
    </row>
    <row r="341" spans="2:3" ht="15.75" customHeight="1" x14ac:dyDescent="0.25">
      <c r="B341" s="67" t="e">
        <f t="shared" si="26"/>
        <v>#REF!</v>
      </c>
      <c r="C341" s="76" t="e">
        <f t="shared" si="27"/>
        <v>#REF!</v>
      </c>
    </row>
    <row r="342" spans="2:3" ht="15.75" customHeight="1" x14ac:dyDescent="0.25">
      <c r="B342" s="67" t="e">
        <f t="shared" si="26"/>
        <v>#REF!</v>
      </c>
      <c r="C342" s="76" t="e">
        <f t="shared" si="27"/>
        <v>#REF!</v>
      </c>
    </row>
    <row r="343" spans="2:3" ht="15.75" customHeight="1" x14ac:dyDescent="0.25">
      <c r="B343" s="67" t="e">
        <f t="shared" si="26"/>
        <v>#REF!</v>
      </c>
      <c r="C343" s="76" t="e">
        <f t="shared" si="27"/>
        <v>#REF!</v>
      </c>
    </row>
    <row r="344" spans="2:3" ht="15.75" customHeight="1" x14ac:dyDescent="0.25">
      <c r="B344" s="67" t="e">
        <f t="shared" si="26"/>
        <v>#REF!</v>
      </c>
      <c r="C344" s="76" t="e">
        <f t="shared" si="27"/>
        <v>#REF!</v>
      </c>
    </row>
    <row r="345" spans="2:3" ht="15.75" customHeight="1" x14ac:dyDescent="0.25">
      <c r="B345" s="67" t="e">
        <f t="shared" si="26"/>
        <v>#REF!</v>
      </c>
      <c r="C345" s="76" t="e">
        <f t="shared" si="27"/>
        <v>#REF!</v>
      </c>
    </row>
    <row r="346" spans="2:3" ht="15.75" customHeight="1" x14ac:dyDescent="0.25">
      <c r="B346" s="67" t="e">
        <f t="shared" si="26"/>
        <v>#REF!</v>
      </c>
      <c r="C346" s="76" t="e">
        <f t="shared" si="27"/>
        <v>#REF!</v>
      </c>
    </row>
    <row r="347" spans="2:3" ht="15.75" customHeight="1" x14ac:dyDescent="0.25">
      <c r="B347" s="67" t="e">
        <f t="shared" si="26"/>
        <v>#REF!</v>
      </c>
      <c r="C347" s="76" t="e">
        <f t="shared" si="27"/>
        <v>#REF!</v>
      </c>
    </row>
    <row r="348" spans="2:3" ht="15.75" customHeight="1" x14ac:dyDescent="0.25">
      <c r="B348" s="67" t="e">
        <f t="shared" si="26"/>
        <v>#REF!</v>
      </c>
      <c r="C348" s="76" t="e">
        <f t="shared" si="27"/>
        <v>#REF!</v>
      </c>
    </row>
    <row r="349" spans="2:3" ht="15.75" customHeight="1" x14ac:dyDescent="0.25">
      <c r="B349" s="67" t="e">
        <f t="shared" si="26"/>
        <v>#REF!</v>
      </c>
      <c r="C349" s="76" t="e">
        <f t="shared" si="27"/>
        <v>#REF!</v>
      </c>
    </row>
    <row r="350" spans="2:3" ht="15.75" customHeight="1" x14ac:dyDescent="0.25">
      <c r="B350" s="67" t="e">
        <f t="shared" ref="B350:B413" si="28">IF(B349="","",IF(B349+$C$10&lt;=$C$6,B349+$C$10,""))</f>
        <v>#REF!</v>
      </c>
      <c r="C350" s="76" t="e">
        <f t="shared" ref="C350:C413" si="29">IF(B350&lt;&gt;"",C349-$C$2/COUNT($B$18:$B$511),"")</f>
        <v>#REF!</v>
      </c>
    </row>
    <row r="351" spans="2:3" ht="15.75" customHeight="1" x14ac:dyDescent="0.25">
      <c r="B351" s="67" t="e">
        <f t="shared" si="28"/>
        <v>#REF!</v>
      </c>
      <c r="C351" s="76" t="e">
        <f t="shared" si="29"/>
        <v>#REF!</v>
      </c>
    </row>
    <row r="352" spans="2:3" ht="15.75" customHeight="1" x14ac:dyDescent="0.25">
      <c r="B352" s="67" t="e">
        <f t="shared" si="28"/>
        <v>#REF!</v>
      </c>
      <c r="C352" s="76" t="e">
        <f t="shared" si="29"/>
        <v>#REF!</v>
      </c>
    </row>
    <row r="353" spans="2:3" ht="15.75" customHeight="1" x14ac:dyDescent="0.25">
      <c r="B353" s="67" t="e">
        <f t="shared" si="28"/>
        <v>#REF!</v>
      </c>
      <c r="C353" s="76" t="e">
        <f t="shared" si="29"/>
        <v>#REF!</v>
      </c>
    </row>
    <row r="354" spans="2:3" ht="15.75" customHeight="1" x14ac:dyDescent="0.25">
      <c r="B354" s="67" t="e">
        <f t="shared" si="28"/>
        <v>#REF!</v>
      </c>
      <c r="C354" s="76" t="e">
        <f t="shared" si="29"/>
        <v>#REF!</v>
      </c>
    </row>
    <row r="355" spans="2:3" ht="15.75" customHeight="1" x14ac:dyDescent="0.25">
      <c r="B355" s="67" t="e">
        <f t="shared" si="28"/>
        <v>#REF!</v>
      </c>
      <c r="C355" s="76" t="e">
        <f t="shared" si="29"/>
        <v>#REF!</v>
      </c>
    </row>
    <row r="356" spans="2:3" ht="15.75" customHeight="1" x14ac:dyDescent="0.25">
      <c r="B356" s="67" t="e">
        <f t="shared" si="28"/>
        <v>#REF!</v>
      </c>
      <c r="C356" s="76" t="e">
        <f t="shared" si="29"/>
        <v>#REF!</v>
      </c>
    </row>
    <row r="357" spans="2:3" ht="15.75" customHeight="1" x14ac:dyDescent="0.25">
      <c r="B357" s="67" t="e">
        <f t="shared" si="28"/>
        <v>#REF!</v>
      </c>
      <c r="C357" s="76" t="e">
        <f t="shared" si="29"/>
        <v>#REF!</v>
      </c>
    </row>
    <row r="358" spans="2:3" ht="15.75" customHeight="1" x14ac:dyDescent="0.25">
      <c r="B358" s="67" t="e">
        <f t="shared" si="28"/>
        <v>#REF!</v>
      </c>
      <c r="C358" s="76" t="e">
        <f t="shared" si="29"/>
        <v>#REF!</v>
      </c>
    </row>
    <row r="359" spans="2:3" ht="15.75" customHeight="1" x14ac:dyDescent="0.25">
      <c r="B359" s="67" t="e">
        <f t="shared" si="28"/>
        <v>#REF!</v>
      </c>
      <c r="C359" s="76" t="e">
        <f t="shared" si="29"/>
        <v>#REF!</v>
      </c>
    </row>
    <row r="360" spans="2:3" ht="15.75" customHeight="1" x14ac:dyDescent="0.25">
      <c r="B360" s="67" t="e">
        <f t="shared" si="28"/>
        <v>#REF!</v>
      </c>
      <c r="C360" s="76" t="e">
        <f t="shared" si="29"/>
        <v>#REF!</v>
      </c>
    </row>
    <row r="361" spans="2:3" ht="15.75" customHeight="1" x14ac:dyDescent="0.25">
      <c r="B361" s="67" t="e">
        <f t="shared" si="28"/>
        <v>#REF!</v>
      </c>
      <c r="C361" s="76" t="e">
        <f t="shared" si="29"/>
        <v>#REF!</v>
      </c>
    </row>
    <row r="362" spans="2:3" ht="15.75" customHeight="1" x14ac:dyDescent="0.25">
      <c r="B362" s="67" t="e">
        <f t="shared" si="28"/>
        <v>#REF!</v>
      </c>
      <c r="C362" s="76" t="e">
        <f t="shared" si="29"/>
        <v>#REF!</v>
      </c>
    </row>
    <row r="363" spans="2:3" ht="15.75" customHeight="1" x14ac:dyDescent="0.25">
      <c r="B363" s="67" t="e">
        <f t="shared" si="28"/>
        <v>#REF!</v>
      </c>
      <c r="C363" s="76" t="e">
        <f t="shared" si="29"/>
        <v>#REF!</v>
      </c>
    </row>
    <row r="364" spans="2:3" ht="15.75" customHeight="1" x14ac:dyDescent="0.25">
      <c r="B364" s="67" t="e">
        <f t="shared" si="28"/>
        <v>#REF!</v>
      </c>
      <c r="C364" s="76" t="e">
        <f t="shared" si="29"/>
        <v>#REF!</v>
      </c>
    </row>
    <row r="365" spans="2:3" ht="15.75" customHeight="1" x14ac:dyDescent="0.25">
      <c r="B365" s="67" t="e">
        <f t="shared" si="28"/>
        <v>#REF!</v>
      </c>
      <c r="C365" s="76" t="e">
        <f t="shared" si="29"/>
        <v>#REF!</v>
      </c>
    </row>
    <row r="366" spans="2:3" ht="15.75" customHeight="1" x14ac:dyDescent="0.25">
      <c r="B366" s="67" t="e">
        <f t="shared" si="28"/>
        <v>#REF!</v>
      </c>
      <c r="C366" s="76" t="e">
        <f t="shared" si="29"/>
        <v>#REF!</v>
      </c>
    </row>
    <row r="367" spans="2:3" ht="15.75" customHeight="1" x14ac:dyDescent="0.25">
      <c r="B367" s="67" t="e">
        <f t="shared" si="28"/>
        <v>#REF!</v>
      </c>
      <c r="C367" s="76" t="e">
        <f t="shared" si="29"/>
        <v>#REF!</v>
      </c>
    </row>
    <row r="368" spans="2:3" ht="15.75" customHeight="1" x14ac:dyDescent="0.25">
      <c r="B368" s="67" t="e">
        <f t="shared" si="28"/>
        <v>#REF!</v>
      </c>
      <c r="C368" s="76" t="e">
        <f t="shared" si="29"/>
        <v>#REF!</v>
      </c>
    </row>
    <row r="369" spans="2:3" ht="15.75" customHeight="1" x14ac:dyDescent="0.25">
      <c r="B369" s="67" t="e">
        <f t="shared" si="28"/>
        <v>#REF!</v>
      </c>
      <c r="C369" s="76" t="e">
        <f t="shared" si="29"/>
        <v>#REF!</v>
      </c>
    </row>
    <row r="370" spans="2:3" ht="15.75" customHeight="1" x14ac:dyDescent="0.25">
      <c r="B370" s="67" t="e">
        <f t="shared" si="28"/>
        <v>#REF!</v>
      </c>
      <c r="C370" s="76" t="e">
        <f t="shared" si="29"/>
        <v>#REF!</v>
      </c>
    </row>
    <row r="371" spans="2:3" ht="15.75" customHeight="1" x14ac:dyDescent="0.25">
      <c r="B371" s="67" t="e">
        <f t="shared" si="28"/>
        <v>#REF!</v>
      </c>
      <c r="C371" s="76" t="e">
        <f t="shared" si="29"/>
        <v>#REF!</v>
      </c>
    </row>
    <row r="372" spans="2:3" ht="15.75" customHeight="1" x14ac:dyDescent="0.25">
      <c r="B372" s="67" t="e">
        <f t="shared" si="28"/>
        <v>#REF!</v>
      </c>
      <c r="C372" s="76" t="e">
        <f t="shared" si="29"/>
        <v>#REF!</v>
      </c>
    </row>
    <row r="373" spans="2:3" ht="15.75" customHeight="1" x14ac:dyDescent="0.25">
      <c r="B373" s="67" t="e">
        <f t="shared" si="28"/>
        <v>#REF!</v>
      </c>
      <c r="C373" s="76" t="e">
        <f t="shared" si="29"/>
        <v>#REF!</v>
      </c>
    </row>
    <row r="374" spans="2:3" ht="15.75" customHeight="1" x14ac:dyDescent="0.25">
      <c r="B374" s="67" t="e">
        <f t="shared" si="28"/>
        <v>#REF!</v>
      </c>
      <c r="C374" s="76" t="e">
        <f t="shared" si="29"/>
        <v>#REF!</v>
      </c>
    </row>
    <row r="375" spans="2:3" ht="15.75" customHeight="1" x14ac:dyDescent="0.25">
      <c r="B375" s="67" t="e">
        <f t="shared" si="28"/>
        <v>#REF!</v>
      </c>
      <c r="C375" s="76" t="e">
        <f t="shared" si="29"/>
        <v>#REF!</v>
      </c>
    </row>
    <row r="376" spans="2:3" ht="15.75" customHeight="1" x14ac:dyDescent="0.25">
      <c r="B376" s="67" t="e">
        <f t="shared" si="28"/>
        <v>#REF!</v>
      </c>
      <c r="C376" s="76" t="e">
        <f t="shared" si="29"/>
        <v>#REF!</v>
      </c>
    </row>
    <row r="377" spans="2:3" ht="15.75" customHeight="1" x14ac:dyDescent="0.25">
      <c r="B377" s="67" t="e">
        <f t="shared" si="28"/>
        <v>#REF!</v>
      </c>
      <c r="C377" s="76" t="e">
        <f t="shared" si="29"/>
        <v>#REF!</v>
      </c>
    </row>
    <row r="378" spans="2:3" ht="15.75" customHeight="1" x14ac:dyDescent="0.25">
      <c r="B378" s="67" t="e">
        <f t="shared" si="28"/>
        <v>#REF!</v>
      </c>
      <c r="C378" s="76" t="e">
        <f t="shared" si="29"/>
        <v>#REF!</v>
      </c>
    </row>
    <row r="379" spans="2:3" ht="15.75" customHeight="1" x14ac:dyDescent="0.25">
      <c r="B379" s="67" t="e">
        <f t="shared" si="28"/>
        <v>#REF!</v>
      </c>
      <c r="C379" s="76" t="e">
        <f t="shared" si="29"/>
        <v>#REF!</v>
      </c>
    </row>
    <row r="380" spans="2:3" ht="15.75" customHeight="1" x14ac:dyDescent="0.25">
      <c r="B380" s="67" t="e">
        <f t="shared" si="28"/>
        <v>#REF!</v>
      </c>
      <c r="C380" s="76" t="e">
        <f t="shared" si="29"/>
        <v>#REF!</v>
      </c>
    </row>
    <row r="381" spans="2:3" ht="15.75" customHeight="1" x14ac:dyDescent="0.25">
      <c r="B381" s="67" t="e">
        <f t="shared" si="28"/>
        <v>#REF!</v>
      </c>
      <c r="C381" s="76" t="e">
        <f t="shared" si="29"/>
        <v>#REF!</v>
      </c>
    </row>
    <row r="382" spans="2:3" ht="15.75" customHeight="1" x14ac:dyDescent="0.25">
      <c r="B382" s="67" t="e">
        <f t="shared" si="28"/>
        <v>#REF!</v>
      </c>
      <c r="C382" s="76" t="e">
        <f t="shared" si="29"/>
        <v>#REF!</v>
      </c>
    </row>
    <row r="383" spans="2:3" ht="15.75" customHeight="1" x14ac:dyDescent="0.25">
      <c r="B383" s="67" t="e">
        <f t="shared" si="28"/>
        <v>#REF!</v>
      </c>
      <c r="C383" s="76" t="e">
        <f t="shared" si="29"/>
        <v>#REF!</v>
      </c>
    </row>
    <row r="384" spans="2:3" ht="15.75" customHeight="1" x14ac:dyDescent="0.25">
      <c r="B384" s="67" t="e">
        <f t="shared" si="28"/>
        <v>#REF!</v>
      </c>
      <c r="C384" s="76" t="e">
        <f t="shared" si="29"/>
        <v>#REF!</v>
      </c>
    </row>
    <row r="385" spans="2:3" ht="15.75" customHeight="1" x14ac:dyDescent="0.25">
      <c r="B385" s="67" t="e">
        <f t="shared" si="28"/>
        <v>#REF!</v>
      </c>
      <c r="C385" s="76" t="e">
        <f t="shared" si="29"/>
        <v>#REF!</v>
      </c>
    </row>
    <row r="386" spans="2:3" ht="15.75" customHeight="1" x14ac:dyDescent="0.25">
      <c r="B386" s="67" t="e">
        <f t="shared" si="28"/>
        <v>#REF!</v>
      </c>
      <c r="C386" s="76" t="e">
        <f t="shared" si="29"/>
        <v>#REF!</v>
      </c>
    </row>
    <row r="387" spans="2:3" ht="15.75" customHeight="1" x14ac:dyDescent="0.25">
      <c r="B387" s="67" t="e">
        <f t="shared" si="28"/>
        <v>#REF!</v>
      </c>
      <c r="C387" s="76" t="e">
        <f t="shared" si="29"/>
        <v>#REF!</v>
      </c>
    </row>
    <row r="388" spans="2:3" ht="15.75" customHeight="1" x14ac:dyDescent="0.25">
      <c r="B388" s="67" t="e">
        <f t="shared" si="28"/>
        <v>#REF!</v>
      </c>
      <c r="C388" s="76" t="e">
        <f t="shared" si="29"/>
        <v>#REF!</v>
      </c>
    </row>
    <row r="389" spans="2:3" ht="15.75" customHeight="1" x14ac:dyDescent="0.25">
      <c r="B389" s="67" t="e">
        <f t="shared" si="28"/>
        <v>#REF!</v>
      </c>
      <c r="C389" s="76" t="e">
        <f t="shared" si="29"/>
        <v>#REF!</v>
      </c>
    </row>
    <row r="390" spans="2:3" ht="15.75" customHeight="1" x14ac:dyDescent="0.25">
      <c r="B390" s="67" t="e">
        <f t="shared" si="28"/>
        <v>#REF!</v>
      </c>
      <c r="C390" s="76" t="e">
        <f t="shared" si="29"/>
        <v>#REF!</v>
      </c>
    </row>
    <row r="391" spans="2:3" ht="15.75" customHeight="1" x14ac:dyDescent="0.25">
      <c r="B391" s="67" t="e">
        <f t="shared" si="28"/>
        <v>#REF!</v>
      </c>
      <c r="C391" s="76" t="e">
        <f t="shared" si="29"/>
        <v>#REF!</v>
      </c>
    </row>
    <row r="392" spans="2:3" ht="15.75" customHeight="1" x14ac:dyDescent="0.25">
      <c r="B392" s="67" t="e">
        <f t="shared" si="28"/>
        <v>#REF!</v>
      </c>
      <c r="C392" s="76" t="e">
        <f t="shared" si="29"/>
        <v>#REF!</v>
      </c>
    </row>
    <row r="393" spans="2:3" ht="15.75" customHeight="1" x14ac:dyDescent="0.25">
      <c r="B393" s="67" t="e">
        <f t="shared" si="28"/>
        <v>#REF!</v>
      </c>
      <c r="C393" s="76" t="e">
        <f t="shared" si="29"/>
        <v>#REF!</v>
      </c>
    </row>
    <row r="394" spans="2:3" ht="15.75" customHeight="1" x14ac:dyDescent="0.25">
      <c r="B394" s="67" t="e">
        <f t="shared" si="28"/>
        <v>#REF!</v>
      </c>
      <c r="C394" s="76" t="e">
        <f t="shared" si="29"/>
        <v>#REF!</v>
      </c>
    </row>
    <row r="395" spans="2:3" ht="15.75" customHeight="1" x14ac:dyDescent="0.25">
      <c r="B395" s="67" t="e">
        <f t="shared" si="28"/>
        <v>#REF!</v>
      </c>
      <c r="C395" s="76" t="e">
        <f t="shared" si="29"/>
        <v>#REF!</v>
      </c>
    </row>
    <row r="396" spans="2:3" ht="15.75" customHeight="1" x14ac:dyDescent="0.25">
      <c r="B396" s="67" t="e">
        <f t="shared" si="28"/>
        <v>#REF!</v>
      </c>
      <c r="C396" s="76" t="e">
        <f t="shared" si="29"/>
        <v>#REF!</v>
      </c>
    </row>
    <row r="397" spans="2:3" ht="15.75" customHeight="1" x14ac:dyDescent="0.25">
      <c r="B397" s="67" t="e">
        <f t="shared" si="28"/>
        <v>#REF!</v>
      </c>
      <c r="C397" s="76" t="e">
        <f t="shared" si="29"/>
        <v>#REF!</v>
      </c>
    </row>
    <row r="398" spans="2:3" ht="15.75" customHeight="1" x14ac:dyDescent="0.25">
      <c r="B398" s="67" t="e">
        <f t="shared" si="28"/>
        <v>#REF!</v>
      </c>
      <c r="C398" s="76" t="e">
        <f t="shared" si="29"/>
        <v>#REF!</v>
      </c>
    </row>
    <row r="399" spans="2:3" ht="15.75" customHeight="1" x14ac:dyDescent="0.25">
      <c r="B399" s="67" t="e">
        <f t="shared" si="28"/>
        <v>#REF!</v>
      </c>
      <c r="C399" s="76" t="e">
        <f t="shared" si="29"/>
        <v>#REF!</v>
      </c>
    </row>
    <row r="400" spans="2:3" ht="15.75" customHeight="1" x14ac:dyDescent="0.25">
      <c r="B400" s="67" t="e">
        <f t="shared" si="28"/>
        <v>#REF!</v>
      </c>
      <c r="C400" s="76" t="e">
        <f t="shared" si="29"/>
        <v>#REF!</v>
      </c>
    </row>
    <row r="401" spans="2:3" ht="15.75" customHeight="1" x14ac:dyDescent="0.25">
      <c r="B401" s="67" t="e">
        <f t="shared" si="28"/>
        <v>#REF!</v>
      </c>
      <c r="C401" s="76" t="e">
        <f t="shared" si="29"/>
        <v>#REF!</v>
      </c>
    </row>
    <row r="402" spans="2:3" ht="15.75" customHeight="1" x14ac:dyDescent="0.25">
      <c r="B402" s="67" t="e">
        <f t="shared" si="28"/>
        <v>#REF!</v>
      </c>
      <c r="C402" s="76" t="e">
        <f t="shared" si="29"/>
        <v>#REF!</v>
      </c>
    </row>
    <row r="403" spans="2:3" ht="15.75" customHeight="1" x14ac:dyDescent="0.25">
      <c r="B403" s="67" t="e">
        <f t="shared" si="28"/>
        <v>#REF!</v>
      </c>
      <c r="C403" s="76" t="e">
        <f t="shared" si="29"/>
        <v>#REF!</v>
      </c>
    </row>
    <row r="404" spans="2:3" ht="15.75" customHeight="1" x14ac:dyDescent="0.25">
      <c r="B404" s="67" t="e">
        <f t="shared" si="28"/>
        <v>#REF!</v>
      </c>
      <c r="C404" s="76" t="e">
        <f t="shared" si="29"/>
        <v>#REF!</v>
      </c>
    </row>
    <row r="405" spans="2:3" ht="15.75" customHeight="1" x14ac:dyDescent="0.25">
      <c r="B405" s="67" t="e">
        <f t="shared" si="28"/>
        <v>#REF!</v>
      </c>
      <c r="C405" s="76" t="e">
        <f t="shared" si="29"/>
        <v>#REF!</v>
      </c>
    </row>
    <row r="406" spans="2:3" ht="15.75" customHeight="1" x14ac:dyDescent="0.25">
      <c r="B406" s="67" t="e">
        <f t="shared" si="28"/>
        <v>#REF!</v>
      </c>
      <c r="C406" s="76" t="e">
        <f t="shared" si="29"/>
        <v>#REF!</v>
      </c>
    </row>
    <row r="407" spans="2:3" ht="15.75" customHeight="1" x14ac:dyDescent="0.25">
      <c r="B407" s="67" t="e">
        <f t="shared" si="28"/>
        <v>#REF!</v>
      </c>
      <c r="C407" s="76" t="e">
        <f t="shared" si="29"/>
        <v>#REF!</v>
      </c>
    </row>
    <row r="408" spans="2:3" ht="15.75" customHeight="1" x14ac:dyDescent="0.25">
      <c r="B408" s="67" t="e">
        <f t="shared" si="28"/>
        <v>#REF!</v>
      </c>
      <c r="C408" s="76" t="e">
        <f t="shared" si="29"/>
        <v>#REF!</v>
      </c>
    </row>
    <row r="409" spans="2:3" ht="15.75" customHeight="1" x14ac:dyDescent="0.25">
      <c r="B409" s="67" t="e">
        <f t="shared" si="28"/>
        <v>#REF!</v>
      </c>
      <c r="C409" s="76" t="e">
        <f t="shared" si="29"/>
        <v>#REF!</v>
      </c>
    </row>
    <row r="410" spans="2:3" ht="15.75" customHeight="1" x14ac:dyDescent="0.25">
      <c r="B410" s="67" t="e">
        <f t="shared" si="28"/>
        <v>#REF!</v>
      </c>
      <c r="C410" s="76" t="e">
        <f t="shared" si="29"/>
        <v>#REF!</v>
      </c>
    </row>
    <row r="411" spans="2:3" ht="15.75" customHeight="1" x14ac:dyDescent="0.25">
      <c r="B411" s="67" t="e">
        <f t="shared" si="28"/>
        <v>#REF!</v>
      </c>
      <c r="C411" s="76" t="e">
        <f t="shared" si="29"/>
        <v>#REF!</v>
      </c>
    </row>
    <row r="412" spans="2:3" ht="15.75" customHeight="1" x14ac:dyDescent="0.25">
      <c r="B412" s="67" t="e">
        <f t="shared" si="28"/>
        <v>#REF!</v>
      </c>
      <c r="C412" s="76" t="e">
        <f t="shared" si="29"/>
        <v>#REF!</v>
      </c>
    </row>
    <row r="413" spans="2:3" ht="15.75" customHeight="1" x14ac:dyDescent="0.25">
      <c r="B413" s="67" t="e">
        <f t="shared" si="28"/>
        <v>#REF!</v>
      </c>
      <c r="C413" s="76" t="e">
        <f t="shared" si="29"/>
        <v>#REF!</v>
      </c>
    </row>
    <row r="414" spans="2:3" ht="15.75" customHeight="1" x14ac:dyDescent="0.25">
      <c r="B414" s="67" t="e">
        <f t="shared" ref="B414:B477" si="30">IF(B413="","",IF(B413+$C$10&lt;=$C$6,B413+$C$10,""))</f>
        <v>#REF!</v>
      </c>
      <c r="C414" s="76" t="e">
        <f t="shared" ref="C414:C477" si="31">IF(B414&lt;&gt;"",C413-$C$2/COUNT($B$18:$B$511),"")</f>
        <v>#REF!</v>
      </c>
    </row>
    <row r="415" spans="2:3" ht="15.75" customHeight="1" x14ac:dyDescent="0.25">
      <c r="B415" s="67" t="e">
        <f t="shared" si="30"/>
        <v>#REF!</v>
      </c>
      <c r="C415" s="76" t="e">
        <f t="shared" si="31"/>
        <v>#REF!</v>
      </c>
    </row>
    <row r="416" spans="2:3" ht="15.75" customHeight="1" x14ac:dyDescent="0.25">
      <c r="B416" s="67" t="e">
        <f t="shared" si="30"/>
        <v>#REF!</v>
      </c>
      <c r="C416" s="76" t="e">
        <f t="shared" si="31"/>
        <v>#REF!</v>
      </c>
    </row>
    <row r="417" spans="2:3" ht="15.75" customHeight="1" x14ac:dyDescent="0.25">
      <c r="B417" s="67" t="e">
        <f t="shared" si="30"/>
        <v>#REF!</v>
      </c>
      <c r="C417" s="76" t="e">
        <f t="shared" si="31"/>
        <v>#REF!</v>
      </c>
    </row>
    <row r="418" spans="2:3" ht="15.75" customHeight="1" x14ac:dyDescent="0.25">
      <c r="B418" s="67" t="e">
        <f t="shared" si="30"/>
        <v>#REF!</v>
      </c>
      <c r="C418" s="76" t="e">
        <f t="shared" si="31"/>
        <v>#REF!</v>
      </c>
    </row>
    <row r="419" spans="2:3" ht="15.75" customHeight="1" x14ac:dyDescent="0.25">
      <c r="B419" s="67" t="e">
        <f t="shared" si="30"/>
        <v>#REF!</v>
      </c>
      <c r="C419" s="76" t="e">
        <f t="shared" si="31"/>
        <v>#REF!</v>
      </c>
    </row>
    <row r="420" spans="2:3" ht="15.75" customHeight="1" x14ac:dyDescent="0.25">
      <c r="B420" s="67" t="e">
        <f t="shared" si="30"/>
        <v>#REF!</v>
      </c>
      <c r="C420" s="76" t="e">
        <f t="shared" si="31"/>
        <v>#REF!</v>
      </c>
    </row>
    <row r="421" spans="2:3" ht="15.75" customHeight="1" x14ac:dyDescent="0.25">
      <c r="B421" s="67" t="e">
        <f t="shared" si="30"/>
        <v>#REF!</v>
      </c>
      <c r="C421" s="76" t="e">
        <f t="shared" si="31"/>
        <v>#REF!</v>
      </c>
    </row>
    <row r="422" spans="2:3" ht="15.75" customHeight="1" x14ac:dyDescent="0.25">
      <c r="B422" s="67" t="e">
        <f t="shared" si="30"/>
        <v>#REF!</v>
      </c>
      <c r="C422" s="76" t="e">
        <f t="shared" si="31"/>
        <v>#REF!</v>
      </c>
    </row>
    <row r="423" spans="2:3" ht="15.75" customHeight="1" x14ac:dyDescent="0.25">
      <c r="B423" s="67" t="e">
        <f t="shared" si="30"/>
        <v>#REF!</v>
      </c>
      <c r="C423" s="76" t="e">
        <f t="shared" si="31"/>
        <v>#REF!</v>
      </c>
    </row>
    <row r="424" spans="2:3" ht="15.75" customHeight="1" x14ac:dyDescent="0.25">
      <c r="B424" s="67" t="e">
        <f t="shared" si="30"/>
        <v>#REF!</v>
      </c>
      <c r="C424" s="76" t="e">
        <f t="shared" si="31"/>
        <v>#REF!</v>
      </c>
    </row>
    <row r="425" spans="2:3" ht="15.75" customHeight="1" x14ac:dyDescent="0.25">
      <c r="B425" s="67" t="e">
        <f t="shared" si="30"/>
        <v>#REF!</v>
      </c>
      <c r="C425" s="76" t="e">
        <f t="shared" si="31"/>
        <v>#REF!</v>
      </c>
    </row>
    <row r="426" spans="2:3" ht="15.75" customHeight="1" x14ac:dyDescent="0.25">
      <c r="B426" s="67" t="e">
        <f t="shared" si="30"/>
        <v>#REF!</v>
      </c>
      <c r="C426" s="76" t="e">
        <f t="shared" si="31"/>
        <v>#REF!</v>
      </c>
    </row>
    <row r="427" spans="2:3" ht="15.75" customHeight="1" x14ac:dyDescent="0.25">
      <c r="B427" s="67" t="e">
        <f t="shared" si="30"/>
        <v>#REF!</v>
      </c>
      <c r="C427" s="76" t="e">
        <f t="shared" si="31"/>
        <v>#REF!</v>
      </c>
    </row>
    <row r="428" spans="2:3" ht="15.75" customHeight="1" x14ac:dyDescent="0.25">
      <c r="B428" s="67" t="e">
        <f t="shared" si="30"/>
        <v>#REF!</v>
      </c>
      <c r="C428" s="76" t="e">
        <f t="shared" si="31"/>
        <v>#REF!</v>
      </c>
    </row>
    <row r="429" spans="2:3" ht="15.75" customHeight="1" x14ac:dyDescent="0.25">
      <c r="B429" s="67" t="e">
        <f t="shared" si="30"/>
        <v>#REF!</v>
      </c>
      <c r="C429" s="76" t="e">
        <f t="shared" si="31"/>
        <v>#REF!</v>
      </c>
    </row>
    <row r="430" spans="2:3" ht="15.75" customHeight="1" x14ac:dyDescent="0.25">
      <c r="B430" s="67" t="e">
        <f t="shared" si="30"/>
        <v>#REF!</v>
      </c>
      <c r="C430" s="76" t="e">
        <f t="shared" si="31"/>
        <v>#REF!</v>
      </c>
    </row>
    <row r="431" spans="2:3" ht="15.75" customHeight="1" x14ac:dyDescent="0.25">
      <c r="B431" s="67" t="e">
        <f t="shared" si="30"/>
        <v>#REF!</v>
      </c>
      <c r="C431" s="76" t="e">
        <f t="shared" si="31"/>
        <v>#REF!</v>
      </c>
    </row>
    <row r="432" spans="2:3" ht="15.75" customHeight="1" x14ac:dyDescent="0.25">
      <c r="B432" s="67" t="e">
        <f t="shared" si="30"/>
        <v>#REF!</v>
      </c>
      <c r="C432" s="76" t="e">
        <f t="shared" si="31"/>
        <v>#REF!</v>
      </c>
    </row>
    <row r="433" spans="2:3" ht="15.75" customHeight="1" x14ac:dyDescent="0.25">
      <c r="B433" s="67" t="e">
        <f t="shared" si="30"/>
        <v>#REF!</v>
      </c>
      <c r="C433" s="76" t="e">
        <f t="shared" si="31"/>
        <v>#REF!</v>
      </c>
    </row>
    <row r="434" spans="2:3" ht="15.75" customHeight="1" x14ac:dyDescent="0.25">
      <c r="B434" s="67" t="e">
        <f t="shared" si="30"/>
        <v>#REF!</v>
      </c>
      <c r="C434" s="76" t="e">
        <f t="shared" si="31"/>
        <v>#REF!</v>
      </c>
    </row>
    <row r="435" spans="2:3" ht="15.75" customHeight="1" x14ac:dyDescent="0.25">
      <c r="B435" s="67" t="e">
        <f t="shared" si="30"/>
        <v>#REF!</v>
      </c>
      <c r="C435" s="76" t="e">
        <f t="shared" si="31"/>
        <v>#REF!</v>
      </c>
    </row>
    <row r="436" spans="2:3" ht="15.75" customHeight="1" x14ac:dyDescent="0.25">
      <c r="B436" s="67" t="e">
        <f t="shared" si="30"/>
        <v>#REF!</v>
      </c>
      <c r="C436" s="76" t="e">
        <f t="shared" si="31"/>
        <v>#REF!</v>
      </c>
    </row>
    <row r="437" spans="2:3" ht="15.75" customHeight="1" x14ac:dyDescent="0.25">
      <c r="B437" s="67" t="e">
        <f t="shared" si="30"/>
        <v>#REF!</v>
      </c>
      <c r="C437" s="76" t="e">
        <f t="shared" si="31"/>
        <v>#REF!</v>
      </c>
    </row>
    <row r="438" spans="2:3" ht="15.75" customHeight="1" x14ac:dyDescent="0.25">
      <c r="B438" s="67" t="e">
        <f t="shared" si="30"/>
        <v>#REF!</v>
      </c>
      <c r="C438" s="76" t="e">
        <f t="shared" si="31"/>
        <v>#REF!</v>
      </c>
    </row>
    <row r="439" spans="2:3" ht="15.75" customHeight="1" x14ac:dyDescent="0.25">
      <c r="B439" s="67" t="e">
        <f t="shared" si="30"/>
        <v>#REF!</v>
      </c>
      <c r="C439" s="76" t="e">
        <f t="shared" si="31"/>
        <v>#REF!</v>
      </c>
    </row>
    <row r="440" spans="2:3" ht="15.75" customHeight="1" x14ac:dyDescent="0.25">
      <c r="B440" s="67" t="e">
        <f t="shared" si="30"/>
        <v>#REF!</v>
      </c>
      <c r="C440" s="76" t="e">
        <f t="shared" si="31"/>
        <v>#REF!</v>
      </c>
    </row>
    <row r="441" spans="2:3" ht="15.75" customHeight="1" x14ac:dyDescent="0.25">
      <c r="B441" s="67" t="e">
        <f t="shared" si="30"/>
        <v>#REF!</v>
      </c>
      <c r="C441" s="76" t="e">
        <f t="shared" si="31"/>
        <v>#REF!</v>
      </c>
    </row>
    <row r="442" spans="2:3" ht="15.75" customHeight="1" x14ac:dyDescent="0.25">
      <c r="B442" s="67" t="e">
        <f t="shared" si="30"/>
        <v>#REF!</v>
      </c>
      <c r="C442" s="76" t="e">
        <f t="shared" si="31"/>
        <v>#REF!</v>
      </c>
    </row>
    <row r="443" spans="2:3" ht="15.75" customHeight="1" x14ac:dyDescent="0.25">
      <c r="B443" s="67" t="e">
        <f t="shared" si="30"/>
        <v>#REF!</v>
      </c>
      <c r="C443" s="76" t="e">
        <f t="shared" si="31"/>
        <v>#REF!</v>
      </c>
    </row>
    <row r="444" spans="2:3" ht="15.75" customHeight="1" x14ac:dyDescent="0.25">
      <c r="B444" s="67" t="e">
        <f t="shared" si="30"/>
        <v>#REF!</v>
      </c>
      <c r="C444" s="76" t="e">
        <f t="shared" si="31"/>
        <v>#REF!</v>
      </c>
    </row>
    <row r="445" spans="2:3" ht="15.75" customHeight="1" x14ac:dyDescent="0.25">
      <c r="B445" s="67" t="e">
        <f t="shared" si="30"/>
        <v>#REF!</v>
      </c>
      <c r="C445" s="76" t="e">
        <f t="shared" si="31"/>
        <v>#REF!</v>
      </c>
    </row>
    <row r="446" spans="2:3" ht="15.75" customHeight="1" x14ac:dyDescent="0.25">
      <c r="B446" s="67" t="e">
        <f t="shared" si="30"/>
        <v>#REF!</v>
      </c>
      <c r="C446" s="76" t="e">
        <f t="shared" si="31"/>
        <v>#REF!</v>
      </c>
    </row>
    <row r="447" spans="2:3" ht="15.75" customHeight="1" x14ac:dyDescent="0.25">
      <c r="B447" s="67" t="e">
        <f t="shared" si="30"/>
        <v>#REF!</v>
      </c>
      <c r="C447" s="76" t="e">
        <f t="shared" si="31"/>
        <v>#REF!</v>
      </c>
    </row>
    <row r="448" spans="2:3" ht="15.75" customHeight="1" x14ac:dyDescent="0.25">
      <c r="B448" s="67" t="e">
        <f t="shared" si="30"/>
        <v>#REF!</v>
      </c>
      <c r="C448" s="76" t="e">
        <f t="shared" si="31"/>
        <v>#REF!</v>
      </c>
    </row>
    <row r="449" spans="2:3" ht="15.75" customHeight="1" x14ac:dyDescent="0.25">
      <c r="B449" s="67" t="e">
        <f t="shared" si="30"/>
        <v>#REF!</v>
      </c>
      <c r="C449" s="76" t="e">
        <f t="shared" si="31"/>
        <v>#REF!</v>
      </c>
    </row>
    <row r="450" spans="2:3" ht="15.75" customHeight="1" x14ac:dyDescent="0.25">
      <c r="B450" s="67" t="e">
        <f t="shared" si="30"/>
        <v>#REF!</v>
      </c>
      <c r="C450" s="76" t="e">
        <f t="shared" si="31"/>
        <v>#REF!</v>
      </c>
    </row>
    <row r="451" spans="2:3" ht="15.75" customHeight="1" x14ac:dyDescent="0.25">
      <c r="B451" s="67" t="e">
        <f t="shared" si="30"/>
        <v>#REF!</v>
      </c>
      <c r="C451" s="76" t="e">
        <f t="shared" si="31"/>
        <v>#REF!</v>
      </c>
    </row>
    <row r="452" spans="2:3" ht="15.75" customHeight="1" x14ac:dyDescent="0.25">
      <c r="B452" s="67" t="e">
        <f t="shared" si="30"/>
        <v>#REF!</v>
      </c>
      <c r="C452" s="76" t="e">
        <f t="shared" si="31"/>
        <v>#REF!</v>
      </c>
    </row>
    <row r="453" spans="2:3" ht="15.75" customHeight="1" x14ac:dyDescent="0.25">
      <c r="B453" s="67" t="e">
        <f t="shared" si="30"/>
        <v>#REF!</v>
      </c>
      <c r="C453" s="76" t="e">
        <f t="shared" si="31"/>
        <v>#REF!</v>
      </c>
    </row>
    <row r="454" spans="2:3" ht="15.75" customHeight="1" x14ac:dyDescent="0.25">
      <c r="B454" s="67" t="e">
        <f t="shared" si="30"/>
        <v>#REF!</v>
      </c>
      <c r="C454" s="76" t="e">
        <f t="shared" si="31"/>
        <v>#REF!</v>
      </c>
    </row>
    <row r="455" spans="2:3" ht="15.75" customHeight="1" x14ac:dyDescent="0.25">
      <c r="B455" s="67" t="e">
        <f t="shared" si="30"/>
        <v>#REF!</v>
      </c>
      <c r="C455" s="76" t="e">
        <f t="shared" si="31"/>
        <v>#REF!</v>
      </c>
    </row>
    <row r="456" spans="2:3" ht="15.75" customHeight="1" x14ac:dyDescent="0.25">
      <c r="B456" s="67" t="e">
        <f t="shared" si="30"/>
        <v>#REF!</v>
      </c>
      <c r="C456" s="76" t="e">
        <f t="shared" si="31"/>
        <v>#REF!</v>
      </c>
    </row>
    <row r="457" spans="2:3" ht="15.75" customHeight="1" x14ac:dyDescent="0.25">
      <c r="B457" s="67" t="e">
        <f t="shared" si="30"/>
        <v>#REF!</v>
      </c>
      <c r="C457" s="76" t="e">
        <f t="shared" si="31"/>
        <v>#REF!</v>
      </c>
    </row>
    <row r="458" spans="2:3" ht="15.75" customHeight="1" x14ac:dyDescent="0.25">
      <c r="B458" s="67" t="e">
        <f t="shared" si="30"/>
        <v>#REF!</v>
      </c>
      <c r="C458" s="76" t="e">
        <f t="shared" si="31"/>
        <v>#REF!</v>
      </c>
    </row>
    <row r="459" spans="2:3" ht="15.75" customHeight="1" x14ac:dyDescent="0.25">
      <c r="B459" s="67" t="e">
        <f t="shared" si="30"/>
        <v>#REF!</v>
      </c>
      <c r="C459" s="76" t="e">
        <f t="shared" si="31"/>
        <v>#REF!</v>
      </c>
    </row>
    <row r="460" spans="2:3" ht="15.75" customHeight="1" x14ac:dyDescent="0.25">
      <c r="B460" s="67" t="e">
        <f t="shared" si="30"/>
        <v>#REF!</v>
      </c>
      <c r="C460" s="76" t="e">
        <f t="shared" si="31"/>
        <v>#REF!</v>
      </c>
    </row>
    <row r="461" spans="2:3" ht="15.75" customHeight="1" x14ac:dyDescent="0.25">
      <c r="B461" s="67" t="e">
        <f t="shared" si="30"/>
        <v>#REF!</v>
      </c>
      <c r="C461" s="76" t="e">
        <f t="shared" si="31"/>
        <v>#REF!</v>
      </c>
    </row>
    <row r="462" spans="2:3" ht="15.75" customHeight="1" x14ac:dyDescent="0.25">
      <c r="B462" s="67" t="e">
        <f t="shared" si="30"/>
        <v>#REF!</v>
      </c>
      <c r="C462" s="76" t="e">
        <f t="shared" si="31"/>
        <v>#REF!</v>
      </c>
    </row>
    <row r="463" spans="2:3" ht="15.75" customHeight="1" x14ac:dyDescent="0.25">
      <c r="B463" s="67" t="e">
        <f t="shared" si="30"/>
        <v>#REF!</v>
      </c>
      <c r="C463" s="76" t="e">
        <f t="shared" si="31"/>
        <v>#REF!</v>
      </c>
    </row>
    <row r="464" spans="2:3" ht="15.75" customHeight="1" x14ac:dyDescent="0.25">
      <c r="B464" s="67" t="e">
        <f t="shared" si="30"/>
        <v>#REF!</v>
      </c>
      <c r="C464" s="76" t="e">
        <f t="shared" si="31"/>
        <v>#REF!</v>
      </c>
    </row>
    <row r="465" spans="2:3" ht="15.75" customHeight="1" x14ac:dyDescent="0.25">
      <c r="B465" s="67" t="e">
        <f t="shared" si="30"/>
        <v>#REF!</v>
      </c>
      <c r="C465" s="76" t="e">
        <f t="shared" si="31"/>
        <v>#REF!</v>
      </c>
    </row>
    <row r="466" spans="2:3" ht="15.75" customHeight="1" x14ac:dyDescent="0.25">
      <c r="B466" s="67" t="e">
        <f t="shared" si="30"/>
        <v>#REF!</v>
      </c>
      <c r="C466" s="76" t="e">
        <f t="shared" si="31"/>
        <v>#REF!</v>
      </c>
    </row>
    <row r="467" spans="2:3" ht="15.75" customHeight="1" x14ac:dyDescent="0.25">
      <c r="B467" s="67" t="e">
        <f t="shared" si="30"/>
        <v>#REF!</v>
      </c>
      <c r="C467" s="76" t="e">
        <f t="shared" si="31"/>
        <v>#REF!</v>
      </c>
    </row>
    <row r="468" spans="2:3" ht="15.75" customHeight="1" x14ac:dyDescent="0.25">
      <c r="B468" s="67" t="e">
        <f t="shared" si="30"/>
        <v>#REF!</v>
      </c>
      <c r="C468" s="76" t="e">
        <f t="shared" si="31"/>
        <v>#REF!</v>
      </c>
    </row>
    <row r="469" spans="2:3" ht="15.75" customHeight="1" x14ac:dyDescent="0.25">
      <c r="B469" s="67" t="e">
        <f t="shared" si="30"/>
        <v>#REF!</v>
      </c>
      <c r="C469" s="76" t="e">
        <f t="shared" si="31"/>
        <v>#REF!</v>
      </c>
    </row>
    <row r="470" spans="2:3" ht="15.75" customHeight="1" x14ac:dyDescent="0.25">
      <c r="B470" s="67" t="e">
        <f t="shared" si="30"/>
        <v>#REF!</v>
      </c>
      <c r="C470" s="76" t="e">
        <f t="shared" si="31"/>
        <v>#REF!</v>
      </c>
    </row>
    <row r="471" spans="2:3" ht="15.75" customHeight="1" x14ac:dyDescent="0.25">
      <c r="B471" s="67" t="e">
        <f t="shared" si="30"/>
        <v>#REF!</v>
      </c>
      <c r="C471" s="76" t="e">
        <f t="shared" si="31"/>
        <v>#REF!</v>
      </c>
    </row>
    <row r="472" spans="2:3" ht="15.75" customHeight="1" x14ac:dyDescent="0.25">
      <c r="B472" s="67" t="e">
        <f t="shared" si="30"/>
        <v>#REF!</v>
      </c>
      <c r="C472" s="76" t="e">
        <f t="shared" si="31"/>
        <v>#REF!</v>
      </c>
    </row>
    <row r="473" spans="2:3" ht="15.75" customHeight="1" x14ac:dyDescent="0.25">
      <c r="B473" s="67" t="e">
        <f t="shared" si="30"/>
        <v>#REF!</v>
      </c>
      <c r="C473" s="76" t="e">
        <f t="shared" si="31"/>
        <v>#REF!</v>
      </c>
    </row>
    <row r="474" spans="2:3" ht="15.75" customHeight="1" x14ac:dyDescent="0.25">
      <c r="B474" s="67" t="e">
        <f t="shared" si="30"/>
        <v>#REF!</v>
      </c>
      <c r="C474" s="76" t="e">
        <f t="shared" si="31"/>
        <v>#REF!</v>
      </c>
    </row>
    <row r="475" spans="2:3" ht="15.75" customHeight="1" x14ac:dyDescent="0.25">
      <c r="B475" s="67" t="e">
        <f t="shared" si="30"/>
        <v>#REF!</v>
      </c>
      <c r="C475" s="76" t="e">
        <f t="shared" si="31"/>
        <v>#REF!</v>
      </c>
    </row>
    <row r="476" spans="2:3" ht="15.75" customHeight="1" x14ac:dyDescent="0.25">
      <c r="B476" s="67" t="e">
        <f t="shared" si="30"/>
        <v>#REF!</v>
      </c>
      <c r="C476" s="76" t="e">
        <f t="shared" si="31"/>
        <v>#REF!</v>
      </c>
    </row>
    <row r="477" spans="2:3" ht="15.75" customHeight="1" x14ac:dyDescent="0.25">
      <c r="B477" s="67" t="e">
        <f t="shared" si="30"/>
        <v>#REF!</v>
      </c>
      <c r="C477" s="76" t="e">
        <f t="shared" si="31"/>
        <v>#REF!</v>
      </c>
    </row>
    <row r="478" spans="2:3" ht="15.75" customHeight="1" x14ac:dyDescent="0.25">
      <c r="B478" s="67" t="e">
        <f t="shared" ref="B478:B512" si="32">IF(B477="","",IF(B477+$C$10&lt;=$C$6,B477+$C$10,""))</f>
        <v>#REF!</v>
      </c>
      <c r="C478" s="76" t="e">
        <f t="shared" ref="C478:C512" si="33">IF(B478&lt;&gt;"",C477-$C$2/COUNT($B$18:$B$511),"")</f>
        <v>#REF!</v>
      </c>
    </row>
    <row r="479" spans="2:3" ht="15.75" customHeight="1" x14ac:dyDescent="0.25">
      <c r="B479" s="67" t="e">
        <f t="shared" si="32"/>
        <v>#REF!</v>
      </c>
      <c r="C479" s="76" t="e">
        <f t="shared" si="33"/>
        <v>#REF!</v>
      </c>
    </row>
    <row r="480" spans="2:3" ht="15.75" customHeight="1" x14ac:dyDescent="0.25">
      <c r="B480" s="67" t="e">
        <f t="shared" si="32"/>
        <v>#REF!</v>
      </c>
      <c r="C480" s="76" t="e">
        <f t="shared" si="33"/>
        <v>#REF!</v>
      </c>
    </row>
    <row r="481" spans="2:3" ht="15.75" customHeight="1" x14ac:dyDescent="0.25">
      <c r="B481" s="67" t="e">
        <f t="shared" si="32"/>
        <v>#REF!</v>
      </c>
      <c r="C481" s="76" t="e">
        <f t="shared" si="33"/>
        <v>#REF!</v>
      </c>
    </row>
    <row r="482" spans="2:3" ht="15.75" customHeight="1" x14ac:dyDescent="0.25">
      <c r="B482" s="67" t="e">
        <f t="shared" si="32"/>
        <v>#REF!</v>
      </c>
      <c r="C482" s="76" t="e">
        <f t="shared" si="33"/>
        <v>#REF!</v>
      </c>
    </row>
    <row r="483" spans="2:3" ht="15.75" customHeight="1" x14ac:dyDescent="0.25">
      <c r="B483" s="67" t="e">
        <f t="shared" si="32"/>
        <v>#REF!</v>
      </c>
      <c r="C483" s="76" t="e">
        <f t="shared" si="33"/>
        <v>#REF!</v>
      </c>
    </row>
    <row r="484" spans="2:3" ht="15.75" customHeight="1" x14ac:dyDescent="0.25">
      <c r="B484" s="67" t="e">
        <f t="shared" si="32"/>
        <v>#REF!</v>
      </c>
      <c r="C484" s="76" t="e">
        <f t="shared" si="33"/>
        <v>#REF!</v>
      </c>
    </row>
    <row r="485" spans="2:3" ht="15.75" customHeight="1" x14ac:dyDescent="0.25">
      <c r="B485" s="67" t="e">
        <f t="shared" si="32"/>
        <v>#REF!</v>
      </c>
      <c r="C485" s="76" t="e">
        <f t="shared" si="33"/>
        <v>#REF!</v>
      </c>
    </row>
    <row r="486" spans="2:3" ht="15.75" customHeight="1" x14ac:dyDescent="0.25">
      <c r="B486" s="67" t="e">
        <f t="shared" si="32"/>
        <v>#REF!</v>
      </c>
      <c r="C486" s="76" t="e">
        <f t="shared" si="33"/>
        <v>#REF!</v>
      </c>
    </row>
    <row r="487" spans="2:3" ht="15.75" customHeight="1" x14ac:dyDescent="0.25">
      <c r="B487" s="67" t="e">
        <f t="shared" si="32"/>
        <v>#REF!</v>
      </c>
      <c r="C487" s="76" t="e">
        <f t="shared" si="33"/>
        <v>#REF!</v>
      </c>
    </row>
    <row r="488" spans="2:3" ht="15.75" customHeight="1" x14ac:dyDescent="0.25">
      <c r="B488" s="67" t="e">
        <f t="shared" si="32"/>
        <v>#REF!</v>
      </c>
      <c r="C488" s="76" t="e">
        <f t="shared" si="33"/>
        <v>#REF!</v>
      </c>
    </row>
    <row r="489" spans="2:3" ht="15.75" customHeight="1" x14ac:dyDescent="0.25">
      <c r="B489" s="67" t="e">
        <f t="shared" si="32"/>
        <v>#REF!</v>
      </c>
      <c r="C489" s="76" t="e">
        <f t="shared" si="33"/>
        <v>#REF!</v>
      </c>
    </row>
    <row r="490" spans="2:3" ht="15.75" customHeight="1" x14ac:dyDescent="0.25">
      <c r="B490" s="67" t="e">
        <f t="shared" si="32"/>
        <v>#REF!</v>
      </c>
      <c r="C490" s="76" t="e">
        <f t="shared" si="33"/>
        <v>#REF!</v>
      </c>
    </row>
    <row r="491" spans="2:3" ht="15.75" customHeight="1" x14ac:dyDescent="0.25">
      <c r="B491" s="67" t="e">
        <f t="shared" si="32"/>
        <v>#REF!</v>
      </c>
      <c r="C491" s="76" t="e">
        <f t="shared" si="33"/>
        <v>#REF!</v>
      </c>
    </row>
    <row r="492" spans="2:3" ht="15.75" customHeight="1" x14ac:dyDescent="0.25">
      <c r="B492" s="67" t="e">
        <f t="shared" si="32"/>
        <v>#REF!</v>
      </c>
      <c r="C492" s="76" t="e">
        <f t="shared" si="33"/>
        <v>#REF!</v>
      </c>
    </row>
    <row r="493" spans="2:3" ht="15.75" customHeight="1" x14ac:dyDescent="0.25">
      <c r="B493" s="67" t="e">
        <f t="shared" si="32"/>
        <v>#REF!</v>
      </c>
      <c r="C493" s="76" t="e">
        <f t="shared" si="33"/>
        <v>#REF!</v>
      </c>
    </row>
    <row r="494" spans="2:3" ht="15.75" customHeight="1" x14ac:dyDescent="0.25">
      <c r="B494" s="67" t="e">
        <f t="shared" si="32"/>
        <v>#REF!</v>
      </c>
      <c r="C494" s="76" t="e">
        <f t="shared" si="33"/>
        <v>#REF!</v>
      </c>
    </row>
    <row r="495" spans="2:3" ht="15.75" customHeight="1" x14ac:dyDescent="0.25">
      <c r="B495" s="67" t="e">
        <f t="shared" si="32"/>
        <v>#REF!</v>
      </c>
      <c r="C495" s="76" t="e">
        <f t="shared" si="33"/>
        <v>#REF!</v>
      </c>
    </row>
    <row r="496" spans="2:3" ht="15.75" customHeight="1" x14ac:dyDescent="0.25">
      <c r="B496" s="67" t="e">
        <f t="shared" si="32"/>
        <v>#REF!</v>
      </c>
      <c r="C496" s="76" t="e">
        <f t="shared" si="33"/>
        <v>#REF!</v>
      </c>
    </row>
    <row r="497" spans="2:3" ht="15.75" customHeight="1" x14ac:dyDescent="0.25">
      <c r="B497" s="67" t="e">
        <f t="shared" si="32"/>
        <v>#REF!</v>
      </c>
      <c r="C497" s="76" t="e">
        <f t="shared" si="33"/>
        <v>#REF!</v>
      </c>
    </row>
    <row r="498" spans="2:3" ht="15.75" customHeight="1" x14ac:dyDescent="0.25">
      <c r="B498" s="67" t="e">
        <f t="shared" si="32"/>
        <v>#REF!</v>
      </c>
      <c r="C498" s="76" t="e">
        <f t="shared" si="33"/>
        <v>#REF!</v>
      </c>
    </row>
    <row r="499" spans="2:3" ht="15.75" customHeight="1" x14ac:dyDescent="0.25">
      <c r="B499" s="67" t="e">
        <f t="shared" si="32"/>
        <v>#REF!</v>
      </c>
      <c r="C499" s="76" t="e">
        <f t="shared" si="33"/>
        <v>#REF!</v>
      </c>
    </row>
    <row r="500" spans="2:3" ht="15.75" customHeight="1" x14ac:dyDescent="0.25">
      <c r="B500" s="67" t="e">
        <f t="shared" si="32"/>
        <v>#REF!</v>
      </c>
      <c r="C500" s="76" t="e">
        <f t="shared" si="33"/>
        <v>#REF!</v>
      </c>
    </row>
    <row r="501" spans="2:3" ht="15.75" customHeight="1" x14ac:dyDescent="0.25">
      <c r="B501" s="67" t="e">
        <f t="shared" si="32"/>
        <v>#REF!</v>
      </c>
      <c r="C501" s="76" t="e">
        <f t="shared" si="33"/>
        <v>#REF!</v>
      </c>
    </row>
    <row r="502" spans="2:3" ht="15.75" customHeight="1" x14ac:dyDescent="0.25">
      <c r="B502" s="67" t="e">
        <f t="shared" si="32"/>
        <v>#REF!</v>
      </c>
      <c r="C502" s="76" t="e">
        <f t="shared" si="33"/>
        <v>#REF!</v>
      </c>
    </row>
    <row r="503" spans="2:3" ht="15.75" customHeight="1" x14ac:dyDescent="0.25">
      <c r="B503" s="67" t="e">
        <f t="shared" si="32"/>
        <v>#REF!</v>
      </c>
      <c r="C503" s="76" t="e">
        <f t="shared" si="33"/>
        <v>#REF!</v>
      </c>
    </row>
    <row r="504" spans="2:3" ht="15.75" customHeight="1" x14ac:dyDescent="0.25">
      <c r="B504" s="67" t="e">
        <f t="shared" si="32"/>
        <v>#REF!</v>
      </c>
      <c r="C504" s="76" t="e">
        <f t="shared" si="33"/>
        <v>#REF!</v>
      </c>
    </row>
    <row r="505" spans="2:3" ht="15.75" customHeight="1" x14ac:dyDescent="0.25">
      <c r="B505" s="67" t="e">
        <f t="shared" si="32"/>
        <v>#REF!</v>
      </c>
      <c r="C505" s="76" t="e">
        <f t="shared" si="33"/>
        <v>#REF!</v>
      </c>
    </row>
    <row r="506" spans="2:3" ht="15.75" customHeight="1" x14ac:dyDescent="0.25">
      <c r="B506" s="67" t="e">
        <f t="shared" si="32"/>
        <v>#REF!</v>
      </c>
      <c r="C506" s="76" t="e">
        <f t="shared" si="33"/>
        <v>#REF!</v>
      </c>
    </row>
    <row r="507" spans="2:3" ht="15.75" customHeight="1" x14ac:dyDescent="0.25">
      <c r="B507" s="67" t="e">
        <f t="shared" si="32"/>
        <v>#REF!</v>
      </c>
      <c r="C507" s="76" t="e">
        <f t="shared" si="33"/>
        <v>#REF!</v>
      </c>
    </row>
    <row r="508" spans="2:3" ht="15.75" customHeight="1" x14ac:dyDescent="0.25">
      <c r="B508" s="67" t="e">
        <f t="shared" si="32"/>
        <v>#REF!</v>
      </c>
      <c r="C508" s="76" t="e">
        <f t="shared" si="33"/>
        <v>#REF!</v>
      </c>
    </row>
    <row r="509" spans="2:3" ht="15.75" customHeight="1" x14ac:dyDescent="0.25">
      <c r="B509" s="67" t="e">
        <f t="shared" si="32"/>
        <v>#REF!</v>
      </c>
      <c r="C509" s="76" t="e">
        <f t="shared" si="33"/>
        <v>#REF!</v>
      </c>
    </row>
    <row r="510" spans="2:3" ht="15.75" customHeight="1" x14ac:dyDescent="0.25">
      <c r="B510" s="67" t="e">
        <f t="shared" si="32"/>
        <v>#REF!</v>
      </c>
      <c r="C510" s="76" t="e">
        <f t="shared" si="33"/>
        <v>#REF!</v>
      </c>
    </row>
    <row r="511" spans="2:3" ht="15.75" customHeight="1" x14ac:dyDescent="0.25">
      <c r="B511" s="67" t="e">
        <f t="shared" si="32"/>
        <v>#REF!</v>
      </c>
      <c r="C511" s="76" t="e">
        <f t="shared" si="33"/>
        <v>#REF!</v>
      </c>
    </row>
    <row r="512" spans="2:3" ht="15.75" customHeight="1" x14ac:dyDescent="0.25">
      <c r="B512" s="67" t="e">
        <f t="shared" si="32"/>
        <v>#REF!</v>
      </c>
      <c r="C512" s="76" t="e">
        <f t="shared" si="33"/>
        <v>#REF!</v>
      </c>
    </row>
  </sheetData>
  <mergeCells count="3">
    <mergeCell ref="A1:K1"/>
    <mergeCell ref="B13:F13"/>
    <mergeCell ref="G13:L13"/>
  </mergeCells>
  <conditionalFormatting sqref="A15:L68">
    <cfRule type="expression" dxfId="42" priority="8">
      <formula>AND(TODAY()&gt;=$B15,TODAY()&lt;$B16)</formula>
    </cfRule>
  </conditionalFormatting>
  <conditionalFormatting sqref="B15:B68">
    <cfRule type="cellIs" dxfId="41" priority="5" operator="greaterThan">
      <formula>$C$6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210974D-A6C6-4373-B1C8-2848B51DBF26}">
          <x14:formula1>
            <xm:f>'LEIA-ME'!$C$2:$C$6</xm:f>
          </x14:formula1>
          <xm:sqref>C3</xm:sqref>
        </x14:dataValidation>
        <x14:dataValidation type="list" allowBlank="1" showInputMessage="1" showErrorMessage="1" xr:uid="{A2882723-E490-49F2-92AB-9E8A23381D5A}">
          <x14:formula1>
            <xm:f>'LEIA-ME'!$A$2:$A$14</xm:f>
          </x14:formula1>
          <xm:sqref>C2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F2DA-D272-461F-A358-CD4FB7209EC0}">
  <sheetPr>
    <tabColor theme="9" tint="-0.499984740745262"/>
  </sheetPr>
  <dimension ref="A1:L512"/>
  <sheetViews>
    <sheetView topLeftCell="B30" workbookViewId="0">
      <selection activeCell="K38" sqref="K38:K39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6" width="12.625" style="59" customWidth="1"/>
    <col min="7" max="11" width="13.875" style="59" customWidth="1"/>
    <col min="12" max="12" width="22.25" style="59" customWidth="1"/>
    <col min="13" max="13" width="34.375" style="59" customWidth="1"/>
    <col min="14" max="16384" width="12.625" style="59"/>
  </cols>
  <sheetData>
    <row r="1" spans="1:12" ht="19.5" x14ac:dyDescent="0.25">
      <c r="A1" s="154" t="s">
        <v>20</v>
      </c>
      <c r="B1" s="167"/>
      <c r="C1" s="167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25">
      <c r="A2" s="68"/>
      <c r="B2" s="119" t="s">
        <v>2542</v>
      </c>
      <c r="C2" s="120" t="s">
        <v>79</v>
      </c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15.75" customHeight="1" x14ac:dyDescent="0.25">
      <c r="A3" s="68"/>
      <c r="B3" s="119" t="s">
        <v>66</v>
      </c>
      <c r="C3" s="120" t="s">
        <v>69</v>
      </c>
      <c r="D3" s="70"/>
      <c r="E3" s="71"/>
      <c r="F3" s="71"/>
      <c r="G3" s="65"/>
      <c r="H3" s="65"/>
      <c r="I3" s="65"/>
      <c r="J3" s="65"/>
      <c r="K3" s="65"/>
      <c r="L3" s="65"/>
    </row>
    <row r="4" spans="1:12" ht="15" customHeight="1" x14ac:dyDescent="0.25">
      <c r="B4" s="121" t="s">
        <v>2494</v>
      </c>
      <c r="C4" s="125">
        <f>COUNTIFS(time, C2,
    release, "*" &amp; C3 &amp; "*")</f>
        <v>72</v>
      </c>
      <c r="D4" s="70" t="s">
        <v>25</v>
      </c>
      <c r="E4" s="71" t="s">
        <v>26</v>
      </c>
      <c r="F4" s="71"/>
      <c r="G4" s="65"/>
      <c r="H4" s="65"/>
      <c r="I4" s="65"/>
      <c r="J4" s="65"/>
      <c r="K4" s="65"/>
      <c r="L4" s="65"/>
    </row>
    <row r="5" spans="1:12" ht="15.75" customHeight="1" x14ac:dyDescent="0.25">
      <c r="B5" s="122" t="s">
        <v>27</v>
      </c>
      <c r="C5" s="107">
        <v>45936</v>
      </c>
      <c r="D5" s="70" t="s">
        <v>28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122" t="s">
        <v>29</v>
      </c>
      <c r="C6" s="107">
        <v>46143</v>
      </c>
      <c r="D6" s="70" t="s">
        <v>30</v>
      </c>
      <c r="E6" s="65"/>
      <c r="F6" s="65"/>
      <c r="G6" s="65"/>
      <c r="H6" s="65"/>
      <c r="I6" s="65"/>
      <c r="J6" s="65"/>
      <c r="K6" s="65"/>
      <c r="L6" s="65"/>
    </row>
    <row r="7" spans="1:12" ht="15.75" customHeight="1" x14ac:dyDescent="0.25">
      <c r="B7" s="119" t="s">
        <v>31</v>
      </c>
      <c r="C7" s="106" cm="1">
        <f t="array" aca="1" ref="C7" ca="1">IF(MAX(INDEX(J:J, LARGE(IF(J:J&lt;&gt;"", ROW(J:J)), {1;2;3;4;5;6;7;8})))=0,
  1,
  MAX(INDEX(J:J, LARGE(IF(J:J&lt;&gt;"", ROW(J:J)), {1;2;3;4;5;6;7;8}))))</f>
        <v>8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119" t="s">
        <v>34</v>
      </c>
      <c r="C8" s="106" cm="1">
        <f t="array" aca="1" ref="C8" ca="1">IF(MIN(INDEX(J:J, LARGE(IF(J:J&lt;&gt;"", ROW(J:J)), {1;2;3;4;5;6;7;8})))=0,
  1,
  MIN(INDEX(J:J, LARGE(IF(J:J&lt;&gt;"", ROW(J:J)), {1;2;3;4;5;6;7;8}))))</f>
        <v>1</v>
      </c>
      <c r="D8" s="70" t="s">
        <v>32</v>
      </c>
      <c r="E8" s="71" t="s">
        <v>33</v>
      </c>
      <c r="F8" s="71"/>
      <c r="G8" s="65"/>
      <c r="H8" s="65"/>
      <c r="I8" s="65"/>
      <c r="J8" s="65"/>
      <c r="K8" s="65"/>
      <c r="L8" s="65"/>
    </row>
    <row r="9" spans="1:12" ht="15.75" customHeight="1" x14ac:dyDescent="0.25">
      <c r="B9" s="122" t="s">
        <v>35</v>
      </c>
      <c r="C9" s="108">
        <v>8</v>
      </c>
      <c r="D9" s="70" t="s">
        <v>32</v>
      </c>
      <c r="E9" s="65"/>
      <c r="F9" s="65"/>
      <c r="G9" s="65"/>
      <c r="H9" s="65"/>
      <c r="I9" s="65"/>
      <c r="J9" s="65"/>
      <c r="K9" s="65"/>
      <c r="L9" s="65"/>
    </row>
    <row r="10" spans="1:12" ht="15.75" customHeight="1" x14ac:dyDescent="0.25">
      <c r="B10" s="122" t="s">
        <v>36</v>
      </c>
      <c r="C10" s="109">
        <v>7</v>
      </c>
      <c r="D10" s="70" t="s">
        <v>37</v>
      </c>
      <c r="E10" s="65"/>
      <c r="F10" s="65"/>
      <c r="G10" s="65"/>
      <c r="H10" s="65"/>
      <c r="I10" s="65"/>
      <c r="J10" s="65"/>
      <c r="K10" s="65"/>
      <c r="L10" s="65"/>
    </row>
    <row r="11" spans="1:12" ht="15.75" hidden="1" customHeight="1" x14ac:dyDescent="0.25">
      <c r="B11" s="112"/>
      <c r="C11" s="65"/>
      <c r="D11" s="113"/>
      <c r="E11" s="65"/>
      <c r="F11" s="65"/>
      <c r="G11" s="65"/>
      <c r="H11" s="65"/>
      <c r="I11" s="65"/>
      <c r="J11" s="65"/>
      <c r="K11" s="65"/>
      <c r="L11" s="65"/>
    </row>
    <row r="12" spans="1:12" s="39" customFormat="1" ht="40.5" customHeight="1" x14ac:dyDescent="0.45">
      <c r="A12" s="103"/>
      <c r="B12" s="61" t="s">
        <v>38</v>
      </c>
      <c r="C12" s="60" t="s">
        <v>39</v>
      </c>
      <c r="D12" s="60" t="s">
        <v>40</v>
      </c>
      <c r="E12" s="60" t="s">
        <v>41</v>
      </c>
      <c r="F12" s="60" t="s">
        <v>42</v>
      </c>
      <c r="G12" s="60" t="s">
        <v>43</v>
      </c>
      <c r="H12" s="60" t="s">
        <v>44</v>
      </c>
      <c r="I12" s="60" t="s">
        <v>45</v>
      </c>
      <c r="J12" s="60" t="s">
        <v>46</v>
      </c>
      <c r="K12" s="60" t="s">
        <v>47</v>
      </c>
      <c r="L12" s="60" t="s">
        <v>48</v>
      </c>
    </row>
    <row r="13" spans="1:12" ht="19.5" customHeight="1" x14ac:dyDescent="0.25">
      <c r="A13" s="91"/>
      <c r="B13" s="162" t="s">
        <v>49</v>
      </c>
      <c r="C13" s="163"/>
      <c r="D13" s="163"/>
      <c r="E13" s="163"/>
      <c r="F13" s="164"/>
      <c r="G13" s="165" t="s">
        <v>50</v>
      </c>
      <c r="H13" s="166"/>
      <c r="I13" s="166"/>
      <c r="J13" s="166"/>
      <c r="K13" s="166"/>
      <c r="L13" s="166"/>
    </row>
    <row r="14" spans="1:12" ht="31.5" customHeight="1" x14ac:dyDescent="0.25">
      <c r="A14" s="44" t="s">
        <v>51</v>
      </c>
      <c r="B14" s="45" t="s">
        <v>52</v>
      </c>
      <c r="C14" s="46" t="s">
        <v>2495</v>
      </c>
      <c r="D14" s="46" t="s">
        <v>2496</v>
      </c>
      <c r="E14" s="46" t="s">
        <v>55</v>
      </c>
      <c r="F14" s="58" t="s">
        <v>56</v>
      </c>
      <c r="G14" s="47" t="s">
        <v>57</v>
      </c>
      <c r="H14" s="47" t="s">
        <v>58</v>
      </c>
      <c r="I14" s="48" t="s">
        <v>2561</v>
      </c>
      <c r="J14" s="54" t="s">
        <v>60</v>
      </c>
      <c r="K14" s="87" t="s">
        <v>2562</v>
      </c>
      <c r="L14" s="77" t="s">
        <v>62</v>
      </c>
    </row>
    <row r="15" spans="1:12" ht="17.25" customHeight="1" x14ac:dyDescent="0.25">
      <c r="A15" s="73" t="s">
        <v>2543</v>
      </c>
      <c r="B15" s="66">
        <f>C5</f>
        <v>45936</v>
      </c>
      <c r="C15" s="79">
        <f>$C$4</f>
        <v>72</v>
      </c>
      <c r="D15" s="79">
        <f>$C$4</f>
        <v>72</v>
      </c>
      <c r="E15" s="79">
        <f>$C$4</f>
        <v>72</v>
      </c>
      <c r="F15" s="80"/>
      <c r="G15" s="118">
        <f t="shared" ref="G15" si="0">COUNTIFS(dtc, "&gt;=" &amp; INT(B15),
  dtc, "&lt;"  &amp; INT(B15)+1,
  time, $C$2,release, "*" &amp; $C$3 &amp; "*",
  Item, "&lt;&gt;BUG")</f>
        <v>0</v>
      </c>
      <c r="H15" s="118">
        <f t="shared" ref="H15:H37" si="1">COUNTIFS(dtc, "&gt;=" &amp;(INT(B15)+1),dtc,
 "&lt;"  &amp;(INT(B15)+7),time,
 $C$2,release, "*" &amp; $C$3 &amp; "*",Item,
 "&lt;&gt;BUG")</f>
        <v>0</v>
      </c>
      <c r="I15" s="82">
        <f t="shared" ref="I15:I37" si="2">COUNTIFS(time, $C$2,release, "*" &amp; $C$3 &amp; "*",Item,
 "BUG",dtc,
 "&gt;=" &amp; INT(B15),dtc,
 "&lt;"  &amp; INT(B15)+7)</f>
        <v>0</v>
      </c>
      <c r="J15" s="126">
        <f t="shared" ref="J15:J37" si="3">IF(COUNTIFS(time, $C$2, release, "*" &amp; $C$3 &amp; "*", resolvido, "&lt;&gt;" &amp; "", resolvido, "&gt;=" &amp; INT(B15), resolvido, "&lt;" &amp; INT(B15)+7)+K15 &lt; 0,
   0,
   COUNTIFS(time, $C$2, release, "*" &amp; $C$3 &amp; "*", resolvido, "&lt;&gt;" &amp; "", resolvido, "&gt;=" &amp; INT(B15), resolvido, "&lt;" &amp; INT(B15)+7)+K15)</f>
        <v>0</v>
      </c>
      <c r="K15" s="84">
        <f>-COUNTIFS(resolvido, "&gt;=" &amp; INT(B15),resolvido, "&lt;"  &amp; INT(B15)+7,status, "Descartado",time, $C$2,release, "*" &amp; $C$3 &amp; "*")</f>
        <v>0</v>
      </c>
      <c r="L15" s="86"/>
    </row>
    <row r="16" spans="1:12" ht="17.25" customHeight="1" x14ac:dyDescent="0.25">
      <c r="A16" s="73" t="s">
        <v>2544</v>
      </c>
      <c r="B16" s="66">
        <f t="shared" ref="B16:B68" si="4">B15+$C$10</f>
        <v>45943</v>
      </c>
      <c r="C16" s="79">
        <f>IF(OR(C15="",C15=0),"",IF(ISBLANK($J15),IF(C15+$K15-$C$7&lt;=0,IF(AND(C15&gt;0,C15&lt;&gt;""),0,""),C15+$K15-$C$7),IF((C15-$J15)+$K15&lt;=0,IF(AND(C15&gt;0,C15&lt;&gt;""),0,""),(C15-$J15)+$K15)))</f>
        <v>72</v>
      </c>
      <c r="D16" s="79">
        <f>IF(OR(D15="",D15=0),"",IF(ISBLANK($J15),IF(D15+$K15-$C$8&lt;=0,IF(AND(D15&gt;0,D15&lt;&gt;""),0,""),D15+$K15-$C$8),IF((D15-$J15)+$K15&lt;=0,IF(AND(D15&gt;0,D15&lt;&gt;""),0,""),(D15-$J15)+$K15)))</f>
        <v>72</v>
      </c>
      <c r="E16" s="79">
        <f>IF(OR(E15="",E15=0),"",IF(ISBLANK($J15),IF(E15+$K15-$C$9&lt;=0,IF(AND(E15&gt;0,E15&lt;&gt;""),0,""),E15+$K15-$C$9),IF((E15-$J15)+$K15&lt;=0,IF(AND(E15&gt;0,E15&lt;&gt;""),0,""),(E15-$J15)+$K15)))</f>
        <v>72</v>
      </c>
      <c r="F16" s="80">
        <f>IF(J15="","",IF(G15+F15+H15+I15-J15&lt;0,0,G15+F15+H15+I15-J15))</f>
        <v>0</v>
      </c>
      <c r="G16" s="118">
        <f t="shared" ref="G16:G37" si="5">MAX(0,
  COUNTIFS(dtc, "&gt;=" &amp; INT(B16),
    dtc, "&lt;"  &amp; INT(B16)+1,
    time, $C$2,
    release, "*" &amp; $C$3 &amp; "*",
    Item, "&lt;&gt;BUG")-COUNTIFS(dtc, "&gt;=" &amp; INT(B16),
    dtc, "&lt;"  &amp; INT(B16)+7,
    resolvido, "&gt;=" &amp; INT(B16),
    resolvido, "&lt;"  &amp; INT(B16)+7,
    status, "Descartado",
    time, $C$2,
    release, "*" &amp; $C$3 &amp; "*"))</f>
        <v>0</v>
      </c>
      <c r="H16" s="118">
        <f t="shared" si="1"/>
        <v>0</v>
      </c>
      <c r="I16" s="82">
        <f t="shared" si="2"/>
        <v>0</v>
      </c>
      <c r="J16" s="126">
        <f t="shared" si="3"/>
        <v>0</v>
      </c>
      <c r="K16" s="84">
        <f>COUNTIFS(resolvido, "&gt;=" &amp; INT(B16),resolvido, "&lt;"  &amp; INT(B16)+7,status, "Descartado",time, $C$2,release, "*" &amp; $C$3 &amp; "*")</f>
        <v>0</v>
      </c>
      <c r="L16" s="86"/>
    </row>
    <row r="17" spans="1:12" ht="17.25" customHeight="1" x14ac:dyDescent="0.25">
      <c r="A17" s="73" t="s">
        <v>2545</v>
      </c>
      <c r="B17" s="66">
        <f t="shared" si="4"/>
        <v>45950</v>
      </c>
      <c r="C17" s="79">
        <f t="shared" ref="C17:C38" si="6">IF(OR(C16="",C16=0),"",IF(ISBLANK($J16),IF(C16+$K16-$C$7&lt;=0,IF(AND(C16&gt;0,C16&lt;&gt;""),0,""),C16+$K16-$C$7),IF((C16-$J16)+$K16&lt;=0,IF(AND(C16&gt;0,C16&lt;&gt;""),0,""),(C16-$J16)+$K16)))</f>
        <v>72</v>
      </c>
      <c r="D17" s="79">
        <f t="shared" ref="D17:D47" si="7">IF(OR(D16="",D16=0),"",IF(ISBLANK($J16),IF(D16+$K16-$C$8&lt;=0,IF(AND(D16&gt;0,D16&lt;&gt;""),0,""),D16+$K16-$C$8),IF((D16-$J16)+$K16&lt;=0,IF(AND(D16&gt;0,D16&lt;&gt;""),0,""),(D16-$J16)+$K16)))</f>
        <v>72</v>
      </c>
      <c r="E17" s="79">
        <f t="shared" ref="E17" si="8">IF(OR(E16="",E16=0),"",IF(ISBLANK($J16),IF(E16+$K16-$C$9&lt;=0,IF(AND(E16&gt;0,E16&lt;&gt;""),0,""),E16+$K16-$C$9),IF((E16-$J16)+$K16&lt;=0,IF(AND(E16&gt;0,E16&lt;&gt;""),0,""),(E16-$J16)+$K16)))</f>
        <v>72</v>
      </c>
      <c r="F17" s="80">
        <f>IF(J16="","",IF(G16+F16+H16+I16-J16&lt;0,0,G16+F16+H16+I16-J16))</f>
        <v>0</v>
      </c>
      <c r="G17" s="118">
        <f t="shared" si="5"/>
        <v>0</v>
      </c>
      <c r="H17" s="118">
        <f t="shared" si="1"/>
        <v>4</v>
      </c>
      <c r="I17" s="82">
        <f t="shared" si="2"/>
        <v>0</v>
      </c>
      <c r="J17" s="126">
        <f t="shared" si="3"/>
        <v>1</v>
      </c>
      <c r="K17" s="84">
        <f t="shared" ref="K17:K37" si="9">-COUNTIFS(resolvido, "&gt;=" &amp; INT(B17),resolvido, "&lt;"  &amp; INT(B17)+7,status, "Descartado",time, $C$2,release, "*" &amp; $C$3 &amp; "*")</f>
        <v>-1</v>
      </c>
      <c r="L17" s="86"/>
    </row>
    <row r="18" spans="1:12" ht="17.25" customHeight="1" x14ac:dyDescent="0.25">
      <c r="A18" s="73" t="s">
        <v>2546</v>
      </c>
      <c r="B18" s="66">
        <f t="shared" si="4"/>
        <v>45957</v>
      </c>
      <c r="C18" s="79">
        <f t="shared" si="6"/>
        <v>70</v>
      </c>
      <c r="D18" s="79">
        <f t="shared" si="7"/>
        <v>70</v>
      </c>
      <c r="E18" s="79">
        <f>IF(OR(E17="",E17=0),"",IF(ISBLANK($J17),IF(E17+$K17-$C$9&lt;=0,IF(AND(E17&gt;0,E17&lt;&gt;""),0,""),E17+$K17-$C$9),IF((E17-$J17)+$K17&lt;=0,IF(AND(E17&gt;0,E17&lt;&gt;""),0,""),(E17-$J17)+$K17)))</f>
        <v>70</v>
      </c>
      <c r="F18" s="80">
        <f t="shared" ref="F18:F40" si="10">IF(J17="","",IF(G17+F17+H17+I17-J17&lt;0,0,G17+F17+H17+I17-J17))</f>
        <v>3</v>
      </c>
      <c r="G18" s="118">
        <f t="shared" si="5"/>
        <v>0</v>
      </c>
      <c r="H18" s="118">
        <f t="shared" si="1"/>
        <v>0</v>
      </c>
      <c r="I18" s="82">
        <f t="shared" si="2"/>
        <v>0</v>
      </c>
      <c r="J18" s="126">
        <f t="shared" si="3"/>
        <v>1</v>
      </c>
      <c r="K18" s="84">
        <f t="shared" si="9"/>
        <v>0</v>
      </c>
      <c r="L18" s="111"/>
    </row>
    <row r="19" spans="1:12" ht="17.25" customHeight="1" x14ac:dyDescent="0.25">
      <c r="A19" s="73" t="s">
        <v>2547</v>
      </c>
      <c r="B19" s="66">
        <f t="shared" si="4"/>
        <v>45964</v>
      </c>
      <c r="C19" s="79">
        <f t="shared" si="6"/>
        <v>69</v>
      </c>
      <c r="D19" s="79">
        <f t="shared" si="7"/>
        <v>69</v>
      </c>
      <c r="E19" s="79">
        <f t="shared" ref="E19:E42" si="11">IF(OR(E18="",E18=0),"",IF(ISBLANK($J18),IF(E18+$K18-$C$9&lt;=0,IF(AND(E18&gt;0,E18&lt;&gt;""),0,""),E18+$K18-$C$9),IF((E18-$J18)+$K18&lt;=0,IF(AND(E18&gt;0,E18&lt;&gt;""),0,""),(E18-$J18)+$K18)))</f>
        <v>69</v>
      </c>
      <c r="F19" s="80">
        <f t="shared" si="10"/>
        <v>2</v>
      </c>
      <c r="G19" s="118">
        <f t="shared" si="5"/>
        <v>0</v>
      </c>
      <c r="H19" s="118">
        <f t="shared" si="1"/>
        <v>0</v>
      </c>
      <c r="I19" s="82">
        <f t="shared" si="2"/>
        <v>0</v>
      </c>
      <c r="J19" s="126">
        <f t="shared" si="3"/>
        <v>1</v>
      </c>
      <c r="K19" s="84">
        <f t="shared" si="9"/>
        <v>0</v>
      </c>
      <c r="L19" s="86"/>
    </row>
    <row r="20" spans="1:12" ht="17.25" customHeight="1" x14ac:dyDescent="0.25">
      <c r="A20" s="73" t="s">
        <v>2548</v>
      </c>
      <c r="B20" s="66">
        <f t="shared" si="4"/>
        <v>45971</v>
      </c>
      <c r="C20" s="79">
        <f t="shared" si="6"/>
        <v>68</v>
      </c>
      <c r="D20" s="79">
        <f t="shared" si="7"/>
        <v>68</v>
      </c>
      <c r="E20" s="79">
        <f t="shared" si="11"/>
        <v>68</v>
      </c>
      <c r="F20" s="80">
        <f t="shared" si="10"/>
        <v>1</v>
      </c>
      <c r="G20" s="118">
        <f t="shared" si="5"/>
        <v>0</v>
      </c>
      <c r="H20" s="118">
        <f t="shared" si="1"/>
        <v>0</v>
      </c>
      <c r="I20" s="82">
        <f t="shared" si="2"/>
        <v>0</v>
      </c>
      <c r="J20" s="126">
        <f t="shared" si="3"/>
        <v>0</v>
      </c>
      <c r="K20" s="84">
        <f t="shared" si="9"/>
        <v>0</v>
      </c>
      <c r="L20" s="86"/>
    </row>
    <row r="21" spans="1:12" ht="15.75" customHeight="1" x14ac:dyDescent="0.25">
      <c r="A21" s="73" t="s">
        <v>2549</v>
      </c>
      <c r="B21" s="66">
        <f t="shared" si="4"/>
        <v>45978</v>
      </c>
      <c r="C21" s="79">
        <f t="shared" si="6"/>
        <v>68</v>
      </c>
      <c r="D21" s="79">
        <f t="shared" si="7"/>
        <v>68</v>
      </c>
      <c r="E21" s="79">
        <f t="shared" si="11"/>
        <v>68</v>
      </c>
      <c r="F21" s="80">
        <f t="shared" si="10"/>
        <v>1</v>
      </c>
      <c r="G21" s="118">
        <f t="shared" si="5"/>
        <v>0</v>
      </c>
      <c r="H21" s="118">
        <f t="shared" si="1"/>
        <v>0</v>
      </c>
      <c r="I21" s="82">
        <f t="shared" si="2"/>
        <v>0</v>
      </c>
      <c r="J21" s="126">
        <f t="shared" si="3"/>
        <v>0</v>
      </c>
      <c r="K21" s="84">
        <f t="shared" si="9"/>
        <v>0</v>
      </c>
      <c r="L21" s="86"/>
    </row>
    <row r="22" spans="1:12" ht="15.75" customHeight="1" x14ac:dyDescent="0.25">
      <c r="A22" s="73" t="s">
        <v>2550</v>
      </c>
      <c r="B22" s="66">
        <f t="shared" si="4"/>
        <v>45985</v>
      </c>
      <c r="C22" s="79">
        <f t="shared" si="6"/>
        <v>68</v>
      </c>
      <c r="D22" s="79">
        <f t="shared" si="7"/>
        <v>68</v>
      </c>
      <c r="E22" s="79">
        <f t="shared" si="11"/>
        <v>68</v>
      </c>
      <c r="F22" s="80">
        <f t="shared" si="10"/>
        <v>1</v>
      </c>
      <c r="G22" s="118">
        <f t="shared" si="5"/>
        <v>0</v>
      </c>
      <c r="H22" s="118">
        <f t="shared" si="1"/>
        <v>3</v>
      </c>
      <c r="I22" s="82">
        <f t="shared" si="2"/>
        <v>0</v>
      </c>
      <c r="J22" s="126">
        <f t="shared" si="3"/>
        <v>1</v>
      </c>
      <c r="K22" s="84">
        <f t="shared" si="9"/>
        <v>0</v>
      </c>
      <c r="L22" s="86"/>
    </row>
    <row r="23" spans="1:12" ht="15.75" customHeight="1" x14ac:dyDescent="0.25">
      <c r="A23" s="73" t="s">
        <v>2551</v>
      </c>
      <c r="B23" s="66">
        <f t="shared" si="4"/>
        <v>45992</v>
      </c>
      <c r="C23" s="79">
        <f t="shared" si="6"/>
        <v>67</v>
      </c>
      <c r="D23" s="79">
        <f t="shared" si="7"/>
        <v>67</v>
      </c>
      <c r="E23" s="79">
        <f t="shared" si="11"/>
        <v>67</v>
      </c>
      <c r="F23" s="80">
        <f t="shared" si="10"/>
        <v>3</v>
      </c>
      <c r="G23" s="118">
        <f t="shared" si="5"/>
        <v>0</v>
      </c>
      <c r="H23" s="118">
        <f t="shared" si="1"/>
        <v>0</v>
      </c>
      <c r="I23" s="82">
        <f t="shared" si="2"/>
        <v>0</v>
      </c>
      <c r="J23" s="126">
        <f t="shared" si="3"/>
        <v>2</v>
      </c>
      <c r="K23" s="84">
        <f t="shared" si="9"/>
        <v>0</v>
      </c>
      <c r="L23" s="86"/>
    </row>
    <row r="24" spans="1:12" ht="15.75" customHeight="1" x14ac:dyDescent="0.25">
      <c r="A24" s="73" t="s">
        <v>2552</v>
      </c>
      <c r="B24" s="66">
        <f t="shared" si="4"/>
        <v>45999</v>
      </c>
      <c r="C24" s="79">
        <f t="shared" si="6"/>
        <v>65</v>
      </c>
      <c r="D24" s="79">
        <f t="shared" si="7"/>
        <v>65</v>
      </c>
      <c r="E24" s="79">
        <f t="shared" si="11"/>
        <v>65</v>
      </c>
      <c r="F24" s="80">
        <f t="shared" si="10"/>
        <v>1</v>
      </c>
      <c r="G24" s="118">
        <f t="shared" si="5"/>
        <v>5</v>
      </c>
      <c r="H24" s="118">
        <f t="shared" si="1"/>
        <v>4</v>
      </c>
      <c r="I24" s="82">
        <f t="shared" si="2"/>
        <v>1</v>
      </c>
      <c r="J24" s="126">
        <f t="shared" si="3"/>
        <v>5</v>
      </c>
      <c r="K24" s="84">
        <f t="shared" si="9"/>
        <v>-1</v>
      </c>
      <c r="L24" s="86"/>
    </row>
    <row r="25" spans="1:12" ht="15.75" customHeight="1" x14ac:dyDescent="0.25">
      <c r="A25" s="73" t="s">
        <v>2553</v>
      </c>
      <c r="B25" s="66">
        <f t="shared" si="4"/>
        <v>46006</v>
      </c>
      <c r="C25" s="79">
        <f t="shared" si="6"/>
        <v>59</v>
      </c>
      <c r="D25" s="79">
        <f t="shared" si="7"/>
        <v>59</v>
      </c>
      <c r="E25" s="79">
        <f t="shared" si="11"/>
        <v>59</v>
      </c>
      <c r="F25" s="80">
        <f t="shared" si="10"/>
        <v>6</v>
      </c>
      <c r="G25" s="118">
        <f t="shared" si="5"/>
        <v>1</v>
      </c>
      <c r="H25" s="118">
        <f t="shared" si="1"/>
        <v>0</v>
      </c>
      <c r="I25" s="82">
        <f t="shared" si="2"/>
        <v>0</v>
      </c>
      <c r="J25" s="126">
        <f t="shared" si="3"/>
        <v>3</v>
      </c>
      <c r="K25" s="84">
        <f t="shared" si="9"/>
        <v>0</v>
      </c>
      <c r="L25" s="86"/>
    </row>
    <row r="26" spans="1:12" ht="15.75" customHeight="1" x14ac:dyDescent="0.25">
      <c r="A26" s="73" t="s">
        <v>2554</v>
      </c>
      <c r="B26" s="66">
        <f t="shared" si="4"/>
        <v>46013</v>
      </c>
      <c r="C26" s="79">
        <f t="shared" si="6"/>
        <v>56</v>
      </c>
      <c r="D26" s="79">
        <f t="shared" si="7"/>
        <v>56</v>
      </c>
      <c r="E26" s="79">
        <f t="shared" si="11"/>
        <v>56</v>
      </c>
      <c r="F26" s="80">
        <f t="shared" si="10"/>
        <v>4</v>
      </c>
      <c r="G26" s="118">
        <f t="shared" si="5"/>
        <v>0</v>
      </c>
      <c r="H26" s="118">
        <f t="shared" si="1"/>
        <v>0</v>
      </c>
      <c r="I26" s="82">
        <f t="shared" si="2"/>
        <v>0</v>
      </c>
      <c r="J26" s="126">
        <f t="shared" si="3"/>
        <v>2</v>
      </c>
      <c r="K26" s="84">
        <f t="shared" si="9"/>
        <v>0</v>
      </c>
      <c r="L26" s="86"/>
    </row>
    <row r="27" spans="1:12" ht="15.75" customHeight="1" x14ac:dyDescent="0.25">
      <c r="A27" s="73" t="s">
        <v>2555</v>
      </c>
      <c r="B27" s="66">
        <f t="shared" si="4"/>
        <v>46020</v>
      </c>
      <c r="C27" s="79">
        <f t="shared" si="6"/>
        <v>54</v>
      </c>
      <c r="D27" s="79">
        <f t="shared" si="7"/>
        <v>54</v>
      </c>
      <c r="E27" s="79">
        <f t="shared" si="11"/>
        <v>54</v>
      </c>
      <c r="F27" s="80">
        <f t="shared" si="10"/>
        <v>2</v>
      </c>
      <c r="G27" s="118">
        <f t="shared" si="5"/>
        <v>0</v>
      </c>
      <c r="H27" s="118">
        <f t="shared" si="1"/>
        <v>0</v>
      </c>
      <c r="I27" s="82">
        <f t="shared" si="2"/>
        <v>0</v>
      </c>
      <c r="J27" s="126">
        <f t="shared" si="3"/>
        <v>1</v>
      </c>
      <c r="K27" s="84">
        <f t="shared" si="9"/>
        <v>0</v>
      </c>
      <c r="L27" s="86"/>
    </row>
    <row r="28" spans="1:12" ht="15.75" customHeight="1" x14ac:dyDescent="0.25">
      <c r="A28" s="73" t="s">
        <v>2556</v>
      </c>
      <c r="B28" s="66">
        <f t="shared" si="4"/>
        <v>46027</v>
      </c>
      <c r="C28" s="79">
        <f t="shared" si="6"/>
        <v>53</v>
      </c>
      <c r="D28" s="79">
        <f t="shared" si="7"/>
        <v>53</v>
      </c>
      <c r="E28" s="79">
        <f t="shared" si="11"/>
        <v>53</v>
      </c>
      <c r="F28" s="80">
        <f t="shared" si="10"/>
        <v>1</v>
      </c>
      <c r="G28" s="118">
        <f t="shared" si="5"/>
        <v>0</v>
      </c>
      <c r="H28" s="118">
        <f t="shared" si="1"/>
        <v>1</v>
      </c>
      <c r="I28" s="82">
        <f t="shared" si="2"/>
        <v>1</v>
      </c>
      <c r="J28" s="126">
        <f t="shared" si="3"/>
        <v>0</v>
      </c>
      <c r="K28" s="84">
        <f t="shared" si="9"/>
        <v>0</v>
      </c>
      <c r="L28" s="86"/>
    </row>
    <row r="29" spans="1:12" ht="15.75" customHeight="1" x14ac:dyDescent="0.25">
      <c r="A29" s="73" t="s">
        <v>2557</v>
      </c>
      <c r="B29" s="66">
        <f t="shared" si="4"/>
        <v>46034</v>
      </c>
      <c r="C29" s="79">
        <f>IF(OR(C28="",C28=0),"",IF(ISBLANK($J28),IF(C28+$K28-$C$7&lt;=0,IF(AND(C28&gt;0,C28&lt;&gt;""),0,""),C28+$K28-$C$7),IF((C28-$J28)+$K28&lt;=0,IF(AND(C28&gt;0,C28&lt;&gt;""),0,""),(C28-$J28)+$K28)))</f>
        <v>53</v>
      </c>
      <c r="D29" s="79">
        <f t="shared" si="7"/>
        <v>53</v>
      </c>
      <c r="E29" s="79">
        <f t="shared" si="11"/>
        <v>53</v>
      </c>
      <c r="F29" s="80">
        <f t="shared" si="10"/>
        <v>3</v>
      </c>
      <c r="G29" s="118">
        <f t="shared" si="5"/>
        <v>0</v>
      </c>
      <c r="H29" s="118">
        <f t="shared" si="1"/>
        <v>0</v>
      </c>
      <c r="I29" s="82">
        <f t="shared" si="2"/>
        <v>0</v>
      </c>
      <c r="J29" s="126">
        <f t="shared" si="3"/>
        <v>1</v>
      </c>
      <c r="K29" s="84">
        <f t="shared" si="9"/>
        <v>0</v>
      </c>
      <c r="L29" s="86"/>
    </row>
    <row r="30" spans="1:12" ht="15.75" customHeight="1" x14ac:dyDescent="0.25">
      <c r="A30" s="73" t="s">
        <v>2558</v>
      </c>
      <c r="B30" s="66">
        <f t="shared" si="4"/>
        <v>46041</v>
      </c>
      <c r="C30" s="79">
        <f t="shared" si="6"/>
        <v>52</v>
      </c>
      <c r="D30" s="79">
        <f t="shared" si="7"/>
        <v>52</v>
      </c>
      <c r="E30" s="79">
        <f t="shared" si="11"/>
        <v>52</v>
      </c>
      <c r="F30" s="80">
        <f t="shared" si="10"/>
        <v>2</v>
      </c>
      <c r="G30" s="118">
        <f t="shared" si="5"/>
        <v>1</v>
      </c>
      <c r="H30" s="118">
        <f t="shared" si="1"/>
        <v>1</v>
      </c>
      <c r="I30" s="82">
        <f t="shared" si="2"/>
        <v>0</v>
      </c>
      <c r="J30" s="126">
        <f t="shared" si="3"/>
        <v>0</v>
      </c>
      <c r="K30" s="84">
        <f t="shared" si="9"/>
        <v>0</v>
      </c>
      <c r="L30" s="86"/>
    </row>
    <row r="31" spans="1:12" ht="15.75" customHeight="1" x14ac:dyDescent="0.25">
      <c r="A31" s="73" t="s">
        <v>2559</v>
      </c>
      <c r="B31" s="66">
        <f t="shared" si="4"/>
        <v>46048</v>
      </c>
      <c r="C31" s="79">
        <f t="shared" si="6"/>
        <v>52</v>
      </c>
      <c r="D31" s="79">
        <f t="shared" si="7"/>
        <v>52</v>
      </c>
      <c r="E31" s="79">
        <f>IF(OR(E30="",E30=0),"",IF(ISBLANK($J30),IF(E30+$K30-$C$9&lt;=0,IF(AND(E30&gt;0,E30&lt;&gt;""),0,""),E30+$K30-$C$9),IF((E30-$J30)+$K30&lt;=0,IF(AND(E30&gt;0,E30&lt;&gt;""),0,""),(E30-$J30)+$K30)))</f>
        <v>52</v>
      </c>
      <c r="F31" s="80">
        <f t="shared" si="10"/>
        <v>4</v>
      </c>
      <c r="G31" s="118">
        <f t="shared" si="5"/>
        <v>2</v>
      </c>
      <c r="H31" s="118">
        <f t="shared" si="1"/>
        <v>5</v>
      </c>
      <c r="I31" s="82">
        <f t="shared" si="2"/>
        <v>0</v>
      </c>
      <c r="J31" s="126">
        <f t="shared" si="3"/>
        <v>0</v>
      </c>
      <c r="K31" s="84">
        <f t="shared" si="9"/>
        <v>0</v>
      </c>
      <c r="L31" s="86"/>
    </row>
    <row r="32" spans="1:12" ht="15.75" customHeight="1" x14ac:dyDescent="0.25">
      <c r="A32" s="73" t="s">
        <v>2560</v>
      </c>
      <c r="B32" s="66">
        <f t="shared" si="4"/>
        <v>46055</v>
      </c>
      <c r="C32" s="79">
        <f t="shared" si="6"/>
        <v>52</v>
      </c>
      <c r="D32" s="79">
        <f>IF(OR(D31="",D31=0),"",IF(ISBLANK($J31),IF(D31+$K31-$C$8&lt;=0,IF(AND(D31&gt;0,D31&lt;&gt;""),0,""),D31+$K31-$C$8),IF((D31-$J31)+$K31&lt;=0,IF(AND(D31&gt;0,D31&lt;&gt;""),0,""),(D31-$J31)+$K31)))</f>
        <v>52</v>
      </c>
      <c r="E32" s="79">
        <f t="shared" si="11"/>
        <v>52</v>
      </c>
      <c r="F32" s="80">
        <f t="shared" si="10"/>
        <v>11</v>
      </c>
      <c r="G32" s="118">
        <f t="shared" si="5"/>
        <v>4</v>
      </c>
      <c r="H32" s="118">
        <f t="shared" si="1"/>
        <v>2</v>
      </c>
      <c r="I32" s="82">
        <f t="shared" si="2"/>
        <v>4</v>
      </c>
      <c r="J32" s="126">
        <f t="shared" si="3"/>
        <v>5</v>
      </c>
      <c r="K32" s="84">
        <f t="shared" si="9"/>
        <v>-3</v>
      </c>
      <c r="L32" s="86"/>
    </row>
    <row r="33" spans="1:12" ht="15.75" customHeight="1" x14ac:dyDescent="0.25">
      <c r="A33" s="73" t="s">
        <v>2563</v>
      </c>
      <c r="B33" s="66">
        <f t="shared" si="4"/>
        <v>46062</v>
      </c>
      <c r="C33" s="79">
        <f t="shared" si="6"/>
        <v>44</v>
      </c>
      <c r="D33" s="79">
        <f t="shared" si="7"/>
        <v>44</v>
      </c>
      <c r="E33" s="79">
        <f t="shared" si="11"/>
        <v>44</v>
      </c>
      <c r="F33" s="80">
        <f t="shared" si="10"/>
        <v>16</v>
      </c>
      <c r="G33" s="118">
        <f t="shared" si="5"/>
        <v>0</v>
      </c>
      <c r="H33" s="118">
        <f t="shared" si="1"/>
        <v>0</v>
      </c>
      <c r="I33" s="82">
        <f t="shared" si="2"/>
        <v>2</v>
      </c>
      <c r="J33" s="126">
        <f t="shared" si="3"/>
        <v>4</v>
      </c>
      <c r="K33" s="84">
        <f t="shared" si="9"/>
        <v>0</v>
      </c>
      <c r="L33" s="86"/>
    </row>
    <row r="34" spans="1:12" ht="15.75" customHeight="1" x14ac:dyDescent="0.25">
      <c r="A34" s="73" t="s">
        <v>2564</v>
      </c>
      <c r="B34" s="66">
        <f t="shared" si="4"/>
        <v>46069</v>
      </c>
      <c r="C34" s="79">
        <f t="shared" si="6"/>
        <v>40</v>
      </c>
      <c r="D34" s="79">
        <f t="shared" si="7"/>
        <v>40</v>
      </c>
      <c r="E34" s="79">
        <f t="shared" si="11"/>
        <v>40</v>
      </c>
      <c r="F34" s="80">
        <f t="shared" si="10"/>
        <v>14</v>
      </c>
      <c r="G34" s="118">
        <f t="shared" si="5"/>
        <v>0</v>
      </c>
      <c r="H34" s="118">
        <f t="shared" si="1"/>
        <v>2</v>
      </c>
      <c r="I34" s="82">
        <f t="shared" si="2"/>
        <v>0</v>
      </c>
      <c r="J34" s="126">
        <f t="shared" si="3"/>
        <v>7</v>
      </c>
      <c r="K34" s="84">
        <f t="shared" si="9"/>
        <v>0</v>
      </c>
      <c r="L34" s="86"/>
    </row>
    <row r="35" spans="1:12" ht="15.75" customHeight="1" x14ac:dyDescent="0.25">
      <c r="A35" s="73" t="s">
        <v>2565</v>
      </c>
      <c r="B35" s="66">
        <f t="shared" si="4"/>
        <v>46076</v>
      </c>
      <c r="C35" s="79">
        <f t="shared" si="6"/>
        <v>33</v>
      </c>
      <c r="D35" s="79">
        <f t="shared" si="7"/>
        <v>33</v>
      </c>
      <c r="E35" s="79">
        <f t="shared" si="11"/>
        <v>33</v>
      </c>
      <c r="F35" s="80">
        <f t="shared" si="10"/>
        <v>9</v>
      </c>
      <c r="G35" s="118">
        <f t="shared" si="5"/>
        <v>0</v>
      </c>
      <c r="H35" s="118">
        <f t="shared" si="1"/>
        <v>0</v>
      </c>
      <c r="I35" s="82">
        <f t="shared" si="2"/>
        <v>4</v>
      </c>
      <c r="J35" s="126">
        <f t="shared" si="3"/>
        <v>4</v>
      </c>
      <c r="K35" s="84">
        <f t="shared" si="9"/>
        <v>-3</v>
      </c>
      <c r="L35" s="86"/>
    </row>
    <row r="36" spans="1:12" ht="15.75" customHeight="1" x14ac:dyDescent="0.25">
      <c r="A36" s="73" t="s">
        <v>2566</v>
      </c>
      <c r="B36" s="66">
        <f t="shared" si="4"/>
        <v>46083</v>
      </c>
      <c r="C36" s="79">
        <f t="shared" si="6"/>
        <v>26</v>
      </c>
      <c r="D36" s="79">
        <f t="shared" si="7"/>
        <v>26</v>
      </c>
      <c r="E36" s="79">
        <f t="shared" si="11"/>
        <v>26</v>
      </c>
      <c r="F36" s="80">
        <f t="shared" si="10"/>
        <v>9</v>
      </c>
      <c r="G36" s="118">
        <f t="shared" si="5"/>
        <v>4</v>
      </c>
      <c r="H36" s="118">
        <f t="shared" si="1"/>
        <v>1</v>
      </c>
      <c r="I36" s="82">
        <f t="shared" si="2"/>
        <v>1</v>
      </c>
      <c r="J36" s="126">
        <f t="shared" si="3"/>
        <v>8</v>
      </c>
      <c r="K36" s="84">
        <f t="shared" si="9"/>
        <v>0</v>
      </c>
      <c r="L36" s="86"/>
    </row>
    <row r="37" spans="1:12" ht="15.75" customHeight="1" x14ac:dyDescent="0.25">
      <c r="A37" s="73" t="s">
        <v>2567</v>
      </c>
      <c r="B37" s="66">
        <f t="shared" si="4"/>
        <v>46090</v>
      </c>
      <c r="C37" s="79">
        <f t="shared" si="6"/>
        <v>18</v>
      </c>
      <c r="D37" s="79">
        <f t="shared" si="7"/>
        <v>18</v>
      </c>
      <c r="E37" s="79">
        <f t="shared" si="11"/>
        <v>18</v>
      </c>
      <c r="F37" s="80">
        <f t="shared" si="10"/>
        <v>7</v>
      </c>
      <c r="G37" s="118">
        <f t="shared" si="5"/>
        <v>1</v>
      </c>
      <c r="H37" s="118">
        <f t="shared" si="1"/>
        <v>0</v>
      </c>
      <c r="I37" s="82">
        <f t="shared" si="2"/>
        <v>0</v>
      </c>
      <c r="J37" s="126">
        <f t="shared" si="3"/>
        <v>1</v>
      </c>
      <c r="K37" s="84">
        <f t="shared" si="9"/>
        <v>-1</v>
      </c>
      <c r="L37" s="86"/>
    </row>
    <row r="38" spans="1:12" ht="15.75" customHeight="1" x14ac:dyDescent="0.25">
      <c r="A38" s="73" t="s">
        <v>2568</v>
      </c>
      <c r="B38" s="66">
        <f t="shared" si="4"/>
        <v>46097</v>
      </c>
      <c r="C38" s="79">
        <f t="shared" si="6"/>
        <v>16</v>
      </c>
      <c r="D38" s="79">
        <f t="shared" si="7"/>
        <v>16</v>
      </c>
      <c r="E38" s="79">
        <f t="shared" si="11"/>
        <v>16</v>
      </c>
      <c r="F38" s="80">
        <f t="shared" si="10"/>
        <v>7</v>
      </c>
      <c r="G38" s="118">
        <f t="shared" ref="G38:G39" ca="1" si="12">IF(TODAY()&lt;B38,"",COUNTIFS(dtc, "&gt;=" &amp; INT(B38),
  dtc, "&lt;"  &amp; INT(B38)+1,
  time, $C$2,release, "*" &amp; $C$3 &amp; "*",
  Item, "&lt;&gt;BUG"))</f>
        <v>0</v>
      </c>
      <c r="H38" s="118">
        <f t="shared" ref="H38:H39" ca="1" si="13">IF(TODAY()&lt;B38,"",COUNTIFS(dtc, "&gt;=" &amp;(INT(B38)+1),dtc,
 "&lt;"  &amp;(INT(B38)+7),time,
 $C$2,release, "*" &amp; $C$3 &amp; "*",Item,
 "&lt;&gt;BUG"))</f>
        <v>1</v>
      </c>
      <c r="I38" s="82">
        <f t="shared" ref="I38:I39" ca="1" si="14">IF(TODAY() &lt; B38,"",COUNTIFS(time, $C$2,release, "*" &amp; $C$3 &amp; "*",Item,
 "BUG",dtc,
 "&gt;=" &amp; INT(B38),dtc,
 "&lt;"  &amp; INT(B38)+7))</f>
        <v>2</v>
      </c>
      <c r="J38" s="126">
        <f ca="1">IF(TODAY() &lt; B38,"",IF(COUNTIFS(time, $C$2, release, "*" &amp; $C$3 &amp; "*", resolvido, "&lt;&gt;" &amp; "", resolvido, "&gt;=" &amp; INT(B38), resolvido, "&lt;" &amp; INT(B38)+7)+K38 &lt; 0,
   0,
   COUNTIFS(time, $C$2, release, "*" &amp; $C$3 &amp; "*", resolvido, "&lt;&gt;" &amp; "", resolvido, "&gt;=" &amp; INT(B38), resolvido, "&lt;" &amp; INT(B38)+7)+K38))</f>
        <v>7</v>
      </c>
      <c r="K38" s="84">
        <f ca="1">IF(TODAY() &lt;B38,"",-COUNTIFS(resolvido, "&gt;=" &amp; INT(B38),resolvido, "&lt;"  &amp; INT(B38)+7,status, "Descartado",time, $C$2,release, "*" &amp; $C$3 &amp; "*"))</f>
        <v>0</v>
      </c>
      <c r="L38" s="86"/>
    </row>
    <row r="39" spans="1:12" ht="15.75" customHeight="1" x14ac:dyDescent="0.25">
      <c r="A39" s="73" t="s">
        <v>2569</v>
      </c>
      <c r="B39" s="66">
        <f t="shared" si="4"/>
        <v>46104</v>
      </c>
      <c r="C39" s="79">
        <f ca="1">IF(OR(C38="",C38=0),"",IF(ISBLANK($J38),IF(C38+$K38-$C$7&lt;=0,IF(AND(C38&gt;0,C38&lt;&gt;""),0,""),C38+$K38-$C$7),IF((C38-$J38)+$K38&lt;=0,IF(AND(C38&gt;0,C38&lt;&gt;""),0,""),(C38-$J38)+$K38)))</f>
        <v>9</v>
      </c>
      <c r="D39" s="79">
        <f ca="1">IF(OR(D38="",D38=0),"",IF(ISBLANK($J38),IF(D38+$K38-$C$8&lt;=0,IF(AND(D38&gt;0,D38&lt;&gt;""),0,""),D38+$K38-$C$8),IF((D38-$J38)+$K38&lt;=0,IF(AND(D38&gt;0,D38&lt;&gt;""),0,""),(D38-$J38)+$K38)))</f>
        <v>9</v>
      </c>
      <c r="E39" s="79">
        <f ca="1">IF(OR(E38="",E38=0),"",IF(ISBLANK($J38),IF(E38+$K38-$C$9&lt;=0,IF(AND(E38&gt;0,E38&lt;&gt;""),0,""),E38+$K38-$C$9),IF((E38-$J38)+$K38&lt;=0,IF(AND(E38&gt;0,E38&lt;&gt;""),0,""),(E38-$J38)+$K38)))</f>
        <v>9</v>
      </c>
      <c r="F39" s="80">
        <f t="shared" ca="1" si="10"/>
        <v>3</v>
      </c>
      <c r="G39" s="118">
        <f t="shared" ca="1" si="12"/>
        <v>3</v>
      </c>
      <c r="H39" s="118">
        <f t="shared" ca="1" si="13"/>
        <v>1</v>
      </c>
      <c r="I39" s="82">
        <f t="shared" ca="1" si="14"/>
        <v>0</v>
      </c>
      <c r="J39" s="126">
        <f ca="1">IF(TODAY() &lt; B39,"",IF(COUNTIFS(time, $C$2, release, "*" &amp; $C$3 &amp; "*", resolvido, "&lt;&gt;" &amp; "", resolvido, "&gt;=" &amp; INT(B39), resolvido, "&lt;" &amp; INT(B39)+7)+K39 &lt; 0,
   0,
   COUNTIFS(time, $C$2, release, "*" &amp; $C$3 &amp; "*", resolvido, "&lt;&gt;" &amp; "", resolvido, "&gt;=" &amp; INT(B39), resolvido, "&lt;" &amp; INT(B39)+7)+K39))</f>
        <v>0</v>
      </c>
      <c r="K39" s="84">
        <f ca="1">IF(TODAY() &lt;B39,"",-COUNTIFS(resolvido, "&gt;=" &amp; INT(B39),resolvido, "&lt;"  &amp; INT(B39)+7,status, "Descartado",time, $C$2,release, "*" &amp; $C$3 &amp; "*"))</f>
        <v>0</v>
      </c>
      <c r="L39" s="86"/>
    </row>
    <row r="40" spans="1:12" ht="15.75" customHeight="1" x14ac:dyDescent="0.25">
      <c r="A40" s="73" t="s">
        <v>2570</v>
      </c>
      <c r="B40" s="66">
        <f t="shared" si="4"/>
        <v>46111</v>
      </c>
      <c r="C40" s="79">
        <f ca="1">IF(OR(C39="",C39=0),"",IF(ISBLANK($J39),IF(C39+$K39-$C$7&lt;=0,IF(AND(C39&gt;0,C39&lt;&gt;""),0,""),C39+$K39-$C$7),IF((C39-$J39)+$K39&lt;=0,IF(AND(C39&gt;0,C39&lt;&gt;""),0,""),(C39-$J39)+$K39)))</f>
        <v>9</v>
      </c>
      <c r="D40" s="79">
        <f ca="1">IF(OR(D39="",D39=0),"",IF(ISBLANK($J39),IF(D39+$K39-$C$8&lt;=0,IF(AND(D39&gt;0,D39&lt;&gt;""),0,""),D39+$K39-$C$8),IF((D39-$J39)+$K39&lt;=0,IF(AND(D39&gt;0,D39&lt;&gt;""),0,""),(D39-$J39)+$K39)))</f>
        <v>9</v>
      </c>
      <c r="E40" s="79">
        <f ca="1">IF(OR(E39="",E39=0),"",IF(ISBLANK($J39),IF(E39+$K39-$C$9&lt;=0,IF(AND(E39&gt;0,E39&lt;&gt;""),0,""),E39+$K39-$C$9),IF((E39-$J39)+$K39&lt;=0,IF(AND(E39&gt;0,E39&lt;&gt;""),0,""),(E39-$J39)+$K39)))</f>
        <v>9</v>
      </c>
      <c r="F40" s="80">
        <f t="shared" ca="1" si="10"/>
        <v>7</v>
      </c>
      <c r="G40" s="118"/>
      <c r="H40" s="118"/>
      <c r="I40" s="82"/>
      <c r="J40" s="126"/>
      <c r="K40" s="84"/>
      <c r="L40" s="86"/>
    </row>
    <row r="41" spans="1:12" ht="15.75" customHeight="1" x14ac:dyDescent="0.25">
      <c r="A41" s="73"/>
      <c r="B41" s="66">
        <f t="shared" si="4"/>
        <v>46118</v>
      </c>
      <c r="C41" s="85">
        <f ca="1">IF(OR(C40="",C40=0),"",IF(ISBLANK(J40),IF(C40+K40+I40-$C$7&lt;=0,IF(AND(C40&gt;0,C40&lt;&gt;""),0,""),C40+K40+I40-$C$7),IF((C40-J40)+K40+I40&lt;=0,IF(AND(C40&gt;0,C40&lt;&gt;""),0,""),(C40-J40)+K40+I40)))</f>
        <v>1</v>
      </c>
      <c r="D41" s="79">
        <f t="shared" ca="1" si="7"/>
        <v>8</v>
      </c>
      <c r="E41" s="79">
        <f t="shared" ca="1" si="11"/>
        <v>1</v>
      </c>
      <c r="F41" s="80" t="str">
        <f t="shared" ref="F41:F43" ca="1" si="15">IF(TODAY() &lt;B40," ",IF(J40="","",IF(G40+F40+H40+I40-J40&lt;0,0,G40+F40+H40+I40-J40)))</f>
        <v/>
      </c>
      <c r="G41" s="118"/>
      <c r="H41" s="118"/>
      <c r="I41" s="82"/>
      <c r="J41" s="126"/>
      <c r="K41" s="84"/>
      <c r="L41" s="86"/>
    </row>
    <row r="42" spans="1:12" ht="15.75" customHeight="1" x14ac:dyDescent="0.25">
      <c r="A42" s="73"/>
      <c r="B42" s="66">
        <f t="shared" si="4"/>
        <v>46125</v>
      </c>
      <c r="C42" s="85">
        <f t="shared" ref="C42:C68" ca="1" si="16">IF(OR(C41="",C41=0),"",IF(ISBLANK(J41),IF(C41+K41+I41-$C$7&lt;=0,IF(AND(C41&gt;0,C41&lt;&gt;""),0,""),C41+K41+I41-$C$7),IF((C41-J41)+K41+I41&lt;=0,IF(AND(C41&gt;0,C41&lt;&gt;""),0,""),(C41-J41)+K41+I41)))</f>
        <v>0</v>
      </c>
      <c r="D42" s="79">
        <f t="shared" ca="1" si="7"/>
        <v>7</v>
      </c>
      <c r="E42" s="79">
        <f t="shared" ca="1" si="11"/>
        <v>0</v>
      </c>
      <c r="F42" s="80" t="str">
        <f t="shared" ca="1" si="15"/>
        <v xml:space="preserve"> </v>
      </c>
      <c r="G42" s="118"/>
      <c r="H42" s="118"/>
      <c r="I42" s="82"/>
      <c r="J42" s="126"/>
      <c r="K42" s="84"/>
      <c r="L42" s="86"/>
    </row>
    <row r="43" spans="1:12" ht="15.75" customHeight="1" x14ac:dyDescent="0.25">
      <c r="A43" s="73"/>
      <c r="B43" s="66">
        <f t="shared" si="4"/>
        <v>46132</v>
      </c>
      <c r="C43" s="85" t="str">
        <f t="shared" ca="1" si="16"/>
        <v/>
      </c>
      <c r="D43" s="79">
        <f t="shared" ca="1" si="7"/>
        <v>6</v>
      </c>
      <c r="E43" s="79" t="str">
        <f t="shared" ref="E43:E45" ca="1" si="17">IF(OR(E42="",E42=0),"",IF(ISBLANK($J42),IF(E42-$K42+$I42-$C$9&lt;=0,IF(AND(E42&gt;0,E42&lt;&gt;""),0,""),E42-$K42+$I42-$C$9),IF((E42-$J42)-$K42+$I42&lt;=0,IF(AND(E42&gt;0,E42&lt;&gt;""),0,""),(E42-$J42)-$K42+$I42)))</f>
        <v/>
      </c>
      <c r="F43" s="80" t="str">
        <f t="shared" ca="1" si="15"/>
        <v xml:space="preserve"> </v>
      </c>
      <c r="G43" s="118"/>
      <c r="H43" s="118"/>
      <c r="I43" s="82"/>
      <c r="J43" s="126"/>
      <c r="K43" s="84"/>
      <c r="L43" s="86"/>
    </row>
    <row r="44" spans="1:12" ht="15.75" customHeight="1" x14ac:dyDescent="0.25">
      <c r="A44" s="73"/>
      <c r="B44" s="66">
        <f t="shared" si="4"/>
        <v>46139</v>
      </c>
      <c r="C44" s="85" t="str">
        <f t="shared" ca="1" si="16"/>
        <v/>
      </c>
      <c r="D44" s="79">
        <f t="shared" ca="1" si="7"/>
        <v>5</v>
      </c>
      <c r="E44" s="79" t="str">
        <f t="shared" ca="1" si="17"/>
        <v/>
      </c>
      <c r="F44" s="80" t="str">
        <f t="shared" ref="F44:F68" si="18">IF(J43="","",IF(G43+F43+H43+I43-J43&lt;0,0,G43+F43+H43+I43-J43))</f>
        <v/>
      </c>
      <c r="G44" s="118"/>
      <c r="H44" s="118"/>
      <c r="I44" s="82"/>
      <c r="J44" s="126"/>
      <c r="K44" s="84"/>
      <c r="L44" s="86"/>
    </row>
    <row r="45" spans="1:12" ht="15.75" customHeight="1" x14ac:dyDescent="0.25">
      <c r="A45" s="73"/>
      <c r="B45" s="66">
        <f t="shared" si="4"/>
        <v>46146</v>
      </c>
      <c r="C45" s="85" t="str">
        <f t="shared" ca="1" si="16"/>
        <v/>
      </c>
      <c r="D45" s="79">
        <f t="shared" ca="1" si="7"/>
        <v>4</v>
      </c>
      <c r="E45" s="79" t="str">
        <f t="shared" ca="1" si="17"/>
        <v/>
      </c>
      <c r="F45" s="80" t="str">
        <f t="shared" si="18"/>
        <v/>
      </c>
      <c r="G45" s="118"/>
      <c r="H45" s="118"/>
      <c r="I45" s="82"/>
      <c r="J45" s="126"/>
      <c r="K45" s="84"/>
      <c r="L45" s="86"/>
    </row>
    <row r="46" spans="1:12" ht="15.75" customHeight="1" x14ac:dyDescent="0.25">
      <c r="A46" s="73"/>
      <c r="B46" s="66">
        <f t="shared" si="4"/>
        <v>46153</v>
      </c>
      <c r="C46" s="85" t="str">
        <f t="shared" ca="1" si="16"/>
        <v/>
      </c>
      <c r="D46" s="79">
        <f t="shared" ca="1" si="7"/>
        <v>3</v>
      </c>
      <c r="E46" s="85" t="str">
        <f t="shared" ref="E46:E68" ca="1" si="19">IF(OR(E45="",E45=0),"",IF(ISBLANK($J45),IF(E45+$K45+$I45-$C$9&lt;=0,IF(AND(E45&gt;0,E45&lt;&gt;""),0,""),E45+$K45+$I45-$C$9),IF((E45-$J45)+$K45+$I45&lt;=0,IF(AND(E45&gt;0,E45&lt;&gt;""),0,""),(E45-$J45)+$K45+$I45)))</f>
        <v/>
      </c>
      <c r="F46" s="80" t="str">
        <f t="shared" si="18"/>
        <v/>
      </c>
      <c r="G46" s="118"/>
      <c r="H46" s="118"/>
      <c r="I46" s="82"/>
      <c r="J46" s="126"/>
      <c r="K46" s="84"/>
      <c r="L46" s="86"/>
    </row>
    <row r="47" spans="1:12" ht="15.75" customHeight="1" x14ac:dyDescent="0.25">
      <c r="A47" s="73"/>
      <c r="B47" s="66">
        <f t="shared" si="4"/>
        <v>46160</v>
      </c>
      <c r="C47" s="85" t="str">
        <f t="shared" ca="1" si="16"/>
        <v/>
      </c>
      <c r="D47" s="79">
        <f t="shared" ca="1" si="7"/>
        <v>2</v>
      </c>
      <c r="E47" s="85" t="str">
        <f t="shared" ca="1" si="19"/>
        <v/>
      </c>
      <c r="F47" s="80" t="str">
        <f t="shared" si="18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/>
      <c r="B48" s="66">
        <f t="shared" si="4"/>
        <v>46167</v>
      </c>
      <c r="C48" s="85" t="str">
        <f t="shared" ca="1" si="16"/>
        <v/>
      </c>
      <c r="D48" s="85">
        <f t="shared" ref="D48:D68" ca="1" si="20">IF(OR(D47="",D47=0),"",IF(ISBLANK($J47),IF(D47+$K47+$I47-$C$8&lt;=0,IF(AND(D47&gt;0,D47&lt;&gt;""),0,""),D47+$K47+$I47-$C$8),IF((D47-$J47)+$K47+$I47&lt;=0,IF(AND(D47&gt;0,D47&lt;&gt;""),0,""),(D47-$J47)+$K47+$I47)))</f>
        <v>1</v>
      </c>
      <c r="E48" s="85" t="str">
        <f t="shared" ca="1" si="19"/>
        <v/>
      </c>
      <c r="F48" s="80" t="str">
        <f t="shared" si="18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4"/>
        <v>46174</v>
      </c>
      <c r="C49" s="85" t="str">
        <f t="shared" ca="1" si="16"/>
        <v/>
      </c>
      <c r="D49" s="85">
        <f t="shared" ca="1" si="20"/>
        <v>0</v>
      </c>
      <c r="E49" s="85" t="str">
        <f t="shared" ca="1" si="19"/>
        <v/>
      </c>
      <c r="F49" s="80" t="str">
        <f t="shared" si="18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4"/>
        <v>46181</v>
      </c>
      <c r="C50" s="85" t="str">
        <f t="shared" ca="1" si="16"/>
        <v/>
      </c>
      <c r="D50" s="85" t="str">
        <f t="shared" ca="1" si="20"/>
        <v/>
      </c>
      <c r="E50" s="85" t="str">
        <f t="shared" ca="1" si="19"/>
        <v/>
      </c>
      <c r="F50" s="80" t="str">
        <f t="shared" si="18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4"/>
        <v>46188</v>
      </c>
      <c r="C51" s="85" t="str">
        <f t="shared" ca="1" si="16"/>
        <v/>
      </c>
      <c r="D51" s="85" t="str">
        <f t="shared" ca="1" si="20"/>
        <v/>
      </c>
      <c r="E51" s="85" t="str">
        <f t="shared" ca="1" si="19"/>
        <v/>
      </c>
      <c r="F51" s="80" t="str">
        <f t="shared" si="18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4"/>
        <v>46195</v>
      </c>
      <c r="C52" s="85" t="str">
        <f t="shared" ca="1" si="16"/>
        <v/>
      </c>
      <c r="D52" s="85" t="str">
        <f t="shared" ca="1" si="20"/>
        <v/>
      </c>
      <c r="E52" s="85" t="str">
        <f t="shared" ca="1" si="19"/>
        <v/>
      </c>
      <c r="F52" s="80" t="str">
        <f t="shared" si="18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4"/>
        <v>46202</v>
      </c>
      <c r="C53" s="85" t="str">
        <f t="shared" ca="1" si="16"/>
        <v/>
      </c>
      <c r="D53" s="85" t="str">
        <f t="shared" ca="1" si="20"/>
        <v/>
      </c>
      <c r="E53" s="85" t="str">
        <f t="shared" ca="1" si="19"/>
        <v/>
      </c>
      <c r="F53" s="80" t="str">
        <f t="shared" si="18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4"/>
        <v>46209</v>
      </c>
      <c r="C54" s="85" t="str">
        <f t="shared" ca="1" si="16"/>
        <v/>
      </c>
      <c r="D54" s="85" t="str">
        <f t="shared" ca="1" si="20"/>
        <v/>
      </c>
      <c r="E54" s="85" t="str">
        <f t="shared" ca="1" si="19"/>
        <v/>
      </c>
      <c r="F54" s="80" t="str">
        <f t="shared" si="18"/>
        <v/>
      </c>
      <c r="G54" s="81"/>
      <c r="H54" s="81"/>
      <c r="I54" s="82"/>
      <c r="J54" s="83"/>
      <c r="K54" s="84"/>
      <c r="L54" s="86"/>
    </row>
    <row r="55" spans="1:12" ht="15.75" customHeight="1" x14ac:dyDescent="0.25">
      <c r="A55" s="73"/>
      <c r="B55" s="66">
        <f t="shared" si="4"/>
        <v>46216</v>
      </c>
      <c r="C55" s="85" t="str">
        <f t="shared" ca="1" si="16"/>
        <v/>
      </c>
      <c r="D55" s="85" t="str">
        <f t="shared" ca="1" si="20"/>
        <v/>
      </c>
      <c r="E55" s="85" t="str">
        <f t="shared" ca="1" si="19"/>
        <v/>
      </c>
      <c r="F55" s="80" t="str">
        <f t="shared" si="18"/>
        <v/>
      </c>
      <c r="G55" s="81"/>
      <c r="H55" s="81"/>
      <c r="I55" s="82"/>
      <c r="J55" s="83"/>
      <c r="K55" s="84"/>
      <c r="L55" s="86"/>
    </row>
    <row r="56" spans="1:12" ht="15" customHeight="1" x14ac:dyDescent="0.25">
      <c r="A56" s="73"/>
      <c r="B56" s="66">
        <f t="shared" si="4"/>
        <v>46223</v>
      </c>
      <c r="C56" s="85" t="str">
        <f t="shared" ca="1" si="16"/>
        <v/>
      </c>
      <c r="D56" s="85" t="str">
        <f t="shared" ca="1" si="20"/>
        <v/>
      </c>
      <c r="E56" s="85" t="str">
        <f t="shared" ca="1" si="19"/>
        <v/>
      </c>
      <c r="F56" s="80" t="str">
        <f t="shared" si="18"/>
        <v/>
      </c>
      <c r="G56" s="81"/>
      <c r="H56" s="81"/>
      <c r="I56" s="82"/>
      <c r="J56" s="83"/>
      <c r="K56" s="84"/>
      <c r="L56" s="86"/>
    </row>
    <row r="57" spans="1:12" ht="15" customHeight="1" x14ac:dyDescent="0.25">
      <c r="A57" s="73"/>
      <c r="B57" s="66">
        <f t="shared" si="4"/>
        <v>46230</v>
      </c>
      <c r="C57" s="85" t="str">
        <f t="shared" ca="1" si="16"/>
        <v/>
      </c>
      <c r="D57" s="85" t="str">
        <f t="shared" ca="1" si="20"/>
        <v/>
      </c>
      <c r="E57" s="85" t="str">
        <f t="shared" ca="1" si="19"/>
        <v/>
      </c>
      <c r="F57" s="80" t="str">
        <f t="shared" si="18"/>
        <v/>
      </c>
      <c r="G57" s="81"/>
      <c r="H57" s="81"/>
      <c r="I57" s="82"/>
      <c r="J57" s="83"/>
      <c r="K57" s="84"/>
      <c r="L57" s="86"/>
    </row>
    <row r="58" spans="1:12" ht="15" customHeight="1" x14ac:dyDescent="0.25">
      <c r="A58" s="73"/>
      <c r="B58" s="66">
        <f t="shared" si="4"/>
        <v>46237</v>
      </c>
      <c r="C58" s="85" t="str">
        <f t="shared" ca="1" si="16"/>
        <v/>
      </c>
      <c r="D58" s="85" t="str">
        <f t="shared" ca="1" si="20"/>
        <v/>
      </c>
      <c r="E58" s="85" t="str">
        <f t="shared" ca="1" si="19"/>
        <v/>
      </c>
      <c r="F58" s="80" t="str">
        <f t="shared" si="18"/>
        <v/>
      </c>
      <c r="G58" s="81"/>
      <c r="H58" s="81"/>
      <c r="I58" s="82"/>
      <c r="J58" s="83"/>
      <c r="K58" s="84"/>
      <c r="L58" s="86"/>
    </row>
    <row r="59" spans="1:12" ht="15" customHeight="1" x14ac:dyDescent="0.25">
      <c r="A59" s="73"/>
      <c r="B59" s="66">
        <f t="shared" si="4"/>
        <v>46244</v>
      </c>
      <c r="C59" s="85" t="str">
        <f t="shared" ca="1" si="16"/>
        <v/>
      </c>
      <c r="D59" s="85" t="str">
        <f t="shared" ca="1" si="20"/>
        <v/>
      </c>
      <c r="E59" s="85" t="str">
        <f t="shared" ca="1" si="19"/>
        <v/>
      </c>
      <c r="F59" s="80" t="str">
        <f t="shared" si="18"/>
        <v/>
      </c>
      <c r="G59" s="81"/>
      <c r="H59" s="81"/>
      <c r="I59" s="82"/>
      <c r="J59" s="83"/>
      <c r="K59" s="84"/>
      <c r="L59" s="86"/>
    </row>
    <row r="60" spans="1:12" ht="15" customHeight="1" x14ac:dyDescent="0.25">
      <c r="A60" s="73"/>
      <c r="B60" s="66">
        <f t="shared" si="4"/>
        <v>46251</v>
      </c>
      <c r="C60" s="85" t="str">
        <f t="shared" ca="1" si="16"/>
        <v/>
      </c>
      <c r="D60" s="85" t="str">
        <f t="shared" ca="1" si="20"/>
        <v/>
      </c>
      <c r="E60" s="85" t="str">
        <f t="shared" ca="1" si="19"/>
        <v/>
      </c>
      <c r="F60" s="80" t="str">
        <f t="shared" si="18"/>
        <v/>
      </c>
      <c r="G60" s="81"/>
      <c r="H60" s="81"/>
      <c r="I60" s="82"/>
      <c r="J60" s="83"/>
      <c r="K60" s="84"/>
      <c r="L60" s="86"/>
    </row>
    <row r="61" spans="1:12" ht="15" customHeight="1" x14ac:dyDescent="0.25">
      <c r="A61" s="73"/>
      <c r="B61" s="66">
        <f t="shared" si="4"/>
        <v>46258</v>
      </c>
      <c r="C61" s="85" t="str">
        <f t="shared" ca="1" si="16"/>
        <v/>
      </c>
      <c r="D61" s="85" t="str">
        <f t="shared" ca="1" si="20"/>
        <v/>
      </c>
      <c r="E61" s="85" t="str">
        <f t="shared" ca="1" si="19"/>
        <v/>
      </c>
      <c r="F61" s="80" t="str">
        <f t="shared" si="18"/>
        <v/>
      </c>
      <c r="G61" s="81"/>
      <c r="H61" s="81"/>
      <c r="I61" s="82"/>
      <c r="J61" s="83"/>
      <c r="K61" s="84"/>
      <c r="L61" s="86"/>
    </row>
    <row r="62" spans="1:12" ht="15" customHeight="1" x14ac:dyDescent="0.25">
      <c r="A62" s="73"/>
      <c r="B62" s="66">
        <f t="shared" si="4"/>
        <v>46265</v>
      </c>
      <c r="C62" s="85" t="str">
        <f t="shared" ca="1" si="16"/>
        <v/>
      </c>
      <c r="D62" s="85" t="str">
        <f t="shared" ca="1" si="20"/>
        <v/>
      </c>
      <c r="E62" s="85" t="str">
        <f t="shared" ca="1" si="19"/>
        <v/>
      </c>
      <c r="F62" s="80" t="str">
        <f t="shared" si="18"/>
        <v/>
      </c>
      <c r="G62" s="81"/>
      <c r="H62" s="81"/>
      <c r="I62" s="82"/>
      <c r="J62" s="83"/>
      <c r="K62" s="84"/>
      <c r="L62" s="86"/>
    </row>
    <row r="63" spans="1:12" ht="15" customHeight="1" x14ac:dyDescent="0.25">
      <c r="A63" s="73"/>
      <c r="B63" s="66">
        <f t="shared" si="4"/>
        <v>46272</v>
      </c>
      <c r="C63" s="85" t="str">
        <f t="shared" ca="1" si="16"/>
        <v/>
      </c>
      <c r="D63" s="85" t="str">
        <f t="shared" ca="1" si="20"/>
        <v/>
      </c>
      <c r="E63" s="85" t="str">
        <f t="shared" ca="1" si="19"/>
        <v/>
      </c>
      <c r="F63" s="80" t="str">
        <f t="shared" si="18"/>
        <v/>
      </c>
      <c r="G63" s="81"/>
      <c r="H63" s="81"/>
      <c r="I63" s="82"/>
      <c r="J63" s="83"/>
      <c r="K63" s="84"/>
      <c r="L63" s="86"/>
    </row>
    <row r="64" spans="1:12" ht="15" customHeight="1" x14ac:dyDescent="0.25">
      <c r="A64" s="73"/>
      <c r="B64" s="66">
        <f t="shared" si="4"/>
        <v>46279</v>
      </c>
      <c r="C64" s="85" t="str">
        <f t="shared" ca="1" si="16"/>
        <v/>
      </c>
      <c r="D64" s="85" t="str">
        <f t="shared" ca="1" si="20"/>
        <v/>
      </c>
      <c r="E64" s="85" t="str">
        <f t="shared" ca="1" si="19"/>
        <v/>
      </c>
      <c r="F64" s="80" t="str">
        <f t="shared" si="18"/>
        <v/>
      </c>
      <c r="G64" s="81"/>
      <c r="H64" s="81"/>
      <c r="I64" s="82"/>
      <c r="J64" s="83"/>
      <c r="K64" s="84"/>
      <c r="L64" s="86"/>
    </row>
    <row r="65" spans="1:12" ht="15" customHeight="1" x14ac:dyDescent="0.25">
      <c r="A65" s="73"/>
      <c r="B65" s="66">
        <f t="shared" si="4"/>
        <v>46286</v>
      </c>
      <c r="C65" s="85" t="str">
        <f t="shared" ca="1" si="16"/>
        <v/>
      </c>
      <c r="D65" s="85" t="str">
        <f t="shared" ca="1" si="20"/>
        <v/>
      </c>
      <c r="E65" s="85" t="str">
        <f t="shared" ca="1" si="19"/>
        <v/>
      </c>
      <c r="F65" s="80" t="str">
        <f t="shared" si="18"/>
        <v/>
      </c>
      <c r="G65" s="81"/>
      <c r="H65" s="81"/>
      <c r="I65" s="82"/>
      <c r="J65" s="83"/>
      <c r="K65" s="84"/>
      <c r="L65" s="86"/>
    </row>
    <row r="66" spans="1:12" ht="15" customHeight="1" x14ac:dyDescent="0.25">
      <c r="A66" s="73"/>
      <c r="B66" s="66">
        <f t="shared" si="4"/>
        <v>46293</v>
      </c>
      <c r="C66" s="85" t="str">
        <f t="shared" ca="1" si="16"/>
        <v/>
      </c>
      <c r="D66" s="85" t="str">
        <f t="shared" ca="1" si="20"/>
        <v/>
      </c>
      <c r="E66" s="85" t="str">
        <f t="shared" ca="1" si="19"/>
        <v/>
      </c>
      <c r="F66" s="80" t="str">
        <f t="shared" si="18"/>
        <v/>
      </c>
      <c r="G66" s="81"/>
      <c r="H66" s="81"/>
      <c r="I66" s="82"/>
      <c r="J66" s="83"/>
      <c r="K66" s="84"/>
      <c r="L66" s="86"/>
    </row>
    <row r="67" spans="1:12" ht="15" customHeight="1" x14ac:dyDescent="0.25">
      <c r="A67" s="73"/>
      <c r="B67" s="66">
        <f t="shared" si="4"/>
        <v>46300</v>
      </c>
      <c r="C67" s="85" t="str">
        <f t="shared" ca="1" si="16"/>
        <v/>
      </c>
      <c r="D67" s="85" t="str">
        <f t="shared" ca="1" si="20"/>
        <v/>
      </c>
      <c r="E67" s="85" t="str">
        <f t="shared" ca="1" si="19"/>
        <v/>
      </c>
      <c r="F67" s="80" t="str">
        <f t="shared" si="18"/>
        <v/>
      </c>
      <c r="G67" s="81"/>
      <c r="H67" s="81"/>
      <c r="I67" s="82"/>
      <c r="J67" s="83"/>
      <c r="K67" s="84"/>
      <c r="L67" s="86"/>
    </row>
    <row r="68" spans="1:12" ht="15" customHeight="1" x14ac:dyDescent="0.25">
      <c r="A68" s="73"/>
      <c r="B68" s="66">
        <f t="shared" si="4"/>
        <v>46307</v>
      </c>
      <c r="C68" s="85" t="str">
        <f t="shared" ca="1" si="16"/>
        <v/>
      </c>
      <c r="D68" s="85" t="str">
        <f t="shared" ca="1" si="20"/>
        <v/>
      </c>
      <c r="E68" s="85" t="str">
        <f t="shared" ca="1" si="19"/>
        <v/>
      </c>
      <c r="F68" s="80" t="str">
        <f t="shared" si="18"/>
        <v/>
      </c>
      <c r="G68" s="81"/>
      <c r="H68" s="81"/>
      <c r="I68" s="82"/>
      <c r="J68" s="83"/>
      <c r="K68" s="84"/>
      <c r="L68" s="86"/>
    </row>
    <row r="93" spans="2:3" ht="15.75" customHeight="1" x14ac:dyDescent="0.25">
      <c r="B93" s="67" t="e">
        <f>IF(#REF!="","",IF(#REF!+$C$10&lt;=$C$6,#REF!+$C$10,""))</f>
        <v>#REF!</v>
      </c>
      <c r="C93" s="76" t="e">
        <f>IF(B93&lt;&gt;"",#REF!-$C$2/COUNT($B$18:$B$511),"")</f>
        <v>#REF!</v>
      </c>
    </row>
    <row r="94" spans="2:3" ht="15.75" customHeight="1" x14ac:dyDescent="0.25">
      <c r="B94" s="67" t="e">
        <f t="shared" ref="B94:B157" si="21">IF(B93="","",IF(B93+$C$10&lt;=$C$6,B93+$C$10,""))</f>
        <v>#REF!</v>
      </c>
      <c r="C94" s="76" t="e">
        <f t="shared" ref="C94:C157" si="22">IF(B94&lt;&gt;"",C93-$C$2/COUNT($B$18:$B$511),"")</f>
        <v>#REF!</v>
      </c>
    </row>
    <row r="95" spans="2:3" ht="15.75" customHeight="1" x14ac:dyDescent="0.25">
      <c r="B95" s="67" t="e">
        <f t="shared" si="21"/>
        <v>#REF!</v>
      </c>
      <c r="C95" s="76" t="e">
        <f t="shared" si="22"/>
        <v>#REF!</v>
      </c>
    </row>
    <row r="96" spans="2:3" ht="15.75" customHeight="1" x14ac:dyDescent="0.25">
      <c r="B96" s="67" t="e">
        <f t="shared" si="21"/>
        <v>#REF!</v>
      </c>
      <c r="C96" s="76" t="e">
        <f t="shared" si="22"/>
        <v>#REF!</v>
      </c>
    </row>
    <row r="97" spans="2:3" ht="15.75" customHeight="1" x14ac:dyDescent="0.25">
      <c r="B97" s="67" t="e">
        <f t="shared" si="21"/>
        <v>#REF!</v>
      </c>
      <c r="C97" s="76" t="e">
        <f t="shared" si="22"/>
        <v>#REF!</v>
      </c>
    </row>
    <row r="98" spans="2:3" ht="15.75" customHeight="1" x14ac:dyDescent="0.25">
      <c r="B98" s="67" t="e">
        <f t="shared" si="21"/>
        <v>#REF!</v>
      </c>
      <c r="C98" s="76" t="e">
        <f t="shared" si="22"/>
        <v>#REF!</v>
      </c>
    </row>
    <row r="99" spans="2:3" ht="15.75" customHeight="1" x14ac:dyDescent="0.25">
      <c r="B99" s="67" t="e">
        <f t="shared" si="21"/>
        <v>#REF!</v>
      </c>
      <c r="C99" s="76" t="e">
        <f t="shared" si="22"/>
        <v>#REF!</v>
      </c>
    </row>
    <row r="100" spans="2:3" ht="15.75" customHeight="1" x14ac:dyDescent="0.25">
      <c r="B100" s="67" t="e">
        <f t="shared" si="21"/>
        <v>#REF!</v>
      </c>
      <c r="C100" s="76" t="e">
        <f t="shared" si="22"/>
        <v>#REF!</v>
      </c>
    </row>
    <row r="101" spans="2:3" ht="15.75" customHeight="1" x14ac:dyDescent="0.25">
      <c r="B101" s="67" t="e">
        <f t="shared" si="21"/>
        <v>#REF!</v>
      </c>
      <c r="C101" s="76" t="e">
        <f t="shared" si="22"/>
        <v>#REF!</v>
      </c>
    </row>
    <row r="102" spans="2:3" ht="15.75" customHeight="1" x14ac:dyDescent="0.25">
      <c r="B102" s="67" t="e">
        <f t="shared" si="21"/>
        <v>#REF!</v>
      </c>
      <c r="C102" s="76" t="e">
        <f t="shared" si="22"/>
        <v>#REF!</v>
      </c>
    </row>
    <row r="103" spans="2:3" ht="15.75" customHeight="1" x14ac:dyDescent="0.25">
      <c r="B103" s="67" t="e">
        <f t="shared" si="21"/>
        <v>#REF!</v>
      </c>
      <c r="C103" s="76" t="e">
        <f t="shared" si="22"/>
        <v>#REF!</v>
      </c>
    </row>
    <row r="104" spans="2:3" ht="15.75" customHeight="1" x14ac:dyDescent="0.25">
      <c r="B104" s="67" t="e">
        <f t="shared" si="21"/>
        <v>#REF!</v>
      </c>
      <c r="C104" s="76" t="e">
        <f t="shared" si="22"/>
        <v>#REF!</v>
      </c>
    </row>
    <row r="105" spans="2:3" ht="15.75" customHeight="1" x14ac:dyDescent="0.25">
      <c r="B105" s="67" t="e">
        <f t="shared" si="21"/>
        <v>#REF!</v>
      </c>
      <c r="C105" s="76" t="e">
        <f t="shared" si="22"/>
        <v>#REF!</v>
      </c>
    </row>
    <row r="106" spans="2:3" ht="15.75" customHeight="1" x14ac:dyDescent="0.25">
      <c r="B106" s="67" t="e">
        <f t="shared" si="21"/>
        <v>#REF!</v>
      </c>
      <c r="C106" s="76" t="e">
        <f t="shared" si="22"/>
        <v>#REF!</v>
      </c>
    </row>
    <row r="107" spans="2:3" ht="15.75" customHeight="1" x14ac:dyDescent="0.25">
      <c r="B107" s="67" t="e">
        <f t="shared" si="21"/>
        <v>#REF!</v>
      </c>
      <c r="C107" s="76" t="e">
        <f t="shared" si="22"/>
        <v>#REF!</v>
      </c>
    </row>
    <row r="108" spans="2:3" ht="15.75" customHeight="1" x14ac:dyDescent="0.25">
      <c r="B108" s="67" t="e">
        <f t="shared" si="21"/>
        <v>#REF!</v>
      </c>
      <c r="C108" s="76" t="e">
        <f t="shared" si="22"/>
        <v>#REF!</v>
      </c>
    </row>
    <row r="109" spans="2:3" ht="15.75" customHeight="1" x14ac:dyDescent="0.25">
      <c r="B109" s="67" t="e">
        <f t="shared" si="21"/>
        <v>#REF!</v>
      </c>
      <c r="C109" s="76" t="e">
        <f t="shared" si="22"/>
        <v>#REF!</v>
      </c>
    </row>
    <row r="110" spans="2:3" ht="15.75" customHeight="1" x14ac:dyDescent="0.25">
      <c r="B110" s="67" t="e">
        <f t="shared" si="21"/>
        <v>#REF!</v>
      </c>
      <c r="C110" s="76" t="e">
        <f t="shared" si="22"/>
        <v>#REF!</v>
      </c>
    </row>
    <row r="111" spans="2:3" ht="15.75" customHeight="1" x14ac:dyDescent="0.25">
      <c r="B111" s="67" t="e">
        <f t="shared" si="21"/>
        <v>#REF!</v>
      </c>
      <c r="C111" s="76" t="e">
        <f t="shared" si="22"/>
        <v>#REF!</v>
      </c>
    </row>
    <row r="112" spans="2:3" ht="15.75" customHeight="1" x14ac:dyDescent="0.25">
      <c r="B112" s="67" t="e">
        <f t="shared" si="21"/>
        <v>#REF!</v>
      </c>
      <c r="C112" s="76" t="e">
        <f t="shared" si="22"/>
        <v>#REF!</v>
      </c>
    </row>
    <row r="113" spans="2:3" ht="15.75" customHeight="1" x14ac:dyDescent="0.25">
      <c r="B113" s="67" t="e">
        <f t="shared" si="21"/>
        <v>#REF!</v>
      </c>
      <c r="C113" s="76" t="e">
        <f t="shared" si="22"/>
        <v>#REF!</v>
      </c>
    </row>
    <row r="114" spans="2:3" ht="15.75" customHeight="1" x14ac:dyDescent="0.25">
      <c r="B114" s="67" t="e">
        <f t="shared" si="21"/>
        <v>#REF!</v>
      </c>
      <c r="C114" s="76" t="e">
        <f t="shared" si="22"/>
        <v>#REF!</v>
      </c>
    </row>
    <row r="115" spans="2:3" ht="15.75" customHeight="1" x14ac:dyDescent="0.25">
      <c r="B115" s="67" t="e">
        <f t="shared" si="21"/>
        <v>#REF!</v>
      </c>
      <c r="C115" s="76" t="e">
        <f t="shared" si="22"/>
        <v>#REF!</v>
      </c>
    </row>
    <row r="116" spans="2:3" ht="15.75" customHeight="1" x14ac:dyDescent="0.25">
      <c r="B116" s="67" t="e">
        <f t="shared" si="21"/>
        <v>#REF!</v>
      </c>
      <c r="C116" s="76" t="e">
        <f t="shared" si="22"/>
        <v>#REF!</v>
      </c>
    </row>
    <row r="117" spans="2:3" ht="15.75" customHeight="1" x14ac:dyDescent="0.25">
      <c r="B117" s="67" t="e">
        <f t="shared" si="21"/>
        <v>#REF!</v>
      </c>
      <c r="C117" s="76" t="e">
        <f t="shared" si="22"/>
        <v>#REF!</v>
      </c>
    </row>
    <row r="118" spans="2:3" ht="15.75" customHeight="1" x14ac:dyDescent="0.25">
      <c r="B118" s="67" t="e">
        <f t="shared" si="21"/>
        <v>#REF!</v>
      </c>
      <c r="C118" s="76" t="e">
        <f t="shared" si="22"/>
        <v>#REF!</v>
      </c>
    </row>
    <row r="119" spans="2:3" ht="15.75" customHeight="1" x14ac:dyDescent="0.25">
      <c r="B119" s="67" t="e">
        <f t="shared" si="21"/>
        <v>#REF!</v>
      </c>
      <c r="C119" s="76" t="e">
        <f t="shared" si="22"/>
        <v>#REF!</v>
      </c>
    </row>
    <row r="120" spans="2:3" ht="15.75" customHeight="1" x14ac:dyDescent="0.25">
      <c r="B120" s="67" t="e">
        <f t="shared" si="21"/>
        <v>#REF!</v>
      </c>
      <c r="C120" s="76" t="e">
        <f t="shared" si="22"/>
        <v>#REF!</v>
      </c>
    </row>
    <row r="121" spans="2:3" ht="15.75" customHeight="1" x14ac:dyDescent="0.25">
      <c r="B121" s="67" t="e">
        <f t="shared" si="21"/>
        <v>#REF!</v>
      </c>
      <c r="C121" s="76" t="e">
        <f t="shared" si="22"/>
        <v>#REF!</v>
      </c>
    </row>
    <row r="122" spans="2:3" ht="15.75" customHeight="1" x14ac:dyDescent="0.25">
      <c r="B122" s="67" t="e">
        <f t="shared" si="21"/>
        <v>#REF!</v>
      </c>
      <c r="C122" s="76" t="e">
        <f t="shared" si="22"/>
        <v>#REF!</v>
      </c>
    </row>
    <row r="123" spans="2:3" ht="15.75" customHeight="1" x14ac:dyDescent="0.25">
      <c r="B123" s="67" t="e">
        <f t="shared" si="21"/>
        <v>#REF!</v>
      </c>
      <c r="C123" s="76" t="e">
        <f t="shared" si="22"/>
        <v>#REF!</v>
      </c>
    </row>
    <row r="124" spans="2:3" ht="15.75" customHeight="1" x14ac:dyDescent="0.25">
      <c r="B124" s="67" t="e">
        <f t="shared" si="21"/>
        <v>#REF!</v>
      </c>
      <c r="C124" s="76" t="e">
        <f t="shared" si="22"/>
        <v>#REF!</v>
      </c>
    </row>
    <row r="125" spans="2:3" ht="15.75" customHeight="1" x14ac:dyDescent="0.25">
      <c r="B125" s="67" t="e">
        <f t="shared" si="21"/>
        <v>#REF!</v>
      </c>
      <c r="C125" s="76" t="e">
        <f t="shared" si="22"/>
        <v>#REF!</v>
      </c>
    </row>
    <row r="126" spans="2:3" ht="15.75" customHeight="1" x14ac:dyDescent="0.25">
      <c r="B126" s="67" t="e">
        <f t="shared" si="21"/>
        <v>#REF!</v>
      </c>
      <c r="C126" s="76" t="e">
        <f t="shared" si="22"/>
        <v>#REF!</v>
      </c>
    </row>
    <row r="127" spans="2:3" ht="15.75" customHeight="1" x14ac:dyDescent="0.25">
      <c r="B127" s="67" t="e">
        <f t="shared" si="21"/>
        <v>#REF!</v>
      </c>
      <c r="C127" s="76" t="e">
        <f t="shared" si="22"/>
        <v>#REF!</v>
      </c>
    </row>
    <row r="128" spans="2:3" ht="15.75" customHeight="1" x14ac:dyDescent="0.25">
      <c r="B128" s="67" t="e">
        <f t="shared" si="21"/>
        <v>#REF!</v>
      </c>
      <c r="C128" s="76" t="e">
        <f t="shared" si="22"/>
        <v>#REF!</v>
      </c>
    </row>
    <row r="129" spans="2:3" ht="15.75" customHeight="1" x14ac:dyDescent="0.25">
      <c r="B129" s="67" t="e">
        <f t="shared" si="21"/>
        <v>#REF!</v>
      </c>
      <c r="C129" s="76" t="e">
        <f t="shared" si="22"/>
        <v>#REF!</v>
      </c>
    </row>
    <row r="130" spans="2:3" ht="15.75" customHeight="1" x14ac:dyDescent="0.25">
      <c r="B130" s="67" t="e">
        <f t="shared" si="21"/>
        <v>#REF!</v>
      </c>
      <c r="C130" s="76" t="e">
        <f t="shared" si="22"/>
        <v>#REF!</v>
      </c>
    </row>
    <row r="131" spans="2:3" ht="15.75" customHeight="1" x14ac:dyDescent="0.25">
      <c r="B131" s="67" t="e">
        <f t="shared" si="21"/>
        <v>#REF!</v>
      </c>
      <c r="C131" s="76" t="e">
        <f t="shared" si="22"/>
        <v>#REF!</v>
      </c>
    </row>
    <row r="132" spans="2:3" ht="15.75" customHeight="1" x14ac:dyDescent="0.25">
      <c r="B132" s="67" t="e">
        <f t="shared" si="21"/>
        <v>#REF!</v>
      </c>
      <c r="C132" s="76" t="e">
        <f t="shared" si="22"/>
        <v>#REF!</v>
      </c>
    </row>
    <row r="133" spans="2:3" ht="15.75" customHeight="1" x14ac:dyDescent="0.25">
      <c r="B133" s="67" t="e">
        <f t="shared" si="21"/>
        <v>#REF!</v>
      </c>
      <c r="C133" s="76" t="e">
        <f t="shared" si="22"/>
        <v>#REF!</v>
      </c>
    </row>
    <row r="134" spans="2:3" ht="15.75" customHeight="1" x14ac:dyDescent="0.25">
      <c r="B134" s="67" t="e">
        <f t="shared" si="21"/>
        <v>#REF!</v>
      </c>
      <c r="C134" s="76" t="e">
        <f t="shared" si="22"/>
        <v>#REF!</v>
      </c>
    </row>
    <row r="135" spans="2:3" ht="15.75" customHeight="1" x14ac:dyDescent="0.25">
      <c r="B135" s="67" t="e">
        <f t="shared" si="21"/>
        <v>#REF!</v>
      </c>
      <c r="C135" s="76" t="e">
        <f t="shared" si="22"/>
        <v>#REF!</v>
      </c>
    </row>
    <row r="136" spans="2:3" ht="15.75" customHeight="1" x14ac:dyDescent="0.25">
      <c r="B136" s="67" t="e">
        <f t="shared" si="21"/>
        <v>#REF!</v>
      </c>
      <c r="C136" s="76" t="e">
        <f t="shared" si="22"/>
        <v>#REF!</v>
      </c>
    </row>
    <row r="137" spans="2:3" ht="15.75" customHeight="1" x14ac:dyDescent="0.25">
      <c r="B137" s="67" t="e">
        <f t="shared" si="21"/>
        <v>#REF!</v>
      </c>
      <c r="C137" s="76" t="e">
        <f t="shared" si="22"/>
        <v>#REF!</v>
      </c>
    </row>
    <row r="138" spans="2:3" ht="15.75" customHeight="1" x14ac:dyDescent="0.25">
      <c r="B138" s="67" t="e">
        <f t="shared" si="21"/>
        <v>#REF!</v>
      </c>
      <c r="C138" s="76" t="e">
        <f t="shared" si="22"/>
        <v>#REF!</v>
      </c>
    </row>
    <row r="139" spans="2:3" ht="15.75" customHeight="1" x14ac:dyDescent="0.25">
      <c r="B139" s="67" t="e">
        <f t="shared" si="21"/>
        <v>#REF!</v>
      </c>
      <c r="C139" s="76" t="e">
        <f t="shared" si="22"/>
        <v>#REF!</v>
      </c>
    </row>
    <row r="140" spans="2:3" ht="15.75" customHeight="1" x14ac:dyDescent="0.25">
      <c r="B140" s="67" t="e">
        <f t="shared" si="21"/>
        <v>#REF!</v>
      </c>
      <c r="C140" s="76" t="e">
        <f t="shared" si="22"/>
        <v>#REF!</v>
      </c>
    </row>
    <row r="141" spans="2:3" ht="15.75" customHeight="1" x14ac:dyDescent="0.25">
      <c r="B141" s="67" t="e">
        <f t="shared" si="21"/>
        <v>#REF!</v>
      </c>
      <c r="C141" s="76" t="e">
        <f t="shared" si="22"/>
        <v>#REF!</v>
      </c>
    </row>
    <row r="142" spans="2:3" ht="15.75" customHeight="1" x14ac:dyDescent="0.25">
      <c r="B142" s="67" t="e">
        <f t="shared" si="21"/>
        <v>#REF!</v>
      </c>
      <c r="C142" s="76" t="e">
        <f t="shared" si="22"/>
        <v>#REF!</v>
      </c>
    </row>
    <row r="143" spans="2:3" ht="15.75" customHeight="1" x14ac:dyDescent="0.25">
      <c r="B143" s="67" t="e">
        <f t="shared" si="21"/>
        <v>#REF!</v>
      </c>
      <c r="C143" s="76" t="e">
        <f t="shared" si="22"/>
        <v>#REF!</v>
      </c>
    </row>
    <row r="144" spans="2:3" ht="15.75" customHeight="1" x14ac:dyDescent="0.25">
      <c r="B144" s="67" t="e">
        <f t="shared" si="21"/>
        <v>#REF!</v>
      </c>
      <c r="C144" s="76" t="e">
        <f t="shared" si="22"/>
        <v>#REF!</v>
      </c>
    </row>
    <row r="145" spans="2:3" ht="15.75" customHeight="1" x14ac:dyDescent="0.25">
      <c r="B145" s="67" t="e">
        <f t="shared" si="21"/>
        <v>#REF!</v>
      </c>
      <c r="C145" s="76" t="e">
        <f t="shared" si="22"/>
        <v>#REF!</v>
      </c>
    </row>
    <row r="146" spans="2:3" ht="15.75" customHeight="1" x14ac:dyDescent="0.25">
      <c r="B146" s="67" t="e">
        <f t="shared" si="21"/>
        <v>#REF!</v>
      </c>
      <c r="C146" s="76" t="e">
        <f t="shared" si="22"/>
        <v>#REF!</v>
      </c>
    </row>
    <row r="147" spans="2:3" ht="15.75" customHeight="1" x14ac:dyDescent="0.25">
      <c r="B147" s="67" t="e">
        <f t="shared" si="21"/>
        <v>#REF!</v>
      </c>
      <c r="C147" s="76" t="e">
        <f t="shared" si="22"/>
        <v>#REF!</v>
      </c>
    </row>
    <row r="148" spans="2:3" ht="15.75" customHeight="1" x14ac:dyDescent="0.25">
      <c r="B148" s="67" t="e">
        <f t="shared" si="21"/>
        <v>#REF!</v>
      </c>
      <c r="C148" s="76" t="e">
        <f t="shared" si="22"/>
        <v>#REF!</v>
      </c>
    </row>
    <row r="149" spans="2:3" ht="15.75" customHeight="1" x14ac:dyDescent="0.25">
      <c r="B149" s="67" t="e">
        <f t="shared" si="21"/>
        <v>#REF!</v>
      </c>
      <c r="C149" s="76" t="e">
        <f t="shared" si="22"/>
        <v>#REF!</v>
      </c>
    </row>
    <row r="150" spans="2:3" ht="15.75" customHeight="1" x14ac:dyDescent="0.25">
      <c r="B150" s="67" t="e">
        <f t="shared" si="21"/>
        <v>#REF!</v>
      </c>
      <c r="C150" s="76" t="e">
        <f t="shared" si="22"/>
        <v>#REF!</v>
      </c>
    </row>
    <row r="151" spans="2:3" ht="15.75" customHeight="1" x14ac:dyDescent="0.25">
      <c r="B151" s="67" t="e">
        <f t="shared" si="21"/>
        <v>#REF!</v>
      </c>
      <c r="C151" s="76" t="e">
        <f t="shared" si="22"/>
        <v>#REF!</v>
      </c>
    </row>
    <row r="152" spans="2:3" ht="15.75" customHeight="1" x14ac:dyDescent="0.25">
      <c r="B152" s="67" t="e">
        <f t="shared" si="21"/>
        <v>#REF!</v>
      </c>
      <c r="C152" s="76" t="e">
        <f t="shared" si="22"/>
        <v>#REF!</v>
      </c>
    </row>
    <row r="153" spans="2:3" ht="15.75" customHeight="1" x14ac:dyDescent="0.25">
      <c r="B153" s="67" t="e">
        <f t="shared" si="21"/>
        <v>#REF!</v>
      </c>
      <c r="C153" s="76" t="e">
        <f t="shared" si="22"/>
        <v>#REF!</v>
      </c>
    </row>
    <row r="154" spans="2:3" ht="15.75" customHeight="1" x14ac:dyDescent="0.25">
      <c r="B154" s="67" t="e">
        <f t="shared" si="21"/>
        <v>#REF!</v>
      </c>
      <c r="C154" s="76" t="e">
        <f t="shared" si="22"/>
        <v>#REF!</v>
      </c>
    </row>
    <row r="155" spans="2:3" ht="15.75" customHeight="1" x14ac:dyDescent="0.25">
      <c r="B155" s="67" t="e">
        <f t="shared" si="21"/>
        <v>#REF!</v>
      </c>
      <c r="C155" s="76" t="e">
        <f t="shared" si="22"/>
        <v>#REF!</v>
      </c>
    </row>
    <row r="156" spans="2:3" ht="15.75" customHeight="1" x14ac:dyDescent="0.25">
      <c r="B156" s="67" t="e">
        <f t="shared" si="21"/>
        <v>#REF!</v>
      </c>
      <c r="C156" s="76" t="e">
        <f t="shared" si="22"/>
        <v>#REF!</v>
      </c>
    </row>
    <row r="157" spans="2:3" ht="15.75" customHeight="1" x14ac:dyDescent="0.25">
      <c r="B157" s="67" t="e">
        <f t="shared" si="21"/>
        <v>#REF!</v>
      </c>
      <c r="C157" s="76" t="e">
        <f t="shared" si="22"/>
        <v>#REF!</v>
      </c>
    </row>
    <row r="158" spans="2:3" ht="15.75" customHeight="1" x14ac:dyDescent="0.25">
      <c r="B158" s="67" t="e">
        <f t="shared" ref="B158:B221" si="23">IF(B157="","",IF(B157+$C$10&lt;=$C$6,B157+$C$10,""))</f>
        <v>#REF!</v>
      </c>
      <c r="C158" s="76" t="e">
        <f t="shared" ref="C158:C221" si="24">IF(B158&lt;&gt;"",C157-$C$2/COUNT($B$18:$B$511),"")</f>
        <v>#REF!</v>
      </c>
    </row>
    <row r="159" spans="2:3" ht="15.75" customHeight="1" x14ac:dyDescent="0.25">
      <c r="B159" s="67" t="e">
        <f t="shared" si="23"/>
        <v>#REF!</v>
      </c>
      <c r="C159" s="76" t="e">
        <f t="shared" si="24"/>
        <v>#REF!</v>
      </c>
    </row>
    <row r="160" spans="2:3" ht="15.75" customHeight="1" x14ac:dyDescent="0.25">
      <c r="B160" s="67" t="e">
        <f t="shared" si="23"/>
        <v>#REF!</v>
      </c>
      <c r="C160" s="76" t="e">
        <f t="shared" si="24"/>
        <v>#REF!</v>
      </c>
    </row>
    <row r="161" spans="2:3" ht="15.75" customHeight="1" x14ac:dyDescent="0.25">
      <c r="B161" s="67" t="e">
        <f t="shared" si="23"/>
        <v>#REF!</v>
      </c>
      <c r="C161" s="76" t="e">
        <f t="shared" si="24"/>
        <v>#REF!</v>
      </c>
    </row>
    <row r="162" spans="2:3" ht="15.75" customHeight="1" x14ac:dyDescent="0.25">
      <c r="B162" s="67" t="e">
        <f t="shared" si="23"/>
        <v>#REF!</v>
      </c>
      <c r="C162" s="76" t="e">
        <f t="shared" si="24"/>
        <v>#REF!</v>
      </c>
    </row>
    <row r="163" spans="2:3" ht="15.75" customHeight="1" x14ac:dyDescent="0.25">
      <c r="B163" s="67" t="e">
        <f t="shared" si="23"/>
        <v>#REF!</v>
      </c>
      <c r="C163" s="76" t="e">
        <f t="shared" si="24"/>
        <v>#REF!</v>
      </c>
    </row>
    <row r="164" spans="2:3" ht="15.75" customHeight="1" x14ac:dyDescent="0.25">
      <c r="B164" s="67" t="e">
        <f t="shared" si="23"/>
        <v>#REF!</v>
      </c>
      <c r="C164" s="76" t="e">
        <f t="shared" si="24"/>
        <v>#REF!</v>
      </c>
    </row>
    <row r="165" spans="2:3" ht="15.75" customHeight="1" x14ac:dyDescent="0.25">
      <c r="B165" s="67" t="e">
        <f t="shared" si="23"/>
        <v>#REF!</v>
      </c>
      <c r="C165" s="76" t="e">
        <f t="shared" si="24"/>
        <v>#REF!</v>
      </c>
    </row>
    <row r="166" spans="2:3" ht="15.75" customHeight="1" x14ac:dyDescent="0.25">
      <c r="B166" s="67" t="e">
        <f t="shared" si="23"/>
        <v>#REF!</v>
      </c>
      <c r="C166" s="76" t="e">
        <f t="shared" si="24"/>
        <v>#REF!</v>
      </c>
    </row>
    <row r="167" spans="2:3" ht="15.75" customHeight="1" x14ac:dyDescent="0.25">
      <c r="B167" s="67" t="e">
        <f t="shared" si="23"/>
        <v>#REF!</v>
      </c>
      <c r="C167" s="76" t="e">
        <f t="shared" si="24"/>
        <v>#REF!</v>
      </c>
    </row>
    <row r="168" spans="2:3" ht="15.75" customHeight="1" x14ac:dyDescent="0.25">
      <c r="B168" s="67" t="e">
        <f t="shared" si="23"/>
        <v>#REF!</v>
      </c>
      <c r="C168" s="76" t="e">
        <f t="shared" si="24"/>
        <v>#REF!</v>
      </c>
    </row>
    <row r="169" spans="2:3" ht="15.75" customHeight="1" x14ac:dyDescent="0.25">
      <c r="B169" s="67" t="e">
        <f t="shared" si="23"/>
        <v>#REF!</v>
      </c>
      <c r="C169" s="76" t="e">
        <f t="shared" si="24"/>
        <v>#REF!</v>
      </c>
    </row>
    <row r="170" spans="2:3" ht="15.75" customHeight="1" x14ac:dyDescent="0.25">
      <c r="B170" s="67" t="e">
        <f t="shared" si="23"/>
        <v>#REF!</v>
      </c>
      <c r="C170" s="76" t="e">
        <f t="shared" si="24"/>
        <v>#REF!</v>
      </c>
    </row>
    <row r="171" spans="2:3" ht="15.75" customHeight="1" x14ac:dyDescent="0.25">
      <c r="B171" s="67" t="e">
        <f t="shared" si="23"/>
        <v>#REF!</v>
      </c>
      <c r="C171" s="76" t="e">
        <f t="shared" si="24"/>
        <v>#REF!</v>
      </c>
    </row>
    <row r="172" spans="2:3" ht="15.75" customHeight="1" x14ac:dyDescent="0.25">
      <c r="B172" s="67" t="e">
        <f t="shared" si="23"/>
        <v>#REF!</v>
      </c>
      <c r="C172" s="76" t="e">
        <f t="shared" si="24"/>
        <v>#REF!</v>
      </c>
    </row>
    <row r="173" spans="2:3" ht="15.75" customHeight="1" x14ac:dyDescent="0.25">
      <c r="B173" s="67" t="e">
        <f t="shared" si="23"/>
        <v>#REF!</v>
      </c>
      <c r="C173" s="76" t="e">
        <f t="shared" si="24"/>
        <v>#REF!</v>
      </c>
    </row>
    <row r="174" spans="2:3" ht="15.75" customHeight="1" x14ac:dyDescent="0.25">
      <c r="B174" s="67" t="e">
        <f t="shared" si="23"/>
        <v>#REF!</v>
      </c>
      <c r="C174" s="76" t="e">
        <f t="shared" si="24"/>
        <v>#REF!</v>
      </c>
    </row>
    <row r="175" spans="2:3" ht="15.75" customHeight="1" x14ac:dyDescent="0.25">
      <c r="B175" s="67" t="e">
        <f t="shared" si="23"/>
        <v>#REF!</v>
      </c>
      <c r="C175" s="76" t="e">
        <f t="shared" si="24"/>
        <v>#REF!</v>
      </c>
    </row>
    <row r="176" spans="2:3" ht="15.75" customHeight="1" x14ac:dyDescent="0.25">
      <c r="B176" s="67" t="e">
        <f t="shared" si="23"/>
        <v>#REF!</v>
      </c>
      <c r="C176" s="76" t="e">
        <f t="shared" si="24"/>
        <v>#REF!</v>
      </c>
    </row>
    <row r="177" spans="2:3" ht="15.75" customHeight="1" x14ac:dyDescent="0.25">
      <c r="B177" s="67" t="e">
        <f t="shared" si="23"/>
        <v>#REF!</v>
      </c>
      <c r="C177" s="76" t="e">
        <f t="shared" si="24"/>
        <v>#REF!</v>
      </c>
    </row>
    <row r="178" spans="2:3" ht="15.75" customHeight="1" x14ac:dyDescent="0.25">
      <c r="B178" s="67" t="e">
        <f t="shared" si="23"/>
        <v>#REF!</v>
      </c>
      <c r="C178" s="76" t="e">
        <f t="shared" si="24"/>
        <v>#REF!</v>
      </c>
    </row>
    <row r="179" spans="2:3" ht="15.75" customHeight="1" x14ac:dyDescent="0.25">
      <c r="B179" s="67" t="e">
        <f t="shared" si="23"/>
        <v>#REF!</v>
      </c>
      <c r="C179" s="76" t="e">
        <f t="shared" si="24"/>
        <v>#REF!</v>
      </c>
    </row>
    <row r="180" spans="2:3" ht="15.75" customHeight="1" x14ac:dyDescent="0.25">
      <c r="B180" s="67" t="e">
        <f t="shared" si="23"/>
        <v>#REF!</v>
      </c>
      <c r="C180" s="76" t="e">
        <f t="shared" si="24"/>
        <v>#REF!</v>
      </c>
    </row>
    <row r="181" spans="2:3" ht="15.75" customHeight="1" x14ac:dyDescent="0.25">
      <c r="B181" s="67" t="e">
        <f t="shared" si="23"/>
        <v>#REF!</v>
      </c>
      <c r="C181" s="76" t="e">
        <f t="shared" si="24"/>
        <v>#REF!</v>
      </c>
    </row>
    <row r="182" spans="2:3" ht="15.75" customHeight="1" x14ac:dyDescent="0.25">
      <c r="B182" s="67" t="e">
        <f t="shared" si="23"/>
        <v>#REF!</v>
      </c>
      <c r="C182" s="76" t="e">
        <f t="shared" si="24"/>
        <v>#REF!</v>
      </c>
    </row>
    <row r="183" spans="2:3" ht="15.75" customHeight="1" x14ac:dyDescent="0.25">
      <c r="B183" s="67" t="e">
        <f t="shared" si="23"/>
        <v>#REF!</v>
      </c>
      <c r="C183" s="76" t="e">
        <f t="shared" si="24"/>
        <v>#REF!</v>
      </c>
    </row>
    <row r="184" spans="2:3" ht="15.75" customHeight="1" x14ac:dyDescent="0.25">
      <c r="B184" s="67" t="e">
        <f t="shared" si="23"/>
        <v>#REF!</v>
      </c>
      <c r="C184" s="76" t="e">
        <f t="shared" si="24"/>
        <v>#REF!</v>
      </c>
    </row>
    <row r="185" spans="2:3" ht="15.75" customHeight="1" x14ac:dyDescent="0.25">
      <c r="B185" s="67" t="e">
        <f t="shared" si="23"/>
        <v>#REF!</v>
      </c>
      <c r="C185" s="76" t="e">
        <f t="shared" si="24"/>
        <v>#REF!</v>
      </c>
    </row>
    <row r="186" spans="2:3" ht="15.75" customHeight="1" x14ac:dyDescent="0.25">
      <c r="B186" s="67" t="e">
        <f t="shared" si="23"/>
        <v>#REF!</v>
      </c>
      <c r="C186" s="76" t="e">
        <f t="shared" si="24"/>
        <v>#REF!</v>
      </c>
    </row>
    <row r="187" spans="2:3" ht="15.75" customHeight="1" x14ac:dyDescent="0.25">
      <c r="B187" s="67" t="e">
        <f t="shared" si="23"/>
        <v>#REF!</v>
      </c>
      <c r="C187" s="76" t="e">
        <f t="shared" si="24"/>
        <v>#REF!</v>
      </c>
    </row>
    <row r="188" spans="2:3" ht="15.75" customHeight="1" x14ac:dyDescent="0.25">
      <c r="B188" s="67" t="e">
        <f t="shared" si="23"/>
        <v>#REF!</v>
      </c>
      <c r="C188" s="76" t="e">
        <f t="shared" si="24"/>
        <v>#REF!</v>
      </c>
    </row>
    <row r="189" spans="2:3" ht="15.75" customHeight="1" x14ac:dyDescent="0.25">
      <c r="B189" s="67" t="e">
        <f t="shared" si="23"/>
        <v>#REF!</v>
      </c>
      <c r="C189" s="76" t="e">
        <f t="shared" si="24"/>
        <v>#REF!</v>
      </c>
    </row>
    <row r="190" spans="2:3" ht="15.75" customHeight="1" x14ac:dyDescent="0.25">
      <c r="B190" s="67" t="e">
        <f t="shared" si="23"/>
        <v>#REF!</v>
      </c>
      <c r="C190" s="76" t="e">
        <f t="shared" si="24"/>
        <v>#REF!</v>
      </c>
    </row>
    <row r="191" spans="2:3" ht="15.75" customHeight="1" x14ac:dyDescent="0.25">
      <c r="B191" s="67" t="e">
        <f t="shared" si="23"/>
        <v>#REF!</v>
      </c>
      <c r="C191" s="76" t="e">
        <f t="shared" si="24"/>
        <v>#REF!</v>
      </c>
    </row>
    <row r="192" spans="2:3" ht="15.75" customHeight="1" x14ac:dyDescent="0.25">
      <c r="B192" s="67" t="e">
        <f t="shared" si="23"/>
        <v>#REF!</v>
      </c>
      <c r="C192" s="76" t="e">
        <f t="shared" si="24"/>
        <v>#REF!</v>
      </c>
    </row>
    <row r="193" spans="2:3" ht="15.75" customHeight="1" x14ac:dyDescent="0.25">
      <c r="B193" s="67" t="e">
        <f t="shared" si="23"/>
        <v>#REF!</v>
      </c>
      <c r="C193" s="76" t="e">
        <f t="shared" si="24"/>
        <v>#REF!</v>
      </c>
    </row>
    <row r="194" spans="2:3" ht="15.75" customHeight="1" x14ac:dyDescent="0.25">
      <c r="B194" s="67" t="e">
        <f t="shared" si="23"/>
        <v>#REF!</v>
      </c>
      <c r="C194" s="76" t="e">
        <f t="shared" si="24"/>
        <v>#REF!</v>
      </c>
    </row>
    <row r="195" spans="2:3" ht="15.75" customHeight="1" x14ac:dyDescent="0.25">
      <c r="B195" s="67" t="e">
        <f t="shared" si="23"/>
        <v>#REF!</v>
      </c>
      <c r="C195" s="76" t="e">
        <f t="shared" si="24"/>
        <v>#REF!</v>
      </c>
    </row>
    <row r="196" spans="2:3" ht="15.75" customHeight="1" x14ac:dyDescent="0.25">
      <c r="B196" s="67" t="e">
        <f t="shared" si="23"/>
        <v>#REF!</v>
      </c>
      <c r="C196" s="76" t="e">
        <f t="shared" si="24"/>
        <v>#REF!</v>
      </c>
    </row>
    <row r="197" spans="2:3" ht="15.75" customHeight="1" x14ac:dyDescent="0.25">
      <c r="B197" s="67" t="e">
        <f t="shared" si="23"/>
        <v>#REF!</v>
      </c>
      <c r="C197" s="76" t="e">
        <f t="shared" si="24"/>
        <v>#REF!</v>
      </c>
    </row>
    <row r="198" spans="2:3" ht="15.75" customHeight="1" x14ac:dyDescent="0.25">
      <c r="B198" s="67" t="e">
        <f t="shared" si="23"/>
        <v>#REF!</v>
      </c>
      <c r="C198" s="76" t="e">
        <f t="shared" si="24"/>
        <v>#REF!</v>
      </c>
    </row>
    <row r="199" spans="2:3" ht="15.75" customHeight="1" x14ac:dyDescent="0.25">
      <c r="B199" s="67" t="e">
        <f t="shared" si="23"/>
        <v>#REF!</v>
      </c>
      <c r="C199" s="76" t="e">
        <f t="shared" si="24"/>
        <v>#REF!</v>
      </c>
    </row>
    <row r="200" spans="2:3" ht="15.75" customHeight="1" x14ac:dyDescent="0.25">
      <c r="B200" s="67" t="e">
        <f t="shared" si="23"/>
        <v>#REF!</v>
      </c>
      <c r="C200" s="76" t="e">
        <f t="shared" si="24"/>
        <v>#REF!</v>
      </c>
    </row>
    <row r="201" spans="2:3" ht="15.75" customHeight="1" x14ac:dyDescent="0.25">
      <c r="B201" s="67" t="e">
        <f t="shared" si="23"/>
        <v>#REF!</v>
      </c>
      <c r="C201" s="76" t="e">
        <f t="shared" si="24"/>
        <v>#REF!</v>
      </c>
    </row>
    <row r="202" spans="2:3" ht="15.75" customHeight="1" x14ac:dyDescent="0.25">
      <c r="B202" s="67" t="e">
        <f t="shared" si="23"/>
        <v>#REF!</v>
      </c>
      <c r="C202" s="76" t="e">
        <f t="shared" si="24"/>
        <v>#REF!</v>
      </c>
    </row>
    <row r="203" spans="2:3" ht="15.75" customHeight="1" x14ac:dyDescent="0.25">
      <c r="B203" s="67" t="e">
        <f t="shared" si="23"/>
        <v>#REF!</v>
      </c>
      <c r="C203" s="76" t="e">
        <f t="shared" si="24"/>
        <v>#REF!</v>
      </c>
    </row>
    <row r="204" spans="2:3" ht="15.75" customHeight="1" x14ac:dyDescent="0.25">
      <c r="B204" s="67" t="e">
        <f t="shared" si="23"/>
        <v>#REF!</v>
      </c>
      <c r="C204" s="76" t="e">
        <f t="shared" si="24"/>
        <v>#REF!</v>
      </c>
    </row>
    <row r="205" spans="2:3" ht="15.75" customHeight="1" x14ac:dyDescent="0.25">
      <c r="B205" s="67" t="e">
        <f t="shared" si="23"/>
        <v>#REF!</v>
      </c>
      <c r="C205" s="76" t="e">
        <f t="shared" si="24"/>
        <v>#REF!</v>
      </c>
    </row>
    <row r="206" spans="2:3" ht="15.75" customHeight="1" x14ac:dyDescent="0.25">
      <c r="B206" s="67" t="e">
        <f t="shared" si="23"/>
        <v>#REF!</v>
      </c>
      <c r="C206" s="76" t="e">
        <f t="shared" si="24"/>
        <v>#REF!</v>
      </c>
    </row>
    <row r="207" spans="2:3" ht="15.75" customHeight="1" x14ac:dyDescent="0.25">
      <c r="B207" s="67" t="e">
        <f t="shared" si="23"/>
        <v>#REF!</v>
      </c>
      <c r="C207" s="76" t="e">
        <f t="shared" si="24"/>
        <v>#REF!</v>
      </c>
    </row>
    <row r="208" spans="2:3" ht="15.75" customHeight="1" x14ac:dyDescent="0.25">
      <c r="B208" s="67" t="e">
        <f t="shared" si="23"/>
        <v>#REF!</v>
      </c>
      <c r="C208" s="76" t="e">
        <f t="shared" si="24"/>
        <v>#REF!</v>
      </c>
    </row>
    <row r="209" spans="2:3" ht="15.75" customHeight="1" x14ac:dyDescent="0.25">
      <c r="B209" s="67" t="e">
        <f t="shared" si="23"/>
        <v>#REF!</v>
      </c>
      <c r="C209" s="76" t="e">
        <f t="shared" si="24"/>
        <v>#REF!</v>
      </c>
    </row>
    <row r="210" spans="2:3" ht="15.75" customHeight="1" x14ac:dyDescent="0.25">
      <c r="B210" s="67" t="e">
        <f t="shared" si="23"/>
        <v>#REF!</v>
      </c>
      <c r="C210" s="76" t="e">
        <f t="shared" si="24"/>
        <v>#REF!</v>
      </c>
    </row>
    <row r="211" spans="2:3" ht="15.75" customHeight="1" x14ac:dyDescent="0.25">
      <c r="B211" s="67" t="e">
        <f t="shared" si="23"/>
        <v>#REF!</v>
      </c>
      <c r="C211" s="76" t="e">
        <f t="shared" si="24"/>
        <v>#REF!</v>
      </c>
    </row>
    <row r="212" spans="2:3" ht="15.75" customHeight="1" x14ac:dyDescent="0.25">
      <c r="B212" s="67" t="e">
        <f t="shared" si="23"/>
        <v>#REF!</v>
      </c>
      <c r="C212" s="76" t="e">
        <f t="shared" si="24"/>
        <v>#REF!</v>
      </c>
    </row>
    <row r="213" spans="2:3" ht="15.75" customHeight="1" x14ac:dyDescent="0.25">
      <c r="B213" s="67" t="e">
        <f t="shared" si="23"/>
        <v>#REF!</v>
      </c>
      <c r="C213" s="76" t="e">
        <f t="shared" si="24"/>
        <v>#REF!</v>
      </c>
    </row>
    <row r="214" spans="2:3" ht="15.75" customHeight="1" x14ac:dyDescent="0.25">
      <c r="B214" s="67" t="e">
        <f t="shared" si="23"/>
        <v>#REF!</v>
      </c>
      <c r="C214" s="76" t="e">
        <f t="shared" si="24"/>
        <v>#REF!</v>
      </c>
    </row>
    <row r="215" spans="2:3" ht="15.75" customHeight="1" x14ac:dyDescent="0.25">
      <c r="B215" s="67" t="e">
        <f t="shared" si="23"/>
        <v>#REF!</v>
      </c>
      <c r="C215" s="76" t="e">
        <f t="shared" si="24"/>
        <v>#REF!</v>
      </c>
    </row>
    <row r="216" spans="2:3" ht="15.75" customHeight="1" x14ac:dyDescent="0.25">
      <c r="B216" s="67" t="e">
        <f t="shared" si="23"/>
        <v>#REF!</v>
      </c>
      <c r="C216" s="76" t="e">
        <f t="shared" si="24"/>
        <v>#REF!</v>
      </c>
    </row>
    <row r="217" spans="2:3" ht="15.75" customHeight="1" x14ac:dyDescent="0.25">
      <c r="B217" s="67" t="e">
        <f t="shared" si="23"/>
        <v>#REF!</v>
      </c>
      <c r="C217" s="76" t="e">
        <f t="shared" si="24"/>
        <v>#REF!</v>
      </c>
    </row>
    <row r="218" spans="2:3" ht="15.75" customHeight="1" x14ac:dyDescent="0.25">
      <c r="B218" s="67" t="e">
        <f t="shared" si="23"/>
        <v>#REF!</v>
      </c>
      <c r="C218" s="76" t="e">
        <f t="shared" si="24"/>
        <v>#REF!</v>
      </c>
    </row>
    <row r="219" spans="2:3" ht="15.75" customHeight="1" x14ac:dyDescent="0.25">
      <c r="B219" s="67" t="e">
        <f t="shared" si="23"/>
        <v>#REF!</v>
      </c>
      <c r="C219" s="76" t="e">
        <f t="shared" si="24"/>
        <v>#REF!</v>
      </c>
    </row>
    <row r="220" spans="2:3" ht="15.75" customHeight="1" x14ac:dyDescent="0.25">
      <c r="B220" s="67" t="e">
        <f t="shared" si="23"/>
        <v>#REF!</v>
      </c>
      <c r="C220" s="76" t="e">
        <f t="shared" si="24"/>
        <v>#REF!</v>
      </c>
    </row>
    <row r="221" spans="2:3" ht="15.75" customHeight="1" x14ac:dyDescent="0.25">
      <c r="B221" s="67" t="e">
        <f t="shared" si="23"/>
        <v>#REF!</v>
      </c>
      <c r="C221" s="76" t="e">
        <f t="shared" si="24"/>
        <v>#REF!</v>
      </c>
    </row>
    <row r="222" spans="2:3" ht="15.75" customHeight="1" x14ac:dyDescent="0.25">
      <c r="B222" s="67" t="e">
        <f t="shared" ref="B222:B285" si="25">IF(B221="","",IF(B221+$C$10&lt;=$C$6,B221+$C$10,""))</f>
        <v>#REF!</v>
      </c>
      <c r="C222" s="76" t="e">
        <f t="shared" ref="C222:C285" si="26">IF(B222&lt;&gt;"",C221-$C$2/COUNT($B$18:$B$511),"")</f>
        <v>#REF!</v>
      </c>
    </row>
    <row r="223" spans="2:3" ht="15.75" customHeight="1" x14ac:dyDescent="0.25">
      <c r="B223" s="67" t="e">
        <f t="shared" si="25"/>
        <v>#REF!</v>
      </c>
      <c r="C223" s="76" t="e">
        <f t="shared" si="26"/>
        <v>#REF!</v>
      </c>
    </row>
    <row r="224" spans="2:3" ht="15.75" customHeight="1" x14ac:dyDescent="0.25">
      <c r="B224" s="67" t="e">
        <f t="shared" si="25"/>
        <v>#REF!</v>
      </c>
      <c r="C224" s="76" t="e">
        <f t="shared" si="26"/>
        <v>#REF!</v>
      </c>
    </row>
    <row r="225" spans="2:3" ht="15.75" customHeight="1" x14ac:dyDescent="0.25">
      <c r="B225" s="67" t="e">
        <f t="shared" si="25"/>
        <v>#REF!</v>
      </c>
      <c r="C225" s="76" t="e">
        <f t="shared" si="26"/>
        <v>#REF!</v>
      </c>
    </row>
    <row r="226" spans="2:3" ht="15.75" customHeight="1" x14ac:dyDescent="0.25">
      <c r="B226" s="67" t="e">
        <f t="shared" si="25"/>
        <v>#REF!</v>
      </c>
      <c r="C226" s="76" t="e">
        <f t="shared" si="26"/>
        <v>#REF!</v>
      </c>
    </row>
    <row r="227" spans="2:3" ht="15.75" customHeight="1" x14ac:dyDescent="0.25">
      <c r="B227" s="67" t="e">
        <f t="shared" si="25"/>
        <v>#REF!</v>
      </c>
      <c r="C227" s="76" t="e">
        <f t="shared" si="26"/>
        <v>#REF!</v>
      </c>
    </row>
    <row r="228" spans="2:3" ht="15.75" customHeight="1" x14ac:dyDescent="0.25">
      <c r="B228" s="67" t="e">
        <f t="shared" si="25"/>
        <v>#REF!</v>
      </c>
      <c r="C228" s="76" t="e">
        <f t="shared" si="26"/>
        <v>#REF!</v>
      </c>
    </row>
    <row r="229" spans="2:3" ht="15.75" customHeight="1" x14ac:dyDescent="0.25">
      <c r="B229" s="67" t="e">
        <f t="shared" si="25"/>
        <v>#REF!</v>
      </c>
      <c r="C229" s="76" t="e">
        <f t="shared" si="26"/>
        <v>#REF!</v>
      </c>
    </row>
    <row r="230" spans="2:3" ht="15.75" customHeight="1" x14ac:dyDescent="0.25">
      <c r="B230" s="67" t="e">
        <f t="shared" si="25"/>
        <v>#REF!</v>
      </c>
      <c r="C230" s="76" t="e">
        <f t="shared" si="26"/>
        <v>#REF!</v>
      </c>
    </row>
    <row r="231" spans="2:3" ht="15.75" customHeight="1" x14ac:dyDescent="0.25">
      <c r="B231" s="67" t="e">
        <f t="shared" si="25"/>
        <v>#REF!</v>
      </c>
      <c r="C231" s="76" t="e">
        <f t="shared" si="26"/>
        <v>#REF!</v>
      </c>
    </row>
    <row r="232" spans="2:3" ht="15.75" customHeight="1" x14ac:dyDescent="0.25">
      <c r="B232" s="67" t="e">
        <f t="shared" si="25"/>
        <v>#REF!</v>
      </c>
      <c r="C232" s="76" t="e">
        <f t="shared" si="26"/>
        <v>#REF!</v>
      </c>
    </row>
    <row r="233" spans="2:3" ht="15.75" customHeight="1" x14ac:dyDescent="0.25">
      <c r="B233" s="67" t="e">
        <f t="shared" si="25"/>
        <v>#REF!</v>
      </c>
      <c r="C233" s="76" t="e">
        <f t="shared" si="26"/>
        <v>#REF!</v>
      </c>
    </row>
    <row r="234" spans="2:3" ht="15.75" customHeight="1" x14ac:dyDescent="0.25">
      <c r="B234" s="67" t="e">
        <f t="shared" si="25"/>
        <v>#REF!</v>
      </c>
      <c r="C234" s="76" t="e">
        <f t="shared" si="26"/>
        <v>#REF!</v>
      </c>
    </row>
    <row r="235" spans="2:3" ht="15.75" customHeight="1" x14ac:dyDescent="0.25">
      <c r="B235" s="67" t="e">
        <f t="shared" si="25"/>
        <v>#REF!</v>
      </c>
      <c r="C235" s="76" t="e">
        <f t="shared" si="26"/>
        <v>#REF!</v>
      </c>
    </row>
    <row r="236" spans="2:3" ht="15.75" customHeight="1" x14ac:dyDescent="0.25">
      <c r="B236" s="67" t="e">
        <f t="shared" si="25"/>
        <v>#REF!</v>
      </c>
      <c r="C236" s="76" t="e">
        <f t="shared" si="26"/>
        <v>#REF!</v>
      </c>
    </row>
    <row r="237" spans="2:3" ht="15.75" customHeight="1" x14ac:dyDescent="0.25">
      <c r="B237" s="67" t="e">
        <f t="shared" si="25"/>
        <v>#REF!</v>
      </c>
      <c r="C237" s="76" t="e">
        <f t="shared" si="26"/>
        <v>#REF!</v>
      </c>
    </row>
    <row r="238" spans="2:3" ht="15.75" customHeight="1" x14ac:dyDescent="0.25">
      <c r="B238" s="67" t="e">
        <f t="shared" si="25"/>
        <v>#REF!</v>
      </c>
      <c r="C238" s="76" t="e">
        <f t="shared" si="26"/>
        <v>#REF!</v>
      </c>
    </row>
    <row r="239" spans="2:3" ht="15.75" customHeight="1" x14ac:dyDescent="0.25">
      <c r="B239" s="67" t="e">
        <f t="shared" si="25"/>
        <v>#REF!</v>
      </c>
      <c r="C239" s="76" t="e">
        <f t="shared" si="26"/>
        <v>#REF!</v>
      </c>
    </row>
    <row r="240" spans="2:3" ht="15.75" customHeight="1" x14ac:dyDescent="0.25">
      <c r="B240" s="67" t="e">
        <f t="shared" si="25"/>
        <v>#REF!</v>
      </c>
      <c r="C240" s="76" t="e">
        <f t="shared" si="26"/>
        <v>#REF!</v>
      </c>
    </row>
    <row r="241" spans="2:3" ht="15.75" customHeight="1" x14ac:dyDescent="0.25">
      <c r="B241" s="67" t="e">
        <f t="shared" si="25"/>
        <v>#REF!</v>
      </c>
      <c r="C241" s="76" t="e">
        <f t="shared" si="26"/>
        <v>#REF!</v>
      </c>
    </row>
    <row r="242" spans="2:3" ht="15.75" customHeight="1" x14ac:dyDescent="0.25">
      <c r="B242" s="67" t="e">
        <f t="shared" si="25"/>
        <v>#REF!</v>
      </c>
      <c r="C242" s="76" t="e">
        <f t="shared" si="26"/>
        <v>#REF!</v>
      </c>
    </row>
    <row r="243" spans="2:3" ht="15.75" customHeight="1" x14ac:dyDescent="0.25">
      <c r="B243" s="67" t="e">
        <f t="shared" si="25"/>
        <v>#REF!</v>
      </c>
      <c r="C243" s="76" t="e">
        <f t="shared" si="26"/>
        <v>#REF!</v>
      </c>
    </row>
    <row r="244" spans="2:3" ht="15.75" customHeight="1" x14ac:dyDescent="0.25">
      <c r="B244" s="67" t="e">
        <f t="shared" si="25"/>
        <v>#REF!</v>
      </c>
      <c r="C244" s="76" t="e">
        <f t="shared" si="26"/>
        <v>#REF!</v>
      </c>
    </row>
    <row r="245" spans="2:3" ht="15.75" customHeight="1" x14ac:dyDescent="0.25">
      <c r="B245" s="67" t="e">
        <f t="shared" si="25"/>
        <v>#REF!</v>
      </c>
      <c r="C245" s="76" t="e">
        <f t="shared" si="26"/>
        <v>#REF!</v>
      </c>
    </row>
    <row r="246" spans="2:3" ht="15.75" customHeight="1" x14ac:dyDescent="0.25">
      <c r="B246" s="67" t="e">
        <f t="shared" si="25"/>
        <v>#REF!</v>
      </c>
      <c r="C246" s="76" t="e">
        <f t="shared" si="26"/>
        <v>#REF!</v>
      </c>
    </row>
    <row r="247" spans="2:3" ht="15.75" customHeight="1" x14ac:dyDescent="0.25">
      <c r="B247" s="67" t="e">
        <f t="shared" si="25"/>
        <v>#REF!</v>
      </c>
      <c r="C247" s="76" t="e">
        <f t="shared" si="26"/>
        <v>#REF!</v>
      </c>
    </row>
    <row r="248" spans="2:3" ht="15.75" customHeight="1" x14ac:dyDescent="0.25">
      <c r="B248" s="67" t="e">
        <f t="shared" si="25"/>
        <v>#REF!</v>
      </c>
      <c r="C248" s="76" t="e">
        <f t="shared" si="26"/>
        <v>#REF!</v>
      </c>
    </row>
    <row r="249" spans="2:3" ht="15.75" customHeight="1" x14ac:dyDescent="0.25">
      <c r="B249" s="67" t="e">
        <f t="shared" si="25"/>
        <v>#REF!</v>
      </c>
      <c r="C249" s="76" t="e">
        <f t="shared" si="26"/>
        <v>#REF!</v>
      </c>
    </row>
    <row r="250" spans="2:3" ht="15.75" customHeight="1" x14ac:dyDescent="0.25">
      <c r="B250" s="67" t="e">
        <f t="shared" si="25"/>
        <v>#REF!</v>
      </c>
      <c r="C250" s="76" t="e">
        <f t="shared" si="26"/>
        <v>#REF!</v>
      </c>
    </row>
    <row r="251" spans="2:3" ht="15.75" customHeight="1" x14ac:dyDescent="0.25">
      <c r="B251" s="67" t="e">
        <f t="shared" si="25"/>
        <v>#REF!</v>
      </c>
      <c r="C251" s="76" t="e">
        <f t="shared" si="26"/>
        <v>#REF!</v>
      </c>
    </row>
    <row r="252" spans="2:3" ht="15.75" customHeight="1" x14ac:dyDescent="0.25">
      <c r="B252" s="67" t="e">
        <f t="shared" si="25"/>
        <v>#REF!</v>
      </c>
      <c r="C252" s="76" t="e">
        <f t="shared" si="26"/>
        <v>#REF!</v>
      </c>
    </row>
    <row r="253" spans="2:3" ht="15.75" customHeight="1" x14ac:dyDescent="0.25">
      <c r="B253" s="67" t="e">
        <f t="shared" si="25"/>
        <v>#REF!</v>
      </c>
      <c r="C253" s="76" t="e">
        <f t="shared" si="26"/>
        <v>#REF!</v>
      </c>
    </row>
    <row r="254" spans="2:3" ht="15.75" customHeight="1" x14ac:dyDescent="0.25">
      <c r="B254" s="67" t="e">
        <f t="shared" si="25"/>
        <v>#REF!</v>
      </c>
      <c r="C254" s="76" t="e">
        <f t="shared" si="26"/>
        <v>#REF!</v>
      </c>
    </row>
    <row r="255" spans="2:3" ht="15.75" customHeight="1" x14ac:dyDescent="0.25">
      <c r="B255" s="67" t="e">
        <f t="shared" si="25"/>
        <v>#REF!</v>
      </c>
      <c r="C255" s="76" t="e">
        <f t="shared" si="26"/>
        <v>#REF!</v>
      </c>
    </row>
    <row r="256" spans="2:3" ht="15.75" customHeight="1" x14ac:dyDescent="0.25">
      <c r="B256" s="67" t="e">
        <f t="shared" si="25"/>
        <v>#REF!</v>
      </c>
      <c r="C256" s="76" t="e">
        <f t="shared" si="26"/>
        <v>#REF!</v>
      </c>
    </row>
    <row r="257" spans="2:3" ht="15.75" customHeight="1" x14ac:dyDescent="0.25">
      <c r="B257" s="67" t="e">
        <f t="shared" si="25"/>
        <v>#REF!</v>
      </c>
      <c r="C257" s="76" t="e">
        <f t="shared" si="26"/>
        <v>#REF!</v>
      </c>
    </row>
    <row r="258" spans="2:3" ht="15.75" customHeight="1" x14ac:dyDescent="0.25">
      <c r="B258" s="67" t="e">
        <f t="shared" si="25"/>
        <v>#REF!</v>
      </c>
      <c r="C258" s="76" t="e">
        <f t="shared" si="26"/>
        <v>#REF!</v>
      </c>
    </row>
    <row r="259" spans="2:3" ht="15.75" customHeight="1" x14ac:dyDescent="0.25">
      <c r="B259" s="67" t="e">
        <f t="shared" si="25"/>
        <v>#REF!</v>
      </c>
      <c r="C259" s="76" t="e">
        <f t="shared" si="26"/>
        <v>#REF!</v>
      </c>
    </row>
    <row r="260" spans="2:3" ht="15.75" customHeight="1" x14ac:dyDescent="0.25">
      <c r="B260" s="67" t="e">
        <f t="shared" si="25"/>
        <v>#REF!</v>
      </c>
      <c r="C260" s="76" t="e">
        <f t="shared" si="26"/>
        <v>#REF!</v>
      </c>
    </row>
    <row r="261" spans="2:3" ht="15.75" customHeight="1" x14ac:dyDescent="0.25">
      <c r="B261" s="67" t="e">
        <f t="shared" si="25"/>
        <v>#REF!</v>
      </c>
      <c r="C261" s="76" t="e">
        <f t="shared" si="26"/>
        <v>#REF!</v>
      </c>
    </row>
    <row r="262" spans="2:3" ht="15.75" customHeight="1" x14ac:dyDescent="0.25">
      <c r="B262" s="67" t="e">
        <f t="shared" si="25"/>
        <v>#REF!</v>
      </c>
      <c r="C262" s="76" t="e">
        <f t="shared" si="26"/>
        <v>#REF!</v>
      </c>
    </row>
    <row r="263" spans="2:3" ht="15.75" customHeight="1" x14ac:dyDescent="0.25">
      <c r="B263" s="67" t="e">
        <f t="shared" si="25"/>
        <v>#REF!</v>
      </c>
      <c r="C263" s="76" t="e">
        <f t="shared" si="26"/>
        <v>#REF!</v>
      </c>
    </row>
    <row r="264" spans="2:3" ht="15.75" customHeight="1" x14ac:dyDescent="0.25">
      <c r="B264" s="67" t="e">
        <f t="shared" si="25"/>
        <v>#REF!</v>
      </c>
      <c r="C264" s="76" t="e">
        <f t="shared" si="26"/>
        <v>#REF!</v>
      </c>
    </row>
    <row r="265" spans="2:3" ht="15.75" customHeight="1" x14ac:dyDescent="0.25">
      <c r="B265" s="67" t="e">
        <f t="shared" si="25"/>
        <v>#REF!</v>
      </c>
      <c r="C265" s="76" t="e">
        <f t="shared" si="26"/>
        <v>#REF!</v>
      </c>
    </row>
    <row r="266" spans="2:3" ht="15.75" customHeight="1" x14ac:dyDescent="0.25">
      <c r="B266" s="67" t="e">
        <f t="shared" si="25"/>
        <v>#REF!</v>
      </c>
      <c r="C266" s="76" t="e">
        <f t="shared" si="26"/>
        <v>#REF!</v>
      </c>
    </row>
    <row r="267" spans="2:3" ht="15.75" customHeight="1" x14ac:dyDescent="0.25">
      <c r="B267" s="67" t="e">
        <f t="shared" si="25"/>
        <v>#REF!</v>
      </c>
      <c r="C267" s="76" t="e">
        <f t="shared" si="26"/>
        <v>#REF!</v>
      </c>
    </row>
    <row r="268" spans="2:3" ht="15.75" customHeight="1" x14ac:dyDescent="0.25">
      <c r="B268" s="67" t="e">
        <f t="shared" si="25"/>
        <v>#REF!</v>
      </c>
      <c r="C268" s="76" t="e">
        <f t="shared" si="26"/>
        <v>#REF!</v>
      </c>
    </row>
    <row r="269" spans="2:3" ht="15.75" customHeight="1" x14ac:dyDescent="0.25">
      <c r="B269" s="67" t="e">
        <f t="shared" si="25"/>
        <v>#REF!</v>
      </c>
      <c r="C269" s="76" t="e">
        <f t="shared" si="26"/>
        <v>#REF!</v>
      </c>
    </row>
    <row r="270" spans="2:3" ht="15.75" customHeight="1" x14ac:dyDescent="0.25">
      <c r="B270" s="67" t="e">
        <f t="shared" si="25"/>
        <v>#REF!</v>
      </c>
      <c r="C270" s="76" t="e">
        <f t="shared" si="26"/>
        <v>#REF!</v>
      </c>
    </row>
    <row r="271" spans="2:3" ht="15.75" customHeight="1" x14ac:dyDescent="0.25">
      <c r="B271" s="67" t="e">
        <f t="shared" si="25"/>
        <v>#REF!</v>
      </c>
      <c r="C271" s="76" t="e">
        <f t="shared" si="26"/>
        <v>#REF!</v>
      </c>
    </row>
    <row r="272" spans="2:3" ht="15.75" customHeight="1" x14ac:dyDescent="0.25">
      <c r="B272" s="67" t="e">
        <f t="shared" si="25"/>
        <v>#REF!</v>
      </c>
      <c r="C272" s="76" t="e">
        <f t="shared" si="26"/>
        <v>#REF!</v>
      </c>
    </row>
    <row r="273" spans="2:3" ht="15.75" customHeight="1" x14ac:dyDescent="0.25">
      <c r="B273" s="67" t="e">
        <f t="shared" si="25"/>
        <v>#REF!</v>
      </c>
      <c r="C273" s="76" t="e">
        <f t="shared" si="26"/>
        <v>#REF!</v>
      </c>
    </row>
    <row r="274" spans="2:3" ht="15.75" customHeight="1" x14ac:dyDescent="0.25">
      <c r="B274" s="67" t="e">
        <f t="shared" si="25"/>
        <v>#REF!</v>
      </c>
      <c r="C274" s="76" t="e">
        <f t="shared" si="26"/>
        <v>#REF!</v>
      </c>
    </row>
    <row r="275" spans="2:3" ht="15.75" customHeight="1" x14ac:dyDescent="0.25">
      <c r="B275" s="67" t="e">
        <f t="shared" si="25"/>
        <v>#REF!</v>
      </c>
      <c r="C275" s="76" t="e">
        <f t="shared" si="26"/>
        <v>#REF!</v>
      </c>
    </row>
    <row r="276" spans="2:3" ht="15.75" customHeight="1" x14ac:dyDescent="0.25">
      <c r="B276" s="67" t="e">
        <f t="shared" si="25"/>
        <v>#REF!</v>
      </c>
      <c r="C276" s="76" t="e">
        <f t="shared" si="26"/>
        <v>#REF!</v>
      </c>
    </row>
    <row r="277" spans="2:3" ht="15.75" customHeight="1" x14ac:dyDescent="0.25">
      <c r="B277" s="67" t="e">
        <f t="shared" si="25"/>
        <v>#REF!</v>
      </c>
      <c r="C277" s="76" t="e">
        <f t="shared" si="26"/>
        <v>#REF!</v>
      </c>
    </row>
    <row r="278" spans="2:3" ht="15.75" customHeight="1" x14ac:dyDescent="0.25">
      <c r="B278" s="67" t="e">
        <f t="shared" si="25"/>
        <v>#REF!</v>
      </c>
      <c r="C278" s="76" t="e">
        <f t="shared" si="26"/>
        <v>#REF!</v>
      </c>
    </row>
    <row r="279" spans="2:3" ht="15.75" customHeight="1" x14ac:dyDescent="0.25">
      <c r="B279" s="67" t="e">
        <f t="shared" si="25"/>
        <v>#REF!</v>
      </c>
      <c r="C279" s="76" t="e">
        <f t="shared" si="26"/>
        <v>#REF!</v>
      </c>
    </row>
    <row r="280" spans="2:3" ht="15.75" customHeight="1" x14ac:dyDescent="0.25">
      <c r="B280" s="67" t="e">
        <f t="shared" si="25"/>
        <v>#REF!</v>
      </c>
      <c r="C280" s="76" t="e">
        <f t="shared" si="26"/>
        <v>#REF!</v>
      </c>
    </row>
    <row r="281" spans="2:3" ht="15.75" customHeight="1" x14ac:dyDescent="0.25">
      <c r="B281" s="67" t="e">
        <f t="shared" si="25"/>
        <v>#REF!</v>
      </c>
      <c r="C281" s="76" t="e">
        <f t="shared" si="26"/>
        <v>#REF!</v>
      </c>
    </row>
    <row r="282" spans="2:3" ht="15.75" customHeight="1" x14ac:dyDescent="0.25">
      <c r="B282" s="67" t="e">
        <f t="shared" si="25"/>
        <v>#REF!</v>
      </c>
      <c r="C282" s="76" t="e">
        <f t="shared" si="26"/>
        <v>#REF!</v>
      </c>
    </row>
    <row r="283" spans="2:3" ht="15.75" customHeight="1" x14ac:dyDescent="0.25">
      <c r="B283" s="67" t="e">
        <f t="shared" si="25"/>
        <v>#REF!</v>
      </c>
      <c r="C283" s="76" t="e">
        <f t="shared" si="26"/>
        <v>#REF!</v>
      </c>
    </row>
    <row r="284" spans="2:3" ht="15.75" customHeight="1" x14ac:dyDescent="0.25">
      <c r="B284" s="67" t="e">
        <f t="shared" si="25"/>
        <v>#REF!</v>
      </c>
      <c r="C284" s="76" t="e">
        <f t="shared" si="26"/>
        <v>#REF!</v>
      </c>
    </row>
    <row r="285" spans="2:3" ht="15.75" customHeight="1" x14ac:dyDescent="0.25">
      <c r="B285" s="67" t="e">
        <f t="shared" si="25"/>
        <v>#REF!</v>
      </c>
      <c r="C285" s="76" t="e">
        <f t="shared" si="26"/>
        <v>#REF!</v>
      </c>
    </row>
    <row r="286" spans="2:3" ht="15.75" customHeight="1" x14ac:dyDescent="0.25">
      <c r="B286" s="67" t="e">
        <f t="shared" ref="B286:B349" si="27">IF(B285="","",IF(B285+$C$10&lt;=$C$6,B285+$C$10,""))</f>
        <v>#REF!</v>
      </c>
      <c r="C286" s="76" t="e">
        <f t="shared" ref="C286:C349" si="28">IF(B286&lt;&gt;"",C285-$C$2/COUNT($B$18:$B$511),"")</f>
        <v>#REF!</v>
      </c>
    </row>
    <row r="287" spans="2:3" ht="15.75" customHeight="1" x14ac:dyDescent="0.25">
      <c r="B287" s="67" t="e">
        <f t="shared" si="27"/>
        <v>#REF!</v>
      </c>
      <c r="C287" s="76" t="e">
        <f t="shared" si="28"/>
        <v>#REF!</v>
      </c>
    </row>
    <row r="288" spans="2:3" ht="15.75" customHeight="1" x14ac:dyDescent="0.25">
      <c r="B288" s="67" t="e">
        <f t="shared" si="27"/>
        <v>#REF!</v>
      </c>
      <c r="C288" s="76" t="e">
        <f t="shared" si="28"/>
        <v>#REF!</v>
      </c>
    </row>
    <row r="289" spans="2:3" ht="15.75" customHeight="1" x14ac:dyDescent="0.25">
      <c r="B289" s="67" t="e">
        <f t="shared" si="27"/>
        <v>#REF!</v>
      </c>
      <c r="C289" s="76" t="e">
        <f t="shared" si="28"/>
        <v>#REF!</v>
      </c>
    </row>
    <row r="290" spans="2:3" ht="15.75" customHeight="1" x14ac:dyDescent="0.25">
      <c r="B290" s="67" t="e">
        <f t="shared" si="27"/>
        <v>#REF!</v>
      </c>
      <c r="C290" s="76" t="e">
        <f t="shared" si="28"/>
        <v>#REF!</v>
      </c>
    </row>
    <row r="291" spans="2:3" ht="15.75" customHeight="1" x14ac:dyDescent="0.25">
      <c r="B291" s="67" t="e">
        <f t="shared" si="27"/>
        <v>#REF!</v>
      </c>
      <c r="C291" s="76" t="e">
        <f t="shared" si="28"/>
        <v>#REF!</v>
      </c>
    </row>
    <row r="292" spans="2:3" ht="15.75" customHeight="1" x14ac:dyDescent="0.25">
      <c r="B292" s="67" t="e">
        <f t="shared" si="27"/>
        <v>#REF!</v>
      </c>
      <c r="C292" s="76" t="e">
        <f t="shared" si="28"/>
        <v>#REF!</v>
      </c>
    </row>
    <row r="293" spans="2:3" ht="15.75" customHeight="1" x14ac:dyDescent="0.25">
      <c r="B293" s="67" t="e">
        <f t="shared" si="27"/>
        <v>#REF!</v>
      </c>
      <c r="C293" s="76" t="e">
        <f t="shared" si="28"/>
        <v>#REF!</v>
      </c>
    </row>
    <row r="294" spans="2:3" ht="15.75" customHeight="1" x14ac:dyDescent="0.25">
      <c r="B294" s="67" t="e">
        <f t="shared" si="27"/>
        <v>#REF!</v>
      </c>
      <c r="C294" s="76" t="e">
        <f t="shared" si="28"/>
        <v>#REF!</v>
      </c>
    </row>
    <row r="295" spans="2:3" ht="15.75" customHeight="1" x14ac:dyDescent="0.25">
      <c r="B295" s="67" t="e">
        <f t="shared" si="27"/>
        <v>#REF!</v>
      </c>
      <c r="C295" s="76" t="e">
        <f t="shared" si="28"/>
        <v>#REF!</v>
      </c>
    </row>
    <row r="296" spans="2:3" ht="15.75" customHeight="1" x14ac:dyDescent="0.25">
      <c r="B296" s="67" t="e">
        <f t="shared" si="27"/>
        <v>#REF!</v>
      </c>
      <c r="C296" s="76" t="e">
        <f t="shared" si="28"/>
        <v>#REF!</v>
      </c>
    </row>
    <row r="297" spans="2:3" ht="15.75" customHeight="1" x14ac:dyDescent="0.25">
      <c r="B297" s="67" t="e">
        <f t="shared" si="27"/>
        <v>#REF!</v>
      </c>
      <c r="C297" s="76" t="e">
        <f t="shared" si="28"/>
        <v>#REF!</v>
      </c>
    </row>
    <row r="298" spans="2:3" ht="15.75" customHeight="1" x14ac:dyDescent="0.25">
      <c r="B298" s="67" t="e">
        <f t="shared" si="27"/>
        <v>#REF!</v>
      </c>
      <c r="C298" s="76" t="e">
        <f t="shared" si="28"/>
        <v>#REF!</v>
      </c>
    </row>
    <row r="299" spans="2:3" ht="15.75" customHeight="1" x14ac:dyDescent="0.25">
      <c r="B299" s="67" t="e">
        <f t="shared" si="27"/>
        <v>#REF!</v>
      </c>
      <c r="C299" s="76" t="e">
        <f t="shared" si="28"/>
        <v>#REF!</v>
      </c>
    </row>
    <row r="300" spans="2:3" ht="15.75" customHeight="1" x14ac:dyDescent="0.25">
      <c r="B300" s="67" t="e">
        <f t="shared" si="27"/>
        <v>#REF!</v>
      </c>
      <c r="C300" s="76" t="e">
        <f t="shared" si="28"/>
        <v>#REF!</v>
      </c>
    </row>
    <row r="301" spans="2:3" ht="15.75" customHeight="1" x14ac:dyDescent="0.25">
      <c r="B301" s="67" t="e">
        <f t="shared" si="27"/>
        <v>#REF!</v>
      </c>
      <c r="C301" s="76" t="e">
        <f t="shared" si="28"/>
        <v>#REF!</v>
      </c>
    </row>
    <row r="302" spans="2:3" ht="15.75" customHeight="1" x14ac:dyDescent="0.25">
      <c r="B302" s="67" t="e">
        <f t="shared" si="27"/>
        <v>#REF!</v>
      </c>
      <c r="C302" s="76" t="e">
        <f t="shared" si="28"/>
        <v>#REF!</v>
      </c>
    </row>
    <row r="303" spans="2:3" ht="15.75" customHeight="1" x14ac:dyDescent="0.25">
      <c r="B303" s="67" t="e">
        <f t="shared" si="27"/>
        <v>#REF!</v>
      </c>
      <c r="C303" s="76" t="e">
        <f t="shared" si="28"/>
        <v>#REF!</v>
      </c>
    </row>
    <row r="304" spans="2:3" ht="15.75" customHeight="1" x14ac:dyDescent="0.25">
      <c r="B304" s="67" t="e">
        <f t="shared" si="27"/>
        <v>#REF!</v>
      </c>
      <c r="C304" s="76" t="e">
        <f t="shared" si="28"/>
        <v>#REF!</v>
      </c>
    </row>
    <row r="305" spans="2:3" ht="15.75" customHeight="1" x14ac:dyDescent="0.25">
      <c r="B305" s="67" t="e">
        <f t="shared" si="27"/>
        <v>#REF!</v>
      </c>
      <c r="C305" s="76" t="e">
        <f t="shared" si="28"/>
        <v>#REF!</v>
      </c>
    </row>
    <row r="306" spans="2:3" ht="15.75" customHeight="1" x14ac:dyDescent="0.25">
      <c r="B306" s="67" t="e">
        <f t="shared" si="27"/>
        <v>#REF!</v>
      </c>
      <c r="C306" s="76" t="e">
        <f t="shared" si="28"/>
        <v>#REF!</v>
      </c>
    </row>
    <row r="307" spans="2:3" ht="15.75" customHeight="1" x14ac:dyDescent="0.25">
      <c r="B307" s="67" t="e">
        <f t="shared" si="27"/>
        <v>#REF!</v>
      </c>
      <c r="C307" s="76" t="e">
        <f t="shared" si="28"/>
        <v>#REF!</v>
      </c>
    </row>
    <row r="308" spans="2:3" ht="15.75" customHeight="1" x14ac:dyDescent="0.25">
      <c r="B308" s="67" t="e">
        <f t="shared" si="27"/>
        <v>#REF!</v>
      </c>
      <c r="C308" s="76" t="e">
        <f t="shared" si="28"/>
        <v>#REF!</v>
      </c>
    </row>
    <row r="309" spans="2:3" ht="15.75" customHeight="1" x14ac:dyDescent="0.25">
      <c r="B309" s="67" t="e">
        <f t="shared" si="27"/>
        <v>#REF!</v>
      </c>
      <c r="C309" s="76" t="e">
        <f t="shared" si="28"/>
        <v>#REF!</v>
      </c>
    </row>
    <row r="310" spans="2:3" ht="15.75" customHeight="1" x14ac:dyDescent="0.25">
      <c r="B310" s="67" t="e">
        <f t="shared" si="27"/>
        <v>#REF!</v>
      </c>
      <c r="C310" s="76" t="e">
        <f t="shared" si="28"/>
        <v>#REF!</v>
      </c>
    </row>
    <row r="311" spans="2:3" ht="15.75" customHeight="1" x14ac:dyDescent="0.25">
      <c r="B311" s="67" t="e">
        <f t="shared" si="27"/>
        <v>#REF!</v>
      </c>
      <c r="C311" s="76" t="e">
        <f t="shared" si="28"/>
        <v>#REF!</v>
      </c>
    </row>
    <row r="312" spans="2:3" ht="15.75" customHeight="1" x14ac:dyDescent="0.25">
      <c r="B312" s="67" t="e">
        <f t="shared" si="27"/>
        <v>#REF!</v>
      </c>
      <c r="C312" s="76" t="e">
        <f t="shared" si="28"/>
        <v>#REF!</v>
      </c>
    </row>
    <row r="313" spans="2:3" ht="15.75" customHeight="1" x14ac:dyDescent="0.25">
      <c r="B313" s="67" t="e">
        <f t="shared" si="27"/>
        <v>#REF!</v>
      </c>
      <c r="C313" s="76" t="e">
        <f t="shared" si="28"/>
        <v>#REF!</v>
      </c>
    </row>
    <row r="314" spans="2:3" ht="15.75" customHeight="1" x14ac:dyDescent="0.25">
      <c r="B314" s="67" t="e">
        <f t="shared" si="27"/>
        <v>#REF!</v>
      </c>
      <c r="C314" s="76" t="e">
        <f t="shared" si="28"/>
        <v>#REF!</v>
      </c>
    </row>
    <row r="315" spans="2:3" ht="15.75" customHeight="1" x14ac:dyDescent="0.25">
      <c r="B315" s="67" t="e">
        <f t="shared" si="27"/>
        <v>#REF!</v>
      </c>
      <c r="C315" s="76" t="e">
        <f t="shared" si="28"/>
        <v>#REF!</v>
      </c>
    </row>
    <row r="316" spans="2:3" ht="15.75" customHeight="1" x14ac:dyDescent="0.25">
      <c r="B316" s="67" t="e">
        <f t="shared" si="27"/>
        <v>#REF!</v>
      </c>
      <c r="C316" s="76" t="e">
        <f t="shared" si="28"/>
        <v>#REF!</v>
      </c>
    </row>
    <row r="317" spans="2:3" ht="15.75" customHeight="1" x14ac:dyDescent="0.25">
      <c r="B317" s="67" t="e">
        <f t="shared" si="27"/>
        <v>#REF!</v>
      </c>
      <c r="C317" s="76" t="e">
        <f t="shared" si="28"/>
        <v>#REF!</v>
      </c>
    </row>
    <row r="318" spans="2:3" ht="15.75" customHeight="1" x14ac:dyDescent="0.25">
      <c r="B318" s="67" t="e">
        <f t="shared" si="27"/>
        <v>#REF!</v>
      </c>
      <c r="C318" s="76" t="e">
        <f t="shared" si="28"/>
        <v>#REF!</v>
      </c>
    </row>
    <row r="319" spans="2:3" ht="15.75" customHeight="1" x14ac:dyDescent="0.25">
      <c r="B319" s="67" t="e">
        <f t="shared" si="27"/>
        <v>#REF!</v>
      </c>
      <c r="C319" s="76" t="e">
        <f t="shared" si="28"/>
        <v>#REF!</v>
      </c>
    </row>
    <row r="320" spans="2:3" ht="15.75" customHeight="1" x14ac:dyDescent="0.25">
      <c r="B320" s="67" t="e">
        <f t="shared" si="27"/>
        <v>#REF!</v>
      </c>
      <c r="C320" s="76" t="e">
        <f t="shared" si="28"/>
        <v>#REF!</v>
      </c>
    </row>
    <row r="321" spans="2:3" ht="15.75" customHeight="1" x14ac:dyDescent="0.25">
      <c r="B321" s="67" t="e">
        <f t="shared" si="27"/>
        <v>#REF!</v>
      </c>
      <c r="C321" s="76" t="e">
        <f t="shared" si="28"/>
        <v>#REF!</v>
      </c>
    </row>
    <row r="322" spans="2:3" ht="15.75" customHeight="1" x14ac:dyDescent="0.25">
      <c r="B322" s="67" t="e">
        <f t="shared" si="27"/>
        <v>#REF!</v>
      </c>
      <c r="C322" s="76" t="e">
        <f t="shared" si="28"/>
        <v>#REF!</v>
      </c>
    </row>
    <row r="323" spans="2:3" ht="15.75" customHeight="1" x14ac:dyDescent="0.25">
      <c r="B323" s="67" t="e">
        <f t="shared" si="27"/>
        <v>#REF!</v>
      </c>
      <c r="C323" s="76" t="e">
        <f t="shared" si="28"/>
        <v>#REF!</v>
      </c>
    </row>
    <row r="324" spans="2:3" ht="15.75" customHeight="1" x14ac:dyDescent="0.25">
      <c r="B324" s="67" t="e">
        <f t="shared" si="27"/>
        <v>#REF!</v>
      </c>
      <c r="C324" s="76" t="e">
        <f t="shared" si="28"/>
        <v>#REF!</v>
      </c>
    </row>
    <row r="325" spans="2:3" ht="15.75" customHeight="1" x14ac:dyDescent="0.25">
      <c r="B325" s="67" t="e">
        <f t="shared" si="27"/>
        <v>#REF!</v>
      </c>
      <c r="C325" s="76" t="e">
        <f t="shared" si="28"/>
        <v>#REF!</v>
      </c>
    </row>
    <row r="326" spans="2:3" ht="15.75" customHeight="1" x14ac:dyDescent="0.25">
      <c r="B326" s="67" t="e">
        <f t="shared" si="27"/>
        <v>#REF!</v>
      </c>
      <c r="C326" s="76" t="e">
        <f t="shared" si="28"/>
        <v>#REF!</v>
      </c>
    </row>
    <row r="327" spans="2:3" ht="15.75" customHeight="1" x14ac:dyDescent="0.25">
      <c r="B327" s="67" t="e">
        <f t="shared" si="27"/>
        <v>#REF!</v>
      </c>
      <c r="C327" s="76" t="e">
        <f t="shared" si="28"/>
        <v>#REF!</v>
      </c>
    </row>
    <row r="328" spans="2:3" ht="15.75" customHeight="1" x14ac:dyDescent="0.25">
      <c r="B328" s="67" t="e">
        <f t="shared" si="27"/>
        <v>#REF!</v>
      </c>
      <c r="C328" s="76" t="e">
        <f t="shared" si="28"/>
        <v>#REF!</v>
      </c>
    </row>
    <row r="329" spans="2:3" ht="15.75" customHeight="1" x14ac:dyDescent="0.25">
      <c r="B329" s="67" t="e">
        <f t="shared" si="27"/>
        <v>#REF!</v>
      </c>
      <c r="C329" s="76" t="e">
        <f t="shared" si="28"/>
        <v>#REF!</v>
      </c>
    </row>
    <row r="330" spans="2:3" ht="15.75" customHeight="1" x14ac:dyDescent="0.25">
      <c r="B330" s="67" t="e">
        <f t="shared" si="27"/>
        <v>#REF!</v>
      </c>
      <c r="C330" s="76" t="e">
        <f t="shared" si="28"/>
        <v>#REF!</v>
      </c>
    </row>
    <row r="331" spans="2:3" ht="15.75" customHeight="1" x14ac:dyDescent="0.25">
      <c r="B331" s="67" t="e">
        <f t="shared" si="27"/>
        <v>#REF!</v>
      </c>
      <c r="C331" s="76" t="e">
        <f t="shared" si="28"/>
        <v>#REF!</v>
      </c>
    </row>
    <row r="332" spans="2:3" ht="15.75" customHeight="1" x14ac:dyDescent="0.25">
      <c r="B332" s="67" t="e">
        <f t="shared" si="27"/>
        <v>#REF!</v>
      </c>
      <c r="C332" s="76" t="e">
        <f t="shared" si="28"/>
        <v>#REF!</v>
      </c>
    </row>
    <row r="333" spans="2:3" ht="15.75" customHeight="1" x14ac:dyDescent="0.25">
      <c r="B333" s="67" t="e">
        <f t="shared" si="27"/>
        <v>#REF!</v>
      </c>
      <c r="C333" s="76" t="e">
        <f t="shared" si="28"/>
        <v>#REF!</v>
      </c>
    </row>
    <row r="334" spans="2:3" ht="15.75" customHeight="1" x14ac:dyDescent="0.25">
      <c r="B334" s="67" t="e">
        <f t="shared" si="27"/>
        <v>#REF!</v>
      </c>
      <c r="C334" s="76" t="e">
        <f t="shared" si="28"/>
        <v>#REF!</v>
      </c>
    </row>
    <row r="335" spans="2:3" ht="15.75" customHeight="1" x14ac:dyDescent="0.25">
      <c r="B335" s="67" t="e">
        <f t="shared" si="27"/>
        <v>#REF!</v>
      </c>
      <c r="C335" s="76" t="e">
        <f t="shared" si="28"/>
        <v>#REF!</v>
      </c>
    </row>
    <row r="336" spans="2:3" ht="15.75" customHeight="1" x14ac:dyDescent="0.25">
      <c r="B336" s="67" t="e">
        <f t="shared" si="27"/>
        <v>#REF!</v>
      </c>
      <c r="C336" s="76" t="e">
        <f t="shared" si="28"/>
        <v>#REF!</v>
      </c>
    </row>
    <row r="337" spans="2:3" ht="15.75" customHeight="1" x14ac:dyDescent="0.25">
      <c r="B337" s="67" t="e">
        <f t="shared" si="27"/>
        <v>#REF!</v>
      </c>
      <c r="C337" s="76" t="e">
        <f t="shared" si="28"/>
        <v>#REF!</v>
      </c>
    </row>
    <row r="338" spans="2:3" ht="15.75" customHeight="1" x14ac:dyDescent="0.25">
      <c r="B338" s="67" t="e">
        <f t="shared" si="27"/>
        <v>#REF!</v>
      </c>
      <c r="C338" s="76" t="e">
        <f t="shared" si="28"/>
        <v>#REF!</v>
      </c>
    </row>
    <row r="339" spans="2:3" ht="15.75" customHeight="1" x14ac:dyDescent="0.25">
      <c r="B339" s="67" t="e">
        <f t="shared" si="27"/>
        <v>#REF!</v>
      </c>
      <c r="C339" s="76" t="e">
        <f t="shared" si="28"/>
        <v>#REF!</v>
      </c>
    </row>
    <row r="340" spans="2:3" ht="15.75" customHeight="1" x14ac:dyDescent="0.25">
      <c r="B340" s="67" t="e">
        <f t="shared" si="27"/>
        <v>#REF!</v>
      </c>
      <c r="C340" s="76" t="e">
        <f t="shared" si="28"/>
        <v>#REF!</v>
      </c>
    </row>
    <row r="341" spans="2:3" ht="15.75" customHeight="1" x14ac:dyDescent="0.25">
      <c r="B341" s="67" t="e">
        <f t="shared" si="27"/>
        <v>#REF!</v>
      </c>
      <c r="C341" s="76" t="e">
        <f t="shared" si="28"/>
        <v>#REF!</v>
      </c>
    </row>
    <row r="342" spans="2:3" ht="15.75" customHeight="1" x14ac:dyDescent="0.25">
      <c r="B342" s="67" t="e">
        <f t="shared" si="27"/>
        <v>#REF!</v>
      </c>
      <c r="C342" s="76" t="e">
        <f t="shared" si="28"/>
        <v>#REF!</v>
      </c>
    </row>
    <row r="343" spans="2:3" ht="15.75" customHeight="1" x14ac:dyDescent="0.25">
      <c r="B343" s="67" t="e">
        <f t="shared" si="27"/>
        <v>#REF!</v>
      </c>
      <c r="C343" s="76" t="e">
        <f t="shared" si="28"/>
        <v>#REF!</v>
      </c>
    </row>
    <row r="344" spans="2:3" ht="15.75" customHeight="1" x14ac:dyDescent="0.25">
      <c r="B344" s="67" t="e">
        <f t="shared" si="27"/>
        <v>#REF!</v>
      </c>
      <c r="C344" s="76" t="e">
        <f t="shared" si="28"/>
        <v>#REF!</v>
      </c>
    </row>
    <row r="345" spans="2:3" ht="15.75" customHeight="1" x14ac:dyDescent="0.25">
      <c r="B345" s="67" t="e">
        <f t="shared" si="27"/>
        <v>#REF!</v>
      </c>
      <c r="C345" s="76" t="e">
        <f t="shared" si="28"/>
        <v>#REF!</v>
      </c>
    </row>
    <row r="346" spans="2:3" ht="15.75" customHeight="1" x14ac:dyDescent="0.25">
      <c r="B346" s="67" t="e">
        <f t="shared" si="27"/>
        <v>#REF!</v>
      </c>
      <c r="C346" s="76" t="e">
        <f t="shared" si="28"/>
        <v>#REF!</v>
      </c>
    </row>
    <row r="347" spans="2:3" ht="15.75" customHeight="1" x14ac:dyDescent="0.25">
      <c r="B347" s="67" t="e">
        <f t="shared" si="27"/>
        <v>#REF!</v>
      </c>
      <c r="C347" s="76" t="e">
        <f t="shared" si="28"/>
        <v>#REF!</v>
      </c>
    </row>
    <row r="348" spans="2:3" ht="15.75" customHeight="1" x14ac:dyDescent="0.25">
      <c r="B348" s="67" t="e">
        <f t="shared" si="27"/>
        <v>#REF!</v>
      </c>
      <c r="C348" s="76" t="e">
        <f t="shared" si="28"/>
        <v>#REF!</v>
      </c>
    </row>
    <row r="349" spans="2:3" ht="15.75" customHeight="1" x14ac:dyDescent="0.25">
      <c r="B349" s="67" t="e">
        <f t="shared" si="27"/>
        <v>#REF!</v>
      </c>
      <c r="C349" s="76" t="e">
        <f t="shared" si="28"/>
        <v>#REF!</v>
      </c>
    </row>
    <row r="350" spans="2:3" ht="15.75" customHeight="1" x14ac:dyDescent="0.25">
      <c r="B350" s="67" t="e">
        <f t="shared" ref="B350:B413" si="29">IF(B349="","",IF(B349+$C$10&lt;=$C$6,B349+$C$10,""))</f>
        <v>#REF!</v>
      </c>
      <c r="C350" s="76" t="e">
        <f t="shared" ref="C350:C413" si="30">IF(B350&lt;&gt;"",C349-$C$2/COUNT($B$18:$B$511),"")</f>
        <v>#REF!</v>
      </c>
    </row>
    <row r="351" spans="2:3" ht="15.75" customHeight="1" x14ac:dyDescent="0.25">
      <c r="B351" s="67" t="e">
        <f t="shared" si="29"/>
        <v>#REF!</v>
      </c>
      <c r="C351" s="76" t="e">
        <f t="shared" si="30"/>
        <v>#REF!</v>
      </c>
    </row>
    <row r="352" spans="2:3" ht="15.75" customHeight="1" x14ac:dyDescent="0.25">
      <c r="B352" s="67" t="e">
        <f t="shared" si="29"/>
        <v>#REF!</v>
      </c>
      <c r="C352" s="76" t="e">
        <f t="shared" si="30"/>
        <v>#REF!</v>
      </c>
    </row>
    <row r="353" spans="2:3" ht="15.75" customHeight="1" x14ac:dyDescent="0.25">
      <c r="B353" s="67" t="e">
        <f t="shared" si="29"/>
        <v>#REF!</v>
      </c>
      <c r="C353" s="76" t="e">
        <f t="shared" si="30"/>
        <v>#REF!</v>
      </c>
    </row>
    <row r="354" spans="2:3" ht="15.75" customHeight="1" x14ac:dyDescent="0.25">
      <c r="B354" s="67" t="e">
        <f t="shared" si="29"/>
        <v>#REF!</v>
      </c>
      <c r="C354" s="76" t="e">
        <f t="shared" si="30"/>
        <v>#REF!</v>
      </c>
    </row>
    <row r="355" spans="2:3" ht="15.75" customHeight="1" x14ac:dyDescent="0.25">
      <c r="B355" s="67" t="e">
        <f t="shared" si="29"/>
        <v>#REF!</v>
      </c>
      <c r="C355" s="76" t="e">
        <f t="shared" si="30"/>
        <v>#REF!</v>
      </c>
    </row>
    <row r="356" spans="2:3" ht="15.75" customHeight="1" x14ac:dyDescent="0.25">
      <c r="B356" s="67" t="e">
        <f t="shared" si="29"/>
        <v>#REF!</v>
      </c>
      <c r="C356" s="76" t="e">
        <f t="shared" si="30"/>
        <v>#REF!</v>
      </c>
    </row>
    <row r="357" spans="2:3" ht="15.75" customHeight="1" x14ac:dyDescent="0.25">
      <c r="B357" s="67" t="e">
        <f t="shared" si="29"/>
        <v>#REF!</v>
      </c>
      <c r="C357" s="76" t="e">
        <f t="shared" si="30"/>
        <v>#REF!</v>
      </c>
    </row>
    <row r="358" spans="2:3" ht="15.75" customHeight="1" x14ac:dyDescent="0.25">
      <c r="B358" s="67" t="e">
        <f t="shared" si="29"/>
        <v>#REF!</v>
      </c>
      <c r="C358" s="76" t="e">
        <f t="shared" si="30"/>
        <v>#REF!</v>
      </c>
    </row>
    <row r="359" spans="2:3" ht="15.75" customHeight="1" x14ac:dyDescent="0.25">
      <c r="B359" s="67" t="e">
        <f t="shared" si="29"/>
        <v>#REF!</v>
      </c>
      <c r="C359" s="76" t="e">
        <f t="shared" si="30"/>
        <v>#REF!</v>
      </c>
    </row>
    <row r="360" spans="2:3" ht="15.75" customHeight="1" x14ac:dyDescent="0.25">
      <c r="B360" s="67" t="e">
        <f t="shared" si="29"/>
        <v>#REF!</v>
      </c>
      <c r="C360" s="76" t="e">
        <f t="shared" si="30"/>
        <v>#REF!</v>
      </c>
    </row>
    <row r="361" spans="2:3" ht="15.75" customHeight="1" x14ac:dyDescent="0.25">
      <c r="B361" s="67" t="e">
        <f t="shared" si="29"/>
        <v>#REF!</v>
      </c>
      <c r="C361" s="76" t="e">
        <f t="shared" si="30"/>
        <v>#REF!</v>
      </c>
    </row>
    <row r="362" spans="2:3" ht="15.75" customHeight="1" x14ac:dyDescent="0.25">
      <c r="B362" s="67" t="e">
        <f t="shared" si="29"/>
        <v>#REF!</v>
      </c>
      <c r="C362" s="76" t="e">
        <f t="shared" si="30"/>
        <v>#REF!</v>
      </c>
    </row>
    <row r="363" spans="2:3" ht="15.75" customHeight="1" x14ac:dyDescent="0.25">
      <c r="B363" s="67" t="e">
        <f t="shared" si="29"/>
        <v>#REF!</v>
      </c>
      <c r="C363" s="76" t="e">
        <f t="shared" si="30"/>
        <v>#REF!</v>
      </c>
    </row>
    <row r="364" spans="2:3" ht="15.75" customHeight="1" x14ac:dyDescent="0.25">
      <c r="B364" s="67" t="e">
        <f t="shared" si="29"/>
        <v>#REF!</v>
      </c>
      <c r="C364" s="76" t="e">
        <f t="shared" si="30"/>
        <v>#REF!</v>
      </c>
    </row>
    <row r="365" spans="2:3" ht="15.75" customHeight="1" x14ac:dyDescent="0.25">
      <c r="B365" s="67" t="e">
        <f t="shared" si="29"/>
        <v>#REF!</v>
      </c>
      <c r="C365" s="76" t="e">
        <f t="shared" si="30"/>
        <v>#REF!</v>
      </c>
    </row>
    <row r="366" spans="2:3" ht="15.75" customHeight="1" x14ac:dyDescent="0.25">
      <c r="B366" s="67" t="e">
        <f t="shared" si="29"/>
        <v>#REF!</v>
      </c>
      <c r="C366" s="76" t="e">
        <f t="shared" si="30"/>
        <v>#REF!</v>
      </c>
    </row>
    <row r="367" spans="2:3" ht="15.75" customHeight="1" x14ac:dyDescent="0.25">
      <c r="B367" s="67" t="e">
        <f t="shared" si="29"/>
        <v>#REF!</v>
      </c>
      <c r="C367" s="76" t="e">
        <f t="shared" si="30"/>
        <v>#REF!</v>
      </c>
    </row>
    <row r="368" spans="2:3" ht="15.75" customHeight="1" x14ac:dyDescent="0.25">
      <c r="B368" s="67" t="e">
        <f t="shared" si="29"/>
        <v>#REF!</v>
      </c>
      <c r="C368" s="76" t="e">
        <f t="shared" si="30"/>
        <v>#REF!</v>
      </c>
    </row>
    <row r="369" spans="2:3" ht="15.75" customHeight="1" x14ac:dyDescent="0.25">
      <c r="B369" s="67" t="e">
        <f t="shared" si="29"/>
        <v>#REF!</v>
      </c>
      <c r="C369" s="76" t="e">
        <f t="shared" si="30"/>
        <v>#REF!</v>
      </c>
    </row>
    <row r="370" spans="2:3" ht="15.75" customHeight="1" x14ac:dyDescent="0.25">
      <c r="B370" s="67" t="e">
        <f t="shared" si="29"/>
        <v>#REF!</v>
      </c>
      <c r="C370" s="76" t="e">
        <f t="shared" si="30"/>
        <v>#REF!</v>
      </c>
    </row>
    <row r="371" spans="2:3" ht="15.75" customHeight="1" x14ac:dyDescent="0.25">
      <c r="B371" s="67" t="e">
        <f t="shared" si="29"/>
        <v>#REF!</v>
      </c>
      <c r="C371" s="76" t="e">
        <f t="shared" si="30"/>
        <v>#REF!</v>
      </c>
    </row>
    <row r="372" spans="2:3" ht="15.75" customHeight="1" x14ac:dyDescent="0.25">
      <c r="B372" s="67" t="e">
        <f t="shared" si="29"/>
        <v>#REF!</v>
      </c>
      <c r="C372" s="76" t="e">
        <f t="shared" si="30"/>
        <v>#REF!</v>
      </c>
    </row>
    <row r="373" spans="2:3" ht="15.75" customHeight="1" x14ac:dyDescent="0.25">
      <c r="B373" s="67" t="e">
        <f t="shared" si="29"/>
        <v>#REF!</v>
      </c>
      <c r="C373" s="76" t="e">
        <f t="shared" si="30"/>
        <v>#REF!</v>
      </c>
    </row>
    <row r="374" spans="2:3" ht="15.75" customHeight="1" x14ac:dyDescent="0.25">
      <c r="B374" s="67" t="e">
        <f t="shared" si="29"/>
        <v>#REF!</v>
      </c>
      <c r="C374" s="76" t="e">
        <f t="shared" si="30"/>
        <v>#REF!</v>
      </c>
    </row>
    <row r="375" spans="2:3" ht="15.75" customHeight="1" x14ac:dyDescent="0.25">
      <c r="B375" s="67" t="e">
        <f t="shared" si="29"/>
        <v>#REF!</v>
      </c>
      <c r="C375" s="76" t="e">
        <f t="shared" si="30"/>
        <v>#REF!</v>
      </c>
    </row>
    <row r="376" spans="2:3" ht="15.75" customHeight="1" x14ac:dyDescent="0.25">
      <c r="B376" s="67" t="e">
        <f t="shared" si="29"/>
        <v>#REF!</v>
      </c>
      <c r="C376" s="76" t="e">
        <f t="shared" si="30"/>
        <v>#REF!</v>
      </c>
    </row>
    <row r="377" spans="2:3" ht="15.75" customHeight="1" x14ac:dyDescent="0.25">
      <c r="B377" s="67" t="e">
        <f t="shared" si="29"/>
        <v>#REF!</v>
      </c>
      <c r="C377" s="76" t="e">
        <f t="shared" si="30"/>
        <v>#REF!</v>
      </c>
    </row>
    <row r="378" spans="2:3" ht="15.75" customHeight="1" x14ac:dyDescent="0.25">
      <c r="B378" s="67" t="e">
        <f t="shared" si="29"/>
        <v>#REF!</v>
      </c>
      <c r="C378" s="76" t="e">
        <f t="shared" si="30"/>
        <v>#REF!</v>
      </c>
    </row>
    <row r="379" spans="2:3" ht="15.75" customHeight="1" x14ac:dyDescent="0.25">
      <c r="B379" s="67" t="e">
        <f t="shared" si="29"/>
        <v>#REF!</v>
      </c>
      <c r="C379" s="76" t="e">
        <f t="shared" si="30"/>
        <v>#REF!</v>
      </c>
    </row>
    <row r="380" spans="2:3" ht="15.75" customHeight="1" x14ac:dyDescent="0.25">
      <c r="B380" s="67" t="e">
        <f t="shared" si="29"/>
        <v>#REF!</v>
      </c>
      <c r="C380" s="76" t="e">
        <f t="shared" si="30"/>
        <v>#REF!</v>
      </c>
    </row>
    <row r="381" spans="2:3" ht="15.75" customHeight="1" x14ac:dyDescent="0.25">
      <c r="B381" s="67" t="e">
        <f t="shared" si="29"/>
        <v>#REF!</v>
      </c>
      <c r="C381" s="76" t="e">
        <f t="shared" si="30"/>
        <v>#REF!</v>
      </c>
    </row>
    <row r="382" spans="2:3" ht="15.75" customHeight="1" x14ac:dyDescent="0.25">
      <c r="B382" s="67" t="e">
        <f t="shared" si="29"/>
        <v>#REF!</v>
      </c>
      <c r="C382" s="76" t="e">
        <f t="shared" si="30"/>
        <v>#REF!</v>
      </c>
    </row>
    <row r="383" spans="2:3" ht="15.75" customHeight="1" x14ac:dyDescent="0.25">
      <c r="B383" s="67" t="e">
        <f t="shared" si="29"/>
        <v>#REF!</v>
      </c>
      <c r="C383" s="76" t="e">
        <f t="shared" si="30"/>
        <v>#REF!</v>
      </c>
    </row>
    <row r="384" spans="2:3" ht="15.75" customHeight="1" x14ac:dyDescent="0.25">
      <c r="B384" s="67" t="e">
        <f t="shared" si="29"/>
        <v>#REF!</v>
      </c>
      <c r="C384" s="76" t="e">
        <f t="shared" si="30"/>
        <v>#REF!</v>
      </c>
    </row>
    <row r="385" spans="2:3" ht="15.75" customHeight="1" x14ac:dyDescent="0.25">
      <c r="B385" s="67" t="e">
        <f t="shared" si="29"/>
        <v>#REF!</v>
      </c>
      <c r="C385" s="76" t="e">
        <f t="shared" si="30"/>
        <v>#REF!</v>
      </c>
    </row>
    <row r="386" spans="2:3" ht="15.75" customHeight="1" x14ac:dyDescent="0.25">
      <c r="B386" s="67" t="e">
        <f t="shared" si="29"/>
        <v>#REF!</v>
      </c>
      <c r="C386" s="76" t="e">
        <f t="shared" si="30"/>
        <v>#REF!</v>
      </c>
    </row>
    <row r="387" spans="2:3" ht="15.75" customHeight="1" x14ac:dyDescent="0.25">
      <c r="B387" s="67" t="e">
        <f t="shared" si="29"/>
        <v>#REF!</v>
      </c>
      <c r="C387" s="76" t="e">
        <f t="shared" si="30"/>
        <v>#REF!</v>
      </c>
    </row>
    <row r="388" spans="2:3" ht="15.75" customHeight="1" x14ac:dyDescent="0.25">
      <c r="B388" s="67" t="e">
        <f t="shared" si="29"/>
        <v>#REF!</v>
      </c>
      <c r="C388" s="76" t="e">
        <f t="shared" si="30"/>
        <v>#REF!</v>
      </c>
    </row>
    <row r="389" spans="2:3" ht="15.75" customHeight="1" x14ac:dyDescent="0.25">
      <c r="B389" s="67" t="e">
        <f t="shared" si="29"/>
        <v>#REF!</v>
      </c>
      <c r="C389" s="76" t="e">
        <f t="shared" si="30"/>
        <v>#REF!</v>
      </c>
    </row>
    <row r="390" spans="2:3" ht="15.75" customHeight="1" x14ac:dyDescent="0.25">
      <c r="B390" s="67" t="e">
        <f t="shared" si="29"/>
        <v>#REF!</v>
      </c>
      <c r="C390" s="76" t="e">
        <f t="shared" si="30"/>
        <v>#REF!</v>
      </c>
    </row>
    <row r="391" spans="2:3" ht="15.75" customHeight="1" x14ac:dyDescent="0.25">
      <c r="B391" s="67" t="e">
        <f t="shared" si="29"/>
        <v>#REF!</v>
      </c>
      <c r="C391" s="76" t="e">
        <f t="shared" si="30"/>
        <v>#REF!</v>
      </c>
    </row>
    <row r="392" spans="2:3" ht="15.75" customHeight="1" x14ac:dyDescent="0.25">
      <c r="B392" s="67" t="e">
        <f t="shared" si="29"/>
        <v>#REF!</v>
      </c>
      <c r="C392" s="76" t="e">
        <f t="shared" si="30"/>
        <v>#REF!</v>
      </c>
    </row>
    <row r="393" spans="2:3" ht="15.75" customHeight="1" x14ac:dyDescent="0.25">
      <c r="B393" s="67" t="e">
        <f t="shared" si="29"/>
        <v>#REF!</v>
      </c>
      <c r="C393" s="76" t="e">
        <f t="shared" si="30"/>
        <v>#REF!</v>
      </c>
    </row>
    <row r="394" spans="2:3" ht="15.75" customHeight="1" x14ac:dyDescent="0.25">
      <c r="B394" s="67" t="e">
        <f t="shared" si="29"/>
        <v>#REF!</v>
      </c>
      <c r="C394" s="76" t="e">
        <f t="shared" si="30"/>
        <v>#REF!</v>
      </c>
    </row>
    <row r="395" spans="2:3" ht="15.75" customHeight="1" x14ac:dyDescent="0.25">
      <c r="B395" s="67" t="e">
        <f t="shared" si="29"/>
        <v>#REF!</v>
      </c>
      <c r="C395" s="76" t="e">
        <f t="shared" si="30"/>
        <v>#REF!</v>
      </c>
    </row>
    <row r="396" spans="2:3" ht="15.75" customHeight="1" x14ac:dyDescent="0.25">
      <c r="B396" s="67" t="e">
        <f t="shared" si="29"/>
        <v>#REF!</v>
      </c>
      <c r="C396" s="76" t="e">
        <f t="shared" si="30"/>
        <v>#REF!</v>
      </c>
    </row>
    <row r="397" spans="2:3" ht="15.75" customHeight="1" x14ac:dyDescent="0.25">
      <c r="B397" s="67" t="e">
        <f t="shared" si="29"/>
        <v>#REF!</v>
      </c>
      <c r="C397" s="76" t="e">
        <f t="shared" si="30"/>
        <v>#REF!</v>
      </c>
    </row>
    <row r="398" spans="2:3" ht="15.75" customHeight="1" x14ac:dyDescent="0.25">
      <c r="B398" s="67" t="e">
        <f t="shared" si="29"/>
        <v>#REF!</v>
      </c>
      <c r="C398" s="76" t="e">
        <f t="shared" si="30"/>
        <v>#REF!</v>
      </c>
    </row>
    <row r="399" spans="2:3" ht="15.75" customHeight="1" x14ac:dyDescent="0.25">
      <c r="B399" s="67" t="e">
        <f t="shared" si="29"/>
        <v>#REF!</v>
      </c>
      <c r="C399" s="76" t="e">
        <f t="shared" si="30"/>
        <v>#REF!</v>
      </c>
    </row>
    <row r="400" spans="2:3" ht="15.75" customHeight="1" x14ac:dyDescent="0.25">
      <c r="B400" s="67" t="e">
        <f t="shared" si="29"/>
        <v>#REF!</v>
      </c>
      <c r="C400" s="76" t="e">
        <f t="shared" si="30"/>
        <v>#REF!</v>
      </c>
    </row>
    <row r="401" spans="2:3" ht="15.75" customHeight="1" x14ac:dyDescent="0.25">
      <c r="B401" s="67" t="e">
        <f t="shared" si="29"/>
        <v>#REF!</v>
      </c>
      <c r="C401" s="76" t="e">
        <f t="shared" si="30"/>
        <v>#REF!</v>
      </c>
    </row>
    <row r="402" spans="2:3" ht="15.75" customHeight="1" x14ac:dyDescent="0.25">
      <c r="B402" s="67" t="e">
        <f t="shared" si="29"/>
        <v>#REF!</v>
      </c>
      <c r="C402" s="76" t="e">
        <f t="shared" si="30"/>
        <v>#REF!</v>
      </c>
    </row>
    <row r="403" spans="2:3" ht="15.75" customHeight="1" x14ac:dyDescent="0.25">
      <c r="B403" s="67" t="e">
        <f t="shared" si="29"/>
        <v>#REF!</v>
      </c>
      <c r="C403" s="76" t="e">
        <f t="shared" si="30"/>
        <v>#REF!</v>
      </c>
    </row>
    <row r="404" spans="2:3" ht="15.75" customHeight="1" x14ac:dyDescent="0.25">
      <c r="B404" s="67" t="e">
        <f t="shared" si="29"/>
        <v>#REF!</v>
      </c>
      <c r="C404" s="76" t="e">
        <f t="shared" si="30"/>
        <v>#REF!</v>
      </c>
    </row>
    <row r="405" spans="2:3" ht="15.75" customHeight="1" x14ac:dyDescent="0.25">
      <c r="B405" s="67" t="e">
        <f t="shared" si="29"/>
        <v>#REF!</v>
      </c>
      <c r="C405" s="76" t="e">
        <f t="shared" si="30"/>
        <v>#REF!</v>
      </c>
    </row>
    <row r="406" spans="2:3" ht="15.75" customHeight="1" x14ac:dyDescent="0.25">
      <c r="B406" s="67" t="e">
        <f t="shared" si="29"/>
        <v>#REF!</v>
      </c>
      <c r="C406" s="76" t="e">
        <f t="shared" si="30"/>
        <v>#REF!</v>
      </c>
    </row>
    <row r="407" spans="2:3" ht="15.75" customHeight="1" x14ac:dyDescent="0.25">
      <c r="B407" s="67" t="e">
        <f t="shared" si="29"/>
        <v>#REF!</v>
      </c>
      <c r="C407" s="76" t="e">
        <f t="shared" si="30"/>
        <v>#REF!</v>
      </c>
    </row>
    <row r="408" spans="2:3" ht="15.75" customHeight="1" x14ac:dyDescent="0.25">
      <c r="B408" s="67" t="e">
        <f t="shared" si="29"/>
        <v>#REF!</v>
      </c>
      <c r="C408" s="76" t="e">
        <f t="shared" si="30"/>
        <v>#REF!</v>
      </c>
    </row>
    <row r="409" spans="2:3" ht="15.75" customHeight="1" x14ac:dyDescent="0.25">
      <c r="B409" s="67" t="e">
        <f t="shared" si="29"/>
        <v>#REF!</v>
      </c>
      <c r="C409" s="76" t="e">
        <f t="shared" si="30"/>
        <v>#REF!</v>
      </c>
    </row>
    <row r="410" spans="2:3" ht="15.75" customHeight="1" x14ac:dyDescent="0.25">
      <c r="B410" s="67" t="e">
        <f t="shared" si="29"/>
        <v>#REF!</v>
      </c>
      <c r="C410" s="76" t="e">
        <f t="shared" si="30"/>
        <v>#REF!</v>
      </c>
    </row>
    <row r="411" spans="2:3" ht="15.75" customHeight="1" x14ac:dyDescent="0.25">
      <c r="B411" s="67" t="e">
        <f t="shared" si="29"/>
        <v>#REF!</v>
      </c>
      <c r="C411" s="76" t="e">
        <f t="shared" si="30"/>
        <v>#REF!</v>
      </c>
    </row>
    <row r="412" spans="2:3" ht="15.75" customHeight="1" x14ac:dyDescent="0.25">
      <c r="B412" s="67" t="e">
        <f t="shared" si="29"/>
        <v>#REF!</v>
      </c>
      <c r="C412" s="76" t="e">
        <f t="shared" si="30"/>
        <v>#REF!</v>
      </c>
    </row>
    <row r="413" spans="2:3" ht="15.75" customHeight="1" x14ac:dyDescent="0.25">
      <c r="B413" s="67" t="e">
        <f t="shared" si="29"/>
        <v>#REF!</v>
      </c>
      <c r="C413" s="76" t="e">
        <f t="shared" si="30"/>
        <v>#REF!</v>
      </c>
    </row>
    <row r="414" spans="2:3" ht="15.75" customHeight="1" x14ac:dyDescent="0.25">
      <c r="B414" s="67" t="e">
        <f t="shared" ref="B414:B477" si="31">IF(B413="","",IF(B413+$C$10&lt;=$C$6,B413+$C$10,""))</f>
        <v>#REF!</v>
      </c>
      <c r="C414" s="76" t="e">
        <f t="shared" ref="C414:C477" si="32">IF(B414&lt;&gt;"",C413-$C$2/COUNT($B$18:$B$511),"")</f>
        <v>#REF!</v>
      </c>
    </row>
    <row r="415" spans="2:3" ht="15.75" customHeight="1" x14ac:dyDescent="0.25">
      <c r="B415" s="67" t="e">
        <f t="shared" si="31"/>
        <v>#REF!</v>
      </c>
      <c r="C415" s="76" t="e">
        <f t="shared" si="32"/>
        <v>#REF!</v>
      </c>
    </row>
    <row r="416" spans="2:3" ht="15.75" customHeight="1" x14ac:dyDescent="0.25">
      <c r="B416" s="67" t="e">
        <f t="shared" si="31"/>
        <v>#REF!</v>
      </c>
      <c r="C416" s="76" t="e">
        <f t="shared" si="32"/>
        <v>#REF!</v>
      </c>
    </row>
    <row r="417" spans="2:3" ht="15.75" customHeight="1" x14ac:dyDescent="0.25">
      <c r="B417" s="67" t="e">
        <f t="shared" si="31"/>
        <v>#REF!</v>
      </c>
      <c r="C417" s="76" t="e">
        <f t="shared" si="32"/>
        <v>#REF!</v>
      </c>
    </row>
    <row r="418" spans="2:3" ht="15.75" customHeight="1" x14ac:dyDescent="0.25">
      <c r="B418" s="67" t="e">
        <f t="shared" si="31"/>
        <v>#REF!</v>
      </c>
      <c r="C418" s="76" t="e">
        <f t="shared" si="32"/>
        <v>#REF!</v>
      </c>
    </row>
    <row r="419" spans="2:3" ht="15.75" customHeight="1" x14ac:dyDescent="0.25">
      <c r="B419" s="67" t="e">
        <f t="shared" si="31"/>
        <v>#REF!</v>
      </c>
      <c r="C419" s="76" t="e">
        <f t="shared" si="32"/>
        <v>#REF!</v>
      </c>
    </row>
    <row r="420" spans="2:3" ht="15.75" customHeight="1" x14ac:dyDescent="0.25">
      <c r="B420" s="67" t="e">
        <f t="shared" si="31"/>
        <v>#REF!</v>
      </c>
      <c r="C420" s="76" t="e">
        <f t="shared" si="32"/>
        <v>#REF!</v>
      </c>
    </row>
    <row r="421" spans="2:3" ht="15.75" customHeight="1" x14ac:dyDescent="0.25">
      <c r="B421" s="67" t="e">
        <f t="shared" si="31"/>
        <v>#REF!</v>
      </c>
      <c r="C421" s="76" t="e">
        <f t="shared" si="32"/>
        <v>#REF!</v>
      </c>
    </row>
    <row r="422" spans="2:3" ht="15.75" customHeight="1" x14ac:dyDescent="0.25">
      <c r="B422" s="67" t="e">
        <f t="shared" si="31"/>
        <v>#REF!</v>
      </c>
      <c r="C422" s="76" t="e">
        <f t="shared" si="32"/>
        <v>#REF!</v>
      </c>
    </row>
    <row r="423" spans="2:3" ht="15.75" customHeight="1" x14ac:dyDescent="0.25">
      <c r="B423" s="67" t="e">
        <f t="shared" si="31"/>
        <v>#REF!</v>
      </c>
      <c r="C423" s="76" t="e">
        <f t="shared" si="32"/>
        <v>#REF!</v>
      </c>
    </row>
    <row r="424" spans="2:3" ht="15.75" customHeight="1" x14ac:dyDescent="0.25">
      <c r="B424" s="67" t="e">
        <f t="shared" si="31"/>
        <v>#REF!</v>
      </c>
      <c r="C424" s="76" t="e">
        <f t="shared" si="32"/>
        <v>#REF!</v>
      </c>
    </row>
    <row r="425" spans="2:3" ht="15.75" customHeight="1" x14ac:dyDescent="0.25">
      <c r="B425" s="67" t="e">
        <f t="shared" si="31"/>
        <v>#REF!</v>
      </c>
      <c r="C425" s="76" t="e">
        <f t="shared" si="32"/>
        <v>#REF!</v>
      </c>
    </row>
    <row r="426" spans="2:3" ht="15.75" customHeight="1" x14ac:dyDescent="0.25">
      <c r="B426" s="67" t="e">
        <f t="shared" si="31"/>
        <v>#REF!</v>
      </c>
      <c r="C426" s="76" t="e">
        <f t="shared" si="32"/>
        <v>#REF!</v>
      </c>
    </row>
    <row r="427" spans="2:3" ht="15.75" customHeight="1" x14ac:dyDescent="0.25">
      <c r="B427" s="67" t="e">
        <f t="shared" si="31"/>
        <v>#REF!</v>
      </c>
      <c r="C427" s="76" t="e">
        <f t="shared" si="32"/>
        <v>#REF!</v>
      </c>
    </row>
    <row r="428" spans="2:3" ht="15.75" customHeight="1" x14ac:dyDescent="0.25">
      <c r="B428" s="67" t="e">
        <f t="shared" si="31"/>
        <v>#REF!</v>
      </c>
      <c r="C428" s="76" t="e">
        <f t="shared" si="32"/>
        <v>#REF!</v>
      </c>
    </row>
    <row r="429" spans="2:3" ht="15.75" customHeight="1" x14ac:dyDescent="0.25">
      <c r="B429" s="67" t="e">
        <f t="shared" si="31"/>
        <v>#REF!</v>
      </c>
      <c r="C429" s="76" t="e">
        <f t="shared" si="32"/>
        <v>#REF!</v>
      </c>
    </row>
    <row r="430" spans="2:3" ht="15.75" customHeight="1" x14ac:dyDescent="0.25">
      <c r="B430" s="67" t="e">
        <f t="shared" si="31"/>
        <v>#REF!</v>
      </c>
      <c r="C430" s="76" t="e">
        <f t="shared" si="32"/>
        <v>#REF!</v>
      </c>
    </row>
    <row r="431" spans="2:3" ht="15.75" customHeight="1" x14ac:dyDescent="0.25">
      <c r="B431" s="67" t="e">
        <f t="shared" si="31"/>
        <v>#REF!</v>
      </c>
      <c r="C431" s="76" t="e">
        <f t="shared" si="32"/>
        <v>#REF!</v>
      </c>
    </row>
    <row r="432" spans="2:3" ht="15.75" customHeight="1" x14ac:dyDescent="0.25">
      <c r="B432" s="67" t="e">
        <f t="shared" si="31"/>
        <v>#REF!</v>
      </c>
      <c r="C432" s="76" t="e">
        <f t="shared" si="32"/>
        <v>#REF!</v>
      </c>
    </row>
    <row r="433" spans="2:3" ht="15.75" customHeight="1" x14ac:dyDescent="0.25">
      <c r="B433" s="67" t="e">
        <f t="shared" si="31"/>
        <v>#REF!</v>
      </c>
      <c r="C433" s="76" t="e">
        <f t="shared" si="32"/>
        <v>#REF!</v>
      </c>
    </row>
    <row r="434" spans="2:3" ht="15.75" customHeight="1" x14ac:dyDescent="0.25">
      <c r="B434" s="67" t="e">
        <f t="shared" si="31"/>
        <v>#REF!</v>
      </c>
      <c r="C434" s="76" t="e">
        <f t="shared" si="32"/>
        <v>#REF!</v>
      </c>
    </row>
    <row r="435" spans="2:3" ht="15.75" customHeight="1" x14ac:dyDescent="0.25">
      <c r="B435" s="67" t="e">
        <f t="shared" si="31"/>
        <v>#REF!</v>
      </c>
      <c r="C435" s="76" t="e">
        <f t="shared" si="32"/>
        <v>#REF!</v>
      </c>
    </row>
    <row r="436" spans="2:3" ht="15.75" customHeight="1" x14ac:dyDescent="0.25">
      <c r="B436" s="67" t="e">
        <f t="shared" si="31"/>
        <v>#REF!</v>
      </c>
      <c r="C436" s="76" t="e">
        <f t="shared" si="32"/>
        <v>#REF!</v>
      </c>
    </row>
    <row r="437" spans="2:3" ht="15.75" customHeight="1" x14ac:dyDescent="0.25">
      <c r="B437" s="67" t="e">
        <f t="shared" si="31"/>
        <v>#REF!</v>
      </c>
      <c r="C437" s="76" t="e">
        <f t="shared" si="32"/>
        <v>#REF!</v>
      </c>
    </row>
    <row r="438" spans="2:3" ht="15.75" customHeight="1" x14ac:dyDescent="0.25">
      <c r="B438" s="67" t="e">
        <f t="shared" si="31"/>
        <v>#REF!</v>
      </c>
      <c r="C438" s="76" t="e">
        <f t="shared" si="32"/>
        <v>#REF!</v>
      </c>
    </row>
    <row r="439" spans="2:3" ht="15.75" customHeight="1" x14ac:dyDescent="0.25">
      <c r="B439" s="67" t="e">
        <f t="shared" si="31"/>
        <v>#REF!</v>
      </c>
      <c r="C439" s="76" t="e">
        <f t="shared" si="32"/>
        <v>#REF!</v>
      </c>
    </row>
    <row r="440" spans="2:3" ht="15.75" customHeight="1" x14ac:dyDescent="0.25">
      <c r="B440" s="67" t="e">
        <f t="shared" si="31"/>
        <v>#REF!</v>
      </c>
      <c r="C440" s="76" t="e">
        <f t="shared" si="32"/>
        <v>#REF!</v>
      </c>
    </row>
    <row r="441" spans="2:3" ht="15.75" customHeight="1" x14ac:dyDescent="0.25">
      <c r="B441" s="67" t="e">
        <f t="shared" si="31"/>
        <v>#REF!</v>
      </c>
      <c r="C441" s="76" t="e">
        <f t="shared" si="32"/>
        <v>#REF!</v>
      </c>
    </row>
    <row r="442" spans="2:3" ht="15.75" customHeight="1" x14ac:dyDescent="0.25">
      <c r="B442" s="67" t="e">
        <f t="shared" si="31"/>
        <v>#REF!</v>
      </c>
      <c r="C442" s="76" t="e">
        <f t="shared" si="32"/>
        <v>#REF!</v>
      </c>
    </row>
    <row r="443" spans="2:3" ht="15.75" customHeight="1" x14ac:dyDescent="0.25">
      <c r="B443" s="67" t="e">
        <f t="shared" si="31"/>
        <v>#REF!</v>
      </c>
      <c r="C443" s="76" t="e">
        <f t="shared" si="32"/>
        <v>#REF!</v>
      </c>
    </row>
    <row r="444" spans="2:3" ht="15.75" customHeight="1" x14ac:dyDescent="0.25">
      <c r="B444" s="67" t="e">
        <f t="shared" si="31"/>
        <v>#REF!</v>
      </c>
      <c r="C444" s="76" t="e">
        <f t="shared" si="32"/>
        <v>#REF!</v>
      </c>
    </row>
    <row r="445" spans="2:3" ht="15.75" customHeight="1" x14ac:dyDescent="0.25">
      <c r="B445" s="67" t="e">
        <f t="shared" si="31"/>
        <v>#REF!</v>
      </c>
      <c r="C445" s="76" t="e">
        <f t="shared" si="32"/>
        <v>#REF!</v>
      </c>
    </row>
    <row r="446" spans="2:3" ht="15.75" customHeight="1" x14ac:dyDescent="0.25">
      <c r="B446" s="67" t="e">
        <f t="shared" si="31"/>
        <v>#REF!</v>
      </c>
      <c r="C446" s="76" t="e">
        <f t="shared" si="32"/>
        <v>#REF!</v>
      </c>
    </row>
    <row r="447" spans="2:3" ht="15.75" customHeight="1" x14ac:dyDescent="0.25">
      <c r="B447" s="67" t="e">
        <f t="shared" si="31"/>
        <v>#REF!</v>
      </c>
      <c r="C447" s="76" t="e">
        <f t="shared" si="32"/>
        <v>#REF!</v>
      </c>
    </row>
    <row r="448" spans="2:3" ht="15.75" customHeight="1" x14ac:dyDescent="0.25">
      <c r="B448" s="67" t="e">
        <f t="shared" si="31"/>
        <v>#REF!</v>
      </c>
      <c r="C448" s="76" t="e">
        <f t="shared" si="32"/>
        <v>#REF!</v>
      </c>
    </row>
    <row r="449" spans="2:3" ht="15.75" customHeight="1" x14ac:dyDescent="0.25">
      <c r="B449" s="67" t="e">
        <f t="shared" si="31"/>
        <v>#REF!</v>
      </c>
      <c r="C449" s="76" t="e">
        <f t="shared" si="32"/>
        <v>#REF!</v>
      </c>
    </row>
    <row r="450" spans="2:3" ht="15.75" customHeight="1" x14ac:dyDescent="0.25">
      <c r="B450" s="67" t="e">
        <f t="shared" si="31"/>
        <v>#REF!</v>
      </c>
      <c r="C450" s="76" t="e">
        <f t="shared" si="32"/>
        <v>#REF!</v>
      </c>
    </row>
    <row r="451" spans="2:3" ht="15.75" customHeight="1" x14ac:dyDescent="0.25">
      <c r="B451" s="67" t="e">
        <f t="shared" si="31"/>
        <v>#REF!</v>
      </c>
      <c r="C451" s="76" t="e">
        <f t="shared" si="32"/>
        <v>#REF!</v>
      </c>
    </row>
    <row r="452" spans="2:3" ht="15.75" customHeight="1" x14ac:dyDescent="0.25">
      <c r="B452" s="67" t="e">
        <f t="shared" si="31"/>
        <v>#REF!</v>
      </c>
      <c r="C452" s="76" t="e">
        <f t="shared" si="32"/>
        <v>#REF!</v>
      </c>
    </row>
    <row r="453" spans="2:3" ht="15.75" customHeight="1" x14ac:dyDescent="0.25">
      <c r="B453" s="67" t="e">
        <f t="shared" si="31"/>
        <v>#REF!</v>
      </c>
      <c r="C453" s="76" t="e">
        <f t="shared" si="32"/>
        <v>#REF!</v>
      </c>
    </row>
    <row r="454" spans="2:3" ht="15.75" customHeight="1" x14ac:dyDescent="0.25">
      <c r="B454" s="67" t="e">
        <f t="shared" si="31"/>
        <v>#REF!</v>
      </c>
      <c r="C454" s="76" t="e">
        <f t="shared" si="32"/>
        <v>#REF!</v>
      </c>
    </row>
    <row r="455" spans="2:3" ht="15.75" customHeight="1" x14ac:dyDescent="0.25">
      <c r="B455" s="67" t="e">
        <f t="shared" si="31"/>
        <v>#REF!</v>
      </c>
      <c r="C455" s="76" t="e">
        <f t="shared" si="32"/>
        <v>#REF!</v>
      </c>
    </row>
    <row r="456" spans="2:3" ht="15.75" customHeight="1" x14ac:dyDescent="0.25">
      <c r="B456" s="67" t="e">
        <f t="shared" si="31"/>
        <v>#REF!</v>
      </c>
      <c r="C456" s="76" t="e">
        <f t="shared" si="32"/>
        <v>#REF!</v>
      </c>
    </row>
    <row r="457" spans="2:3" ht="15.75" customHeight="1" x14ac:dyDescent="0.25">
      <c r="B457" s="67" t="e">
        <f t="shared" si="31"/>
        <v>#REF!</v>
      </c>
      <c r="C457" s="76" t="e">
        <f t="shared" si="32"/>
        <v>#REF!</v>
      </c>
    </row>
    <row r="458" spans="2:3" ht="15.75" customHeight="1" x14ac:dyDescent="0.25">
      <c r="B458" s="67" t="e">
        <f t="shared" si="31"/>
        <v>#REF!</v>
      </c>
      <c r="C458" s="76" t="e">
        <f t="shared" si="32"/>
        <v>#REF!</v>
      </c>
    </row>
    <row r="459" spans="2:3" ht="15.75" customHeight="1" x14ac:dyDescent="0.25">
      <c r="B459" s="67" t="e">
        <f t="shared" si="31"/>
        <v>#REF!</v>
      </c>
      <c r="C459" s="76" t="e">
        <f t="shared" si="32"/>
        <v>#REF!</v>
      </c>
    </row>
    <row r="460" spans="2:3" ht="15.75" customHeight="1" x14ac:dyDescent="0.25">
      <c r="B460" s="67" t="e">
        <f t="shared" si="31"/>
        <v>#REF!</v>
      </c>
      <c r="C460" s="76" t="e">
        <f t="shared" si="32"/>
        <v>#REF!</v>
      </c>
    </row>
    <row r="461" spans="2:3" ht="15.75" customHeight="1" x14ac:dyDescent="0.25">
      <c r="B461" s="67" t="e">
        <f t="shared" si="31"/>
        <v>#REF!</v>
      </c>
      <c r="C461" s="76" t="e">
        <f t="shared" si="32"/>
        <v>#REF!</v>
      </c>
    </row>
    <row r="462" spans="2:3" ht="15.75" customHeight="1" x14ac:dyDescent="0.25">
      <c r="B462" s="67" t="e">
        <f t="shared" si="31"/>
        <v>#REF!</v>
      </c>
      <c r="C462" s="76" t="e">
        <f t="shared" si="32"/>
        <v>#REF!</v>
      </c>
    </row>
    <row r="463" spans="2:3" ht="15.75" customHeight="1" x14ac:dyDescent="0.25">
      <c r="B463" s="67" t="e">
        <f t="shared" si="31"/>
        <v>#REF!</v>
      </c>
      <c r="C463" s="76" t="e">
        <f t="shared" si="32"/>
        <v>#REF!</v>
      </c>
    </row>
    <row r="464" spans="2:3" ht="15.75" customHeight="1" x14ac:dyDescent="0.25">
      <c r="B464" s="67" t="e">
        <f t="shared" si="31"/>
        <v>#REF!</v>
      </c>
      <c r="C464" s="76" t="e">
        <f t="shared" si="32"/>
        <v>#REF!</v>
      </c>
    </row>
    <row r="465" spans="2:3" ht="15.75" customHeight="1" x14ac:dyDescent="0.25">
      <c r="B465" s="67" t="e">
        <f t="shared" si="31"/>
        <v>#REF!</v>
      </c>
      <c r="C465" s="76" t="e">
        <f t="shared" si="32"/>
        <v>#REF!</v>
      </c>
    </row>
    <row r="466" spans="2:3" ht="15.75" customHeight="1" x14ac:dyDescent="0.25">
      <c r="B466" s="67" t="e">
        <f t="shared" si="31"/>
        <v>#REF!</v>
      </c>
      <c r="C466" s="76" t="e">
        <f t="shared" si="32"/>
        <v>#REF!</v>
      </c>
    </row>
    <row r="467" spans="2:3" ht="15.75" customHeight="1" x14ac:dyDescent="0.25">
      <c r="B467" s="67" t="e">
        <f t="shared" si="31"/>
        <v>#REF!</v>
      </c>
      <c r="C467" s="76" t="e">
        <f t="shared" si="32"/>
        <v>#REF!</v>
      </c>
    </row>
    <row r="468" spans="2:3" ht="15.75" customHeight="1" x14ac:dyDescent="0.25">
      <c r="B468" s="67" t="e">
        <f t="shared" si="31"/>
        <v>#REF!</v>
      </c>
      <c r="C468" s="76" t="e">
        <f t="shared" si="32"/>
        <v>#REF!</v>
      </c>
    </row>
    <row r="469" spans="2:3" ht="15.75" customHeight="1" x14ac:dyDescent="0.25">
      <c r="B469" s="67" t="e">
        <f t="shared" si="31"/>
        <v>#REF!</v>
      </c>
      <c r="C469" s="76" t="e">
        <f t="shared" si="32"/>
        <v>#REF!</v>
      </c>
    </row>
    <row r="470" spans="2:3" ht="15.75" customHeight="1" x14ac:dyDescent="0.25">
      <c r="B470" s="67" t="e">
        <f t="shared" si="31"/>
        <v>#REF!</v>
      </c>
      <c r="C470" s="76" t="e">
        <f t="shared" si="32"/>
        <v>#REF!</v>
      </c>
    </row>
    <row r="471" spans="2:3" ht="15.75" customHeight="1" x14ac:dyDescent="0.25">
      <c r="B471" s="67" t="e">
        <f t="shared" si="31"/>
        <v>#REF!</v>
      </c>
      <c r="C471" s="76" t="e">
        <f t="shared" si="32"/>
        <v>#REF!</v>
      </c>
    </row>
    <row r="472" spans="2:3" ht="15.75" customHeight="1" x14ac:dyDescent="0.25">
      <c r="B472" s="67" t="e">
        <f t="shared" si="31"/>
        <v>#REF!</v>
      </c>
      <c r="C472" s="76" t="e">
        <f t="shared" si="32"/>
        <v>#REF!</v>
      </c>
    </row>
    <row r="473" spans="2:3" ht="15.75" customHeight="1" x14ac:dyDescent="0.25">
      <c r="B473" s="67" t="e">
        <f t="shared" si="31"/>
        <v>#REF!</v>
      </c>
      <c r="C473" s="76" t="e">
        <f t="shared" si="32"/>
        <v>#REF!</v>
      </c>
    </row>
    <row r="474" spans="2:3" ht="15.75" customHeight="1" x14ac:dyDescent="0.25">
      <c r="B474" s="67" t="e">
        <f t="shared" si="31"/>
        <v>#REF!</v>
      </c>
      <c r="C474" s="76" t="e">
        <f t="shared" si="32"/>
        <v>#REF!</v>
      </c>
    </row>
    <row r="475" spans="2:3" ht="15.75" customHeight="1" x14ac:dyDescent="0.25">
      <c r="B475" s="67" t="e">
        <f t="shared" si="31"/>
        <v>#REF!</v>
      </c>
      <c r="C475" s="76" t="e">
        <f t="shared" si="32"/>
        <v>#REF!</v>
      </c>
    </row>
    <row r="476" spans="2:3" ht="15.75" customHeight="1" x14ac:dyDescent="0.25">
      <c r="B476" s="67" t="e">
        <f t="shared" si="31"/>
        <v>#REF!</v>
      </c>
      <c r="C476" s="76" t="e">
        <f t="shared" si="32"/>
        <v>#REF!</v>
      </c>
    </row>
    <row r="477" spans="2:3" ht="15.75" customHeight="1" x14ac:dyDescent="0.25">
      <c r="B477" s="67" t="e">
        <f t="shared" si="31"/>
        <v>#REF!</v>
      </c>
      <c r="C477" s="76" t="e">
        <f t="shared" si="32"/>
        <v>#REF!</v>
      </c>
    </row>
    <row r="478" spans="2:3" ht="15.75" customHeight="1" x14ac:dyDescent="0.25">
      <c r="B478" s="67" t="e">
        <f t="shared" ref="B478:B512" si="33">IF(B477="","",IF(B477+$C$10&lt;=$C$6,B477+$C$10,""))</f>
        <v>#REF!</v>
      </c>
      <c r="C478" s="76" t="e">
        <f t="shared" ref="C478:C512" si="34">IF(B478&lt;&gt;"",C477-$C$2/COUNT($B$18:$B$511),"")</f>
        <v>#REF!</v>
      </c>
    </row>
    <row r="479" spans="2:3" ht="15.75" customHeight="1" x14ac:dyDescent="0.25">
      <c r="B479" s="67" t="e">
        <f t="shared" si="33"/>
        <v>#REF!</v>
      </c>
      <c r="C479" s="76" t="e">
        <f t="shared" si="34"/>
        <v>#REF!</v>
      </c>
    </row>
    <row r="480" spans="2:3" ht="15.75" customHeight="1" x14ac:dyDescent="0.25">
      <c r="B480" s="67" t="e">
        <f t="shared" si="33"/>
        <v>#REF!</v>
      </c>
      <c r="C480" s="76" t="e">
        <f t="shared" si="34"/>
        <v>#REF!</v>
      </c>
    </row>
    <row r="481" spans="2:3" ht="15.75" customHeight="1" x14ac:dyDescent="0.25">
      <c r="B481" s="67" t="e">
        <f t="shared" si="33"/>
        <v>#REF!</v>
      </c>
      <c r="C481" s="76" t="e">
        <f t="shared" si="34"/>
        <v>#REF!</v>
      </c>
    </row>
    <row r="482" spans="2:3" ht="15.75" customHeight="1" x14ac:dyDescent="0.25">
      <c r="B482" s="67" t="e">
        <f t="shared" si="33"/>
        <v>#REF!</v>
      </c>
      <c r="C482" s="76" t="e">
        <f t="shared" si="34"/>
        <v>#REF!</v>
      </c>
    </row>
    <row r="483" spans="2:3" ht="15.75" customHeight="1" x14ac:dyDescent="0.25">
      <c r="B483" s="67" t="e">
        <f t="shared" si="33"/>
        <v>#REF!</v>
      </c>
      <c r="C483" s="76" t="e">
        <f t="shared" si="34"/>
        <v>#REF!</v>
      </c>
    </row>
    <row r="484" spans="2:3" ht="15.75" customHeight="1" x14ac:dyDescent="0.25">
      <c r="B484" s="67" t="e">
        <f t="shared" si="33"/>
        <v>#REF!</v>
      </c>
      <c r="C484" s="76" t="e">
        <f t="shared" si="34"/>
        <v>#REF!</v>
      </c>
    </row>
    <row r="485" spans="2:3" ht="15.75" customHeight="1" x14ac:dyDescent="0.25">
      <c r="B485" s="67" t="e">
        <f t="shared" si="33"/>
        <v>#REF!</v>
      </c>
      <c r="C485" s="76" t="e">
        <f t="shared" si="34"/>
        <v>#REF!</v>
      </c>
    </row>
    <row r="486" spans="2:3" ht="15.75" customHeight="1" x14ac:dyDescent="0.25">
      <c r="B486" s="67" t="e">
        <f t="shared" si="33"/>
        <v>#REF!</v>
      </c>
      <c r="C486" s="76" t="e">
        <f t="shared" si="34"/>
        <v>#REF!</v>
      </c>
    </row>
    <row r="487" spans="2:3" ht="15.75" customHeight="1" x14ac:dyDescent="0.25">
      <c r="B487" s="67" t="e">
        <f t="shared" si="33"/>
        <v>#REF!</v>
      </c>
      <c r="C487" s="76" t="e">
        <f t="shared" si="34"/>
        <v>#REF!</v>
      </c>
    </row>
    <row r="488" spans="2:3" ht="15.75" customHeight="1" x14ac:dyDescent="0.25">
      <c r="B488" s="67" t="e">
        <f t="shared" si="33"/>
        <v>#REF!</v>
      </c>
      <c r="C488" s="76" t="e">
        <f t="shared" si="34"/>
        <v>#REF!</v>
      </c>
    </row>
    <row r="489" spans="2:3" ht="15.75" customHeight="1" x14ac:dyDescent="0.25">
      <c r="B489" s="67" t="e">
        <f t="shared" si="33"/>
        <v>#REF!</v>
      </c>
      <c r="C489" s="76" t="e">
        <f t="shared" si="34"/>
        <v>#REF!</v>
      </c>
    </row>
    <row r="490" spans="2:3" ht="15.75" customHeight="1" x14ac:dyDescent="0.25">
      <c r="B490" s="67" t="e">
        <f t="shared" si="33"/>
        <v>#REF!</v>
      </c>
      <c r="C490" s="76" t="e">
        <f t="shared" si="34"/>
        <v>#REF!</v>
      </c>
    </row>
    <row r="491" spans="2:3" ht="15.75" customHeight="1" x14ac:dyDescent="0.25">
      <c r="B491" s="67" t="e">
        <f t="shared" si="33"/>
        <v>#REF!</v>
      </c>
      <c r="C491" s="76" t="e">
        <f t="shared" si="34"/>
        <v>#REF!</v>
      </c>
    </row>
    <row r="492" spans="2:3" ht="15.75" customHeight="1" x14ac:dyDescent="0.25">
      <c r="B492" s="67" t="e">
        <f t="shared" si="33"/>
        <v>#REF!</v>
      </c>
      <c r="C492" s="76" t="e">
        <f t="shared" si="34"/>
        <v>#REF!</v>
      </c>
    </row>
    <row r="493" spans="2:3" ht="15.75" customHeight="1" x14ac:dyDescent="0.25">
      <c r="B493" s="67" t="e">
        <f t="shared" si="33"/>
        <v>#REF!</v>
      </c>
      <c r="C493" s="76" t="e">
        <f t="shared" si="34"/>
        <v>#REF!</v>
      </c>
    </row>
    <row r="494" spans="2:3" ht="15.75" customHeight="1" x14ac:dyDescent="0.25">
      <c r="B494" s="67" t="e">
        <f t="shared" si="33"/>
        <v>#REF!</v>
      </c>
      <c r="C494" s="76" t="e">
        <f t="shared" si="34"/>
        <v>#REF!</v>
      </c>
    </row>
    <row r="495" spans="2:3" ht="15.75" customHeight="1" x14ac:dyDescent="0.25">
      <c r="B495" s="67" t="e">
        <f t="shared" si="33"/>
        <v>#REF!</v>
      </c>
      <c r="C495" s="76" t="e">
        <f t="shared" si="34"/>
        <v>#REF!</v>
      </c>
    </row>
    <row r="496" spans="2:3" ht="15.75" customHeight="1" x14ac:dyDescent="0.25">
      <c r="B496" s="67" t="e">
        <f t="shared" si="33"/>
        <v>#REF!</v>
      </c>
      <c r="C496" s="76" t="e">
        <f t="shared" si="34"/>
        <v>#REF!</v>
      </c>
    </row>
    <row r="497" spans="2:3" ht="15.75" customHeight="1" x14ac:dyDescent="0.25">
      <c r="B497" s="67" t="e">
        <f t="shared" si="33"/>
        <v>#REF!</v>
      </c>
      <c r="C497" s="76" t="e">
        <f t="shared" si="34"/>
        <v>#REF!</v>
      </c>
    </row>
    <row r="498" spans="2:3" ht="15.75" customHeight="1" x14ac:dyDescent="0.25">
      <c r="B498" s="67" t="e">
        <f t="shared" si="33"/>
        <v>#REF!</v>
      </c>
      <c r="C498" s="76" t="e">
        <f t="shared" si="34"/>
        <v>#REF!</v>
      </c>
    </row>
    <row r="499" spans="2:3" ht="15.75" customHeight="1" x14ac:dyDescent="0.25">
      <c r="B499" s="67" t="e">
        <f t="shared" si="33"/>
        <v>#REF!</v>
      </c>
      <c r="C499" s="76" t="e">
        <f t="shared" si="34"/>
        <v>#REF!</v>
      </c>
    </row>
    <row r="500" spans="2:3" ht="15.75" customHeight="1" x14ac:dyDescent="0.25">
      <c r="B500" s="67" t="e">
        <f t="shared" si="33"/>
        <v>#REF!</v>
      </c>
      <c r="C500" s="76" t="e">
        <f t="shared" si="34"/>
        <v>#REF!</v>
      </c>
    </row>
    <row r="501" spans="2:3" ht="15.75" customHeight="1" x14ac:dyDescent="0.25">
      <c r="B501" s="67" t="e">
        <f t="shared" si="33"/>
        <v>#REF!</v>
      </c>
      <c r="C501" s="76" t="e">
        <f t="shared" si="34"/>
        <v>#REF!</v>
      </c>
    </row>
    <row r="502" spans="2:3" ht="15.75" customHeight="1" x14ac:dyDescent="0.25">
      <c r="B502" s="67" t="e">
        <f t="shared" si="33"/>
        <v>#REF!</v>
      </c>
      <c r="C502" s="76" t="e">
        <f t="shared" si="34"/>
        <v>#REF!</v>
      </c>
    </row>
    <row r="503" spans="2:3" ht="15.75" customHeight="1" x14ac:dyDescent="0.25">
      <c r="B503" s="67" t="e">
        <f t="shared" si="33"/>
        <v>#REF!</v>
      </c>
      <c r="C503" s="76" t="e">
        <f t="shared" si="34"/>
        <v>#REF!</v>
      </c>
    </row>
    <row r="504" spans="2:3" ht="15.75" customHeight="1" x14ac:dyDescent="0.25">
      <c r="B504" s="67" t="e">
        <f t="shared" si="33"/>
        <v>#REF!</v>
      </c>
      <c r="C504" s="76" t="e">
        <f t="shared" si="34"/>
        <v>#REF!</v>
      </c>
    </row>
    <row r="505" spans="2:3" ht="15.75" customHeight="1" x14ac:dyDescent="0.25">
      <c r="B505" s="67" t="e">
        <f t="shared" si="33"/>
        <v>#REF!</v>
      </c>
      <c r="C505" s="76" t="e">
        <f t="shared" si="34"/>
        <v>#REF!</v>
      </c>
    </row>
    <row r="506" spans="2:3" ht="15.75" customHeight="1" x14ac:dyDescent="0.25">
      <c r="B506" s="67" t="e">
        <f t="shared" si="33"/>
        <v>#REF!</v>
      </c>
      <c r="C506" s="76" t="e">
        <f t="shared" si="34"/>
        <v>#REF!</v>
      </c>
    </row>
    <row r="507" spans="2:3" ht="15.75" customHeight="1" x14ac:dyDescent="0.25">
      <c r="B507" s="67" t="e">
        <f t="shared" si="33"/>
        <v>#REF!</v>
      </c>
      <c r="C507" s="76" t="e">
        <f t="shared" si="34"/>
        <v>#REF!</v>
      </c>
    </row>
    <row r="508" spans="2:3" ht="15.75" customHeight="1" x14ac:dyDescent="0.25">
      <c r="B508" s="67" t="e">
        <f t="shared" si="33"/>
        <v>#REF!</v>
      </c>
      <c r="C508" s="76" t="e">
        <f t="shared" si="34"/>
        <v>#REF!</v>
      </c>
    </row>
    <row r="509" spans="2:3" ht="15.75" customHeight="1" x14ac:dyDescent="0.25">
      <c r="B509" s="67" t="e">
        <f t="shared" si="33"/>
        <v>#REF!</v>
      </c>
      <c r="C509" s="76" t="e">
        <f t="shared" si="34"/>
        <v>#REF!</v>
      </c>
    </row>
    <row r="510" spans="2:3" ht="15.75" customHeight="1" x14ac:dyDescent="0.25">
      <c r="B510" s="67" t="e">
        <f t="shared" si="33"/>
        <v>#REF!</v>
      </c>
      <c r="C510" s="76" t="e">
        <f t="shared" si="34"/>
        <v>#REF!</v>
      </c>
    </row>
    <row r="511" spans="2:3" ht="15.75" customHeight="1" x14ac:dyDescent="0.25">
      <c r="B511" s="67" t="e">
        <f t="shared" si="33"/>
        <v>#REF!</v>
      </c>
      <c r="C511" s="76" t="e">
        <f t="shared" si="34"/>
        <v>#REF!</v>
      </c>
    </row>
    <row r="512" spans="2:3" ht="15.75" customHeight="1" x14ac:dyDescent="0.25">
      <c r="B512" s="67" t="e">
        <f t="shared" si="33"/>
        <v>#REF!</v>
      </c>
      <c r="C512" s="76" t="e">
        <f t="shared" si="34"/>
        <v>#REF!</v>
      </c>
    </row>
  </sheetData>
  <mergeCells count="3">
    <mergeCell ref="A1:K1"/>
    <mergeCell ref="B13:F13"/>
    <mergeCell ref="G13:L13"/>
  </mergeCells>
  <conditionalFormatting sqref="A15:F15 L15 A16:A40">
    <cfRule type="expression" dxfId="40" priority="11">
      <formula>AND(TODAY()&gt;=$B$15,TODAY()&lt;$B$16)</formula>
    </cfRule>
  </conditionalFormatting>
  <conditionalFormatting sqref="B15:B21 B23:B68">
    <cfRule type="cellIs" dxfId="39" priority="8" operator="greaterThan">
      <formula>$C$6</formula>
    </cfRule>
  </conditionalFormatting>
  <conditionalFormatting sqref="B17:B21 B23:B40 A41:C47 A48:L68 E47:L47">
    <cfRule type="expression" dxfId="38" priority="9">
      <formula>AND(TODAY()&gt;=$B17,TODAY()&lt;$B18)</formula>
    </cfRule>
  </conditionalFormatting>
  <conditionalFormatting sqref="B16:F16 C17:C40 D17:D47">
    <cfRule type="expression" dxfId="37" priority="10">
      <formula>AND(TODAY()&gt;=$B16,TODAY()&lt;$B17)</formula>
    </cfRule>
  </conditionalFormatting>
  <conditionalFormatting sqref="C2:C3">
    <cfRule type="expression" dxfId="36" priority="5">
      <formula>AND(TODAY()&gt;=$B$15,TODAY()&lt;$B$16)</formula>
    </cfRule>
  </conditionalFormatting>
  <conditionalFormatting sqref="G15:G46 I15:I46">
    <cfRule type="expression" dxfId="35" priority="2">
      <formula>AND(TODAY()&gt;=$B15,TODAY()&lt;$B16)</formula>
    </cfRule>
  </conditionalFormatting>
  <conditionalFormatting sqref="H15:H46">
    <cfRule type="expression" dxfId="34" priority="3">
      <formula>AND(TODAY()&gt;=$B$15,TODAY()&lt;$B$16)</formula>
    </cfRule>
  </conditionalFormatting>
  <conditionalFormatting sqref="J15:K46">
    <cfRule type="expression" dxfId="33" priority="1">
      <formula>AND(TODAY()&gt;=$B$15,TODAY()&lt;$B$16)</formula>
    </cfRule>
  </conditionalFormatting>
  <conditionalFormatting sqref="L16:L21 E16:F46 L23:L46">
    <cfRule type="expression" dxfId="32" priority="7">
      <formula>AND(TODAY()&gt;=$B16,TODAY()&lt;$B17)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2B02EC9-319D-4453-A95E-77C81D66255D}">
          <x14:formula1>
            <xm:f>'LEIA-ME'!$A$2:$A$14</xm:f>
          </x14:formula1>
          <xm:sqref>C2</xm:sqref>
        </x14:dataValidation>
        <x14:dataValidation type="list" allowBlank="1" showInputMessage="1" showErrorMessage="1" xr:uid="{C49671FB-C444-427B-9465-D8E5959936CD}">
          <x14:formula1>
            <xm:f>'LEIA-ME'!$C$2:$C$6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2F6F-8C16-4F6D-B29B-DE28C0125BE3}">
  <sheetPr>
    <tabColor theme="9" tint="-0.499984740745262"/>
  </sheetPr>
  <dimension ref="A1:L512"/>
  <sheetViews>
    <sheetView topLeftCell="A35" workbookViewId="0">
      <selection activeCell="K38" sqref="K38:K39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6" width="12.625" style="59" customWidth="1"/>
    <col min="7" max="11" width="13.875" style="59" customWidth="1"/>
    <col min="12" max="12" width="22.25" style="59" customWidth="1"/>
    <col min="13" max="13" width="34.375" style="59" customWidth="1"/>
    <col min="14" max="16384" width="12.625" style="59"/>
  </cols>
  <sheetData>
    <row r="1" spans="1:12" ht="19.5" x14ac:dyDescent="0.25">
      <c r="A1" s="154" t="s">
        <v>20</v>
      </c>
      <c r="B1" s="167"/>
      <c r="C1" s="167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25">
      <c r="A2" s="68"/>
      <c r="B2" s="119" t="s">
        <v>2542</v>
      </c>
      <c r="C2" s="120" t="s">
        <v>70</v>
      </c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15.75" customHeight="1" x14ac:dyDescent="0.25">
      <c r="A3" s="68"/>
      <c r="B3" s="119" t="s">
        <v>66</v>
      </c>
      <c r="C3" s="120" t="s">
        <v>69</v>
      </c>
      <c r="D3" s="70"/>
      <c r="E3" s="71"/>
      <c r="F3" s="71"/>
      <c r="G3" s="65"/>
      <c r="H3" s="65"/>
      <c r="I3" s="65"/>
      <c r="J3" s="65"/>
      <c r="K3" s="65"/>
      <c r="L3" s="65"/>
    </row>
    <row r="4" spans="1:12" ht="15" customHeight="1" x14ac:dyDescent="0.25">
      <c r="B4" s="121" t="s">
        <v>2494</v>
      </c>
      <c r="C4" s="125">
        <f>COUNTIFS(time, C2,
    release, "*" &amp; C3 &amp; "*")</f>
        <v>53</v>
      </c>
      <c r="D4" s="70" t="s">
        <v>25</v>
      </c>
      <c r="E4" s="71" t="s">
        <v>26</v>
      </c>
      <c r="F4" s="71"/>
      <c r="G4" s="65"/>
      <c r="H4" s="65"/>
      <c r="I4" s="65"/>
      <c r="J4" s="65"/>
      <c r="K4" s="65"/>
      <c r="L4" s="65"/>
    </row>
    <row r="5" spans="1:12" ht="15.75" customHeight="1" x14ac:dyDescent="0.25">
      <c r="B5" s="122" t="s">
        <v>27</v>
      </c>
      <c r="C5" s="107">
        <v>45936</v>
      </c>
      <c r="D5" s="70" t="s">
        <v>28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122" t="s">
        <v>29</v>
      </c>
      <c r="C6" s="107">
        <v>46143</v>
      </c>
      <c r="D6" s="70" t="s">
        <v>30</v>
      </c>
      <c r="E6" s="65"/>
      <c r="F6" s="65"/>
      <c r="G6" s="65"/>
      <c r="H6" s="65"/>
      <c r="I6" s="65"/>
      <c r="J6" s="65"/>
      <c r="K6" s="65"/>
      <c r="L6" s="65"/>
    </row>
    <row r="7" spans="1:12" ht="15.75" customHeight="1" x14ac:dyDescent="0.25">
      <c r="B7" s="119" t="s">
        <v>31</v>
      </c>
      <c r="C7" s="106" cm="1">
        <f t="array" ref="C7">IF(MAX(INDEX(J:J, LARGE(IF(J:J&lt;&gt;"", ROW(J:J)), {1;2;3;4;5;6;7;8})))=0,
  1,
  MAX(INDEX(J:J, LARGE(IF(J:J&lt;&gt;"", ROW(J:J)), {1;2;3;4;5;6;7;8}))))</f>
        <v>8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119" t="s">
        <v>34</v>
      </c>
      <c r="C8" s="106" cm="1">
        <f t="array" ref="C8">IF(MIN(INDEX(J:J, LARGE(IF(J:J&lt;&gt;"", ROW(J:J)), {1;2;3;4;5;6;7;8})))=0,
  1,
  MIN(INDEX(J:J, LARGE(IF(J:J&lt;&gt;"", ROW(J:J)), {1;2;3;4;5;6;7;8}))))</f>
        <v>1</v>
      </c>
      <c r="D8" s="70" t="s">
        <v>32</v>
      </c>
      <c r="E8" s="71" t="s">
        <v>33</v>
      </c>
      <c r="F8" s="71"/>
      <c r="G8" s="65"/>
      <c r="H8" s="65"/>
      <c r="I8" s="65"/>
      <c r="J8" s="65"/>
      <c r="K8" s="65"/>
      <c r="L8" s="65"/>
    </row>
    <row r="9" spans="1:12" ht="15.75" customHeight="1" x14ac:dyDescent="0.25">
      <c r="B9" s="122" t="s">
        <v>35</v>
      </c>
      <c r="C9" s="108">
        <v>8</v>
      </c>
      <c r="D9" s="70" t="s">
        <v>32</v>
      </c>
      <c r="E9" s="65"/>
      <c r="F9" s="65"/>
      <c r="G9" s="65"/>
      <c r="H9" s="65"/>
      <c r="I9" s="65"/>
      <c r="J9" s="65"/>
      <c r="K9" s="65"/>
      <c r="L9" s="65"/>
    </row>
    <row r="10" spans="1:12" ht="15.75" customHeight="1" x14ac:dyDescent="0.25">
      <c r="B10" s="122" t="s">
        <v>36</v>
      </c>
      <c r="C10" s="109">
        <v>7</v>
      </c>
      <c r="D10" s="70" t="s">
        <v>37</v>
      </c>
      <c r="E10" s="65"/>
      <c r="F10" s="65"/>
      <c r="G10" s="65"/>
      <c r="H10" s="65"/>
      <c r="I10" s="65"/>
      <c r="J10" s="65"/>
      <c r="K10" s="65"/>
      <c r="L10" s="65"/>
    </row>
    <row r="11" spans="1:12" ht="15.75" hidden="1" customHeight="1" x14ac:dyDescent="0.25">
      <c r="B11" s="112"/>
      <c r="C11" s="65"/>
      <c r="D11" s="113"/>
      <c r="E11" s="65"/>
      <c r="F11" s="65"/>
      <c r="G11" s="65"/>
      <c r="H11" s="65"/>
      <c r="I11" s="65"/>
      <c r="J11" s="65"/>
      <c r="K11" s="65"/>
      <c r="L11" s="65"/>
    </row>
    <row r="12" spans="1:12" s="39" customFormat="1" ht="40.5" customHeight="1" x14ac:dyDescent="0.45">
      <c r="A12" s="103"/>
      <c r="B12" s="61" t="s">
        <v>38</v>
      </c>
      <c r="C12" s="60" t="s">
        <v>39</v>
      </c>
      <c r="D12" s="60" t="s">
        <v>40</v>
      </c>
      <c r="E12" s="60" t="s">
        <v>41</v>
      </c>
      <c r="F12" s="60" t="s">
        <v>42</v>
      </c>
      <c r="G12" s="60" t="s">
        <v>43</v>
      </c>
      <c r="H12" s="60" t="s">
        <v>44</v>
      </c>
      <c r="I12" s="60" t="s">
        <v>45</v>
      </c>
      <c r="J12" s="60" t="s">
        <v>46</v>
      </c>
      <c r="K12" s="60" t="s">
        <v>47</v>
      </c>
      <c r="L12" s="60" t="s">
        <v>48</v>
      </c>
    </row>
    <row r="13" spans="1:12" ht="19.5" customHeight="1" x14ac:dyDescent="0.25">
      <c r="A13" s="91"/>
      <c r="B13" s="162" t="s">
        <v>49</v>
      </c>
      <c r="C13" s="163"/>
      <c r="D13" s="163"/>
      <c r="E13" s="163"/>
      <c r="F13" s="164"/>
      <c r="G13" s="165" t="s">
        <v>50</v>
      </c>
      <c r="H13" s="166"/>
      <c r="I13" s="166"/>
      <c r="J13" s="166"/>
      <c r="K13" s="166"/>
      <c r="L13" s="166"/>
    </row>
    <row r="14" spans="1:12" ht="31.5" customHeight="1" x14ac:dyDescent="0.25">
      <c r="A14" s="44" t="s">
        <v>51</v>
      </c>
      <c r="B14" s="45" t="s">
        <v>52</v>
      </c>
      <c r="C14" s="46" t="s">
        <v>2495</v>
      </c>
      <c r="D14" s="46" t="s">
        <v>2496</v>
      </c>
      <c r="E14" s="46" t="s">
        <v>55</v>
      </c>
      <c r="F14" s="58" t="s">
        <v>56</v>
      </c>
      <c r="G14" s="47" t="s">
        <v>57</v>
      </c>
      <c r="H14" s="47" t="s">
        <v>58</v>
      </c>
      <c r="I14" s="48" t="s">
        <v>2561</v>
      </c>
      <c r="J14" s="54" t="s">
        <v>60</v>
      </c>
      <c r="K14" s="87" t="s">
        <v>2562</v>
      </c>
      <c r="L14" s="77" t="s">
        <v>62</v>
      </c>
    </row>
    <row r="15" spans="1:12" ht="17.25" customHeight="1" x14ac:dyDescent="0.25">
      <c r="A15" s="73" t="s">
        <v>2543</v>
      </c>
      <c r="B15" s="66">
        <f>C5</f>
        <v>45936</v>
      </c>
      <c r="C15" s="79">
        <f>$C$4</f>
        <v>53</v>
      </c>
      <c r="D15" s="79">
        <f>$C$4</f>
        <v>53</v>
      </c>
      <c r="E15" s="79">
        <f>$C$4</f>
        <v>53</v>
      </c>
      <c r="F15" s="80"/>
      <c r="G15" s="118">
        <f t="shared" ref="G15" si="0">COUNTIFS(dtc, "&gt;=" &amp; INT(B15),
  dtc, "&lt;"  &amp; INT(B15)+1,
  time, $C$2,release, "*" &amp; $C$3 &amp; "*",
  Item, "&lt;&gt;BUG")</f>
        <v>0</v>
      </c>
      <c r="H15" s="118">
        <f t="shared" ref="H15:H39" si="1">COUNTIFS(dtc, "&gt;=" &amp;(INT(B15)+1),dtc,
 "&lt;"  &amp;(INT(B15)+7),time,
 $C$2,release, "*" &amp; $C$3 &amp; "*",Item,
 "&lt;&gt;BUG")</f>
        <v>0</v>
      </c>
      <c r="I15" s="82">
        <f t="shared" ref="I15:I39" si="2">COUNTIFS(time, $C$2,release, "*" &amp; $C$3 &amp; "*",Item,
 "BUG",dtc,
 "&gt;=" &amp; INT(B15),dtc,
 "&lt;"  &amp; INT(B15)+7)</f>
        <v>0</v>
      </c>
      <c r="J15" s="126">
        <f t="shared" ref="J15:J37" si="3">IF(COUNTIFS(time, $C$2, release, "*" &amp; $C$3 &amp; "*", resolvido, "&lt;&gt;" &amp; "", resolvido, "&gt;=" &amp; INT(B15), resolvido, "&lt;" &amp; INT(B15)+7)+K15 &lt; 0,
   0,
   COUNTIFS(time, $C$2, release, "*" &amp; $C$3 &amp; "*", resolvido, "&lt;&gt;" &amp; "", resolvido, "&gt;=" &amp; INT(B15), resolvido, "&lt;" &amp; INT(B15)+7)+K15)</f>
        <v>0</v>
      </c>
      <c r="K15" s="84">
        <f>-COUNTIFS(resolvido, "&gt;=" &amp; INT(B15),resolvido, "&lt;"  &amp; INT(B15)+7,status, "Descartado",time, $C$2,release, "*" &amp; $C$3 &amp; "*")</f>
        <v>0</v>
      </c>
      <c r="L15" s="86"/>
    </row>
    <row r="16" spans="1:12" ht="17.25" customHeight="1" x14ac:dyDescent="0.25">
      <c r="A16" s="73" t="s">
        <v>2544</v>
      </c>
      <c r="B16" s="66">
        <f t="shared" ref="B16:B68" si="4">B15+$C$10</f>
        <v>45943</v>
      </c>
      <c r="C16" s="79">
        <f>IF(OR(C15="",C15=0),"",IF(ISBLANK($J15),IF(C15+$K15-$C$7&lt;=0,IF(AND(C15&gt;0,C15&lt;&gt;""),0,""),C15+$K15-$C$7),IF((C15-$J15)+$K15&lt;=0,IF(AND(C15&gt;0,C15&lt;&gt;""),0,""),(C15-$J15)+$K15)))</f>
        <v>53</v>
      </c>
      <c r="D16" s="79">
        <f>IF(OR(D15="",D15=0),"",IF(ISBLANK($J15),IF(D15+$K15-$C$8&lt;=0,IF(AND(D15&gt;0,D15&lt;&gt;""),0,""),D15+$K15-$C$8),IF((D15-$J15)+$K15&lt;=0,IF(AND(D15&gt;0,D15&lt;&gt;""),0,""),(D15-$J15)+$K15)))</f>
        <v>53</v>
      </c>
      <c r="E16" s="79">
        <f>IF(OR(E15="",E15=0),"",IF(ISBLANK($J15),IF(E15+$K15-$C$9&lt;=0,IF(AND(E15&gt;0,E15&lt;&gt;""),0,""),E15+$K15-$C$9),IF((E15-$J15)+$K15&lt;=0,IF(AND(E15&gt;0,E15&lt;&gt;""),0,""),(E15-$J15)+$K15)))</f>
        <v>53</v>
      </c>
      <c r="F16" s="80">
        <f>IF(J15="","",IF(G15+F15+H15+I15+K15-J15&lt;0,0,G15+F15+H15+I15+K15-J15))</f>
        <v>0</v>
      </c>
      <c r="G16" s="118">
        <f t="shared" ref="G16:G39" si="5">COUNTIFS(dtc, "&gt;=" &amp; INT(B16),
  dtc, "&lt;"  &amp; INT(B16)+1,
  time, $C$2,release, "*" &amp; $C$3 &amp; "*",
  Item, "&lt;&gt;BUG")-COUNTIFS(dtc, "&gt;=" &amp; INT(B16),dtc, "&lt;"  &amp; INT(B16)+7,resolvido, "&gt;=" &amp; INT(B16),resolvido, "&lt;"  &amp; INT(B16)+7,status, "Descartado",time, $C$2,release, "*" &amp; $C$3 &amp; "*")</f>
        <v>0</v>
      </c>
      <c r="H16" s="118">
        <f t="shared" si="1"/>
        <v>0</v>
      </c>
      <c r="I16" s="82">
        <f t="shared" si="2"/>
        <v>0</v>
      </c>
      <c r="J16" s="126">
        <f t="shared" si="3"/>
        <v>0</v>
      </c>
      <c r="K16" s="84">
        <f>COUNTIFS(resolvido, "&gt;=" &amp; INT(B16),resolvido, "&lt;"  &amp; INT(B16)+7,status, "Descartado",time, $C$2,release, "*" &amp; $C$3 &amp; "*")</f>
        <v>0</v>
      </c>
      <c r="L16" s="86"/>
    </row>
    <row r="17" spans="1:12" ht="17.25" customHeight="1" x14ac:dyDescent="0.25">
      <c r="A17" s="73" t="s">
        <v>2545</v>
      </c>
      <c r="B17" s="66">
        <f t="shared" si="4"/>
        <v>45950</v>
      </c>
      <c r="C17" s="79">
        <f t="shared" ref="C17:C38" si="6">IF(OR(C16="",C16=0),"",IF(ISBLANK($J16),IF(C16+$K16-$C$7&lt;=0,IF(AND(C16&gt;0,C16&lt;&gt;""),0,""),C16+$K16-$C$7),IF((C16-$J16)+$K16&lt;=0,IF(AND(C16&gt;0,C16&lt;&gt;""),0,""),(C16-$J16)+$K16)))</f>
        <v>53</v>
      </c>
      <c r="D17" s="79">
        <f t="shared" ref="D17:D47" si="7">IF(OR(D16="",D16=0),"",IF(ISBLANK($J16),IF(D16+$K16-$C$8&lt;=0,IF(AND(D16&gt;0,D16&lt;&gt;""),0,""),D16+$K16-$C$8),IF((D16-$J16)+$K16&lt;=0,IF(AND(D16&gt;0,D16&lt;&gt;""),0,""),(D16-$J16)+$K16)))</f>
        <v>53</v>
      </c>
      <c r="E17" s="79">
        <f t="shared" ref="E17" si="8">IF(OR(E16="",E16=0),"",IF(ISBLANK($J16),IF(E16+$K16-$C$9&lt;=0,IF(AND(E16&gt;0,E16&lt;&gt;""),0,""),E16+$K16-$C$9),IF((E16-$J16)+$K16&lt;=0,IF(AND(E16&gt;0,E16&lt;&gt;""),0,""),(E16-$J16)+$K16)))</f>
        <v>53</v>
      </c>
      <c r="F17" s="80">
        <f t="shared" ref="F17:F28" si="9">IF(J16="","",IF(G16+F16+H16+I16+K16-J16&lt;0,0,G16+F16+H16+I16+K16-J16))</f>
        <v>0</v>
      </c>
      <c r="G17" s="118">
        <f t="shared" si="5"/>
        <v>0</v>
      </c>
      <c r="H17" s="118">
        <f t="shared" si="1"/>
        <v>0</v>
      </c>
      <c r="I17" s="82">
        <f t="shared" si="2"/>
        <v>0</v>
      </c>
      <c r="J17" s="126">
        <f t="shared" si="3"/>
        <v>0</v>
      </c>
      <c r="K17" s="84">
        <f t="shared" ref="K17:K37" si="10">-COUNTIFS(resolvido, "&gt;=" &amp; INT(B17),resolvido, "&lt;"  &amp; INT(B17)+7,status, "Descartado",time, $C$2,release, "*" &amp; $C$3 &amp; "*")</f>
        <v>0</v>
      </c>
      <c r="L17" s="86"/>
    </row>
    <row r="18" spans="1:12" ht="17.25" customHeight="1" x14ac:dyDescent="0.25">
      <c r="A18" s="73" t="s">
        <v>2546</v>
      </c>
      <c r="B18" s="66">
        <f t="shared" si="4"/>
        <v>45957</v>
      </c>
      <c r="C18" s="79">
        <f t="shared" si="6"/>
        <v>53</v>
      </c>
      <c r="D18" s="79">
        <f t="shared" si="7"/>
        <v>53</v>
      </c>
      <c r="E18" s="79">
        <f>IF(OR(E17="",E17=0),"",IF(ISBLANK($J17),IF(E17+$K17-$C$9&lt;=0,IF(AND(E17&gt;0,E17&lt;&gt;""),0,""),E17+$K17-$C$9),IF((E17-$J17)+$K17&lt;=0,IF(AND(E17&gt;0,E17&lt;&gt;""),0,""),(E17-$J17)+$K17)))</f>
        <v>53</v>
      </c>
      <c r="F18" s="80">
        <f t="shared" si="9"/>
        <v>0</v>
      </c>
      <c r="G18" s="118">
        <f t="shared" si="5"/>
        <v>0</v>
      </c>
      <c r="H18" s="118">
        <f t="shared" si="1"/>
        <v>0</v>
      </c>
      <c r="I18" s="82">
        <f t="shared" si="2"/>
        <v>0</v>
      </c>
      <c r="J18" s="126">
        <f t="shared" si="3"/>
        <v>0</v>
      </c>
      <c r="K18" s="84">
        <f t="shared" si="10"/>
        <v>0</v>
      </c>
      <c r="L18" s="111"/>
    </row>
    <row r="19" spans="1:12" ht="17.25" customHeight="1" x14ac:dyDescent="0.25">
      <c r="A19" s="73" t="s">
        <v>2547</v>
      </c>
      <c r="B19" s="66">
        <f t="shared" si="4"/>
        <v>45964</v>
      </c>
      <c r="C19" s="79">
        <f t="shared" si="6"/>
        <v>53</v>
      </c>
      <c r="D19" s="79">
        <f t="shared" si="7"/>
        <v>53</v>
      </c>
      <c r="E19" s="79">
        <f t="shared" ref="E19:E42" si="11">IF(OR(E18="",E18=0),"",IF(ISBLANK($J18),IF(E18+$K18-$C$9&lt;=0,IF(AND(E18&gt;0,E18&lt;&gt;""),0,""),E18+$K18-$C$9),IF((E18-$J18)+$K18&lt;=0,IF(AND(E18&gt;0,E18&lt;&gt;""),0,""),(E18-$J18)+$K18)))</f>
        <v>53</v>
      </c>
      <c r="F19" s="80">
        <f t="shared" si="9"/>
        <v>0</v>
      </c>
      <c r="G19" s="118">
        <f t="shared" si="5"/>
        <v>0</v>
      </c>
      <c r="H19" s="118">
        <f t="shared" si="1"/>
        <v>0</v>
      </c>
      <c r="I19" s="82">
        <f t="shared" si="2"/>
        <v>0</v>
      </c>
      <c r="J19" s="126">
        <f t="shared" si="3"/>
        <v>0</v>
      </c>
      <c r="K19" s="84">
        <f t="shared" si="10"/>
        <v>0</v>
      </c>
      <c r="L19" s="86"/>
    </row>
    <row r="20" spans="1:12" ht="17.25" customHeight="1" x14ac:dyDescent="0.25">
      <c r="A20" s="73" t="s">
        <v>2548</v>
      </c>
      <c r="B20" s="66">
        <f t="shared" si="4"/>
        <v>45971</v>
      </c>
      <c r="C20" s="79">
        <f t="shared" si="6"/>
        <v>53</v>
      </c>
      <c r="D20" s="79">
        <f t="shared" si="7"/>
        <v>53</v>
      </c>
      <c r="E20" s="79">
        <f t="shared" si="11"/>
        <v>53</v>
      </c>
      <c r="F20" s="80">
        <f t="shared" si="9"/>
        <v>0</v>
      </c>
      <c r="G20" s="118">
        <f t="shared" si="5"/>
        <v>0</v>
      </c>
      <c r="H20" s="118">
        <f t="shared" si="1"/>
        <v>0</v>
      </c>
      <c r="I20" s="82">
        <f t="shared" si="2"/>
        <v>0</v>
      </c>
      <c r="J20" s="126">
        <f t="shared" si="3"/>
        <v>0</v>
      </c>
      <c r="K20" s="84">
        <f t="shared" si="10"/>
        <v>0</v>
      </c>
      <c r="L20" s="86"/>
    </row>
    <row r="21" spans="1:12" ht="15.75" customHeight="1" x14ac:dyDescent="0.25">
      <c r="A21" s="73" t="s">
        <v>2549</v>
      </c>
      <c r="B21" s="66">
        <f t="shared" si="4"/>
        <v>45978</v>
      </c>
      <c r="C21" s="79">
        <f t="shared" si="6"/>
        <v>53</v>
      </c>
      <c r="D21" s="79">
        <f t="shared" si="7"/>
        <v>53</v>
      </c>
      <c r="E21" s="79">
        <f t="shared" si="11"/>
        <v>53</v>
      </c>
      <c r="F21" s="80">
        <f t="shared" si="9"/>
        <v>0</v>
      </c>
      <c r="G21" s="118">
        <f t="shared" si="5"/>
        <v>0</v>
      </c>
      <c r="H21" s="118">
        <f t="shared" si="1"/>
        <v>0</v>
      </c>
      <c r="I21" s="82">
        <f t="shared" si="2"/>
        <v>0</v>
      </c>
      <c r="J21" s="126">
        <f t="shared" si="3"/>
        <v>0</v>
      </c>
      <c r="K21" s="84">
        <f t="shared" si="10"/>
        <v>0</v>
      </c>
      <c r="L21" s="86"/>
    </row>
    <row r="22" spans="1:12" ht="15.75" customHeight="1" x14ac:dyDescent="0.25">
      <c r="A22" s="73" t="s">
        <v>2550</v>
      </c>
      <c r="B22" s="66">
        <f t="shared" si="4"/>
        <v>45985</v>
      </c>
      <c r="C22" s="79">
        <f t="shared" si="6"/>
        <v>53</v>
      </c>
      <c r="D22" s="79">
        <f t="shared" si="7"/>
        <v>53</v>
      </c>
      <c r="E22" s="79">
        <f t="shared" si="11"/>
        <v>53</v>
      </c>
      <c r="F22" s="80">
        <f t="shared" si="9"/>
        <v>0</v>
      </c>
      <c r="G22" s="118">
        <f t="shared" si="5"/>
        <v>3</v>
      </c>
      <c r="H22" s="118">
        <f t="shared" si="1"/>
        <v>0</v>
      </c>
      <c r="I22" s="82">
        <f t="shared" si="2"/>
        <v>0</v>
      </c>
      <c r="J22" s="126">
        <f t="shared" si="3"/>
        <v>0</v>
      </c>
      <c r="K22" s="84">
        <f t="shared" si="10"/>
        <v>0</v>
      </c>
      <c r="L22" s="86"/>
    </row>
    <row r="23" spans="1:12" ht="15.75" customHeight="1" x14ac:dyDescent="0.25">
      <c r="A23" s="73" t="s">
        <v>2551</v>
      </c>
      <c r="B23" s="66">
        <f t="shared" si="4"/>
        <v>45992</v>
      </c>
      <c r="C23" s="79">
        <f t="shared" si="6"/>
        <v>53</v>
      </c>
      <c r="D23" s="79">
        <f t="shared" si="7"/>
        <v>53</v>
      </c>
      <c r="E23" s="79">
        <f t="shared" si="11"/>
        <v>53</v>
      </c>
      <c r="F23" s="80">
        <f t="shared" si="9"/>
        <v>3</v>
      </c>
      <c r="G23" s="118">
        <f t="shared" si="5"/>
        <v>0</v>
      </c>
      <c r="H23" s="118">
        <f t="shared" si="1"/>
        <v>0</v>
      </c>
      <c r="I23" s="82">
        <f t="shared" si="2"/>
        <v>0</v>
      </c>
      <c r="J23" s="126">
        <f t="shared" si="3"/>
        <v>0</v>
      </c>
      <c r="K23" s="84">
        <f t="shared" si="10"/>
        <v>0</v>
      </c>
      <c r="L23" s="86"/>
    </row>
    <row r="24" spans="1:12" ht="15.75" customHeight="1" x14ac:dyDescent="0.25">
      <c r="A24" s="73" t="s">
        <v>2552</v>
      </c>
      <c r="B24" s="66">
        <f t="shared" si="4"/>
        <v>45999</v>
      </c>
      <c r="C24" s="79">
        <f t="shared" si="6"/>
        <v>53</v>
      </c>
      <c r="D24" s="79">
        <f t="shared" si="7"/>
        <v>53</v>
      </c>
      <c r="E24" s="79">
        <f t="shared" si="11"/>
        <v>53</v>
      </c>
      <c r="F24" s="80">
        <f t="shared" si="9"/>
        <v>3</v>
      </c>
      <c r="G24" s="118">
        <f t="shared" si="5"/>
        <v>0</v>
      </c>
      <c r="H24" s="118">
        <f t="shared" si="1"/>
        <v>0</v>
      </c>
      <c r="I24" s="82">
        <f t="shared" si="2"/>
        <v>0</v>
      </c>
      <c r="J24" s="126">
        <f t="shared" si="3"/>
        <v>0</v>
      </c>
      <c r="K24" s="84">
        <f t="shared" si="10"/>
        <v>0</v>
      </c>
      <c r="L24" s="86"/>
    </row>
    <row r="25" spans="1:12" ht="15.75" customHeight="1" x14ac:dyDescent="0.25">
      <c r="A25" s="73" t="s">
        <v>2553</v>
      </c>
      <c r="B25" s="66">
        <f t="shared" si="4"/>
        <v>46006</v>
      </c>
      <c r="C25" s="79">
        <f t="shared" si="6"/>
        <v>53</v>
      </c>
      <c r="D25" s="79">
        <f t="shared" si="7"/>
        <v>53</v>
      </c>
      <c r="E25" s="79">
        <f t="shared" si="11"/>
        <v>53</v>
      </c>
      <c r="F25" s="80">
        <f t="shared" si="9"/>
        <v>3</v>
      </c>
      <c r="G25" s="118">
        <f t="shared" si="5"/>
        <v>0</v>
      </c>
      <c r="H25" s="118">
        <f t="shared" si="1"/>
        <v>2</v>
      </c>
      <c r="I25" s="82">
        <f t="shared" si="2"/>
        <v>0</v>
      </c>
      <c r="J25" s="126">
        <f t="shared" si="3"/>
        <v>0</v>
      </c>
      <c r="K25" s="84">
        <f t="shared" si="10"/>
        <v>0</v>
      </c>
      <c r="L25" s="86"/>
    </row>
    <row r="26" spans="1:12" ht="15.75" customHeight="1" x14ac:dyDescent="0.25">
      <c r="A26" s="73" t="s">
        <v>2554</v>
      </c>
      <c r="B26" s="66">
        <f t="shared" si="4"/>
        <v>46013</v>
      </c>
      <c r="C26" s="79">
        <f t="shared" si="6"/>
        <v>53</v>
      </c>
      <c r="D26" s="79">
        <f t="shared" si="7"/>
        <v>53</v>
      </c>
      <c r="E26" s="79">
        <f t="shared" si="11"/>
        <v>53</v>
      </c>
      <c r="F26" s="80">
        <f t="shared" si="9"/>
        <v>5</v>
      </c>
      <c r="G26" s="118">
        <f t="shared" si="5"/>
        <v>0</v>
      </c>
      <c r="H26" s="118">
        <f t="shared" si="1"/>
        <v>0</v>
      </c>
      <c r="I26" s="82">
        <f t="shared" si="2"/>
        <v>0</v>
      </c>
      <c r="J26" s="126">
        <f t="shared" si="3"/>
        <v>0</v>
      </c>
      <c r="K26" s="84">
        <f t="shared" si="10"/>
        <v>0</v>
      </c>
      <c r="L26" s="86"/>
    </row>
    <row r="27" spans="1:12" ht="15.75" customHeight="1" x14ac:dyDescent="0.25">
      <c r="A27" s="73" t="s">
        <v>2555</v>
      </c>
      <c r="B27" s="66">
        <f t="shared" si="4"/>
        <v>46020</v>
      </c>
      <c r="C27" s="79">
        <f t="shared" si="6"/>
        <v>53</v>
      </c>
      <c r="D27" s="79">
        <f t="shared" si="7"/>
        <v>53</v>
      </c>
      <c r="E27" s="79">
        <f t="shared" si="11"/>
        <v>53</v>
      </c>
      <c r="F27" s="80">
        <f t="shared" si="9"/>
        <v>5</v>
      </c>
      <c r="G27" s="118">
        <f t="shared" si="5"/>
        <v>0</v>
      </c>
      <c r="H27" s="118">
        <f t="shared" si="1"/>
        <v>0</v>
      </c>
      <c r="I27" s="82">
        <f t="shared" si="2"/>
        <v>0</v>
      </c>
      <c r="J27" s="126">
        <f t="shared" si="3"/>
        <v>0</v>
      </c>
      <c r="K27" s="84">
        <f t="shared" si="10"/>
        <v>0</v>
      </c>
      <c r="L27" s="86"/>
    </row>
    <row r="28" spans="1:12" ht="15.75" customHeight="1" x14ac:dyDescent="0.25">
      <c r="A28" s="73" t="s">
        <v>2556</v>
      </c>
      <c r="B28" s="66">
        <f t="shared" si="4"/>
        <v>46027</v>
      </c>
      <c r="C28" s="79">
        <f t="shared" si="6"/>
        <v>53</v>
      </c>
      <c r="D28" s="79">
        <f t="shared" si="7"/>
        <v>53</v>
      </c>
      <c r="E28" s="79">
        <f t="shared" si="11"/>
        <v>53</v>
      </c>
      <c r="F28" s="80">
        <f t="shared" si="9"/>
        <v>5</v>
      </c>
      <c r="G28" s="118">
        <f t="shared" si="5"/>
        <v>0</v>
      </c>
      <c r="H28" s="118">
        <f t="shared" si="1"/>
        <v>0</v>
      </c>
      <c r="I28" s="82">
        <f t="shared" si="2"/>
        <v>0</v>
      </c>
      <c r="J28" s="126">
        <f t="shared" si="3"/>
        <v>0</v>
      </c>
      <c r="K28" s="84">
        <f t="shared" si="10"/>
        <v>0</v>
      </c>
      <c r="L28" s="86"/>
    </row>
    <row r="29" spans="1:12" ht="15.75" customHeight="1" x14ac:dyDescent="0.25">
      <c r="A29" s="73" t="s">
        <v>2557</v>
      </c>
      <c r="B29" s="66">
        <f t="shared" si="4"/>
        <v>46034</v>
      </c>
      <c r="C29" s="79">
        <f>IF(OR(C28="",C28=0),"",IF(ISBLANK($J28),IF(C28+$K28-$C$7&lt;=0,IF(AND(C28&gt;0,C28&lt;&gt;""),0,""),C28+$K28-$C$7),IF((C28-$J28)+$K28&lt;=0,IF(AND(C28&gt;0,C28&lt;&gt;""),0,""),(C28-$J28)+$K28)))</f>
        <v>53</v>
      </c>
      <c r="D29" s="79">
        <f t="shared" si="7"/>
        <v>53</v>
      </c>
      <c r="E29" s="79">
        <f t="shared" si="11"/>
        <v>53</v>
      </c>
      <c r="F29" s="80">
        <f t="shared" ref="F29:F68" si="12">IF(J28="","",IF(G28+F28+H28+I28-J28&lt;0,0,G28+F28+H28+I28-J28))</f>
        <v>5</v>
      </c>
      <c r="G29" s="118">
        <f t="shared" si="5"/>
        <v>1</v>
      </c>
      <c r="H29" s="118">
        <f t="shared" si="1"/>
        <v>2</v>
      </c>
      <c r="I29" s="82">
        <f t="shared" si="2"/>
        <v>0</v>
      </c>
      <c r="J29" s="126">
        <f t="shared" si="3"/>
        <v>0</v>
      </c>
      <c r="K29" s="84">
        <f t="shared" si="10"/>
        <v>0</v>
      </c>
      <c r="L29" s="86"/>
    </row>
    <row r="30" spans="1:12" ht="15.75" customHeight="1" x14ac:dyDescent="0.25">
      <c r="A30" s="73" t="s">
        <v>2558</v>
      </c>
      <c r="B30" s="66">
        <f t="shared" si="4"/>
        <v>46041</v>
      </c>
      <c r="C30" s="79">
        <f t="shared" si="6"/>
        <v>53</v>
      </c>
      <c r="D30" s="79">
        <f t="shared" si="7"/>
        <v>53</v>
      </c>
      <c r="E30" s="79">
        <f t="shared" si="11"/>
        <v>53</v>
      </c>
      <c r="F30" s="80">
        <f t="shared" si="12"/>
        <v>8</v>
      </c>
      <c r="G30" s="118">
        <f t="shared" si="5"/>
        <v>3</v>
      </c>
      <c r="H30" s="118">
        <f t="shared" si="1"/>
        <v>1</v>
      </c>
      <c r="I30" s="82">
        <f t="shared" si="2"/>
        <v>0</v>
      </c>
      <c r="J30" s="126">
        <f t="shared" si="3"/>
        <v>0</v>
      </c>
      <c r="K30" s="84">
        <f t="shared" si="10"/>
        <v>0</v>
      </c>
      <c r="L30" s="86"/>
    </row>
    <row r="31" spans="1:12" ht="15.75" customHeight="1" x14ac:dyDescent="0.25">
      <c r="A31" s="73" t="s">
        <v>2559</v>
      </c>
      <c r="B31" s="66">
        <f t="shared" si="4"/>
        <v>46048</v>
      </c>
      <c r="C31" s="79">
        <f t="shared" si="6"/>
        <v>53</v>
      </c>
      <c r="D31" s="79">
        <f t="shared" si="7"/>
        <v>53</v>
      </c>
      <c r="E31" s="79">
        <f>IF(OR(E30="",E30=0),"",IF(ISBLANK($J30),IF(E30+$K30-$C$9&lt;=0,IF(AND(E30&gt;0,E30&lt;&gt;""),0,""),E30+$K30-$C$9),IF((E30-$J30)+$K30&lt;=0,IF(AND(E30&gt;0,E30&lt;&gt;""),0,""),(E30-$J30)+$K30)))</f>
        <v>53</v>
      </c>
      <c r="F31" s="80">
        <f t="shared" si="12"/>
        <v>12</v>
      </c>
      <c r="G31" s="118">
        <f t="shared" si="5"/>
        <v>0</v>
      </c>
      <c r="H31" s="118">
        <f t="shared" si="1"/>
        <v>6</v>
      </c>
      <c r="I31" s="82">
        <f t="shared" si="2"/>
        <v>0</v>
      </c>
      <c r="J31" s="126">
        <f t="shared" si="3"/>
        <v>6</v>
      </c>
      <c r="K31" s="84">
        <f t="shared" si="10"/>
        <v>0</v>
      </c>
      <c r="L31" s="86"/>
    </row>
    <row r="32" spans="1:12" ht="15.75" customHeight="1" x14ac:dyDescent="0.25">
      <c r="A32" s="73" t="s">
        <v>2560</v>
      </c>
      <c r="B32" s="66">
        <f t="shared" si="4"/>
        <v>46055</v>
      </c>
      <c r="C32" s="79">
        <f t="shared" si="6"/>
        <v>47</v>
      </c>
      <c r="D32" s="79">
        <f>IF(OR(D31="",D31=0),"",IF(ISBLANK($J31),IF(D31+$K31-$C$8&lt;=0,IF(AND(D31&gt;0,D31&lt;&gt;""),0,""),D31+$K31-$C$8),IF((D31-$J31)+$K31&lt;=0,IF(AND(D31&gt;0,D31&lt;&gt;""),0,""),(D31-$J31)+$K31)))</f>
        <v>47</v>
      </c>
      <c r="E32" s="79">
        <f t="shared" si="11"/>
        <v>47</v>
      </c>
      <c r="F32" s="80">
        <f t="shared" si="12"/>
        <v>12</v>
      </c>
      <c r="G32" s="118">
        <f t="shared" si="5"/>
        <v>0</v>
      </c>
      <c r="H32" s="118">
        <f t="shared" si="1"/>
        <v>5</v>
      </c>
      <c r="I32" s="82">
        <f t="shared" si="2"/>
        <v>0</v>
      </c>
      <c r="J32" s="126">
        <f t="shared" si="3"/>
        <v>1</v>
      </c>
      <c r="K32" s="84">
        <f t="shared" si="10"/>
        <v>0</v>
      </c>
      <c r="L32" s="86"/>
    </row>
    <row r="33" spans="1:12" ht="15.75" customHeight="1" x14ac:dyDescent="0.25">
      <c r="A33" s="73" t="s">
        <v>2563</v>
      </c>
      <c r="B33" s="66">
        <f t="shared" si="4"/>
        <v>46062</v>
      </c>
      <c r="C33" s="79">
        <f t="shared" si="6"/>
        <v>46</v>
      </c>
      <c r="D33" s="79">
        <f t="shared" si="7"/>
        <v>46</v>
      </c>
      <c r="E33" s="79">
        <f t="shared" si="11"/>
        <v>46</v>
      </c>
      <c r="F33" s="80">
        <f t="shared" si="12"/>
        <v>16</v>
      </c>
      <c r="G33" s="118">
        <f t="shared" si="5"/>
        <v>5</v>
      </c>
      <c r="H33" s="118">
        <f t="shared" si="1"/>
        <v>2</v>
      </c>
      <c r="I33" s="82">
        <f t="shared" si="2"/>
        <v>0</v>
      </c>
      <c r="J33" s="126">
        <f t="shared" si="3"/>
        <v>8</v>
      </c>
      <c r="K33" s="84">
        <f t="shared" si="10"/>
        <v>0</v>
      </c>
      <c r="L33" s="86"/>
    </row>
    <row r="34" spans="1:12" ht="15.75" customHeight="1" x14ac:dyDescent="0.25">
      <c r="A34" s="73" t="s">
        <v>2564</v>
      </c>
      <c r="B34" s="66">
        <f t="shared" si="4"/>
        <v>46069</v>
      </c>
      <c r="C34" s="79">
        <f t="shared" si="6"/>
        <v>38</v>
      </c>
      <c r="D34" s="79">
        <f t="shared" si="7"/>
        <v>38</v>
      </c>
      <c r="E34" s="79">
        <f t="shared" si="11"/>
        <v>38</v>
      </c>
      <c r="F34" s="80">
        <f t="shared" si="12"/>
        <v>15</v>
      </c>
      <c r="G34" s="118">
        <f t="shared" si="5"/>
        <v>0</v>
      </c>
      <c r="H34" s="118">
        <f t="shared" si="1"/>
        <v>1</v>
      </c>
      <c r="I34" s="82">
        <f t="shared" si="2"/>
        <v>0</v>
      </c>
      <c r="J34" s="126">
        <f t="shared" si="3"/>
        <v>3</v>
      </c>
      <c r="K34" s="84">
        <f t="shared" si="10"/>
        <v>0</v>
      </c>
      <c r="L34" s="86"/>
    </row>
    <row r="35" spans="1:12" ht="15.75" customHeight="1" x14ac:dyDescent="0.25">
      <c r="A35" s="73" t="s">
        <v>2565</v>
      </c>
      <c r="B35" s="66">
        <f t="shared" si="4"/>
        <v>46076</v>
      </c>
      <c r="C35" s="79">
        <f t="shared" si="6"/>
        <v>35</v>
      </c>
      <c r="D35" s="79">
        <f t="shared" si="7"/>
        <v>35</v>
      </c>
      <c r="E35" s="79">
        <f t="shared" si="11"/>
        <v>35</v>
      </c>
      <c r="F35" s="80">
        <f t="shared" si="12"/>
        <v>13</v>
      </c>
      <c r="G35" s="118">
        <f t="shared" si="5"/>
        <v>0</v>
      </c>
      <c r="H35" s="118">
        <f t="shared" si="1"/>
        <v>1</v>
      </c>
      <c r="I35" s="82">
        <f t="shared" si="2"/>
        <v>0</v>
      </c>
      <c r="J35" s="126">
        <f t="shared" si="3"/>
        <v>1</v>
      </c>
      <c r="K35" s="84">
        <f t="shared" si="10"/>
        <v>0</v>
      </c>
      <c r="L35" s="86"/>
    </row>
    <row r="36" spans="1:12" ht="15.75" customHeight="1" x14ac:dyDescent="0.25">
      <c r="A36" s="73" t="s">
        <v>2566</v>
      </c>
      <c r="B36" s="66">
        <f t="shared" si="4"/>
        <v>46083</v>
      </c>
      <c r="C36" s="79">
        <f t="shared" si="6"/>
        <v>34</v>
      </c>
      <c r="D36" s="79">
        <f t="shared" si="7"/>
        <v>34</v>
      </c>
      <c r="E36" s="79">
        <f t="shared" si="11"/>
        <v>34</v>
      </c>
      <c r="F36" s="80">
        <f t="shared" si="12"/>
        <v>13</v>
      </c>
      <c r="G36" s="118">
        <f t="shared" si="5"/>
        <v>2</v>
      </c>
      <c r="H36" s="118">
        <f t="shared" si="1"/>
        <v>2</v>
      </c>
      <c r="I36" s="82">
        <f t="shared" si="2"/>
        <v>0</v>
      </c>
      <c r="J36" s="126">
        <f t="shared" si="3"/>
        <v>6</v>
      </c>
      <c r="K36" s="84">
        <f t="shared" si="10"/>
        <v>-1</v>
      </c>
      <c r="L36" s="86"/>
    </row>
    <row r="37" spans="1:12" ht="15.75" customHeight="1" x14ac:dyDescent="0.25">
      <c r="A37" s="73" t="s">
        <v>2567</v>
      </c>
      <c r="B37" s="66">
        <f t="shared" si="4"/>
        <v>46090</v>
      </c>
      <c r="C37" s="79">
        <f t="shared" si="6"/>
        <v>27</v>
      </c>
      <c r="D37" s="79">
        <f t="shared" si="7"/>
        <v>27</v>
      </c>
      <c r="E37" s="79">
        <f t="shared" si="11"/>
        <v>27</v>
      </c>
      <c r="F37" s="80">
        <f t="shared" si="12"/>
        <v>11</v>
      </c>
      <c r="G37" s="118">
        <f t="shared" si="5"/>
        <v>3</v>
      </c>
      <c r="H37" s="118">
        <f t="shared" si="1"/>
        <v>0</v>
      </c>
      <c r="I37" s="82">
        <f t="shared" si="2"/>
        <v>0</v>
      </c>
      <c r="J37" s="126">
        <f t="shared" si="3"/>
        <v>5</v>
      </c>
      <c r="K37" s="84">
        <f t="shared" si="10"/>
        <v>-1</v>
      </c>
      <c r="L37" s="86"/>
    </row>
    <row r="38" spans="1:12" ht="15.75" customHeight="1" x14ac:dyDescent="0.25">
      <c r="A38" s="73" t="s">
        <v>2568</v>
      </c>
      <c r="B38" s="66">
        <f t="shared" si="4"/>
        <v>46097</v>
      </c>
      <c r="C38" s="79">
        <f t="shared" si="6"/>
        <v>21</v>
      </c>
      <c r="D38" s="79">
        <f t="shared" si="7"/>
        <v>21</v>
      </c>
      <c r="E38" s="79">
        <f t="shared" si="11"/>
        <v>21</v>
      </c>
      <c r="F38" s="80">
        <f>IF(J37="","",IF(G37+F37+H37+I37-J37&lt;0,0,G37+F37+H37+I37-J37))</f>
        <v>9</v>
      </c>
      <c r="G38" s="118">
        <f t="shared" si="5"/>
        <v>5</v>
      </c>
      <c r="H38" s="118">
        <f t="shared" si="1"/>
        <v>0</v>
      </c>
      <c r="I38" s="82">
        <f t="shared" si="2"/>
        <v>0</v>
      </c>
      <c r="J38" s="126">
        <f>IF(COUNTIFS(time, $C$2, release, "*" &amp; $C$3 &amp; "*", resolvido, "&lt;&gt;" &amp; "", resolvido, "&gt;=" &amp; INT(B38), resolvido, "&lt;" &amp; INT(B38)+7)+K38 &lt; 0,
   0,
   COUNTIFS(time, $C$2, release, "*" &amp; $C$3 &amp; "*", resolvido, "&lt;&gt;" &amp; "", resolvido, "&gt;=" &amp; INT(B38), resolvido, "&lt;" &amp; INT(B38)+7)+K38)</f>
        <v>4</v>
      </c>
      <c r="K38" s="84">
        <f>-COUNTIFS(resolvido, "&gt;=" &amp; INT(B38),resolvido, "&lt;"  &amp; INT(B38)+7,status, "Descartado",time, $C$2,release, "*" &amp; $C$3 &amp; "*")</f>
        <v>0</v>
      </c>
      <c r="L38" s="86"/>
    </row>
    <row r="39" spans="1:12" ht="15.75" customHeight="1" x14ac:dyDescent="0.25">
      <c r="A39" s="73" t="s">
        <v>2569</v>
      </c>
      <c r="B39" s="66">
        <f t="shared" si="4"/>
        <v>46104</v>
      </c>
      <c r="C39" s="79">
        <f>IF(OR(C38="",C38=0),"",IF(ISBLANK($J38),IF(C38+$K38-$C$7&lt;=0,IF(AND(C38&gt;0,C38&lt;&gt;""),0,""),C38+$K38-$C$7),IF((C38-$J38)+$K38&lt;=0,IF(AND(C38&gt;0,C38&lt;&gt;""),0,""),(C38-$J38)+$K38)))</f>
        <v>17</v>
      </c>
      <c r="D39" s="79">
        <f>IF(OR(D38="",D38=0),"",IF(ISBLANK($J38),IF(D38+$K38-$C$8&lt;=0,IF(AND(D38&gt;0,D38&lt;&gt;""),0,""),D38+$K38-$C$8),IF((D38-$J38)+$K38&lt;=0,IF(AND(D38&gt;0,D38&lt;&gt;""),0,""),(D38-$J38)+$K38)))</f>
        <v>17</v>
      </c>
      <c r="E39" s="79">
        <f>IF(OR(E38="",E38=0),"",IF(ISBLANK($J38),IF(E38+$K38-$C$9&lt;=0,IF(AND(E38&gt;0,E38&lt;&gt;""),0,""),E38+$K38-$C$9),IF((E38-$J38)+$K38&lt;=0,IF(AND(E38&gt;0,E38&lt;&gt;""),0,""),(E38-$J38)+$K38)))</f>
        <v>17</v>
      </c>
      <c r="F39" s="80">
        <f>IF(J38="","",IF(G38+F38+H38+I38-J38&lt;0,0,G38+F38+H38+I38-J38))</f>
        <v>10</v>
      </c>
      <c r="G39" s="118">
        <f t="shared" si="5"/>
        <v>1</v>
      </c>
      <c r="H39" s="118">
        <f t="shared" si="1"/>
        <v>0</v>
      </c>
      <c r="I39" s="82">
        <f t="shared" si="2"/>
        <v>0</v>
      </c>
      <c r="J39" s="126">
        <f>IF(COUNTIFS(time, $C$2, release, "*" &amp; $C$3 &amp; "*", resolvido, "&lt;&gt;" &amp; "", resolvido, "&gt;=" &amp; INT(B39), resolvido, "&lt;" &amp; INT(B39)+7)+K39 &lt; 0,
   0,
   COUNTIFS(time, $C$2, release, "*" &amp; $C$3 &amp; "*", resolvido, "&lt;&gt;" &amp; "", resolvido, "&gt;=" &amp; INT(B39), resolvido, "&lt;" &amp; INT(B39)+7)+K39)</f>
        <v>1</v>
      </c>
      <c r="K39" s="84">
        <f>-COUNTIFS(resolvido, "&gt;=" &amp; INT(B39),resolvido, "&lt;"  &amp; INT(B39)+7,status, "Descartado",time, $C$2,release, "*" &amp; $C$3 &amp; "*")</f>
        <v>-3</v>
      </c>
      <c r="L39" s="86"/>
    </row>
    <row r="40" spans="1:12" ht="15.75" customHeight="1" x14ac:dyDescent="0.25">
      <c r="A40" s="73" t="s">
        <v>2570</v>
      </c>
      <c r="B40" s="66">
        <f t="shared" si="4"/>
        <v>46111</v>
      </c>
      <c r="C40" s="79">
        <f>IF(OR(C39="",C39=0),"",IF(ISBLANK($J39),IF(C39+$K39-$C$7&lt;=0,IF(AND(C39&gt;0,C39&lt;&gt;""),0,""),C39+$K39-$C$7),IF((C39-$J39)+$K39&lt;=0,IF(AND(C39&gt;0,C39&lt;&gt;""),0,""),(C39-$J39)+$K39)))</f>
        <v>13</v>
      </c>
      <c r="D40" s="79">
        <f>IF(OR(D39="",D39=0),"",IF(ISBLANK($J39),IF(D39+$K39-$C$8&lt;=0,IF(AND(D39&gt;0,D39&lt;&gt;""),0,""),D39+$K39-$C$8),IF((D39-$J39)+$K39&lt;=0,IF(AND(D39&gt;0,D39&lt;&gt;""),0,""),(D39-$J39)+$K39)))</f>
        <v>13</v>
      </c>
      <c r="E40" s="79">
        <f>IF(OR(E39="",E39=0),"",IF(ISBLANK($J39),IF(E39+$K39-$C$9&lt;=0,IF(AND(E39&gt;0,E39&lt;&gt;""),0,""),E39+$K39-$C$9),IF((E39-$J39)+$K39&lt;=0,IF(AND(E39&gt;0,E39&lt;&gt;""),0,""),(E39-$J39)+$K39)))</f>
        <v>13</v>
      </c>
      <c r="F40" s="80"/>
      <c r="G40" s="118"/>
      <c r="H40" s="118"/>
      <c r="I40" s="82"/>
      <c r="J40" s="126"/>
      <c r="K40" s="84"/>
      <c r="L40" s="86"/>
    </row>
    <row r="41" spans="1:12" ht="15.75" customHeight="1" x14ac:dyDescent="0.25">
      <c r="A41" s="73"/>
      <c r="B41" s="66">
        <f t="shared" si="4"/>
        <v>46118</v>
      </c>
      <c r="C41" s="85">
        <f>IF(OR(C40="",C40=0),"",IF(ISBLANK(J40),IF(C40+K40+I40-$C$7&lt;=0,IF(AND(C40&gt;0,C40&lt;&gt;""),0,""),C40+K40+I40-$C$7),IF((C40-J40)+K40+I40&lt;=0,IF(AND(C40&gt;0,C40&lt;&gt;""),0,""),(C40-J40)+K40+I40)))</f>
        <v>5</v>
      </c>
      <c r="D41" s="79">
        <f>IF(OR(D40="",D40=0),"",IF(ISBLANK($J40),IF(D40+$K40-$C$8&lt;=0,IF(AND(D40&gt;0,D40&lt;&gt;""),0,""),D40+$K40-$C$8),IF((D40-$J40)+$K40&lt;=0,IF(AND(D40&gt;0,D40&lt;&gt;""),0,""),(D40-$J40)+$K40)))</f>
        <v>12</v>
      </c>
      <c r="E41" s="79">
        <f>IF(OR(E40="",E40=0),"",IF(ISBLANK($J40),IF(E40+$K40-$C$9&lt;=0,IF(AND(E40&gt;0,E40&lt;&gt;""),0,""),E40+$K40-$C$9),IF((E40-$J40)+$K40&lt;=0,IF(AND(E40&gt;0,E40&lt;&gt;""),0,""),(E40-$J40)+$K40)))</f>
        <v>5</v>
      </c>
      <c r="F41" s="80"/>
      <c r="G41" s="118"/>
      <c r="H41" s="118"/>
      <c r="I41" s="82"/>
      <c r="J41" s="126"/>
      <c r="K41" s="84"/>
      <c r="L41" s="86"/>
    </row>
    <row r="42" spans="1:12" ht="15.75" customHeight="1" x14ac:dyDescent="0.25">
      <c r="A42" s="73"/>
      <c r="B42" s="66">
        <f t="shared" si="4"/>
        <v>46125</v>
      </c>
      <c r="C42" s="85">
        <f t="shared" ref="C42:C68" si="13">IF(OR(C41="",C41=0),"",IF(ISBLANK(J41),IF(C41+K41+I41-$C$7&lt;=0,IF(AND(C41&gt;0,C41&lt;&gt;""),0,""),C41+K41+I41-$C$7),IF((C41-J41)+K41+I41&lt;=0,IF(AND(C41&gt;0,C41&lt;&gt;""),0,""),(C41-J41)+K41+I41)))</f>
        <v>0</v>
      </c>
      <c r="D42" s="79">
        <f t="shared" si="7"/>
        <v>11</v>
      </c>
      <c r="E42" s="79">
        <f t="shared" si="11"/>
        <v>0</v>
      </c>
      <c r="F42" s="80" t="str">
        <f t="shared" ref="F42:F43" ca="1" si="14">IF(TODAY() &lt;B41," ",IF(J41="","",IF(G41+F41+H41+I41-J41&lt;0,0,G41+F41+H41+I41-J41)))</f>
        <v xml:space="preserve"> </v>
      </c>
      <c r="G42" s="118"/>
      <c r="H42" s="118"/>
      <c r="I42" s="82"/>
      <c r="J42" s="126"/>
      <c r="K42" s="84"/>
      <c r="L42" s="86"/>
    </row>
    <row r="43" spans="1:12" ht="15.75" customHeight="1" x14ac:dyDescent="0.25">
      <c r="A43" s="73"/>
      <c r="B43" s="66">
        <f t="shared" si="4"/>
        <v>46132</v>
      </c>
      <c r="C43" s="85" t="str">
        <f t="shared" si="13"/>
        <v/>
      </c>
      <c r="D43" s="79">
        <f t="shared" si="7"/>
        <v>10</v>
      </c>
      <c r="E43" s="79" t="str">
        <f t="shared" ref="E43:E45" si="15">IF(OR(E42="",E42=0),"",IF(ISBLANK($J42),IF(E42-$K42+$I42-$C$9&lt;=0,IF(AND(E42&gt;0,E42&lt;&gt;""),0,""),E42-$K42+$I42-$C$9),IF((E42-$J42)-$K42+$I42&lt;=0,IF(AND(E42&gt;0,E42&lt;&gt;""),0,""),(E42-$J42)-$K42+$I42)))</f>
        <v/>
      </c>
      <c r="F43" s="80" t="str">
        <f t="shared" ca="1" si="14"/>
        <v xml:space="preserve"> </v>
      </c>
      <c r="G43" s="118"/>
      <c r="H43" s="118"/>
      <c r="I43" s="82"/>
      <c r="J43" s="126"/>
      <c r="K43" s="84"/>
      <c r="L43" s="86"/>
    </row>
    <row r="44" spans="1:12" ht="15.75" customHeight="1" x14ac:dyDescent="0.25">
      <c r="A44" s="73"/>
      <c r="B44" s="66">
        <f t="shared" si="4"/>
        <v>46139</v>
      </c>
      <c r="C44" s="85" t="str">
        <f t="shared" si="13"/>
        <v/>
      </c>
      <c r="D44" s="79">
        <f t="shared" si="7"/>
        <v>9</v>
      </c>
      <c r="E44" s="79" t="str">
        <f t="shared" si="15"/>
        <v/>
      </c>
      <c r="F44" s="80" t="str">
        <f t="shared" si="12"/>
        <v/>
      </c>
      <c r="G44" s="118"/>
      <c r="H44" s="118"/>
      <c r="I44" s="82"/>
      <c r="J44" s="126"/>
      <c r="K44" s="84"/>
      <c r="L44" s="86"/>
    </row>
    <row r="45" spans="1:12" ht="15.75" customHeight="1" x14ac:dyDescent="0.25">
      <c r="A45" s="73"/>
      <c r="B45" s="66">
        <f t="shared" si="4"/>
        <v>46146</v>
      </c>
      <c r="C45" s="85" t="str">
        <f t="shared" si="13"/>
        <v/>
      </c>
      <c r="D45" s="79">
        <f t="shared" si="7"/>
        <v>8</v>
      </c>
      <c r="E45" s="79" t="str">
        <f t="shared" si="15"/>
        <v/>
      </c>
      <c r="F45" s="80" t="str">
        <f t="shared" si="12"/>
        <v/>
      </c>
      <c r="G45" s="81"/>
      <c r="H45" s="81"/>
      <c r="I45" s="82"/>
      <c r="J45" s="83"/>
      <c r="K45" s="84"/>
      <c r="L45" s="86"/>
    </row>
    <row r="46" spans="1:12" ht="15.75" customHeight="1" x14ac:dyDescent="0.25">
      <c r="A46" s="73"/>
      <c r="B46" s="66">
        <f t="shared" si="4"/>
        <v>46153</v>
      </c>
      <c r="C46" s="85" t="str">
        <f t="shared" si="13"/>
        <v/>
      </c>
      <c r="D46" s="79">
        <f t="shared" si="7"/>
        <v>7</v>
      </c>
      <c r="E46" s="85" t="str">
        <f t="shared" ref="E46:E68" si="16">IF(OR(E45="",E45=0),"",IF(ISBLANK($J45),IF(E45+$K45+$I45-$C$9&lt;=0,IF(AND(E45&gt;0,E45&lt;&gt;""),0,""),E45+$K45+$I45-$C$9),IF((E45-$J45)+$K45+$I45&lt;=0,IF(AND(E45&gt;0,E45&lt;&gt;""),0,""),(E45-$J45)+$K45+$I45)))</f>
        <v/>
      </c>
      <c r="F46" s="80" t="str">
        <f t="shared" si="12"/>
        <v/>
      </c>
      <c r="G46" s="81"/>
      <c r="H46" s="81"/>
      <c r="I46" s="82"/>
      <c r="J46" s="83"/>
      <c r="K46" s="84"/>
      <c r="L46" s="86"/>
    </row>
    <row r="47" spans="1:12" ht="15.75" customHeight="1" x14ac:dyDescent="0.25">
      <c r="A47" s="73"/>
      <c r="B47" s="66">
        <f t="shared" si="4"/>
        <v>46160</v>
      </c>
      <c r="C47" s="85" t="str">
        <f t="shared" si="13"/>
        <v/>
      </c>
      <c r="D47" s="79">
        <f t="shared" si="7"/>
        <v>6</v>
      </c>
      <c r="E47" s="85" t="str">
        <f t="shared" si="16"/>
        <v/>
      </c>
      <c r="F47" s="80" t="str">
        <f t="shared" si="12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/>
      <c r="B48" s="66">
        <f t="shared" si="4"/>
        <v>46167</v>
      </c>
      <c r="C48" s="85" t="str">
        <f t="shared" si="13"/>
        <v/>
      </c>
      <c r="D48" s="85">
        <f t="shared" ref="D48:D68" si="17">IF(OR(D47="",D47=0),"",IF(ISBLANK($J47),IF(D47+$K47+$I47-$C$8&lt;=0,IF(AND(D47&gt;0,D47&lt;&gt;""),0,""),D47+$K47+$I47-$C$8),IF((D47-$J47)+$K47+$I47&lt;=0,IF(AND(D47&gt;0,D47&lt;&gt;""),0,""),(D47-$J47)+$K47+$I47)))</f>
        <v>5</v>
      </c>
      <c r="E48" s="85" t="str">
        <f t="shared" si="16"/>
        <v/>
      </c>
      <c r="F48" s="80" t="str">
        <f t="shared" si="12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4"/>
        <v>46174</v>
      </c>
      <c r="C49" s="85" t="str">
        <f t="shared" si="13"/>
        <v/>
      </c>
      <c r="D49" s="85">
        <f t="shared" si="17"/>
        <v>4</v>
      </c>
      <c r="E49" s="85" t="str">
        <f t="shared" si="16"/>
        <v/>
      </c>
      <c r="F49" s="80" t="str">
        <f t="shared" si="12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4"/>
        <v>46181</v>
      </c>
      <c r="C50" s="85" t="str">
        <f t="shared" si="13"/>
        <v/>
      </c>
      <c r="D50" s="85">
        <f t="shared" si="17"/>
        <v>3</v>
      </c>
      <c r="E50" s="85" t="str">
        <f t="shared" si="16"/>
        <v/>
      </c>
      <c r="F50" s="80" t="str">
        <f t="shared" si="12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4"/>
        <v>46188</v>
      </c>
      <c r="C51" s="85" t="str">
        <f t="shared" si="13"/>
        <v/>
      </c>
      <c r="D51" s="85">
        <f t="shared" si="17"/>
        <v>2</v>
      </c>
      <c r="E51" s="85" t="str">
        <f t="shared" si="16"/>
        <v/>
      </c>
      <c r="F51" s="80" t="str">
        <f t="shared" si="12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4"/>
        <v>46195</v>
      </c>
      <c r="C52" s="85" t="str">
        <f t="shared" si="13"/>
        <v/>
      </c>
      <c r="D52" s="85">
        <f t="shared" si="17"/>
        <v>1</v>
      </c>
      <c r="E52" s="85" t="str">
        <f t="shared" si="16"/>
        <v/>
      </c>
      <c r="F52" s="80" t="str">
        <f t="shared" si="12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4"/>
        <v>46202</v>
      </c>
      <c r="C53" s="85" t="str">
        <f t="shared" si="13"/>
        <v/>
      </c>
      <c r="D53" s="85">
        <f t="shared" si="17"/>
        <v>0</v>
      </c>
      <c r="E53" s="85" t="str">
        <f t="shared" si="16"/>
        <v/>
      </c>
      <c r="F53" s="80" t="str">
        <f t="shared" si="12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4"/>
        <v>46209</v>
      </c>
      <c r="C54" s="85" t="str">
        <f t="shared" si="13"/>
        <v/>
      </c>
      <c r="D54" s="85" t="str">
        <f t="shared" si="17"/>
        <v/>
      </c>
      <c r="E54" s="85" t="str">
        <f t="shared" si="16"/>
        <v/>
      </c>
      <c r="F54" s="80" t="str">
        <f t="shared" si="12"/>
        <v/>
      </c>
      <c r="G54" s="81"/>
      <c r="H54" s="81"/>
      <c r="I54" s="82"/>
      <c r="J54" s="83"/>
      <c r="K54" s="84"/>
      <c r="L54" s="86"/>
    </row>
    <row r="55" spans="1:12" ht="15.75" customHeight="1" x14ac:dyDescent="0.25">
      <c r="A55" s="73"/>
      <c r="B55" s="66">
        <f t="shared" si="4"/>
        <v>46216</v>
      </c>
      <c r="C55" s="85" t="str">
        <f t="shared" si="13"/>
        <v/>
      </c>
      <c r="D55" s="85" t="str">
        <f t="shared" si="17"/>
        <v/>
      </c>
      <c r="E55" s="85" t="str">
        <f t="shared" si="16"/>
        <v/>
      </c>
      <c r="F55" s="80" t="str">
        <f t="shared" si="12"/>
        <v/>
      </c>
      <c r="G55" s="81"/>
      <c r="H55" s="81"/>
      <c r="I55" s="82"/>
      <c r="J55" s="83"/>
      <c r="K55" s="84"/>
      <c r="L55" s="86"/>
    </row>
    <row r="56" spans="1:12" ht="15" customHeight="1" x14ac:dyDescent="0.25">
      <c r="A56" s="73"/>
      <c r="B56" s="66">
        <f t="shared" si="4"/>
        <v>46223</v>
      </c>
      <c r="C56" s="85" t="str">
        <f t="shared" si="13"/>
        <v/>
      </c>
      <c r="D56" s="85" t="str">
        <f t="shared" si="17"/>
        <v/>
      </c>
      <c r="E56" s="85" t="str">
        <f t="shared" si="16"/>
        <v/>
      </c>
      <c r="F56" s="80" t="str">
        <f t="shared" si="12"/>
        <v/>
      </c>
      <c r="G56" s="81"/>
      <c r="H56" s="81"/>
      <c r="I56" s="82"/>
      <c r="J56" s="83"/>
      <c r="K56" s="84"/>
      <c r="L56" s="86"/>
    </row>
    <row r="57" spans="1:12" ht="15" customHeight="1" x14ac:dyDescent="0.25">
      <c r="A57" s="73"/>
      <c r="B57" s="66">
        <f t="shared" si="4"/>
        <v>46230</v>
      </c>
      <c r="C57" s="85" t="str">
        <f t="shared" si="13"/>
        <v/>
      </c>
      <c r="D57" s="85" t="str">
        <f t="shared" si="17"/>
        <v/>
      </c>
      <c r="E57" s="85" t="str">
        <f t="shared" si="16"/>
        <v/>
      </c>
      <c r="F57" s="80" t="str">
        <f t="shared" si="12"/>
        <v/>
      </c>
      <c r="G57" s="81"/>
      <c r="H57" s="81"/>
      <c r="I57" s="82"/>
      <c r="J57" s="83"/>
      <c r="K57" s="84"/>
      <c r="L57" s="86"/>
    </row>
    <row r="58" spans="1:12" ht="15" customHeight="1" x14ac:dyDescent="0.25">
      <c r="A58" s="73"/>
      <c r="B58" s="66">
        <f t="shared" si="4"/>
        <v>46237</v>
      </c>
      <c r="C58" s="85" t="str">
        <f t="shared" si="13"/>
        <v/>
      </c>
      <c r="D58" s="85" t="str">
        <f t="shared" si="17"/>
        <v/>
      </c>
      <c r="E58" s="85" t="str">
        <f t="shared" si="16"/>
        <v/>
      </c>
      <c r="F58" s="80" t="str">
        <f t="shared" si="12"/>
        <v/>
      </c>
      <c r="G58" s="81"/>
      <c r="H58" s="81"/>
      <c r="I58" s="82"/>
      <c r="J58" s="83"/>
      <c r="K58" s="84"/>
      <c r="L58" s="86"/>
    </row>
    <row r="59" spans="1:12" ht="15" customHeight="1" x14ac:dyDescent="0.25">
      <c r="A59" s="73"/>
      <c r="B59" s="66">
        <f t="shared" si="4"/>
        <v>46244</v>
      </c>
      <c r="C59" s="85" t="str">
        <f t="shared" si="13"/>
        <v/>
      </c>
      <c r="D59" s="85" t="str">
        <f t="shared" si="17"/>
        <v/>
      </c>
      <c r="E59" s="85" t="str">
        <f t="shared" si="16"/>
        <v/>
      </c>
      <c r="F59" s="80" t="str">
        <f t="shared" si="12"/>
        <v/>
      </c>
      <c r="G59" s="81"/>
      <c r="H59" s="81"/>
      <c r="I59" s="82"/>
      <c r="J59" s="83"/>
      <c r="K59" s="84"/>
      <c r="L59" s="86"/>
    </row>
    <row r="60" spans="1:12" ht="15" customHeight="1" x14ac:dyDescent="0.25">
      <c r="A60" s="73"/>
      <c r="B60" s="66">
        <f t="shared" si="4"/>
        <v>46251</v>
      </c>
      <c r="C60" s="85" t="str">
        <f t="shared" si="13"/>
        <v/>
      </c>
      <c r="D60" s="85" t="str">
        <f t="shared" si="17"/>
        <v/>
      </c>
      <c r="E60" s="85" t="str">
        <f t="shared" si="16"/>
        <v/>
      </c>
      <c r="F60" s="80" t="str">
        <f t="shared" si="12"/>
        <v/>
      </c>
      <c r="G60" s="81"/>
      <c r="H60" s="81"/>
      <c r="I60" s="82"/>
      <c r="J60" s="83"/>
      <c r="K60" s="84"/>
      <c r="L60" s="86"/>
    </row>
    <row r="61" spans="1:12" ht="15" customHeight="1" x14ac:dyDescent="0.25">
      <c r="A61" s="73"/>
      <c r="B61" s="66">
        <f t="shared" si="4"/>
        <v>46258</v>
      </c>
      <c r="C61" s="85" t="str">
        <f t="shared" si="13"/>
        <v/>
      </c>
      <c r="D61" s="85" t="str">
        <f t="shared" si="17"/>
        <v/>
      </c>
      <c r="E61" s="85" t="str">
        <f t="shared" si="16"/>
        <v/>
      </c>
      <c r="F61" s="80" t="str">
        <f t="shared" si="12"/>
        <v/>
      </c>
      <c r="G61" s="81"/>
      <c r="H61" s="81"/>
      <c r="I61" s="82"/>
      <c r="J61" s="83"/>
      <c r="K61" s="84"/>
      <c r="L61" s="86"/>
    </row>
    <row r="62" spans="1:12" ht="15" customHeight="1" x14ac:dyDescent="0.25">
      <c r="A62" s="73"/>
      <c r="B62" s="66">
        <f t="shared" si="4"/>
        <v>46265</v>
      </c>
      <c r="C62" s="85" t="str">
        <f t="shared" si="13"/>
        <v/>
      </c>
      <c r="D62" s="85" t="str">
        <f t="shared" si="17"/>
        <v/>
      </c>
      <c r="E62" s="85" t="str">
        <f t="shared" si="16"/>
        <v/>
      </c>
      <c r="F62" s="80" t="str">
        <f t="shared" si="12"/>
        <v/>
      </c>
      <c r="G62" s="81"/>
      <c r="H62" s="81"/>
      <c r="I62" s="82"/>
      <c r="J62" s="83"/>
      <c r="K62" s="84"/>
      <c r="L62" s="86"/>
    </row>
    <row r="63" spans="1:12" ht="15" customHeight="1" x14ac:dyDescent="0.25">
      <c r="A63" s="73"/>
      <c r="B63" s="66">
        <f t="shared" si="4"/>
        <v>46272</v>
      </c>
      <c r="C63" s="85" t="str">
        <f t="shared" si="13"/>
        <v/>
      </c>
      <c r="D63" s="85" t="str">
        <f t="shared" si="17"/>
        <v/>
      </c>
      <c r="E63" s="85" t="str">
        <f t="shared" si="16"/>
        <v/>
      </c>
      <c r="F63" s="80" t="str">
        <f t="shared" si="12"/>
        <v/>
      </c>
      <c r="G63" s="81"/>
      <c r="H63" s="81"/>
      <c r="I63" s="82"/>
      <c r="J63" s="83"/>
      <c r="K63" s="84"/>
      <c r="L63" s="86"/>
    </row>
    <row r="64" spans="1:12" ht="15" customHeight="1" x14ac:dyDescent="0.25">
      <c r="A64" s="73"/>
      <c r="B64" s="66">
        <f t="shared" si="4"/>
        <v>46279</v>
      </c>
      <c r="C64" s="85" t="str">
        <f t="shared" si="13"/>
        <v/>
      </c>
      <c r="D64" s="85" t="str">
        <f t="shared" si="17"/>
        <v/>
      </c>
      <c r="E64" s="85" t="str">
        <f t="shared" si="16"/>
        <v/>
      </c>
      <c r="F64" s="80" t="str">
        <f t="shared" si="12"/>
        <v/>
      </c>
      <c r="G64" s="81"/>
      <c r="H64" s="81"/>
      <c r="I64" s="82"/>
      <c r="J64" s="83"/>
      <c r="K64" s="84"/>
      <c r="L64" s="86"/>
    </row>
    <row r="65" spans="1:12" ht="15" customHeight="1" x14ac:dyDescent="0.25">
      <c r="A65" s="73"/>
      <c r="B65" s="66">
        <f t="shared" si="4"/>
        <v>46286</v>
      </c>
      <c r="C65" s="85" t="str">
        <f t="shared" si="13"/>
        <v/>
      </c>
      <c r="D65" s="85" t="str">
        <f t="shared" si="17"/>
        <v/>
      </c>
      <c r="E65" s="85" t="str">
        <f t="shared" si="16"/>
        <v/>
      </c>
      <c r="F65" s="80" t="str">
        <f t="shared" si="12"/>
        <v/>
      </c>
      <c r="G65" s="81"/>
      <c r="H65" s="81"/>
      <c r="I65" s="82"/>
      <c r="J65" s="83"/>
      <c r="K65" s="84"/>
      <c r="L65" s="86"/>
    </row>
    <row r="66" spans="1:12" ht="15" customHeight="1" x14ac:dyDescent="0.25">
      <c r="A66" s="73"/>
      <c r="B66" s="66">
        <f t="shared" si="4"/>
        <v>46293</v>
      </c>
      <c r="C66" s="85" t="str">
        <f t="shared" si="13"/>
        <v/>
      </c>
      <c r="D66" s="85" t="str">
        <f t="shared" si="17"/>
        <v/>
      </c>
      <c r="E66" s="85" t="str">
        <f t="shared" si="16"/>
        <v/>
      </c>
      <c r="F66" s="80" t="str">
        <f t="shared" si="12"/>
        <v/>
      </c>
      <c r="G66" s="81"/>
      <c r="H66" s="81"/>
      <c r="I66" s="82"/>
      <c r="J66" s="83"/>
      <c r="K66" s="84"/>
      <c r="L66" s="86"/>
    </row>
    <row r="67" spans="1:12" ht="15" customHeight="1" x14ac:dyDescent="0.25">
      <c r="A67" s="73"/>
      <c r="B67" s="66">
        <f t="shared" si="4"/>
        <v>46300</v>
      </c>
      <c r="C67" s="85" t="str">
        <f t="shared" si="13"/>
        <v/>
      </c>
      <c r="D67" s="85" t="str">
        <f t="shared" si="17"/>
        <v/>
      </c>
      <c r="E67" s="85" t="str">
        <f t="shared" si="16"/>
        <v/>
      </c>
      <c r="F67" s="80" t="str">
        <f t="shared" si="12"/>
        <v/>
      </c>
      <c r="G67" s="81"/>
      <c r="H67" s="81"/>
      <c r="I67" s="82"/>
      <c r="J67" s="83"/>
      <c r="K67" s="84"/>
      <c r="L67" s="86"/>
    </row>
    <row r="68" spans="1:12" ht="15" customHeight="1" x14ac:dyDescent="0.25">
      <c r="A68" s="73"/>
      <c r="B68" s="66">
        <f t="shared" si="4"/>
        <v>46307</v>
      </c>
      <c r="C68" s="85" t="str">
        <f t="shared" si="13"/>
        <v/>
      </c>
      <c r="D68" s="85" t="str">
        <f t="shared" si="17"/>
        <v/>
      </c>
      <c r="E68" s="85" t="str">
        <f t="shared" si="16"/>
        <v/>
      </c>
      <c r="F68" s="80" t="str">
        <f t="shared" si="12"/>
        <v/>
      </c>
      <c r="G68" s="81"/>
      <c r="H68" s="81"/>
      <c r="I68" s="82"/>
      <c r="J68" s="83"/>
      <c r="K68" s="84"/>
      <c r="L68" s="86"/>
    </row>
    <row r="93" spans="2:3" ht="15.75" customHeight="1" x14ac:dyDescent="0.25">
      <c r="B93" s="67" t="e">
        <f>IF(#REF!="","",IF(#REF!+$C$10&lt;=$C$6,#REF!+$C$10,""))</f>
        <v>#REF!</v>
      </c>
      <c r="C93" s="76" t="e">
        <f>IF(B93&lt;&gt;"",#REF!-$C$2/COUNT($B$18:$B$511),"")</f>
        <v>#REF!</v>
      </c>
    </row>
    <row r="94" spans="2:3" ht="15.75" customHeight="1" x14ac:dyDescent="0.25">
      <c r="B94" s="67" t="e">
        <f t="shared" ref="B94:B157" si="18">IF(B93="","",IF(B93+$C$10&lt;=$C$6,B93+$C$10,""))</f>
        <v>#REF!</v>
      </c>
      <c r="C94" s="76" t="e">
        <f t="shared" ref="C94:C157" si="19">IF(B94&lt;&gt;"",C93-$C$2/COUNT($B$18:$B$511),"")</f>
        <v>#REF!</v>
      </c>
    </row>
    <row r="95" spans="2:3" ht="15.75" customHeight="1" x14ac:dyDescent="0.25">
      <c r="B95" s="67" t="e">
        <f t="shared" si="18"/>
        <v>#REF!</v>
      </c>
      <c r="C95" s="76" t="e">
        <f t="shared" si="19"/>
        <v>#REF!</v>
      </c>
    </row>
    <row r="96" spans="2:3" ht="15.75" customHeight="1" x14ac:dyDescent="0.25">
      <c r="B96" s="67" t="e">
        <f t="shared" si="18"/>
        <v>#REF!</v>
      </c>
      <c r="C96" s="76" t="e">
        <f t="shared" si="19"/>
        <v>#REF!</v>
      </c>
    </row>
    <row r="97" spans="2:3" ht="15.75" customHeight="1" x14ac:dyDescent="0.25">
      <c r="B97" s="67" t="e">
        <f t="shared" si="18"/>
        <v>#REF!</v>
      </c>
      <c r="C97" s="76" t="e">
        <f t="shared" si="19"/>
        <v>#REF!</v>
      </c>
    </row>
    <row r="98" spans="2:3" ht="15.75" customHeight="1" x14ac:dyDescent="0.25">
      <c r="B98" s="67" t="e">
        <f t="shared" si="18"/>
        <v>#REF!</v>
      </c>
      <c r="C98" s="76" t="e">
        <f t="shared" si="19"/>
        <v>#REF!</v>
      </c>
    </row>
    <row r="99" spans="2:3" ht="15.75" customHeight="1" x14ac:dyDescent="0.25">
      <c r="B99" s="67" t="e">
        <f t="shared" si="18"/>
        <v>#REF!</v>
      </c>
      <c r="C99" s="76" t="e">
        <f t="shared" si="19"/>
        <v>#REF!</v>
      </c>
    </row>
    <row r="100" spans="2:3" ht="15.75" customHeight="1" x14ac:dyDescent="0.25">
      <c r="B100" s="67" t="e">
        <f t="shared" si="18"/>
        <v>#REF!</v>
      </c>
      <c r="C100" s="76" t="e">
        <f t="shared" si="19"/>
        <v>#REF!</v>
      </c>
    </row>
    <row r="101" spans="2:3" ht="15.75" customHeight="1" x14ac:dyDescent="0.25">
      <c r="B101" s="67" t="e">
        <f t="shared" si="18"/>
        <v>#REF!</v>
      </c>
      <c r="C101" s="76" t="e">
        <f t="shared" si="19"/>
        <v>#REF!</v>
      </c>
    </row>
    <row r="102" spans="2:3" ht="15.75" customHeight="1" x14ac:dyDescent="0.25">
      <c r="B102" s="67" t="e">
        <f t="shared" si="18"/>
        <v>#REF!</v>
      </c>
      <c r="C102" s="76" t="e">
        <f t="shared" si="19"/>
        <v>#REF!</v>
      </c>
    </row>
    <row r="103" spans="2:3" ht="15.75" customHeight="1" x14ac:dyDescent="0.25">
      <c r="B103" s="67" t="e">
        <f t="shared" si="18"/>
        <v>#REF!</v>
      </c>
      <c r="C103" s="76" t="e">
        <f t="shared" si="19"/>
        <v>#REF!</v>
      </c>
    </row>
    <row r="104" spans="2:3" ht="15.75" customHeight="1" x14ac:dyDescent="0.25">
      <c r="B104" s="67" t="e">
        <f t="shared" si="18"/>
        <v>#REF!</v>
      </c>
      <c r="C104" s="76" t="e">
        <f t="shared" si="19"/>
        <v>#REF!</v>
      </c>
    </row>
    <row r="105" spans="2:3" ht="15.75" customHeight="1" x14ac:dyDescent="0.25">
      <c r="B105" s="67" t="e">
        <f t="shared" si="18"/>
        <v>#REF!</v>
      </c>
      <c r="C105" s="76" t="e">
        <f t="shared" si="19"/>
        <v>#REF!</v>
      </c>
    </row>
    <row r="106" spans="2:3" ht="15.75" customHeight="1" x14ac:dyDescent="0.25">
      <c r="B106" s="67" t="e">
        <f t="shared" si="18"/>
        <v>#REF!</v>
      </c>
      <c r="C106" s="76" t="e">
        <f t="shared" si="19"/>
        <v>#REF!</v>
      </c>
    </row>
    <row r="107" spans="2:3" ht="15.75" customHeight="1" x14ac:dyDescent="0.25">
      <c r="B107" s="67" t="e">
        <f t="shared" si="18"/>
        <v>#REF!</v>
      </c>
      <c r="C107" s="76" t="e">
        <f t="shared" si="19"/>
        <v>#REF!</v>
      </c>
    </row>
    <row r="108" spans="2:3" ht="15.75" customHeight="1" x14ac:dyDescent="0.25">
      <c r="B108" s="67" t="e">
        <f t="shared" si="18"/>
        <v>#REF!</v>
      </c>
      <c r="C108" s="76" t="e">
        <f t="shared" si="19"/>
        <v>#REF!</v>
      </c>
    </row>
    <row r="109" spans="2:3" ht="15.75" customHeight="1" x14ac:dyDescent="0.25">
      <c r="B109" s="67" t="e">
        <f t="shared" si="18"/>
        <v>#REF!</v>
      </c>
      <c r="C109" s="76" t="e">
        <f t="shared" si="19"/>
        <v>#REF!</v>
      </c>
    </row>
    <row r="110" spans="2:3" ht="15.75" customHeight="1" x14ac:dyDescent="0.25">
      <c r="B110" s="67" t="e">
        <f t="shared" si="18"/>
        <v>#REF!</v>
      </c>
      <c r="C110" s="76" t="e">
        <f t="shared" si="19"/>
        <v>#REF!</v>
      </c>
    </row>
    <row r="111" spans="2:3" ht="15.75" customHeight="1" x14ac:dyDescent="0.25">
      <c r="B111" s="67" t="e">
        <f t="shared" si="18"/>
        <v>#REF!</v>
      </c>
      <c r="C111" s="76" t="e">
        <f t="shared" si="19"/>
        <v>#REF!</v>
      </c>
    </row>
    <row r="112" spans="2:3" ht="15.75" customHeight="1" x14ac:dyDescent="0.25">
      <c r="B112" s="67" t="e">
        <f t="shared" si="18"/>
        <v>#REF!</v>
      </c>
      <c r="C112" s="76" t="e">
        <f t="shared" si="19"/>
        <v>#REF!</v>
      </c>
    </row>
    <row r="113" spans="2:3" ht="15.75" customHeight="1" x14ac:dyDescent="0.25">
      <c r="B113" s="67" t="e">
        <f t="shared" si="18"/>
        <v>#REF!</v>
      </c>
      <c r="C113" s="76" t="e">
        <f t="shared" si="19"/>
        <v>#REF!</v>
      </c>
    </row>
    <row r="114" spans="2:3" ht="15.75" customHeight="1" x14ac:dyDescent="0.25">
      <c r="B114" s="67" t="e">
        <f t="shared" si="18"/>
        <v>#REF!</v>
      </c>
      <c r="C114" s="76" t="e">
        <f t="shared" si="19"/>
        <v>#REF!</v>
      </c>
    </row>
    <row r="115" spans="2:3" ht="15.75" customHeight="1" x14ac:dyDescent="0.25">
      <c r="B115" s="67" t="e">
        <f t="shared" si="18"/>
        <v>#REF!</v>
      </c>
      <c r="C115" s="76" t="e">
        <f t="shared" si="19"/>
        <v>#REF!</v>
      </c>
    </row>
    <row r="116" spans="2:3" ht="15.75" customHeight="1" x14ac:dyDescent="0.25">
      <c r="B116" s="67" t="e">
        <f t="shared" si="18"/>
        <v>#REF!</v>
      </c>
      <c r="C116" s="76" t="e">
        <f t="shared" si="19"/>
        <v>#REF!</v>
      </c>
    </row>
    <row r="117" spans="2:3" ht="15.75" customHeight="1" x14ac:dyDescent="0.25">
      <c r="B117" s="67" t="e">
        <f t="shared" si="18"/>
        <v>#REF!</v>
      </c>
      <c r="C117" s="76" t="e">
        <f t="shared" si="19"/>
        <v>#REF!</v>
      </c>
    </row>
    <row r="118" spans="2:3" ht="15.75" customHeight="1" x14ac:dyDescent="0.25">
      <c r="B118" s="67" t="e">
        <f t="shared" si="18"/>
        <v>#REF!</v>
      </c>
      <c r="C118" s="76" t="e">
        <f t="shared" si="19"/>
        <v>#REF!</v>
      </c>
    </row>
    <row r="119" spans="2:3" ht="15.75" customHeight="1" x14ac:dyDescent="0.25">
      <c r="B119" s="67" t="e">
        <f t="shared" si="18"/>
        <v>#REF!</v>
      </c>
      <c r="C119" s="76" t="e">
        <f t="shared" si="19"/>
        <v>#REF!</v>
      </c>
    </row>
    <row r="120" spans="2:3" ht="15.75" customHeight="1" x14ac:dyDescent="0.25">
      <c r="B120" s="67" t="e">
        <f t="shared" si="18"/>
        <v>#REF!</v>
      </c>
      <c r="C120" s="76" t="e">
        <f t="shared" si="19"/>
        <v>#REF!</v>
      </c>
    </row>
    <row r="121" spans="2:3" ht="15.75" customHeight="1" x14ac:dyDescent="0.25">
      <c r="B121" s="67" t="e">
        <f t="shared" si="18"/>
        <v>#REF!</v>
      </c>
      <c r="C121" s="76" t="e">
        <f t="shared" si="19"/>
        <v>#REF!</v>
      </c>
    </row>
    <row r="122" spans="2:3" ht="15.75" customHeight="1" x14ac:dyDescent="0.25">
      <c r="B122" s="67" t="e">
        <f t="shared" si="18"/>
        <v>#REF!</v>
      </c>
      <c r="C122" s="76" t="e">
        <f t="shared" si="19"/>
        <v>#REF!</v>
      </c>
    </row>
    <row r="123" spans="2:3" ht="15.75" customHeight="1" x14ac:dyDescent="0.25">
      <c r="B123" s="67" t="e">
        <f t="shared" si="18"/>
        <v>#REF!</v>
      </c>
      <c r="C123" s="76" t="e">
        <f t="shared" si="19"/>
        <v>#REF!</v>
      </c>
    </row>
    <row r="124" spans="2:3" ht="15.75" customHeight="1" x14ac:dyDescent="0.25">
      <c r="B124" s="67" t="e">
        <f t="shared" si="18"/>
        <v>#REF!</v>
      </c>
      <c r="C124" s="76" t="e">
        <f t="shared" si="19"/>
        <v>#REF!</v>
      </c>
    </row>
    <row r="125" spans="2:3" ht="15.75" customHeight="1" x14ac:dyDescent="0.25">
      <c r="B125" s="67" t="e">
        <f t="shared" si="18"/>
        <v>#REF!</v>
      </c>
      <c r="C125" s="76" t="e">
        <f t="shared" si="19"/>
        <v>#REF!</v>
      </c>
    </row>
    <row r="126" spans="2:3" ht="15.75" customHeight="1" x14ac:dyDescent="0.25">
      <c r="B126" s="67" t="e">
        <f t="shared" si="18"/>
        <v>#REF!</v>
      </c>
      <c r="C126" s="76" t="e">
        <f t="shared" si="19"/>
        <v>#REF!</v>
      </c>
    </row>
    <row r="127" spans="2:3" ht="15.75" customHeight="1" x14ac:dyDescent="0.25">
      <c r="B127" s="67" t="e">
        <f t="shared" si="18"/>
        <v>#REF!</v>
      </c>
      <c r="C127" s="76" t="e">
        <f t="shared" si="19"/>
        <v>#REF!</v>
      </c>
    </row>
    <row r="128" spans="2:3" ht="15.75" customHeight="1" x14ac:dyDescent="0.25">
      <c r="B128" s="67" t="e">
        <f t="shared" si="18"/>
        <v>#REF!</v>
      </c>
      <c r="C128" s="76" t="e">
        <f t="shared" si="19"/>
        <v>#REF!</v>
      </c>
    </row>
    <row r="129" spans="2:3" ht="15.75" customHeight="1" x14ac:dyDescent="0.25">
      <c r="B129" s="67" t="e">
        <f t="shared" si="18"/>
        <v>#REF!</v>
      </c>
      <c r="C129" s="76" t="e">
        <f t="shared" si="19"/>
        <v>#REF!</v>
      </c>
    </row>
    <row r="130" spans="2:3" ht="15.75" customHeight="1" x14ac:dyDescent="0.25">
      <c r="B130" s="67" t="e">
        <f t="shared" si="18"/>
        <v>#REF!</v>
      </c>
      <c r="C130" s="76" t="e">
        <f t="shared" si="19"/>
        <v>#REF!</v>
      </c>
    </row>
    <row r="131" spans="2:3" ht="15.75" customHeight="1" x14ac:dyDescent="0.25">
      <c r="B131" s="67" t="e">
        <f t="shared" si="18"/>
        <v>#REF!</v>
      </c>
      <c r="C131" s="76" t="e">
        <f t="shared" si="19"/>
        <v>#REF!</v>
      </c>
    </row>
    <row r="132" spans="2:3" ht="15.75" customHeight="1" x14ac:dyDescent="0.25">
      <c r="B132" s="67" t="e">
        <f t="shared" si="18"/>
        <v>#REF!</v>
      </c>
      <c r="C132" s="76" t="e">
        <f t="shared" si="19"/>
        <v>#REF!</v>
      </c>
    </row>
    <row r="133" spans="2:3" ht="15.75" customHeight="1" x14ac:dyDescent="0.25">
      <c r="B133" s="67" t="e">
        <f t="shared" si="18"/>
        <v>#REF!</v>
      </c>
      <c r="C133" s="76" t="e">
        <f t="shared" si="19"/>
        <v>#REF!</v>
      </c>
    </row>
    <row r="134" spans="2:3" ht="15.75" customHeight="1" x14ac:dyDescent="0.25">
      <c r="B134" s="67" t="e">
        <f t="shared" si="18"/>
        <v>#REF!</v>
      </c>
      <c r="C134" s="76" t="e">
        <f t="shared" si="19"/>
        <v>#REF!</v>
      </c>
    </row>
    <row r="135" spans="2:3" ht="15.75" customHeight="1" x14ac:dyDescent="0.25">
      <c r="B135" s="67" t="e">
        <f t="shared" si="18"/>
        <v>#REF!</v>
      </c>
      <c r="C135" s="76" t="e">
        <f t="shared" si="19"/>
        <v>#REF!</v>
      </c>
    </row>
    <row r="136" spans="2:3" ht="15.75" customHeight="1" x14ac:dyDescent="0.25">
      <c r="B136" s="67" t="e">
        <f t="shared" si="18"/>
        <v>#REF!</v>
      </c>
      <c r="C136" s="76" t="e">
        <f t="shared" si="19"/>
        <v>#REF!</v>
      </c>
    </row>
    <row r="137" spans="2:3" ht="15.75" customHeight="1" x14ac:dyDescent="0.25">
      <c r="B137" s="67" t="e">
        <f t="shared" si="18"/>
        <v>#REF!</v>
      </c>
      <c r="C137" s="76" t="e">
        <f t="shared" si="19"/>
        <v>#REF!</v>
      </c>
    </row>
    <row r="138" spans="2:3" ht="15.75" customHeight="1" x14ac:dyDescent="0.25">
      <c r="B138" s="67" t="e">
        <f t="shared" si="18"/>
        <v>#REF!</v>
      </c>
      <c r="C138" s="76" t="e">
        <f t="shared" si="19"/>
        <v>#REF!</v>
      </c>
    </row>
    <row r="139" spans="2:3" ht="15.75" customHeight="1" x14ac:dyDescent="0.25">
      <c r="B139" s="67" t="e">
        <f t="shared" si="18"/>
        <v>#REF!</v>
      </c>
      <c r="C139" s="76" t="e">
        <f t="shared" si="19"/>
        <v>#REF!</v>
      </c>
    </row>
    <row r="140" spans="2:3" ht="15.75" customHeight="1" x14ac:dyDescent="0.25">
      <c r="B140" s="67" t="e">
        <f t="shared" si="18"/>
        <v>#REF!</v>
      </c>
      <c r="C140" s="76" t="e">
        <f t="shared" si="19"/>
        <v>#REF!</v>
      </c>
    </row>
    <row r="141" spans="2:3" ht="15.75" customHeight="1" x14ac:dyDescent="0.25">
      <c r="B141" s="67" t="e">
        <f t="shared" si="18"/>
        <v>#REF!</v>
      </c>
      <c r="C141" s="76" t="e">
        <f t="shared" si="19"/>
        <v>#REF!</v>
      </c>
    </row>
    <row r="142" spans="2:3" ht="15.75" customHeight="1" x14ac:dyDescent="0.25">
      <c r="B142" s="67" t="e">
        <f t="shared" si="18"/>
        <v>#REF!</v>
      </c>
      <c r="C142" s="76" t="e">
        <f t="shared" si="19"/>
        <v>#REF!</v>
      </c>
    </row>
    <row r="143" spans="2:3" ht="15.75" customHeight="1" x14ac:dyDescent="0.25">
      <c r="B143" s="67" t="e">
        <f t="shared" si="18"/>
        <v>#REF!</v>
      </c>
      <c r="C143" s="76" t="e">
        <f t="shared" si="19"/>
        <v>#REF!</v>
      </c>
    </row>
    <row r="144" spans="2:3" ht="15.75" customHeight="1" x14ac:dyDescent="0.25">
      <c r="B144" s="67" t="e">
        <f t="shared" si="18"/>
        <v>#REF!</v>
      </c>
      <c r="C144" s="76" t="e">
        <f t="shared" si="19"/>
        <v>#REF!</v>
      </c>
    </row>
    <row r="145" spans="2:3" ht="15.75" customHeight="1" x14ac:dyDescent="0.25">
      <c r="B145" s="67" t="e">
        <f t="shared" si="18"/>
        <v>#REF!</v>
      </c>
      <c r="C145" s="76" t="e">
        <f t="shared" si="19"/>
        <v>#REF!</v>
      </c>
    </row>
    <row r="146" spans="2:3" ht="15.75" customHeight="1" x14ac:dyDescent="0.25">
      <c r="B146" s="67" t="e">
        <f t="shared" si="18"/>
        <v>#REF!</v>
      </c>
      <c r="C146" s="76" t="e">
        <f t="shared" si="19"/>
        <v>#REF!</v>
      </c>
    </row>
    <row r="147" spans="2:3" ht="15.75" customHeight="1" x14ac:dyDescent="0.25">
      <c r="B147" s="67" t="e">
        <f t="shared" si="18"/>
        <v>#REF!</v>
      </c>
      <c r="C147" s="76" t="e">
        <f t="shared" si="19"/>
        <v>#REF!</v>
      </c>
    </row>
    <row r="148" spans="2:3" ht="15.75" customHeight="1" x14ac:dyDescent="0.25">
      <c r="B148" s="67" t="e">
        <f t="shared" si="18"/>
        <v>#REF!</v>
      </c>
      <c r="C148" s="76" t="e">
        <f t="shared" si="19"/>
        <v>#REF!</v>
      </c>
    </row>
    <row r="149" spans="2:3" ht="15.75" customHeight="1" x14ac:dyDescent="0.25">
      <c r="B149" s="67" t="e">
        <f t="shared" si="18"/>
        <v>#REF!</v>
      </c>
      <c r="C149" s="76" t="e">
        <f t="shared" si="19"/>
        <v>#REF!</v>
      </c>
    </row>
    <row r="150" spans="2:3" ht="15.75" customHeight="1" x14ac:dyDescent="0.25">
      <c r="B150" s="67" t="e">
        <f t="shared" si="18"/>
        <v>#REF!</v>
      </c>
      <c r="C150" s="76" t="e">
        <f t="shared" si="19"/>
        <v>#REF!</v>
      </c>
    </row>
    <row r="151" spans="2:3" ht="15.75" customHeight="1" x14ac:dyDescent="0.25">
      <c r="B151" s="67" t="e">
        <f t="shared" si="18"/>
        <v>#REF!</v>
      </c>
      <c r="C151" s="76" t="e">
        <f t="shared" si="19"/>
        <v>#REF!</v>
      </c>
    </row>
    <row r="152" spans="2:3" ht="15.75" customHeight="1" x14ac:dyDescent="0.25">
      <c r="B152" s="67" t="e">
        <f t="shared" si="18"/>
        <v>#REF!</v>
      </c>
      <c r="C152" s="76" t="e">
        <f t="shared" si="19"/>
        <v>#REF!</v>
      </c>
    </row>
    <row r="153" spans="2:3" ht="15.75" customHeight="1" x14ac:dyDescent="0.25">
      <c r="B153" s="67" t="e">
        <f t="shared" si="18"/>
        <v>#REF!</v>
      </c>
      <c r="C153" s="76" t="e">
        <f t="shared" si="19"/>
        <v>#REF!</v>
      </c>
    </row>
    <row r="154" spans="2:3" ht="15.75" customHeight="1" x14ac:dyDescent="0.25">
      <c r="B154" s="67" t="e">
        <f t="shared" si="18"/>
        <v>#REF!</v>
      </c>
      <c r="C154" s="76" t="e">
        <f t="shared" si="19"/>
        <v>#REF!</v>
      </c>
    </row>
    <row r="155" spans="2:3" ht="15.75" customHeight="1" x14ac:dyDescent="0.25">
      <c r="B155" s="67" t="e">
        <f t="shared" si="18"/>
        <v>#REF!</v>
      </c>
      <c r="C155" s="76" t="e">
        <f t="shared" si="19"/>
        <v>#REF!</v>
      </c>
    </row>
    <row r="156" spans="2:3" ht="15.75" customHeight="1" x14ac:dyDescent="0.25">
      <c r="B156" s="67" t="e">
        <f t="shared" si="18"/>
        <v>#REF!</v>
      </c>
      <c r="C156" s="76" t="e">
        <f t="shared" si="19"/>
        <v>#REF!</v>
      </c>
    </row>
    <row r="157" spans="2:3" ht="15.75" customHeight="1" x14ac:dyDescent="0.25">
      <c r="B157" s="67" t="e">
        <f t="shared" si="18"/>
        <v>#REF!</v>
      </c>
      <c r="C157" s="76" t="e">
        <f t="shared" si="19"/>
        <v>#REF!</v>
      </c>
    </row>
    <row r="158" spans="2:3" ht="15.75" customHeight="1" x14ac:dyDescent="0.25">
      <c r="B158" s="67" t="e">
        <f t="shared" ref="B158:B221" si="20">IF(B157="","",IF(B157+$C$10&lt;=$C$6,B157+$C$10,""))</f>
        <v>#REF!</v>
      </c>
      <c r="C158" s="76" t="e">
        <f t="shared" ref="C158:C221" si="21">IF(B158&lt;&gt;"",C157-$C$2/COUNT($B$18:$B$511),"")</f>
        <v>#REF!</v>
      </c>
    </row>
    <row r="159" spans="2:3" ht="15.75" customHeight="1" x14ac:dyDescent="0.25">
      <c r="B159" s="67" t="e">
        <f t="shared" si="20"/>
        <v>#REF!</v>
      </c>
      <c r="C159" s="76" t="e">
        <f t="shared" si="21"/>
        <v>#REF!</v>
      </c>
    </row>
    <row r="160" spans="2:3" ht="15.75" customHeight="1" x14ac:dyDescent="0.25">
      <c r="B160" s="67" t="e">
        <f t="shared" si="20"/>
        <v>#REF!</v>
      </c>
      <c r="C160" s="76" t="e">
        <f t="shared" si="21"/>
        <v>#REF!</v>
      </c>
    </row>
    <row r="161" spans="2:3" ht="15.75" customHeight="1" x14ac:dyDescent="0.25">
      <c r="B161" s="67" t="e">
        <f t="shared" si="20"/>
        <v>#REF!</v>
      </c>
      <c r="C161" s="76" t="e">
        <f t="shared" si="21"/>
        <v>#REF!</v>
      </c>
    </row>
    <row r="162" spans="2:3" ht="15.75" customHeight="1" x14ac:dyDescent="0.25">
      <c r="B162" s="67" t="e">
        <f t="shared" si="20"/>
        <v>#REF!</v>
      </c>
      <c r="C162" s="76" t="e">
        <f t="shared" si="21"/>
        <v>#REF!</v>
      </c>
    </row>
    <row r="163" spans="2:3" ht="15.75" customHeight="1" x14ac:dyDescent="0.25">
      <c r="B163" s="67" t="e">
        <f t="shared" si="20"/>
        <v>#REF!</v>
      </c>
      <c r="C163" s="76" t="e">
        <f t="shared" si="21"/>
        <v>#REF!</v>
      </c>
    </row>
    <row r="164" spans="2:3" ht="15.75" customHeight="1" x14ac:dyDescent="0.25">
      <c r="B164" s="67" t="e">
        <f t="shared" si="20"/>
        <v>#REF!</v>
      </c>
      <c r="C164" s="76" t="e">
        <f t="shared" si="21"/>
        <v>#REF!</v>
      </c>
    </row>
    <row r="165" spans="2:3" ht="15.75" customHeight="1" x14ac:dyDescent="0.25">
      <c r="B165" s="67" t="e">
        <f t="shared" si="20"/>
        <v>#REF!</v>
      </c>
      <c r="C165" s="76" t="e">
        <f t="shared" si="21"/>
        <v>#REF!</v>
      </c>
    </row>
    <row r="166" spans="2:3" ht="15.75" customHeight="1" x14ac:dyDescent="0.25">
      <c r="B166" s="67" t="e">
        <f t="shared" si="20"/>
        <v>#REF!</v>
      </c>
      <c r="C166" s="76" t="e">
        <f t="shared" si="21"/>
        <v>#REF!</v>
      </c>
    </row>
    <row r="167" spans="2:3" ht="15.75" customHeight="1" x14ac:dyDescent="0.25">
      <c r="B167" s="67" t="e">
        <f t="shared" si="20"/>
        <v>#REF!</v>
      </c>
      <c r="C167" s="76" t="e">
        <f t="shared" si="21"/>
        <v>#REF!</v>
      </c>
    </row>
    <row r="168" spans="2:3" ht="15.75" customHeight="1" x14ac:dyDescent="0.25">
      <c r="B168" s="67" t="e">
        <f t="shared" si="20"/>
        <v>#REF!</v>
      </c>
      <c r="C168" s="76" t="e">
        <f t="shared" si="21"/>
        <v>#REF!</v>
      </c>
    </row>
    <row r="169" spans="2:3" ht="15.75" customHeight="1" x14ac:dyDescent="0.25">
      <c r="B169" s="67" t="e">
        <f t="shared" si="20"/>
        <v>#REF!</v>
      </c>
      <c r="C169" s="76" t="e">
        <f t="shared" si="21"/>
        <v>#REF!</v>
      </c>
    </row>
    <row r="170" spans="2:3" ht="15.75" customHeight="1" x14ac:dyDescent="0.25">
      <c r="B170" s="67" t="e">
        <f t="shared" si="20"/>
        <v>#REF!</v>
      </c>
      <c r="C170" s="76" t="e">
        <f t="shared" si="21"/>
        <v>#REF!</v>
      </c>
    </row>
    <row r="171" spans="2:3" ht="15.75" customHeight="1" x14ac:dyDescent="0.25">
      <c r="B171" s="67" t="e">
        <f t="shared" si="20"/>
        <v>#REF!</v>
      </c>
      <c r="C171" s="76" t="e">
        <f t="shared" si="21"/>
        <v>#REF!</v>
      </c>
    </row>
    <row r="172" spans="2:3" ht="15.75" customHeight="1" x14ac:dyDescent="0.25">
      <c r="B172" s="67" t="e">
        <f t="shared" si="20"/>
        <v>#REF!</v>
      </c>
      <c r="C172" s="76" t="e">
        <f t="shared" si="21"/>
        <v>#REF!</v>
      </c>
    </row>
    <row r="173" spans="2:3" ht="15.75" customHeight="1" x14ac:dyDescent="0.25">
      <c r="B173" s="67" t="e">
        <f t="shared" si="20"/>
        <v>#REF!</v>
      </c>
      <c r="C173" s="76" t="e">
        <f t="shared" si="21"/>
        <v>#REF!</v>
      </c>
    </row>
    <row r="174" spans="2:3" ht="15.75" customHeight="1" x14ac:dyDescent="0.25">
      <c r="B174" s="67" t="e">
        <f t="shared" si="20"/>
        <v>#REF!</v>
      </c>
      <c r="C174" s="76" t="e">
        <f t="shared" si="21"/>
        <v>#REF!</v>
      </c>
    </row>
    <row r="175" spans="2:3" ht="15.75" customHeight="1" x14ac:dyDescent="0.25">
      <c r="B175" s="67" t="e">
        <f t="shared" si="20"/>
        <v>#REF!</v>
      </c>
      <c r="C175" s="76" t="e">
        <f t="shared" si="21"/>
        <v>#REF!</v>
      </c>
    </row>
    <row r="176" spans="2:3" ht="15.75" customHeight="1" x14ac:dyDescent="0.25">
      <c r="B176" s="67" t="e">
        <f t="shared" si="20"/>
        <v>#REF!</v>
      </c>
      <c r="C176" s="76" t="e">
        <f t="shared" si="21"/>
        <v>#REF!</v>
      </c>
    </row>
    <row r="177" spans="2:3" ht="15.75" customHeight="1" x14ac:dyDescent="0.25">
      <c r="B177" s="67" t="e">
        <f t="shared" si="20"/>
        <v>#REF!</v>
      </c>
      <c r="C177" s="76" t="e">
        <f t="shared" si="21"/>
        <v>#REF!</v>
      </c>
    </row>
    <row r="178" spans="2:3" ht="15.75" customHeight="1" x14ac:dyDescent="0.25">
      <c r="B178" s="67" t="e">
        <f t="shared" si="20"/>
        <v>#REF!</v>
      </c>
      <c r="C178" s="76" t="e">
        <f t="shared" si="21"/>
        <v>#REF!</v>
      </c>
    </row>
    <row r="179" spans="2:3" ht="15.75" customHeight="1" x14ac:dyDescent="0.25">
      <c r="B179" s="67" t="e">
        <f t="shared" si="20"/>
        <v>#REF!</v>
      </c>
      <c r="C179" s="76" t="e">
        <f t="shared" si="21"/>
        <v>#REF!</v>
      </c>
    </row>
    <row r="180" spans="2:3" ht="15.75" customHeight="1" x14ac:dyDescent="0.25">
      <c r="B180" s="67" t="e">
        <f t="shared" si="20"/>
        <v>#REF!</v>
      </c>
      <c r="C180" s="76" t="e">
        <f t="shared" si="21"/>
        <v>#REF!</v>
      </c>
    </row>
    <row r="181" spans="2:3" ht="15.75" customHeight="1" x14ac:dyDescent="0.25">
      <c r="B181" s="67" t="e">
        <f t="shared" si="20"/>
        <v>#REF!</v>
      </c>
      <c r="C181" s="76" t="e">
        <f t="shared" si="21"/>
        <v>#REF!</v>
      </c>
    </row>
    <row r="182" spans="2:3" ht="15.75" customHeight="1" x14ac:dyDescent="0.25">
      <c r="B182" s="67" t="e">
        <f t="shared" si="20"/>
        <v>#REF!</v>
      </c>
      <c r="C182" s="76" t="e">
        <f t="shared" si="21"/>
        <v>#REF!</v>
      </c>
    </row>
    <row r="183" spans="2:3" ht="15.75" customHeight="1" x14ac:dyDescent="0.25">
      <c r="B183" s="67" t="e">
        <f t="shared" si="20"/>
        <v>#REF!</v>
      </c>
      <c r="C183" s="76" t="e">
        <f t="shared" si="21"/>
        <v>#REF!</v>
      </c>
    </row>
    <row r="184" spans="2:3" ht="15.75" customHeight="1" x14ac:dyDescent="0.25">
      <c r="B184" s="67" t="e">
        <f t="shared" si="20"/>
        <v>#REF!</v>
      </c>
      <c r="C184" s="76" t="e">
        <f t="shared" si="21"/>
        <v>#REF!</v>
      </c>
    </row>
    <row r="185" spans="2:3" ht="15.75" customHeight="1" x14ac:dyDescent="0.25">
      <c r="B185" s="67" t="e">
        <f t="shared" si="20"/>
        <v>#REF!</v>
      </c>
      <c r="C185" s="76" t="e">
        <f t="shared" si="21"/>
        <v>#REF!</v>
      </c>
    </row>
    <row r="186" spans="2:3" ht="15.75" customHeight="1" x14ac:dyDescent="0.25">
      <c r="B186" s="67" t="e">
        <f t="shared" si="20"/>
        <v>#REF!</v>
      </c>
      <c r="C186" s="76" t="e">
        <f t="shared" si="21"/>
        <v>#REF!</v>
      </c>
    </row>
    <row r="187" spans="2:3" ht="15.75" customHeight="1" x14ac:dyDescent="0.25">
      <c r="B187" s="67" t="e">
        <f t="shared" si="20"/>
        <v>#REF!</v>
      </c>
      <c r="C187" s="76" t="e">
        <f t="shared" si="21"/>
        <v>#REF!</v>
      </c>
    </row>
    <row r="188" spans="2:3" ht="15.75" customHeight="1" x14ac:dyDescent="0.25">
      <c r="B188" s="67" t="e">
        <f t="shared" si="20"/>
        <v>#REF!</v>
      </c>
      <c r="C188" s="76" t="e">
        <f t="shared" si="21"/>
        <v>#REF!</v>
      </c>
    </row>
    <row r="189" spans="2:3" ht="15.75" customHeight="1" x14ac:dyDescent="0.25">
      <c r="B189" s="67" t="e">
        <f t="shared" si="20"/>
        <v>#REF!</v>
      </c>
      <c r="C189" s="76" t="e">
        <f t="shared" si="21"/>
        <v>#REF!</v>
      </c>
    </row>
    <row r="190" spans="2:3" ht="15.75" customHeight="1" x14ac:dyDescent="0.25">
      <c r="B190" s="67" t="e">
        <f t="shared" si="20"/>
        <v>#REF!</v>
      </c>
      <c r="C190" s="76" t="e">
        <f t="shared" si="21"/>
        <v>#REF!</v>
      </c>
    </row>
    <row r="191" spans="2:3" ht="15.75" customHeight="1" x14ac:dyDescent="0.25">
      <c r="B191" s="67" t="e">
        <f t="shared" si="20"/>
        <v>#REF!</v>
      </c>
      <c r="C191" s="76" t="e">
        <f t="shared" si="21"/>
        <v>#REF!</v>
      </c>
    </row>
    <row r="192" spans="2:3" ht="15.75" customHeight="1" x14ac:dyDescent="0.25">
      <c r="B192" s="67" t="e">
        <f t="shared" si="20"/>
        <v>#REF!</v>
      </c>
      <c r="C192" s="76" t="e">
        <f t="shared" si="21"/>
        <v>#REF!</v>
      </c>
    </row>
    <row r="193" spans="2:3" ht="15.75" customHeight="1" x14ac:dyDescent="0.25">
      <c r="B193" s="67" t="e">
        <f t="shared" si="20"/>
        <v>#REF!</v>
      </c>
      <c r="C193" s="76" t="e">
        <f t="shared" si="21"/>
        <v>#REF!</v>
      </c>
    </row>
    <row r="194" spans="2:3" ht="15.75" customHeight="1" x14ac:dyDescent="0.25">
      <c r="B194" s="67" t="e">
        <f t="shared" si="20"/>
        <v>#REF!</v>
      </c>
      <c r="C194" s="76" t="e">
        <f t="shared" si="21"/>
        <v>#REF!</v>
      </c>
    </row>
    <row r="195" spans="2:3" ht="15.75" customHeight="1" x14ac:dyDescent="0.25">
      <c r="B195" s="67" t="e">
        <f t="shared" si="20"/>
        <v>#REF!</v>
      </c>
      <c r="C195" s="76" t="e">
        <f t="shared" si="21"/>
        <v>#REF!</v>
      </c>
    </row>
    <row r="196" spans="2:3" ht="15.75" customHeight="1" x14ac:dyDescent="0.25">
      <c r="B196" s="67" t="e">
        <f t="shared" si="20"/>
        <v>#REF!</v>
      </c>
      <c r="C196" s="76" t="e">
        <f t="shared" si="21"/>
        <v>#REF!</v>
      </c>
    </row>
    <row r="197" spans="2:3" ht="15.75" customHeight="1" x14ac:dyDescent="0.25">
      <c r="B197" s="67" t="e">
        <f t="shared" si="20"/>
        <v>#REF!</v>
      </c>
      <c r="C197" s="76" t="e">
        <f t="shared" si="21"/>
        <v>#REF!</v>
      </c>
    </row>
    <row r="198" spans="2:3" ht="15.75" customHeight="1" x14ac:dyDescent="0.25">
      <c r="B198" s="67" t="e">
        <f t="shared" si="20"/>
        <v>#REF!</v>
      </c>
      <c r="C198" s="76" t="e">
        <f t="shared" si="21"/>
        <v>#REF!</v>
      </c>
    </row>
    <row r="199" spans="2:3" ht="15.75" customHeight="1" x14ac:dyDescent="0.25">
      <c r="B199" s="67" t="e">
        <f t="shared" si="20"/>
        <v>#REF!</v>
      </c>
      <c r="C199" s="76" t="e">
        <f t="shared" si="21"/>
        <v>#REF!</v>
      </c>
    </row>
    <row r="200" spans="2:3" ht="15.75" customHeight="1" x14ac:dyDescent="0.25">
      <c r="B200" s="67" t="e">
        <f t="shared" si="20"/>
        <v>#REF!</v>
      </c>
      <c r="C200" s="76" t="e">
        <f t="shared" si="21"/>
        <v>#REF!</v>
      </c>
    </row>
    <row r="201" spans="2:3" ht="15.75" customHeight="1" x14ac:dyDescent="0.25">
      <c r="B201" s="67" t="e">
        <f t="shared" si="20"/>
        <v>#REF!</v>
      </c>
      <c r="C201" s="76" t="e">
        <f t="shared" si="21"/>
        <v>#REF!</v>
      </c>
    </row>
    <row r="202" spans="2:3" ht="15.75" customHeight="1" x14ac:dyDescent="0.25">
      <c r="B202" s="67" t="e">
        <f t="shared" si="20"/>
        <v>#REF!</v>
      </c>
      <c r="C202" s="76" t="e">
        <f t="shared" si="21"/>
        <v>#REF!</v>
      </c>
    </row>
    <row r="203" spans="2:3" ht="15.75" customHeight="1" x14ac:dyDescent="0.25">
      <c r="B203" s="67" t="e">
        <f t="shared" si="20"/>
        <v>#REF!</v>
      </c>
      <c r="C203" s="76" t="e">
        <f t="shared" si="21"/>
        <v>#REF!</v>
      </c>
    </row>
    <row r="204" spans="2:3" ht="15.75" customHeight="1" x14ac:dyDescent="0.25">
      <c r="B204" s="67" t="e">
        <f t="shared" si="20"/>
        <v>#REF!</v>
      </c>
      <c r="C204" s="76" t="e">
        <f t="shared" si="21"/>
        <v>#REF!</v>
      </c>
    </row>
    <row r="205" spans="2:3" ht="15.75" customHeight="1" x14ac:dyDescent="0.25">
      <c r="B205" s="67" t="e">
        <f t="shared" si="20"/>
        <v>#REF!</v>
      </c>
      <c r="C205" s="76" t="e">
        <f t="shared" si="21"/>
        <v>#REF!</v>
      </c>
    </row>
    <row r="206" spans="2:3" ht="15.75" customHeight="1" x14ac:dyDescent="0.25">
      <c r="B206" s="67" t="e">
        <f t="shared" si="20"/>
        <v>#REF!</v>
      </c>
      <c r="C206" s="76" t="e">
        <f t="shared" si="21"/>
        <v>#REF!</v>
      </c>
    </row>
    <row r="207" spans="2:3" ht="15.75" customHeight="1" x14ac:dyDescent="0.25">
      <c r="B207" s="67" t="e">
        <f t="shared" si="20"/>
        <v>#REF!</v>
      </c>
      <c r="C207" s="76" t="e">
        <f t="shared" si="21"/>
        <v>#REF!</v>
      </c>
    </row>
    <row r="208" spans="2:3" ht="15.75" customHeight="1" x14ac:dyDescent="0.25">
      <c r="B208" s="67" t="e">
        <f t="shared" si="20"/>
        <v>#REF!</v>
      </c>
      <c r="C208" s="76" t="e">
        <f t="shared" si="21"/>
        <v>#REF!</v>
      </c>
    </row>
    <row r="209" spans="2:3" ht="15.75" customHeight="1" x14ac:dyDescent="0.25">
      <c r="B209" s="67" t="e">
        <f t="shared" si="20"/>
        <v>#REF!</v>
      </c>
      <c r="C209" s="76" t="e">
        <f t="shared" si="21"/>
        <v>#REF!</v>
      </c>
    </row>
    <row r="210" spans="2:3" ht="15.75" customHeight="1" x14ac:dyDescent="0.25">
      <c r="B210" s="67" t="e">
        <f t="shared" si="20"/>
        <v>#REF!</v>
      </c>
      <c r="C210" s="76" t="e">
        <f t="shared" si="21"/>
        <v>#REF!</v>
      </c>
    </row>
    <row r="211" spans="2:3" ht="15.75" customHeight="1" x14ac:dyDescent="0.25">
      <c r="B211" s="67" t="e">
        <f t="shared" si="20"/>
        <v>#REF!</v>
      </c>
      <c r="C211" s="76" t="e">
        <f t="shared" si="21"/>
        <v>#REF!</v>
      </c>
    </row>
    <row r="212" spans="2:3" ht="15.75" customHeight="1" x14ac:dyDescent="0.25">
      <c r="B212" s="67" t="e">
        <f t="shared" si="20"/>
        <v>#REF!</v>
      </c>
      <c r="C212" s="76" t="e">
        <f t="shared" si="21"/>
        <v>#REF!</v>
      </c>
    </row>
    <row r="213" spans="2:3" ht="15.75" customHeight="1" x14ac:dyDescent="0.25">
      <c r="B213" s="67" t="e">
        <f t="shared" si="20"/>
        <v>#REF!</v>
      </c>
      <c r="C213" s="76" t="e">
        <f t="shared" si="21"/>
        <v>#REF!</v>
      </c>
    </row>
    <row r="214" spans="2:3" ht="15.75" customHeight="1" x14ac:dyDescent="0.25">
      <c r="B214" s="67" t="e">
        <f t="shared" si="20"/>
        <v>#REF!</v>
      </c>
      <c r="C214" s="76" t="e">
        <f t="shared" si="21"/>
        <v>#REF!</v>
      </c>
    </row>
    <row r="215" spans="2:3" ht="15.75" customHeight="1" x14ac:dyDescent="0.25">
      <c r="B215" s="67" t="e">
        <f t="shared" si="20"/>
        <v>#REF!</v>
      </c>
      <c r="C215" s="76" t="e">
        <f t="shared" si="21"/>
        <v>#REF!</v>
      </c>
    </row>
    <row r="216" spans="2:3" ht="15.75" customHeight="1" x14ac:dyDescent="0.25">
      <c r="B216" s="67" t="e">
        <f t="shared" si="20"/>
        <v>#REF!</v>
      </c>
      <c r="C216" s="76" t="e">
        <f t="shared" si="21"/>
        <v>#REF!</v>
      </c>
    </row>
    <row r="217" spans="2:3" ht="15.75" customHeight="1" x14ac:dyDescent="0.25">
      <c r="B217" s="67" t="e">
        <f t="shared" si="20"/>
        <v>#REF!</v>
      </c>
      <c r="C217" s="76" t="e">
        <f t="shared" si="21"/>
        <v>#REF!</v>
      </c>
    </row>
    <row r="218" spans="2:3" ht="15.75" customHeight="1" x14ac:dyDescent="0.25">
      <c r="B218" s="67" t="e">
        <f t="shared" si="20"/>
        <v>#REF!</v>
      </c>
      <c r="C218" s="76" t="e">
        <f t="shared" si="21"/>
        <v>#REF!</v>
      </c>
    </row>
    <row r="219" spans="2:3" ht="15.75" customHeight="1" x14ac:dyDescent="0.25">
      <c r="B219" s="67" t="e">
        <f t="shared" si="20"/>
        <v>#REF!</v>
      </c>
      <c r="C219" s="76" t="e">
        <f t="shared" si="21"/>
        <v>#REF!</v>
      </c>
    </row>
    <row r="220" spans="2:3" ht="15.75" customHeight="1" x14ac:dyDescent="0.25">
      <c r="B220" s="67" t="e">
        <f t="shared" si="20"/>
        <v>#REF!</v>
      </c>
      <c r="C220" s="76" t="e">
        <f t="shared" si="21"/>
        <v>#REF!</v>
      </c>
    </row>
    <row r="221" spans="2:3" ht="15.75" customHeight="1" x14ac:dyDescent="0.25">
      <c r="B221" s="67" t="e">
        <f t="shared" si="20"/>
        <v>#REF!</v>
      </c>
      <c r="C221" s="76" t="e">
        <f t="shared" si="21"/>
        <v>#REF!</v>
      </c>
    </row>
    <row r="222" spans="2:3" ht="15.75" customHeight="1" x14ac:dyDescent="0.25">
      <c r="B222" s="67" t="e">
        <f t="shared" ref="B222:B285" si="22">IF(B221="","",IF(B221+$C$10&lt;=$C$6,B221+$C$10,""))</f>
        <v>#REF!</v>
      </c>
      <c r="C222" s="76" t="e">
        <f t="shared" ref="C222:C285" si="23">IF(B222&lt;&gt;"",C221-$C$2/COUNT($B$18:$B$511),"")</f>
        <v>#REF!</v>
      </c>
    </row>
    <row r="223" spans="2:3" ht="15.75" customHeight="1" x14ac:dyDescent="0.25">
      <c r="B223" s="67" t="e">
        <f t="shared" si="22"/>
        <v>#REF!</v>
      </c>
      <c r="C223" s="76" t="e">
        <f t="shared" si="23"/>
        <v>#REF!</v>
      </c>
    </row>
    <row r="224" spans="2:3" ht="15.75" customHeight="1" x14ac:dyDescent="0.25">
      <c r="B224" s="67" t="e">
        <f t="shared" si="22"/>
        <v>#REF!</v>
      </c>
      <c r="C224" s="76" t="e">
        <f t="shared" si="23"/>
        <v>#REF!</v>
      </c>
    </row>
    <row r="225" spans="2:3" ht="15.75" customHeight="1" x14ac:dyDescent="0.25">
      <c r="B225" s="67" t="e">
        <f t="shared" si="22"/>
        <v>#REF!</v>
      </c>
      <c r="C225" s="76" t="e">
        <f t="shared" si="23"/>
        <v>#REF!</v>
      </c>
    </row>
    <row r="226" spans="2:3" ht="15.75" customHeight="1" x14ac:dyDescent="0.25">
      <c r="B226" s="67" t="e">
        <f t="shared" si="22"/>
        <v>#REF!</v>
      </c>
      <c r="C226" s="76" t="e">
        <f t="shared" si="23"/>
        <v>#REF!</v>
      </c>
    </row>
    <row r="227" spans="2:3" ht="15.75" customHeight="1" x14ac:dyDescent="0.25">
      <c r="B227" s="67" t="e">
        <f t="shared" si="22"/>
        <v>#REF!</v>
      </c>
      <c r="C227" s="76" t="e">
        <f t="shared" si="23"/>
        <v>#REF!</v>
      </c>
    </row>
    <row r="228" spans="2:3" ht="15.75" customHeight="1" x14ac:dyDescent="0.25">
      <c r="B228" s="67" t="e">
        <f t="shared" si="22"/>
        <v>#REF!</v>
      </c>
      <c r="C228" s="76" t="e">
        <f t="shared" si="23"/>
        <v>#REF!</v>
      </c>
    </row>
    <row r="229" spans="2:3" ht="15.75" customHeight="1" x14ac:dyDescent="0.25">
      <c r="B229" s="67" t="e">
        <f t="shared" si="22"/>
        <v>#REF!</v>
      </c>
      <c r="C229" s="76" t="e">
        <f t="shared" si="23"/>
        <v>#REF!</v>
      </c>
    </row>
    <row r="230" spans="2:3" ht="15.75" customHeight="1" x14ac:dyDescent="0.25">
      <c r="B230" s="67" t="e">
        <f t="shared" si="22"/>
        <v>#REF!</v>
      </c>
      <c r="C230" s="76" t="e">
        <f t="shared" si="23"/>
        <v>#REF!</v>
      </c>
    </row>
    <row r="231" spans="2:3" ht="15.75" customHeight="1" x14ac:dyDescent="0.25">
      <c r="B231" s="67" t="e">
        <f t="shared" si="22"/>
        <v>#REF!</v>
      </c>
      <c r="C231" s="76" t="e">
        <f t="shared" si="23"/>
        <v>#REF!</v>
      </c>
    </row>
    <row r="232" spans="2:3" ht="15.75" customHeight="1" x14ac:dyDescent="0.25">
      <c r="B232" s="67" t="e">
        <f t="shared" si="22"/>
        <v>#REF!</v>
      </c>
      <c r="C232" s="76" t="e">
        <f t="shared" si="23"/>
        <v>#REF!</v>
      </c>
    </row>
    <row r="233" spans="2:3" ht="15.75" customHeight="1" x14ac:dyDescent="0.25">
      <c r="B233" s="67" t="e">
        <f t="shared" si="22"/>
        <v>#REF!</v>
      </c>
      <c r="C233" s="76" t="e">
        <f t="shared" si="23"/>
        <v>#REF!</v>
      </c>
    </row>
    <row r="234" spans="2:3" ht="15.75" customHeight="1" x14ac:dyDescent="0.25">
      <c r="B234" s="67" t="e">
        <f t="shared" si="22"/>
        <v>#REF!</v>
      </c>
      <c r="C234" s="76" t="e">
        <f t="shared" si="23"/>
        <v>#REF!</v>
      </c>
    </row>
    <row r="235" spans="2:3" ht="15.75" customHeight="1" x14ac:dyDescent="0.25">
      <c r="B235" s="67" t="e">
        <f t="shared" si="22"/>
        <v>#REF!</v>
      </c>
      <c r="C235" s="76" t="e">
        <f t="shared" si="23"/>
        <v>#REF!</v>
      </c>
    </row>
    <row r="236" spans="2:3" ht="15.75" customHeight="1" x14ac:dyDescent="0.25">
      <c r="B236" s="67" t="e">
        <f t="shared" si="22"/>
        <v>#REF!</v>
      </c>
      <c r="C236" s="76" t="e">
        <f t="shared" si="23"/>
        <v>#REF!</v>
      </c>
    </row>
    <row r="237" spans="2:3" ht="15.75" customHeight="1" x14ac:dyDescent="0.25">
      <c r="B237" s="67" t="e">
        <f t="shared" si="22"/>
        <v>#REF!</v>
      </c>
      <c r="C237" s="76" t="e">
        <f t="shared" si="23"/>
        <v>#REF!</v>
      </c>
    </row>
    <row r="238" spans="2:3" ht="15.75" customHeight="1" x14ac:dyDescent="0.25">
      <c r="B238" s="67" t="e">
        <f t="shared" si="22"/>
        <v>#REF!</v>
      </c>
      <c r="C238" s="76" t="e">
        <f t="shared" si="23"/>
        <v>#REF!</v>
      </c>
    </row>
    <row r="239" spans="2:3" ht="15.75" customHeight="1" x14ac:dyDescent="0.25">
      <c r="B239" s="67" t="e">
        <f t="shared" si="22"/>
        <v>#REF!</v>
      </c>
      <c r="C239" s="76" t="e">
        <f t="shared" si="23"/>
        <v>#REF!</v>
      </c>
    </row>
    <row r="240" spans="2:3" ht="15.75" customHeight="1" x14ac:dyDescent="0.25">
      <c r="B240" s="67" t="e">
        <f t="shared" si="22"/>
        <v>#REF!</v>
      </c>
      <c r="C240" s="76" t="e">
        <f t="shared" si="23"/>
        <v>#REF!</v>
      </c>
    </row>
    <row r="241" spans="2:3" ht="15.75" customHeight="1" x14ac:dyDescent="0.25">
      <c r="B241" s="67" t="e">
        <f t="shared" si="22"/>
        <v>#REF!</v>
      </c>
      <c r="C241" s="76" t="e">
        <f t="shared" si="23"/>
        <v>#REF!</v>
      </c>
    </row>
    <row r="242" spans="2:3" ht="15.75" customHeight="1" x14ac:dyDescent="0.25">
      <c r="B242" s="67" t="e">
        <f t="shared" si="22"/>
        <v>#REF!</v>
      </c>
      <c r="C242" s="76" t="e">
        <f t="shared" si="23"/>
        <v>#REF!</v>
      </c>
    </row>
    <row r="243" spans="2:3" ht="15.75" customHeight="1" x14ac:dyDescent="0.25">
      <c r="B243" s="67" t="e">
        <f t="shared" si="22"/>
        <v>#REF!</v>
      </c>
      <c r="C243" s="76" t="e">
        <f t="shared" si="23"/>
        <v>#REF!</v>
      </c>
    </row>
    <row r="244" spans="2:3" ht="15.75" customHeight="1" x14ac:dyDescent="0.25">
      <c r="B244" s="67" t="e">
        <f t="shared" si="22"/>
        <v>#REF!</v>
      </c>
      <c r="C244" s="76" t="e">
        <f t="shared" si="23"/>
        <v>#REF!</v>
      </c>
    </row>
    <row r="245" spans="2:3" ht="15.75" customHeight="1" x14ac:dyDescent="0.25">
      <c r="B245" s="67" t="e">
        <f t="shared" si="22"/>
        <v>#REF!</v>
      </c>
      <c r="C245" s="76" t="e">
        <f t="shared" si="23"/>
        <v>#REF!</v>
      </c>
    </row>
    <row r="246" spans="2:3" ht="15.75" customHeight="1" x14ac:dyDescent="0.25">
      <c r="B246" s="67" t="e">
        <f t="shared" si="22"/>
        <v>#REF!</v>
      </c>
      <c r="C246" s="76" t="e">
        <f t="shared" si="23"/>
        <v>#REF!</v>
      </c>
    </row>
    <row r="247" spans="2:3" ht="15.75" customHeight="1" x14ac:dyDescent="0.25">
      <c r="B247" s="67" t="e">
        <f t="shared" si="22"/>
        <v>#REF!</v>
      </c>
      <c r="C247" s="76" t="e">
        <f t="shared" si="23"/>
        <v>#REF!</v>
      </c>
    </row>
    <row r="248" spans="2:3" ht="15.75" customHeight="1" x14ac:dyDescent="0.25">
      <c r="B248" s="67" t="e">
        <f t="shared" si="22"/>
        <v>#REF!</v>
      </c>
      <c r="C248" s="76" t="e">
        <f t="shared" si="23"/>
        <v>#REF!</v>
      </c>
    </row>
    <row r="249" spans="2:3" ht="15.75" customHeight="1" x14ac:dyDescent="0.25">
      <c r="B249" s="67" t="e">
        <f t="shared" si="22"/>
        <v>#REF!</v>
      </c>
      <c r="C249" s="76" t="e">
        <f t="shared" si="23"/>
        <v>#REF!</v>
      </c>
    </row>
    <row r="250" spans="2:3" ht="15.75" customHeight="1" x14ac:dyDescent="0.25">
      <c r="B250" s="67" t="e">
        <f t="shared" si="22"/>
        <v>#REF!</v>
      </c>
      <c r="C250" s="76" t="e">
        <f t="shared" si="23"/>
        <v>#REF!</v>
      </c>
    </row>
    <row r="251" spans="2:3" ht="15.75" customHeight="1" x14ac:dyDescent="0.25">
      <c r="B251" s="67" t="e">
        <f t="shared" si="22"/>
        <v>#REF!</v>
      </c>
      <c r="C251" s="76" t="e">
        <f t="shared" si="23"/>
        <v>#REF!</v>
      </c>
    </row>
    <row r="252" spans="2:3" ht="15.75" customHeight="1" x14ac:dyDescent="0.25">
      <c r="B252" s="67" t="e">
        <f t="shared" si="22"/>
        <v>#REF!</v>
      </c>
      <c r="C252" s="76" t="e">
        <f t="shared" si="23"/>
        <v>#REF!</v>
      </c>
    </row>
    <row r="253" spans="2:3" ht="15.75" customHeight="1" x14ac:dyDescent="0.25">
      <c r="B253" s="67" t="e">
        <f t="shared" si="22"/>
        <v>#REF!</v>
      </c>
      <c r="C253" s="76" t="e">
        <f t="shared" si="23"/>
        <v>#REF!</v>
      </c>
    </row>
    <row r="254" spans="2:3" ht="15.75" customHeight="1" x14ac:dyDescent="0.25">
      <c r="B254" s="67" t="e">
        <f t="shared" si="22"/>
        <v>#REF!</v>
      </c>
      <c r="C254" s="76" t="e">
        <f t="shared" si="23"/>
        <v>#REF!</v>
      </c>
    </row>
    <row r="255" spans="2:3" ht="15.75" customHeight="1" x14ac:dyDescent="0.25">
      <c r="B255" s="67" t="e">
        <f t="shared" si="22"/>
        <v>#REF!</v>
      </c>
      <c r="C255" s="76" t="e">
        <f t="shared" si="23"/>
        <v>#REF!</v>
      </c>
    </row>
    <row r="256" spans="2:3" ht="15.75" customHeight="1" x14ac:dyDescent="0.25">
      <c r="B256" s="67" t="e">
        <f t="shared" si="22"/>
        <v>#REF!</v>
      </c>
      <c r="C256" s="76" t="e">
        <f t="shared" si="23"/>
        <v>#REF!</v>
      </c>
    </row>
    <row r="257" spans="2:3" ht="15.75" customHeight="1" x14ac:dyDescent="0.25">
      <c r="B257" s="67" t="e">
        <f t="shared" si="22"/>
        <v>#REF!</v>
      </c>
      <c r="C257" s="76" t="e">
        <f t="shared" si="23"/>
        <v>#REF!</v>
      </c>
    </row>
    <row r="258" spans="2:3" ht="15.75" customHeight="1" x14ac:dyDescent="0.25">
      <c r="B258" s="67" t="e">
        <f t="shared" si="22"/>
        <v>#REF!</v>
      </c>
      <c r="C258" s="76" t="e">
        <f t="shared" si="23"/>
        <v>#REF!</v>
      </c>
    </row>
    <row r="259" spans="2:3" ht="15.75" customHeight="1" x14ac:dyDescent="0.25">
      <c r="B259" s="67" t="e">
        <f t="shared" si="22"/>
        <v>#REF!</v>
      </c>
      <c r="C259" s="76" t="e">
        <f t="shared" si="23"/>
        <v>#REF!</v>
      </c>
    </row>
    <row r="260" spans="2:3" ht="15.75" customHeight="1" x14ac:dyDescent="0.25">
      <c r="B260" s="67" t="e">
        <f t="shared" si="22"/>
        <v>#REF!</v>
      </c>
      <c r="C260" s="76" t="e">
        <f t="shared" si="23"/>
        <v>#REF!</v>
      </c>
    </row>
    <row r="261" spans="2:3" ht="15.75" customHeight="1" x14ac:dyDescent="0.25">
      <c r="B261" s="67" t="e">
        <f t="shared" si="22"/>
        <v>#REF!</v>
      </c>
      <c r="C261" s="76" t="e">
        <f t="shared" si="23"/>
        <v>#REF!</v>
      </c>
    </row>
    <row r="262" spans="2:3" ht="15.75" customHeight="1" x14ac:dyDescent="0.25">
      <c r="B262" s="67" t="e">
        <f t="shared" si="22"/>
        <v>#REF!</v>
      </c>
      <c r="C262" s="76" t="e">
        <f t="shared" si="23"/>
        <v>#REF!</v>
      </c>
    </row>
    <row r="263" spans="2:3" ht="15.75" customHeight="1" x14ac:dyDescent="0.25">
      <c r="B263" s="67" t="e">
        <f t="shared" si="22"/>
        <v>#REF!</v>
      </c>
      <c r="C263" s="76" t="e">
        <f t="shared" si="23"/>
        <v>#REF!</v>
      </c>
    </row>
    <row r="264" spans="2:3" ht="15.75" customHeight="1" x14ac:dyDescent="0.25">
      <c r="B264" s="67" t="e">
        <f t="shared" si="22"/>
        <v>#REF!</v>
      </c>
      <c r="C264" s="76" t="e">
        <f t="shared" si="23"/>
        <v>#REF!</v>
      </c>
    </row>
    <row r="265" spans="2:3" ht="15.75" customHeight="1" x14ac:dyDescent="0.25">
      <c r="B265" s="67" t="e">
        <f t="shared" si="22"/>
        <v>#REF!</v>
      </c>
      <c r="C265" s="76" t="e">
        <f t="shared" si="23"/>
        <v>#REF!</v>
      </c>
    </row>
    <row r="266" spans="2:3" ht="15.75" customHeight="1" x14ac:dyDescent="0.25">
      <c r="B266" s="67" t="e">
        <f t="shared" si="22"/>
        <v>#REF!</v>
      </c>
      <c r="C266" s="76" t="e">
        <f t="shared" si="23"/>
        <v>#REF!</v>
      </c>
    </row>
    <row r="267" spans="2:3" ht="15.75" customHeight="1" x14ac:dyDescent="0.25">
      <c r="B267" s="67" t="e">
        <f t="shared" si="22"/>
        <v>#REF!</v>
      </c>
      <c r="C267" s="76" t="e">
        <f t="shared" si="23"/>
        <v>#REF!</v>
      </c>
    </row>
    <row r="268" spans="2:3" ht="15.75" customHeight="1" x14ac:dyDescent="0.25">
      <c r="B268" s="67" t="e">
        <f t="shared" si="22"/>
        <v>#REF!</v>
      </c>
      <c r="C268" s="76" t="e">
        <f t="shared" si="23"/>
        <v>#REF!</v>
      </c>
    </row>
    <row r="269" spans="2:3" ht="15.75" customHeight="1" x14ac:dyDescent="0.25">
      <c r="B269" s="67" t="e">
        <f t="shared" si="22"/>
        <v>#REF!</v>
      </c>
      <c r="C269" s="76" t="e">
        <f t="shared" si="23"/>
        <v>#REF!</v>
      </c>
    </row>
    <row r="270" spans="2:3" ht="15.75" customHeight="1" x14ac:dyDescent="0.25">
      <c r="B270" s="67" t="e">
        <f t="shared" si="22"/>
        <v>#REF!</v>
      </c>
      <c r="C270" s="76" t="e">
        <f t="shared" si="23"/>
        <v>#REF!</v>
      </c>
    </row>
    <row r="271" spans="2:3" ht="15.75" customHeight="1" x14ac:dyDescent="0.25">
      <c r="B271" s="67" t="e">
        <f t="shared" si="22"/>
        <v>#REF!</v>
      </c>
      <c r="C271" s="76" t="e">
        <f t="shared" si="23"/>
        <v>#REF!</v>
      </c>
    </row>
    <row r="272" spans="2:3" ht="15.75" customHeight="1" x14ac:dyDescent="0.25">
      <c r="B272" s="67" t="e">
        <f t="shared" si="22"/>
        <v>#REF!</v>
      </c>
      <c r="C272" s="76" t="e">
        <f t="shared" si="23"/>
        <v>#REF!</v>
      </c>
    </row>
    <row r="273" spans="2:3" ht="15.75" customHeight="1" x14ac:dyDescent="0.25">
      <c r="B273" s="67" t="e">
        <f t="shared" si="22"/>
        <v>#REF!</v>
      </c>
      <c r="C273" s="76" t="e">
        <f t="shared" si="23"/>
        <v>#REF!</v>
      </c>
    </row>
    <row r="274" spans="2:3" ht="15.75" customHeight="1" x14ac:dyDescent="0.25">
      <c r="B274" s="67" t="e">
        <f t="shared" si="22"/>
        <v>#REF!</v>
      </c>
      <c r="C274" s="76" t="e">
        <f t="shared" si="23"/>
        <v>#REF!</v>
      </c>
    </row>
    <row r="275" spans="2:3" ht="15.75" customHeight="1" x14ac:dyDescent="0.25">
      <c r="B275" s="67" t="e">
        <f t="shared" si="22"/>
        <v>#REF!</v>
      </c>
      <c r="C275" s="76" t="e">
        <f t="shared" si="23"/>
        <v>#REF!</v>
      </c>
    </row>
    <row r="276" spans="2:3" ht="15.75" customHeight="1" x14ac:dyDescent="0.25">
      <c r="B276" s="67" t="e">
        <f t="shared" si="22"/>
        <v>#REF!</v>
      </c>
      <c r="C276" s="76" t="e">
        <f t="shared" si="23"/>
        <v>#REF!</v>
      </c>
    </row>
    <row r="277" spans="2:3" ht="15.75" customHeight="1" x14ac:dyDescent="0.25">
      <c r="B277" s="67" t="e">
        <f t="shared" si="22"/>
        <v>#REF!</v>
      </c>
      <c r="C277" s="76" t="e">
        <f t="shared" si="23"/>
        <v>#REF!</v>
      </c>
    </row>
    <row r="278" spans="2:3" ht="15.75" customHeight="1" x14ac:dyDescent="0.25">
      <c r="B278" s="67" t="e">
        <f t="shared" si="22"/>
        <v>#REF!</v>
      </c>
      <c r="C278" s="76" t="e">
        <f t="shared" si="23"/>
        <v>#REF!</v>
      </c>
    </row>
    <row r="279" spans="2:3" ht="15.75" customHeight="1" x14ac:dyDescent="0.25">
      <c r="B279" s="67" t="e">
        <f t="shared" si="22"/>
        <v>#REF!</v>
      </c>
      <c r="C279" s="76" t="e">
        <f t="shared" si="23"/>
        <v>#REF!</v>
      </c>
    </row>
    <row r="280" spans="2:3" ht="15.75" customHeight="1" x14ac:dyDescent="0.25">
      <c r="B280" s="67" t="e">
        <f t="shared" si="22"/>
        <v>#REF!</v>
      </c>
      <c r="C280" s="76" t="e">
        <f t="shared" si="23"/>
        <v>#REF!</v>
      </c>
    </row>
    <row r="281" spans="2:3" ht="15.75" customHeight="1" x14ac:dyDescent="0.25">
      <c r="B281" s="67" t="e">
        <f t="shared" si="22"/>
        <v>#REF!</v>
      </c>
      <c r="C281" s="76" t="e">
        <f t="shared" si="23"/>
        <v>#REF!</v>
      </c>
    </row>
    <row r="282" spans="2:3" ht="15.75" customHeight="1" x14ac:dyDescent="0.25">
      <c r="B282" s="67" t="e">
        <f t="shared" si="22"/>
        <v>#REF!</v>
      </c>
      <c r="C282" s="76" t="e">
        <f t="shared" si="23"/>
        <v>#REF!</v>
      </c>
    </row>
    <row r="283" spans="2:3" ht="15.75" customHeight="1" x14ac:dyDescent="0.25">
      <c r="B283" s="67" t="e">
        <f t="shared" si="22"/>
        <v>#REF!</v>
      </c>
      <c r="C283" s="76" t="e">
        <f t="shared" si="23"/>
        <v>#REF!</v>
      </c>
    </row>
    <row r="284" spans="2:3" ht="15.75" customHeight="1" x14ac:dyDescent="0.25">
      <c r="B284" s="67" t="e">
        <f t="shared" si="22"/>
        <v>#REF!</v>
      </c>
      <c r="C284" s="76" t="e">
        <f t="shared" si="23"/>
        <v>#REF!</v>
      </c>
    </row>
    <row r="285" spans="2:3" ht="15.75" customHeight="1" x14ac:dyDescent="0.25">
      <c r="B285" s="67" t="e">
        <f t="shared" si="22"/>
        <v>#REF!</v>
      </c>
      <c r="C285" s="76" t="e">
        <f t="shared" si="23"/>
        <v>#REF!</v>
      </c>
    </row>
    <row r="286" spans="2:3" ht="15.75" customHeight="1" x14ac:dyDescent="0.25">
      <c r="B286" s="67" t="e">
        <f t="shared" ref="B286:B349" si="24">IF(B285="","",IF(B285+$C$10&lt;=$C$6,B285+$C$10,""))</f>
        <v>#REF!</v>
      </c>
      <c r="C286" s="76" t="e">
        <f t="shared" ref="C286:C349" si="25">IF(B286&lt;&gt;"",C285-$C$2/COUNT($B$18:$B$511),"")</f>
        <v>#REF!</v>
      </c>
    </row>
    <row r="287" spans="2:3" ht="15.75" customHeight="1" x14ac:dyDescent="0.25">
      <c r="B287" s="67" t="e">
        <f t="shared" si="24"/>
        <v>#REF!</v>
      </c>
      <c r="C287" s="76" t="e">
        <f t="shared" si="25"/>
        <v>#REF!</v>
      </c>
    </row>
    <row r="288" spans="2:3" ht="15.75" customHeight="1" x14ac:dyDescent="0.25">
      <c r="B288" s="67" t="e">
        <f t="shared" si="24"/>
        <v>#REF!</v>
      </c>
      <c r="C288" s="76" t="e">
        <f t="shared" si="25"/>
        <v>#REF!</v>
      </c>
    </row>
    <row r="289" spans="2:3" ht="15.75" customHeight="1" x14ac:dyDescent="0.25">
      <c r="B289" s="67" t="e">
        <f t="shared" si="24"/>
        <v>#REF!</v>
      </c>
      <c r="C289" s="76" t="e">
        <f t="shared" si="25"/>
        <v>#REF!</v>
      </c>
    </row>
    <row r="290" spans="2:3" ht="15.75" customHeight="1" x14ac:dyDescent="0.25">
      <c r="B290" s="67" t="e">
        <f t="shared" si="24"/>
        <v>#REF!</v>
      </c>
      <c r="C290" s="76" t="e">
        <f t="shared" si="25"/>
        <v>#REF!</v>
      </c>
    </row>
    <row r="291" spans="2:3" ht="15.75" customHeight="1" x14ac:dyDescent="0.25">
      <c r="B291" s="67" t="e">
        <f t="shared" si="24"/>
        <v>#REF!</v>
      </c>
      <c r="C291" s="76" t="e">
        <f t="shared" si="25"/>
        <v>#REF!</v>
      </c>
    </row>
    <row r="292" spans="2:3" ht="15.75" customHeight="1" x14ac:dyDescent="0.25">
      <c r="B292" s="67" t="e">
        <f t="shared" si="24"/>
        <v>#REF!</v>
      </c>
      <c r="C292" s="76" t="e">
        <f t="shared" si="25"/>
        <v>#REF!</v>
      </c>
    </row>
    <row r="293" spans="2:3" ht="15.75" customHeight="1" x14ac:dyDescent="0.25">
      <c r="B293" s="67" t="e">
        <f t="shared" si="24"/>
        <v>#REF!</v>
      </c>
      <c r="C293" s="76" t="e">
        <f t="shared" si="25"/>
        <v>#REF!</v>
      </c>
    </row>
    <row r="294" spans="2:3" ht="15.75" customHeight="1" x14ac:dyDescent="0.25">
      <c r="B294" s="67" t="e">
        <f t="shared" si="24"/>
        <v>#REF!</v>
      </c>
      <c r="C294" s="76" t="e">
        <f t="shared" si="25"/>
        <v>#REF!</v>
      </c>
    </row>
    <row r="295" spans="2:3" ht="15.75" customHeight="1" x14ac:dyDescent="0.25">
      <c r="B295" s="67" t="e">
        <f t="shared" si="24"/>
        <v>#REF!</v>
      </c>
      <c r="C295" s="76" t="e">
        <f t="shared" si="25"/>
        <v>#REF!</v>
      </c>
    </row>
    <row r="296" spans="2:3" ht="15.75" customHeight="1" x14ac:dyDescent="0.25">
      <c r="B296" s="67" t="e">
        <f t="shared" si="24"/>
        <v>#REF!</v>
      </c>
      <c r="C296" s="76" t="e">
        <f t="shared" si="25"/>
        <v>#REF!</v>
      </c>
    </row>
    <row r="297" spans="2:3" ht="15.75" customHeight="1" x14ac:dyDescent="0.25">
      <c r="B297" s="67" t="e">
        <f t="shared" si="24"/>
        <v>#REF!</v>
      </c>
      <c r="C297" s="76" t="e">
        <f t="shared" si="25"/>
        <v>#REF!</v>
      </c>
    </row>
    <row r="298" spans="2:3" ht="15.75" customHeight="1" x14ac:dyDescent="0.25">
      <c r="B298" s="67" t="e">
        <f t="shared" si="24"/>
        <v>#REF!</v>
      </c>
      <c r="C298" s="76" t="e">
        <f t="shared" si="25"/>
        <v>#REF!</v>
      </c>
    </row>
    <row r="299" spans="2:3" ht="15.75" customHeight="1" x14ac:dyDescent="0.25">
      <c r="B299" s="67" t="e">
        <f t="shared" si="24"/>
        <v>#REF!</v>
      </c>
      <c r="C299" s="76" t="e">
        <f t="shared" si="25"/>
        <v>#REF!</v>
      </c>
    </row>
    <row r="300" spans="2:3" ht="15.75" customHeight="1" x14ac:dyDescent="0.25">
      <c r="B300" s="67" t="e">
        <f t="shared" si="24"/>
        <v>#REF!</v>
      </c>
      <c r="C300" s="76" t="e">
        <f t="shared" si="25"/>
        <v>#REF!</v>
      </c>
    </row>
    <row r="301" spans="2:3" ht="15.75" customHeight="1" x14ac:dyDescent="0.25">
      <c r="B301" s="67" t="e">
        <f t="shared" si="24"/>
        <v>#REF!</v>
      </c>
      <c r="C301" s="76" t="e">
        <f t="shared" si="25"/>
        <v>#REF!</v>
      </c>
    </row>
    <row r="302" spans="2:3" ht="15.75" customHeight="1" x14ac:dyDescent="0.25">
      <c r="B302" s="67" t="e">
        <f t="shared" si="24"/>
        <v>#REF!</v>
      </c>
      <c r="C302" s="76" t="e">
        <f t="shared" si="25"/>
        <v>#REF!</v>
      </c>
    </row>
    <row r="303" spans="2:3" ht="15.75" customHeight="1" x14ac:dyDescent="0.25">
      <c r="B303" s="67" t="e">
        <f t="shared" si="24"/>
        <v>#REF!</v>
      </c>
      <c r="C303" s="76" t="e">
        <f t="shared" si="25"/>
        <v>#REF!</v>
      </c>
    </row>
    <row r="304" spans="2:3" ht="15.75" customHeight="1" x14ac:dyDescent="0.25">
      <c r="B304" s="67" t="e">
        <f t="shared" si="24"/>
        <v>#REF!</v>
      </c>
      <c r="C304" s="76" t="e">
        <f t="shared" si="25"/>
        <v>#REF!</v>
      </c>
    </row>
    <row r="305" spans="2:3" ht="15.75" customHeight="1" x14ac:dyDescent="0.25">
      <c r="B305" s="67" t="e">
        <f t="shared" si="24"/>
        <v>#REF!</v>
      </c>
      <c r="C305" s="76" t="e">
        <f t="shared" si="25"/>
        <v>#REF!</v>
      </c>
    </row>
    <row r="306" spans="2:3" ht="15.75" customHeight="1" x14ac:dyDescent="0.25">
      <c r="B306" s="67" t="e">
        <f t="shared" si="24"/>
        <v>#REF!</v>
      </c>
      <c r="C306" s="76" t="e">
        <f t="shared" si="25"/>
        <v>#REF!</v>
      </c>
    </row>
    <row r="307" spans="2:3" ht="15.75" customHeight="1" x14ac:dyDescent="0.25">
      <c r="B307" s="67" t="e">
        <f t="shared" si="24"/>
        <v>#REF!</v>
      </c>
      <c r="C307" s="76" t="e">
        <f t="shared" si="25"/>
        <v>#REF!</v>
      </c>
    </row>
    <row r="308" spans="2:3" ht="15.75" customHeight="1" x14ac:dyDescent="0.25">
      <c r="B308" s="67" t="e">
        <f t="shared" si="24"/>
        <v>#REF!</v>
      </c>
      <c r="C308" s="76" t="e">
        <f t="shared" si="25"/>
        <v>#REF!</v>
      </c>
    </row>
    <row r="309" spans="2:3" ht="15.75" customHeight="1" x14ac:dyDescent="0.25">
      <c r="B309" s="67" t="e">
        <f t="shared" si="24"/>
        <v>#REF!</v>
      </c>
      <c r="C309" s="76" t="e">
        <f t="shared" si="25"/>
        <v>#REF!</v>
      </c>
    </row>
    <row r="310" spans="2:3" ht="15.75" customHeight="1" x14ac:dyDescent="0.25">
      <c r="B310" s="67" t="e">
        <f t="shared" si="24"/>
        <v>#REF!</v>
      </c>
      <c r="C310" s="76" t="e">
        <f t="shared" si="25"/>
        <v>#REF!</v>
      </c>
    </row>
    <row r="311" spans="2:3" ht="15.75" customHeight="1" x14ac:dyDescent="0.25">
      <c r="B311" s="67" t="e">
        <f t="shared" si="24"/>
        <v>#REF!</v>
      </c>
      <c r="C311" s="76" t="e">
        <f t="shared" si="25"/>
        <v>#REF!</v>
      </c>
    </row>
    <row r="312" spans="2:3" ht="15.75" customHeight="1" x14ac:dyDescent="0.25">
      <c r="B312" s="67" t="e">
        <f t="shared" si="24"/>
        <v>#REF!</v>
      </c>
      <c r="C312" s="76" t="e">
        <f t="shared" si="25"/>
        <v>#REF!</v>
      </c>
    </row>
    <row r="313" spans="2:3" ht="15.75" customHeight="1" x14ac:dyDescent="0.25">
      <c r="B313" s="67" t="e">
        <f t="shared" si="24"/>
        <v>#REF!</v>
      </c>
      <c r="C313" s="76" t="e">
        <f t="shared" si="25"/>
        <v>#REF!</v>
      </c>
    </row>
    <row r="314" spans="2:3" ht="15.75" customHeight="1" x14ac:dyDescent="0.25">
      <c r="B314" s="67" t="e">
        <f t="shared" si="24"/>
        <v>#REF!</v>
      </c>
      <c r="C314" s="76" t="e">
        <f t="shared" si="25"/>
        <v>#REF!</v>
      </c>
    </row>
    <row r="315" spans="2:3" ht="15.75" customHeight="1" x14ac:dyDescent="0.25">
      <c r="B315" s="67" t="e">
        <f t="shared" si="24"/>
        <v>#REF!</v>
      </c>
      <c r="C315" s="76" t="e">
        <f t="shared" si="25"/>
        <v>#REF!</v>
      </c>
    </row>
    <row r="316" spans="2:3" ht="15.75" customHeight="1" x14ac:dyDescent="0.25">
      <c r="B316" s="67" t="e">
        <f t="shared" si="24"/>
        <v>#REF!</v>
      </c>
      <c r="C316" s="76" t="e">
        <f t="shared" si="25"/>
        <v>#REF!</v>
      </c>
    </row>
    <row r="317" spans="2:3" ht="15.75" customHeight="1" x14ac:dyDescent="0.25">
      <c r="B317" s="67" t="e">
        <f t="shared" si="24"/>
        <v>#REF!</v>
      </c>
      <c r="C317" s="76" t="e">
        <f t="shared" si="25"/>
        <v>#REF!</v>
      </c>
    </row>
    <row r="318" spans="2:3" ht="15.75" customHeight="1" x14ac:dyDescent="0.25">
      <c r="B318" s="67" t="e">
        <f t="shared" si="24"/>
        <v>#REF!</v>
      </c>
      <c r="C318" s="76" t="e">
        <f t="shared" si="25"/>
        <v>#REF!</v>
      </c>
    </row>
    <row r="319" spans="2:3" ht="15.75" customHeight="1" x14ac:dyDescent="0.25">
      <c r="B319" s="67" t="e">
        <f t="shared" si="24"/>
        <v>#REF!</v>
      </c>
      <c r="C319" s="76" t="e">
        <f t="shared" si="25"/>
        <v>#REF!</v>
      </c>
    </row>
    <row r="320" spans="2:3" ht="15.75" customHeight="1" x14ac:dyDescent="0.25">
      <c r="B320" s="67" t="e">
        <f t="shared" si="24"/>
        <v>#REF!</v>
      </c>
      <c r="C320" s="76" t="e">
        <f t="shared" si="25"/>
        <v>#REF!</v>
      </c>
    </row>
    <row r="321" spans="2:3" ht="15.75" customHeight="1" x14ac:dyDescent="0.25">
      <c r="B321" s="67" t="e">
        <f t="shared" si="24"/>
        <v>#REF!</v>
      </c>
      <c r="C321" s="76" t="e">
        <f t="shared" si="25"/>
        <v>#REF!</v>
      </c>
    </row>
    <row r="322" spans="2:3" ht="15.75" customHeight="1" x14ac:dyDescent="0.25">
      <c r="B322" s="67" t="e">
        <f t="shared" si="24"/>
        <v>#REF!</v>
      </c>
      <c r="C322" s="76" t="e">
        <f t="shared" si="25"/>
        <v>#REF!</v>
      </c>
    </row>
    <row r="323" spans="2:3" ht="15.75" customHeight="1" x14ac:dyDescent="0.25">
      <c r="B323" s="67" t="e">
        <f t="shared" si="24"/>
        <v>#REF!</v>
      </c>
      <c r="C323" s="76" t="e">
        <f t="shared" si="25"/>
        <v>#REF!</v>
      </c>
    </row>
    <row r="324" spans="2:3" ht="15.75" customHeight="1" x14ac:dyDescent="0.25">
      <c r="B324" s="67" t="e">
        <f t="shared" si="24"/>
        <v>#REF!</v>
      </c>
      <c r="C324" s="76" t="e">
        <f t="shared" si="25"/>
        <v>#REF!</v>
      </c>
    </row>
    <row r="325" spans="2:3" ht="15.75" customHeight="1" x14ac:dyDescent="0.25">
      <c r="B325" s="67" t="e">
        <f t="shared" si="24"/>
        <v>#REF!</v>
      </c>
      <c r="C325" s="76" t="e">
        <f t="shared" si="25"/>
        <v>#REF!</v>
      </c>
    </row>
    <row r="326" spans="2:3" ht="15.75" customHeight="1" x14ac:dyDescent="0.25">
      <c r="B326" s="67" t="e">
        <f t="shared" si="24"/>
        <v>#REF!</v>
      </c>
      <c r="C326" s="76" t="e">
        <f t="shared" si="25"/>
        <v>#REF!</v>
      </c>
    </row>
    <row r="327" spans="2:3" ht="15.75" customHeight="1" x14ac:dyDescent="0.25">
      <c r="B327" s="67" t="e">
        <f t="shared" si="24"/>
        <v>#REF!</v>
      </c>
      <c r="C327" s="76" t="e">
        <f t="shared" si="25"/>
        <v>#REF!</v>
      </c>
    </row>
    <row r="328" spans="2:3" ht="15.75" customHeight="1" x14ac:dyDescent="0.25">
      <c r="B328" s="67" t="e">
        <f t="shared" si="24"/>
        <v>#REF!</v>
      </c>
      <c r="C328" s="76" t="e">
        <f t="shared" si="25"/>
        <v>#REF!</v>
      </c>
    </row>
    <row r="329" spans="2:3" ht="15.75" customHeight="1" x14ac:dyDescent="0.25">
      <c r="B329" s="67" t="e">
        <f t="shared" si="24"/>
        <v>#REF!</v>
      </c>
      <c r="C329" s="76" t="e">
        <f t="shared" si="25"/>
        <v>#REF!</v>
      </c>
    </row>
    <row r="330" spans="2:3" ht="15.75" customHeight="1" x14ac:dyDescent="0.25">
      <c r="B330" s="67" t="e">
        <f t="shared" si="24"/>
        <v>#REF!</v>
      </c>
      <c r="C330" s="76" t="e">
        <f t="shared" si="25"/>
        <v>#REF!</v>
      </c>
    </row>
    <row r="331" spans="2:3" ht="15.75" customHeight="1" x14ac:dyDescent="0.25">
      <c r="B331" s="67" t="e">
        <f t="shared" si="24"/>
        <v>#REF!</v>
      </c>
      <c r="C331" s="76" t="e">
        <f t="shared" si="25"/>
        <v>#REF!</v>
      </c>
    </row>
    <row r="332" spans="2:3" ht="15.75" customHeight="1" x14ac:dyDescent="0.25">
      <c r="B332" s="67" t="e">
        <f t="shared" si="24"/>
        <v>#REF!</v>
      </c>
      <c r="C332" s="76" t="e">
        <f t="shared" si="25"/>
        <v>#REF!</v>
      </c>
    </row>
    <row r="333" spans="2:3" ht="15.75" customHeight="1" x14ac:dyDescent="0.25">
      <c r="B333" s="67" t="e">
        <f t="shared" si="24"/>
        <v>#REF!</v>
      </c>
      <c r="C333" s="76" t="e">
        <f t="shared" si="25"/>
        <v>#REF!</v>
      </c>
    </row>
    <row r="334" spans="2:3" ht="15.75" customHeight="1" x14ac:dyDescent="0.25">
      <c r="B334" s="67" t="e">
        <f t="shared" si="24"/>
        <v>#REF!</v>
      </c>
      <c r="C334" s="76" t="e">
        <f t="shared" si="25"/>
        <v>#REF!</v>
      </c>
    </row>
    <row r="335" spans="2:3" ht="15.75" customHeight="1" x14ac:dyDescent="0.25">
      <c r="B335" s="67" t="e">
        <f t="shared" si="24"/>
        <v>#REF!</v>
      </c>
      <c r="C335" s="76" t="e">
        <f t="shared" si="25"/>
        <v>#REF!</v>
      </c>
    </row>
    <row r="336" spans="2:3" ht="15.75" customHeight="1" x14ac:dyDescent="0.25">
      <c r="B336" s="67" t="e">
        <f t="shared" si="24"/>
        <v>#REF!</v>
      </c>
      <c r="C336" s="76" t="e">
        <f t="shared" si="25"/>
        <v>#REF!</v>
      </c>
    </row>
    <row r="337" spans="2:3" ht="15.75" customHeight="1" x14ac:dyDescent="0.25">
      <c r="B337" s="67" t="e">
        <f t="shared" si="24"/>
        <v>#REF!</v>
      </c>
      <c r="C337" s="76" t="e">
        <f t="shared" si="25"/>
        <v>#REF!</v>
      </c>
    </row>
    <row r="338" spans="2:3" ht="15.75" customHeight="1" x14ac:dyDescent="0.25">
      <c r="B338" s="67" t="e">
        <f t="shared" si="24"/>
        <v>#REF!</v>
      </c>
      <c r="C338" s="76" t="e">
        <f t="shared" si="25"/>
        <v>#REF!</v>
      </c>
    </row>
    <row r="339" spans="2:3" ht="15.75" customHeight="1" x14ac:dyDescent="0.25">
      <c r="B339" s="67" t="e">
        <f t="shared" si="24"/>
        <v>#REF!</v>
      </c>
      <c r="C339" s="76" t="e">
        <f t="shared" si="25"/>
        <v>#REF!</v>
      </c>
    </row>
    <row r="340" spans="2:3" ht="15.75" customHeight="1" x14ac:dyDescent="0.25">
      <c r="B340" s="67" t="e">
        <f t="shared" si="24"/>
        <v>#REF!</v>
      </c>
      <c r="C340" s="76" t="e">
        <f t="shared" si="25"/>
        <v>#REF!</v>
      </c>
    </row>
    <row r="341" spans="2:3" ht="15.75" customHeight="1" x14ac:dyDescent="0.25">
      <c r="B341" s="67" t="e">
        <f t="shared" si="24"/>
        <v>#REF!</v>
      </c>
      <c r="C341" s="76" t="e">
        <f t="shared" si="25"/>
        <v>#REF!</v>
      </c>
    </row>
    <row r="342" spans="2:3" ht="15.75" customHeight="1" x14ac:dyDescent="0.25">
      <c r="B342" s="67" t="e">
        <f t="shared" si="24"/>
        <v>#REF!</v>
      </c>
      <c r="C342" s="76" t="e">
        <f t="shared" si="25"/>
        <v>#REF!</v>
      </c>
    </row>
    <row r="343" spans="2:3" ht="15.75" customHeight="1" x14ac:dyDescent="0.25">
      <c r="B343" s="67" t="e">
        <f t="shared" si="24"/>
        <v>#REF!</v>
      </c>
      <c r="C343" s="76" t="e">
        <f t="shared" si="25"/>
        <v>#REF!</v>
      </c>
    </row>
    <row r="344" spans="2:3" ht="15.75" customHeight="1" x14ac:dyDescent="0.25">
      <c r="B344" s="67" t="e">
        <f t="shared" si="24"/>
        <v>#REF!</v>
      </c>
      <c r="C344" s="76" t="e">
        <f t="shared" si="25"/>
        <v>#REF!</v>
      </c>
    </row>
    <row r="345" spans="2:3" ht="15.75" customHeight="1" x14ac:dyDescent="0.25">
      <c r="B345" s="67" t="e">
        <f t="shared" si="24"/>
        <v>#REF!</v>
      </c>
      <c r="C345" s="76" t="e">
        <f t="shared" si="25"/>
        <v>#REF!</v>
      </c>
    </row>
    <row r="346" spans="2:3" ht="15.75" customHeight="1" x14ac:dyDescent="0.25">
      <c r="B346" s="67" t="e">
        <f t="shared" si="24"/>
        <v>#REF!</v>
      </c>
      <c r="C346" s="76" t="e">
        <f t="shared" si="25"/>
        <v>#REF!</v>
      </c>
    </row>
    <row r="347" spans="2:3" ht="15.75" customHeight="1" x14ac:dyDescent="0.25">
      <c r="B347" s="67" t="e">
        <f t="shared" si="24"/>
        <v>#REF!</v>
      </c>
      <c r="C347" s="76" t="e">
        <f t="shared" si="25"/>
        <v>#REF!</v>
      </c>
    </row>
    <row r="348" spans="2:3" ht="15.75" customHeight="1" x14ac:dyDescent="0.25">
      <c r="B348" s="67" t="e">
        <f t="shared" si="24"/>
        <v>#REF!</v>
      </c>
      <c r="C348" s="76" t="e">
        <f t="shared" si="25"/>
        <v>#REF!</v>
      </c>
    </row>
    <row r="349" spans="2:3" ht="15.75" customHeight="1" x14ac:dyDescent="0.25">
      <c r="B349" s="67" t="e">
        <f t="shared" si="24"/>
        <v>#REF!</v>
      </c>
      <c r="C349" s="76" t="e">
        <f t="shared" si="25"/>
        <v>#REF!</v>
      </c>
    </row>
    <row r="350" spans="2:3" ht="15.75" customHeight="1" x14ac:dyDescent="0.25">
      <c r="B350" s="67" t="e">
        <f t="shared" ref="B350:B413" si="26">IF(B349="","",IF(B349+$C$10&lt;=$C$6,B349+$C$10,""))</f>
        <v>#REF!</v>
      </c>
      <c r="C350" s="76" t="e">
        <f t="shared" ref="C350:C413" si="27">IF(B350&lt;&gt;"",C349-$C$2/COUNT($B$18:$B$511),"")</f>
        <v>#REF!</v>
      </c>
    </row>
    <row r="351" spans="2:3" ht="15.75" customHeight="1" x14ac:dyDescent="0.25">
      <c r="B351" s="67" t="e">
        <f t="shared" si="26"/>
        <v>#REF!</v>
      </c>
      <c r="C351" s="76" t="e">
        <f t="shared" si="27"/>
        <v>#REF!</v>
      </c>
    </row>
    <row r="352" spans="2:3" ht="15.75" customHeight="1" x14ac:dyDescent="0.25">
      <c r="B352" s="67" t="e">
        <f t="shared" si="26"/>
        <v>#REF!</v>
      </c>
      <c r="C352" s="76" t="e">
        <f t="shared" si="27"/>
        <v>#REF!</v>
      </c>
    </row>
    <row r="353" spans="2:3" ht="15.75" customHeight="1" x14ac:dyDescent="0.25">
      <c r="B353" s="67" t="e">
        <f t="shared" si="26"/>
        <v>#REF!</v>
      </c>
      <c r="C353" s="76" t="e">
        <f t="shared" si="27"/>
        <v>#REF!</v>
      </c>
    </row>
    <row r="354" spans="2:3" ht="15.75" customHeight="1" x14ac:dyDescent="0.25">
      <c r="B354" s="67" t="e">
        <f t="shared" si="26"/>
        <v>#REF!</v>
      </c>
      <c r="C354" s="76" t="e">
        <f t="shared" si="27"/>
        <v>#REF!</v>
      </c>
    </row>
    <row r="355" spans="2:3" ht="15.75" customHeight="1" x14ac:dyDescent="0.25">
      <c r="B355" s="67" t="e">
        <f t="shared" si="26"/>
        <v>#REF!</v>
      </c>
      <c r="C355" s="76" t="e">
        <f t="shared" si="27"/>
        <v>#REF!</v>
      </c>
    </row>
    <row r="356" spans="2:3" ht="15.75" customHeight="1" x14ac:dyDescent="0.25">
      <c r="B356" s="67" t="e">
        <f t="shared" si="26"/>
        <v>#REF!</v>
      </c>
      <c r="C356" s="76" t="e">
        <f t="shared" si="27"/>
        <v>#REF!</v>
      </c>
    </row>
    <row r="357" spans="2:3" ht="15.75" customHeight="1" x14ac:dyDescent="0.25">
      <c r="B357" s="67" t="e">
        <f t="shared" si="26"/>
        <v>#REF!</v>
      </c>
      <c r="C357" s="76" t="e">
        <f t="shared" si="27"/>
        <v>#REF!</v>
      </c>
    </row>
    <row r="358" spans="2:3" ht="15.75" customHeight="1" x14ac:dyDescent="0.25">
      <c r="B358" s="67" t="e">
        <f t="shared" si="26"/>
        <v>#REF!</v>
      </c>
      <c r="C358" s="76" t="e">
        <f t="shared" si="27"/>
        <v>#REF!</v>
      </c>
    </row>
    <row r="359" spans="2:3" ht="15.75" customHeight="1" x14ac:dyDescent="0.25">
      <c r="B359" s="67" t="e">
        <f t="shared" si="26"/>
        <v>#REF!</v>
      </c>
      <c r="C359" s="76" t="e">
        <f t="shared" si="27"/>
        <v>#REF!</v>
      </c>
    </row>
    <row r="360" spans="2:3" ht="15.75" customHeight="1" x14ac:dyDescent="0.25">
      <c r="B360" s="67" t="e">
        <f t="shared" si="26"/>
        <v>#REF!</v>
      </c>
      <c r="C360" s="76" t="e">
        <f t="shared" si="27"/>
        <v>#REF!</v>
      </c>
    </row>
    <row r="361" spans="2:3" ht="15.75" customHeight="1" x14ac:dyDescent="0.25">
      <c r="B361" s="67" t="e">
        <f t="shared" si="26"/>
        <v>#REF!</v>
      </c>
      <c r="C361" s="76" t="e">
        <f t="shared" si="27"/>
        <v>#REF!</v>
      </c>
    </row>
    <row r="362" spans="2:3" ht="15.75" customHeight="1" x14ac:dyDescent="0.25">
      <c r="B362" s="67" t="e">
        <f t="shared" si="26"/>
        <v>#REF!</v>
      </c>
      <c r="C362" s="76" t="e">
        <f t="shared" si="27"/>
        <v>#REF!</v>
      </c>
    </row>
    <row r="363" spans="2:3" ht="15.75" customHeight="1" x14ac:dyDescent="0.25">
      <c r="B363" s="67" t="e">
        <f t="shared" si="26"/>
        <v>#REF!</v>
      </c>
      <c r="C363" s="76" t="e">
        <f t="shared" si="27"/>
        <v>#REF!</v>
      </c>
    </row>
    <row r="364" spans="2:3" ht="15.75" customHeight="1" x14ac:dyDescent="0.25">
      <c r="B364" s="67" t="e">
        <f t="shared" si="26"/>
        <v>#REF!</v>
      </c>
      <c r="C364" s="76" t="e">
        <f t="shared" si="27"/>
        <v>#REF!</v>
      </c>
    </row>
    <row r="365" spans="2:3" ht="15.75" customHeight="1" x14ac:dyDescent="0.25">
      <c r="B365" s="67" t="e">
        <f t="shared" si="26"/>
        <v>#REF!</v>
      </c>
      <c r="C365" s="76" t="e">
        <f t="shared" si="27"/>
        <v>#REF!</v>
      </c>
    </row>
    <row r="366" spans="2:3" ht="15.75" customHeight="1" x14ac:dyDescent="0.25">
      <c r="B366" s="67" t="e">
        <f t="shared" si="26"/>
        <v>#REF!</v>
      </c>
      <c r="C366" s="76" t="e">
        <f t="shared" si="27"/>
        <v>#REF!</v>
      </c>
    </row>
    <row r="367" spans="2:3" ht="15.75" customHeight="1" x14ac:dyDescent="0.25">
      <c r="B367" s="67" t="e">
        <f t="shared" si="26"/>
        <v>#REF!</v>
      </c>
      <c r="C367" s="76" t="e">
        <f t="shared" si="27"/>
        <v>#REF!</v>
      </c>
    </row>
    <row r="368" spans="2:3" ht="15.75" customHeight="1" x14ac:dyDescent="0.25">
      <c r="B368" s="67" t="e">
        <f t="shared" si="26"/>
        <v>#REF!</v>
      </c>
      <c r="C368" s="76" t="e">
        <f t="shared" si="27"/>
        <v>#REF!</v>
      </c>
    </row>
    <row r="369" spans="2:3" ht="15.75" customHeight="1" x14ac:dyDescent="0.25">
      <c r="B369" s="67" t="e">
        <f t="shared" si="26"/>
        <v>#REF!</v>
      </c>
      <c r="C369" s="76" t="e">
        <f t="shared" si="27"/>
        <v>#REF!</v>
      </c>
    </row>
    <row r="370" spans="2:3" ht="15.75" customHeight="1" x14ac:dyDescent="0.25">
      <c r="B370" s="67" t="e">
        <f t="shared" si="26"/>
        <v>#REF!</v>
      </c>
      <c r="C370" s="76" t="e">
        <f t="shared" si="27"/>
        <v>#REF!</v>
      </c>
    </row>
    <row r="371" spans="2:3" ht="15.75" customHeight="1" x14ac:dyDescent="0.25">
      <c r="B371" s="67" t="e">
        <f t="shared" si="26"/>
        <v>#REF!</v>
      </c>
      <c r="C371" s="76" t="e">
        <f t="shared" si="27"/>
        <v>#REF!</v>
      </c>
    </row>
    <row r="372" spans="2:3" ht="15.75" customHeight="1" x14ac:dyDescent="0.25">
      <c r="B372" s="67" t="e">
        <f t="shared" si="26"/>
        <v>#REF!</v>
      </c>
      <c r="C372" s="76" t="e">
        <f t="shared" si="27"/>
        <v>#REF!</v>
      </c>
    </row>
    <row r="373" spans="2:3" ht="15.75" customHeight="1" x14ac:dyDescent="0.25">
      <c r="B373" s="67" t="e">
        <f t="shared" si="26"/>
        <v>#REF!</v>
      </c>
      <c r="C373" s="76" t="e">
        <f t="shared" si="27"/>
        <v>#REF!</v>
      </c>
    </row>
    <row r="374" spans="2:3" ht="15.75" customHeight="1" x14ac:dyDescent="0.25">
      <c r="B374" s="67" t="e">
        <f t="shared" si="26"/>
        <v>#REF!</v>
      </c>
      <c r="C374" s="76" t="e">
        <f t="shared" si="27"/>
        <v>#REF!</v>
      </c>
    </row>
    <row r="375" spans="2:3" ht="15.75" customHeight="1" x14ac:dyDescent="0.25">
      <c r="B375" s="67" t="e">
        <f t="shared" si="26"/>
        <v>#REF!</v>
      </c>
      <c r="C375" s="76" t="e">
        <f t="shared" si="27"/>
        <v>#REF!</v>
      </c>
    </row>
    <row r="376" spans="2:3" ht="15.75" customHeight="1" x14ac:dyDescent="0.25">
      <c r="B376" s="67" t="e">
        <f t="shared" si="26"/>
        <v>#REF!</v>
      </c>
      <c r="C376" s="76" t="e">
        <f t="shared" si="27"/>
        <v>#REF!</v>
      </c>
    </row>
    <row r="377" spans="2:3" ht="15.75" customHeight="1" x14ac:dyDescent="0.25">
      <c r="B377" s="67" t="e">
        <f t="shared" si="26"/>
        <v>#REF!</v>
      </c>
      <c r="C377" s="76" t="e">
        <f t="shared" si="27"/>
        <v>#REF!</v>
      </c>
    </row>
    <row r="378" spans="2:3" ht="15.75" customHeight="1" x14ac:dyDescent="0.25">
      <c r="B378" s="67" t="e">
        <f t="shared" si="26"/>
        <v>#REF!</v>
      </c>
      <c r="C378" s="76" t="e">
        <f t="shared" si="27"/>
        <v>#REF!</v>
      </c>
    </row>
    <row r="379" spans="2:3" ht="15.75" customHeight="1" x14ac:dyDescent="0.25">
      <c r="B379" s="67" t="e">
        <f t="shared" si="26"/>
        <v>#REF!</v>
      </c>
      <c r="C379" s="76" t="e">
        <f t="shared" si="27"/>
        <v>#REF!</v>
      </c>
    </row>
    <row r="380" spans="2:3" ht="15.75" customHeight="1" x14ac:dyDescent="0.25">
      <c r="B380" s="67" t="e">
        <f t="shared" si="26"/>
        <v>#REF!</v>
      </c>
      <c r="C380" s="76" t="e">
        <f t="shared" si="27"/>
        <v>#REF!</v>
      </c>
    </row>
    <row r="381" spans="2:3" ht="15.75" customHeight="1" x14ac:dyDescent="0.25">
      <c r="B381" s="67" t="e">
        <f t="shared" si="26"/>
        <v>#REF!</v>
      </c>
      <c r="C381" s="76" t="e">
        <f t="shared" si="27"/>
        <v>#REF!</v>
      </c>
    </row>
    <row r="382" spans="2:3" ht="15.75" customHeight="1" x14ac:dyDescent="0.25">
      <c r="B382" s="67" t="e">
        <f t="shared" si="26"/>
        <v>#REF!</v>
      </c>
      <c r="C382" s="76" t="e">
        <f t="shared" si="27"/>
        <v>#REF!</v>
      </c>
    </row>
    <row r="383" spans="2:3" ht="15.75" customHeight="1" x14ac:dyDescent="0.25">
      <c r="B383" s="67" t="e">
        <f t="shared" si="26"/>
        <v>#REF!</v>
      </c>
      <c r="C383" s="76" t="e">
        <f t="shared" si="27"/>
        <v>#REF!</v>
      </c>
    </row>
    <row r="384" spans="2:3" ht="15.75" customHeight="1" x14ac:dyDescent="0.25">
      <c r="B384" s="67" t="e">
        <f t="shared" si="26"/>
        <v>#REF!</v>
      </c>
      <c r="C384" s="76" t="e">
        <f t="shared" si="27"/>
        <v>#REF!</v>
      </c>
    </row>
    <row r="385" spans="2:3" ht="15.75" customHeight="1" x14ac:dyDescent="0.25">
      <c r="B385" s="67" t="e">
        <f t="shared" si="26"/>
        <v>#REF!</v>
      </c>
      <c r="C385" s="76" t="e">
        <f t="shared" si="27"/>
        <v>#REF!</v>
      </c>
    </row>
    <row r="386" spans="2:3" ht="15.75" customHeight="1" x14ac:dyDescent="0.25">
      <c r="B386" s="67" t="e">
        <f t="shared" si="26"/>
        <v>#REF!</v>
      </c>
      <c r="C386" s="76" t="e">
        <f t="shared" si="27"/>
        <v>#REF!</v>
      </c>
    </row>
    <row r="387" spans="2:3" ht="15.75" customHeight="1" x14ac:dyDescent="0.25">
      <c r="B387" s="67" t="e">
        <f t="shared" si="26"/>
        <v>#REF!</v>
      </c>
      <c r="C387" s="76" t="e">
        <f t="shared" si="27"/>
        <v>#REF!</v>
      </c>
    </row>
    <row r="388" spans="2:3" ht="15.75" customHeight="1" x14ac:dyDescent="0.25">
      <c r="B388" s="67" t="e">
        <f t="shared" si="26"/>
        <v>#REF!</v>
      </c>
      <c r="C388" s="76" t="e">
        <f t="shared" si="27"/>
        <v>#REF!</v>
      </c>
    </row>
    <row r="389" spans="2:3" ht="15.75" customHeight="1" x14ac:dyDescent="0.25">
      <c r="B389" s="67" t="e">
        <f t="shared" si="26"/>
        <v>#REF!</v>
      </c>
      <c r="C389" s="76" t="e">
        <f t="shared" si="27"/>
        <v>#REF!</v>
      </c>
    </row>
    <row r="390" spans="2:3" ht="15.75" customHeight="1" x14ac:dyDescent="0.25">
      <c r="B390" s="67" t="e">
        <f t="shared" si="26"/>
        <v>#REF!</v>
      </c>
      <c r="C390" s="76" t="e">
        <f t="shared" si="27"/>
        <v>#REF!</v>
      </c>
    </row>
    <row r="391" spans="2:3" ht="15.75" customHeight="1" x14ac:dyDescent="0.25">
      <c r="B391" s="67" t="e">
        <f t="shared" si="26"/>
        <v>#REF!</v>
      </c>
      <c r="C391" s="76" t="e">
        <f t="shared" si="27"/>
        <v>#REF!</v>
      </c>
    </row>
    <row r="392" spans="2:3" ht="15.75" customHeight="1" x14ac:dyDescent="0.25">
      <c r="B392" s="67" t="e">
        <f t="shared" si="26"/>
        <v>#REF!</v>
      </c>
      <c r="C392" s="76" t="e">
        <f t="shared" si="27"/>
        <v>#REF!</v>
      </c>
    </row>
    <row r="393" spans="2:3" ht="15.75" customHeight="1" x14ac:dyDescent="0.25">
      <c r="B393" s="67" t="e">
        <f t="shared" si="26"/>
        <v>#REF!</v>
      </c>
      <c r="C393" s="76" t="e">
        <f t="shared" si="27"/>
        <v>#REF!</v>
      </c>
    </row>
    <row r="394" spans="2:3" ht="15.75" customHeight="1" x14ac:dyDescent="0.25">
      <c r="B394" s="67" t="e">
        <f t="shared" si="26"/>
        <v>#REF!</v>
      </c>
      <c r="C394" s="76" t="e">
        <f t="shared" si="27"/>
        <v>#REF!</v>
      </c>
    </row>
    <row r="395" spans="2:3" ht="15.75" customHeight="1" x14ac:dyDescent="0.25">
      <c r="B395" s="67" t="e">
        <f t="shared" si="26"/>
        <v>#REF!</v>
      </c>
      <c r="C395" s="76" t="e">
        <f t="shared" si="27"/>
        <v>#REF!</v>
      </c>
    </row>
    <row r="396" spans="2:3" ht="15.75" customHeight="1" x14ac:dyDescent="0.25">
      <c r="B396" s="67" t="e">
        <f t="shared" si="26"/>
        <v>#REF!</v>
      </c>
      <c r="C396" s="76" t="e">
        <f t="shared" si="27"/>
        <v>#REF!</v>
      </c>
    </row>
    <row r="397" spans="2:3" ht="15.75" customHeight="1" x14ac:dyDescent="0.25">
      <c r="B397" s="67" t="e">
        <f t="shared" si="26"/>
        <v>#REF!</v>
      </c>
      <c r="C397" s="76" t="e">
        <f t="shared" si="27"/>
        <v>#REF!</v>
      </c>
    </row>
    <row r="398" spans="2:3" ht="15.75" customHeight="1" x14ac:dyDescent="0.25">
      <c r="B398" s="67" t="e">
        <f t="shared" si="26"/>
        <v>#REF!</v>
      </c>
      <c r="C398" s="76" t="e">
        <f t="shared" si="27"/>
        <v>#REF!</v>
      </c>
    </row>
    <row r="399" spans="2:3" ht="15.75" customHeight="1" x14ac:dyDescent="0.25">
      <c r="B399" s="67" t="e">
        <f t="shared" si="26"/>
        <v>#REF!</v>
      </c>
      <c r="C399" s="76" t="e">
        <f t="shared" si="27"/>
        <v>#REF!</v>
      </c>
    </row>
    <row r="400" spans="2:3" ht="15.75" customHeight="1" x14ac:dyDescent="0.25">
      <c r="B400" s="67" t="e">
        <f t="shared" si="26"/>
        <v>#REF!</v>
      </c>
      <c r="C400" s="76" t="e">
        <f t="shared" si="27"/>
        <v>#REF!</v>
      </c>
    </row>
    <row r="401" spans="2:3" ht="15.75" customHeight="1" x14ac:dyDescent="0.25">
      <c r="B401" s="67" t="e">
        <f t="shared" si="26"/>
        <v>#REF!</v>
      </c>
      <c r="C401" s="76" t="e">
        <f t="shared" si="27"/>
        <v>#REF!</v>
      </c>
    </row>
    <row r="402" spans="2:3" ht="15.75" customHeight="1" x14ac:dyDescent="0.25">
      <c r="B402" s="67" t="e">
        <f t="shared" si="26"/>
        <v>#REF!</v>
      </c>
      <c r="C402" s="76" t="e">
        <f t="shared" si="27"/>
        <v>#REF!</v>
      </c>
    </row>
    <row r="403" spans="2:3" ht="15.75" customHeight="1" x14ac:dyDescent="0.25">
      <c r="B403" s="67" t="e">
        <f t="shared" si="26"/>
        <v>#REF!</v>
      </c>
      <c r="C403" s="76" t="e">
        <f t="shared" si="27"/>
        <v>#REF!</v>
      </c>
    </row>
    <row r="404" spans="2:3" ht="15.75" customHeight="1" x14ac:dyDescent="0.25">
      <c r="B404" s="67" t="e">
        <f t="shared" si="26"/>
        <v>#REF!</v>
      </c>
      <c r="C404" s="76" t="e">
        <f t="shared" si="27"/>
        <v>#REF!</v>
      </c>
    </row>
    <row r="405" spans="2:3" ht="15.75" customHeight="1" x14ac:dyDescent="0.25">
      <c r="B405" s="67" t="e">
        <f t="shared" si="26"/>
        <v>#REF!</v>
      </c>
      <c r="C405" s="76" t="e">
        <f t="shared" si="27"/>
        <v>#REF!</v>
      </c>
    </row>
    <row r="406" spans="2:3" ht="15.75" customHeight="1" x14ac:dyDescent="0.25">
      <c r="B406" s="67" t="e">
        <f t="shared" si="26"/>
        <v>#REF!</v>
      </c>
      <c r="C406" s="76" t="e">
        <f t="shared" si="27"/>
        <v>#REF!</v>
      </c>
    </row>
    <row r="407" spans="2:3" ht="15.75" customHeight="1" x14ac:dyDescent="0.25">
      <c r="B407" s="67" t="e">
        <f t="shared" si="26"/>
        <v>#REF!</v>
      </c>
      <c r="C407" s="76" t="e">
        <f t="shared" si="27"/>
        <v>#REF!</v>
      </c>
    </row>
    <row r="408" spans="2:3" ht="15.75" customHeight="1" x14ac:dyDescent="0.25">
      <c r="B408" s="67" t="e">
        <f t="shared" si="26"/>
        <v>#REF!</v>
      </c>
      <c r="C408" s="76" t="e">
        <f t="shared" si="27"/>
        <v>#REF!</v>
      </c>
    </row>
    <row r="409" spans="2:3" ht="15.75" customHeight="1" x14ac:dyDescent="0.25">
      <c r="B409" s="67" t="e">
        <f t="shared" si="26"/>
        <v>#REF!</v>
      </c>
      <c r="C409" s="76" t="e">
        <f t="shared" si="27"/>
        <v>#REF!</v>
      </c>
    </row>
    <row r="410" spans="2:3" ht="15.75" customHeight="1" x14ac:dyDescent="0.25">
      <c r="B410" s="67" t="e">
        <f t="shared" si="26"/>
        <v>#REF!</v>
      </c>
      <c r="C410" s="76" t="e">
        <f t="shared" si="27"/>
        <v>#REF!</v>
      </c>
    </row>
    <row r="411" spans="2:3" ht="15.75" customHeight="1" x14ac:dyDescent="0.25">
      <c r="B411" s="67" t="e">
        <f t="shared" si="26"/>
        <v>#REF!</v>
      </c>
      <c r="C411" s="76" t="e">
        <f t="shared" si="27"/>
        <v>#REF!</v>
      </c>
    </row>
    <row r="412" spans="2:3" ht="15.75" customHeight="1" x14ac:dyDescent="0.25">
      <c r="B412" s="67" t="e">
        <f t="shared" si="26"/>
        <v>#REF!</v>
      </c>
      <c r="C412" s="76" t="e">
        <f t="shared" si="27"/>
        <v>#REF!</v>
      </c>
    </row>
    <row r="413" spans="2:3" ht="15.75" customHeight="1" x14ac:dyDescent="0.25">
      <c r="B413" s="67" t="e">
        <f t="shared" si="26"/>
        <v>#REF!</v>
      </c>
      <c r="C413" s="76" t="e">
        <f t="shared" si="27"/>
        <v>#REF!</v>
      </c>
    </row>
    <row r="414" spans="2:3" ht="15.75" customHeight="1" x14ac:dyDescent="0.25">
      <c r="B414" s="67" t="e">
        <f t="shared" ref="B414:B477" si="28">IF(B413="","",IF(B413+$C$10&lt;=$C$6,B413+$C$10,""))</f>
        <v>#REF!</v>
      </c>
      <c r="C414" s="76" t="e">
        <f t="shared" ref="C414:C477" si="29">IF(B414&lt;&gt;"",C413-$C$2/COUNT($B$18:$B$511),"")</f>
        <v>#REF!</v>
      </c>
    </row>
    <row r="415" spans="2:3" ht="15.75" customHeight="1" x14ac:dyDescent="0.25">
      <c r="B415" s="67" t="e">
        <f t="shared" si="28"/>
        <v>#REF!</v>
      </c>
      <c r="C415" s="76" t="e">
        <f t="shared" si="29"/>
        <v>#REF!</v>
      </c>
    </row>
    <row r="416" spans="2:3" ht="15.75" customHeight="1" x14ac:dyDescent="0.25">
      <c r="B416" s="67" t="e">
        <f t="shared" si="28"/>
        <v>#REF!</v>
      </c>
      <c r="C416" s="76" t="e">
        <f t="shared" si="29"/>
        <v>#REF!</v>
      </c>
    </row>
    <row r="417" spans="2:3" ht="15.75" customHeight="1" x14ac:dyDescent="0.25">
      <c r="B417" s="67" t="e">
        <f t="shared" si="28"/>
        <v>#REF!</v>
      </c>
      <c r="C417" s="76" t="e">
        <f t="shared" si="29"/>
        <v>#REF!</v>
      </c>
    </row>
    <row r="418" spans="2:3" ht="15.75" customHeight="1" x14ac:dyDescent="0.25">
      <c r="B418" s="67" t="e">
        <f t="shared" si="28"/>
        <v>#REF!</v>
      </c>
      <c r="C418" s="76" t="e">
        <f t="shared" si="29"/>
        <v>#REF!</v>
      </c>
    </row>
    <row r="419" spans="2:3" ht="15.75" customHeight="1" x14ac:dyDescent="0.25">
      <c r="B419" s="67" t="e">
        <f t="shared" si="28"/>
        <v>#REF!</v>
      </c>
      <c r="C419" s="76" t="e">
        <f t="shared" si="29"/>
        <v>#REF!</v>
      </c>
    </row>
    <row r="420" spans="2:3" ht="15.75" customHeight="1" x14ac:dyDescent="0.25">
      <c r="B420" s="67" t="e">
        <f t="shared" si="28"/>
        <v>#REF!</v>
      </c>
      <c r="C420" s="76" t="e">
        <f t="shared" si="29"/>
        <v>#REF!</v>
      </c>
    </row>
    <row r="421" spans="2:3" ht="15.75" customHeight="1" x14ac:dyDescent="0.25">
      <c r="B421" s="67" t="e">
        <f t="shared" si="28"/>
        <v>#REF!</v>
      </c>
      <c r="C421" s="76" t="e">
        <f t="shared" si="29"/>
        <v>#REF!</v>
      </c>
    </row>
    <row r="422" spans="2:3" ht="15.75" customHeight="1" x14ac:dyDescent="0.25">
      <c r="B422" s="67" t="e">
        <f t="shared" si="28"/>
        <v>#REF!</v>
      </c>
      <c r="C422" s="76" t="e">
        <f t="shared" si="29"/>
        <v>#REF!</v>
      </c>
    </row>
    <row r="423" spans="2:3" ht="15.75" customHeight="1" x14ac:dyDescent="0.25">
      <c r="B423" s="67" t="e">
        <f t="shared" si="28"/>
        <v>#REF!</v>
      </c>
      <c r="C423" s="76" t="e">
        <f t="shared" si="29"/>
        <v>#REF!</v>
      </c>
    </row>
    <row r="424" spans="2:3" ht="15.75" customHeight="1" x14ac:dyDescent="0.25">
      <c r="B424" s="67" t="e">
        <f t="shared" si="28"/>
        <v>#REF!</v>
      </c>
      <c r="C424" s="76" t="e">
        <f t="shared" si="29"/>
        <v>#REF!</v>
      </c>
    </row>
    <row r="425" spans="2:3" ht="15.75" customHeight="1" x14ac:dyDescent="0.25">
      <c r="B425" s="67" t="e">
        <f t="shared" si="28"/>
        <v>#REF!</v>
      </c>
      <c r="C425" s="76" t="e">
        <f t="shared" si="29"/>
        <v>#REF!</v>
      </c>
    </row>
    <row r="426" spans="2:3" ht="15.75" customHeight="1" x14ac:dyDescent="0.25">
      <c r="B426" s="67" t="e">
        <f t="shared" si="28"/>
        <v>#REF!</v>
      </c>
      <c r="C426" s="76" t="e">
        <f t="shared" si="29"/>
        <v>#REF!</v>
      </c>
    </row>
    <row r="427" spans="2:3" ht="15.75" customHeight="1" x14ac:dyDescent="0.25">
      <c r="B427" s="67" t="e">
        <f t="shared" si="28"/>
        <v>#REF!</v>
      </c>
      <c r="C427" s="76" t="e">
        <f t="shared" si="29"/>
        <v>#REF!</v>
      </c>
    </row>
    <row r="428" spans="2:3" ht="15.75" customHeight="1" x14ac:dyDescent="0.25">
      <c r="B428" s="67" t="e">
        <f t="shared" si="28"/>
        <v>#REF!</v>
      </c>
      <c r="C428" s="76" t="e">
        <f t="shared" si="29"/>
        <v>#REF!</v>
      </c>
    </row>
    <row r="429" spans="2:3" ht="15.75" customHeight="1" x14ac:dyDescent="0.25">
      <c r="B429" s="67" t="e">
        <f t="shared" si="28"/>
        <v>#REF!</v>
      </c>
      <c r="C429" s="76" t="e">
        <f t="shared" si="29"/>
        <v>#REF!</v>
      </c>
    </row>
    <row r="430" spans="2:3" ht="15.75" customHeight="1" x14ac:dyDescent="0.25">
      <c r="B430" s="67" t="e">
        <f t="shared" si="28"/>
        <v>#REF!</v>
      </c>
      <c r="C430" s="76" t="e">
        <f t="shared" si="29"/>
        <v>#REF!</v>
      </c>
    </row>
    <row r="431" spans="2:3" ht="15.75" customHeight="1" x14ac:dyDescent="0.25">
      <c r="B431" s="67" t="e">
        <f t="shared" si="28"/>
        <v>#REF!</v>
      </c>
      <c r="C431" s="76" t="e">
        <f t="shared" si="29"/>
        <v>#REF!</v>
      </c>
    </row>
    <row r="432" spans="2:3" ht="15.75" customHeight="1" x14ac:dyDescent="0.25">
      <c r="B432" s="67" t="e">
        <f t="shared" si="28"/>
        <v>#REF!</v>
      </c>
      <c r="C432" s="76" t="e">
        <f t="shared" si="29"/>
        <v>#REF!</v>
      </c>
    </row>
    <row r="433" spans="2:3" ht="15.75" customHeight="1" x14ac:dyDescent="0.25">
      <c r="B433" s="67" t="e">
        <f t="shared" si="28"/>
        <v>#REF!</v>
      </c>
      <c r="C433" s="76" t="e">
        <f t="shared" si="29"/>
        <v>#REF!</v>
      </c>
    </row>
    <row r="434" spans="2:3" ht="15.75" customHeight="1" x14ac:dyDescent="0.25">
      <c r="B434" s="67" t="e">
        <f t="shared" si="28"/>
        <v>#REF!</v>
      </c>
      <c r="C434" s="76" t="e">
        <f t="shared" si="29"/>
        <v>#REF!</v>
      </c>
    </row>
    <row r="435" spans="2:3" ht="15.75" customHeight="1" x14ac:dyDescent="0.25">
      <c r="B435" s="67" t="e">
        <f t="shared" si="28"/>
        <v>#REF!</v>
      </c>
      <c r="C435" s="76" t="e">
        <f t="shared" si="29"/>
        <v>#REF!</v>
      </c>
    </row>
    <row r="436" spans="2:3" ht="15.75" customHeight="1" x14ac:dyDescent="0.25">
      <c r="B436" s="67" t="e">
        <f t="shared" si="28"/>
        <v>#REF!</v>
      </c>
      <c r="C436" s="76" t="e">
        <f t="shared" si="29"/>
        <v>#REF!</v>
      </c>
    </row>
    <row r="437" spans="2:3" ht="15.75" customHeight="1" x14ac:dyDescent="0.25">
      <c r="B437" s="67" t="e">
        <f t="shared" si="28"/>
        <v>#REF!</v>
      </c>
      <c r="C437" s="76" t="e">
        <f t="shared" si="29"/>
        <v>#REF!</v>
      </c>
    </row>
    <row r="438" spans="2:3" ht="15.75" customHeight="1" x14ac:dyDescent="0.25">
      <c r="B438" s="67" t="e">
        <f t="shared" si="28"/>
        <v>#REF!</v>
      </c>
      <c r="C438" s="76" t="e">
        <f t="shared" si="29"/>
        <v>#REF!</v>
      </c>
    </row>
    <row r="439" spans="2:3" ht="15.75" customHeight="1" x14ac:dyDescent="0.25">
      <c r="B439" s="67" t="e">
        <f t="shared" si="28"/>
        <v>#REF!</v>
      </c>
      <c r="C439" s="76" t="e">
        <f t="shared" si="29"/>
        <v>#REF!</v>
      </c>
    </row>
    <row r="440" spans="2:3" ht="15.75" customHeight="1" x14ac:dyDescent="0.25">
      <c r="B440" s="67" t="e">
        <f t="shared" si="28"/>
        <v>#REF!</v>
      </c>
      <c r="C440" s="76" t="e">
        <f t="shared" si="29"/>
        <v>#REF!</v>
      </c>
    </row>
    <row r="441" spans="2:3" ht="15.75" customHeight="1" x14ac:dyDescent="0.25">
      <c r="B441" s="67" t="e">
        <f t="shared" si="28"/>
        <v>#REF!</v>
      </c>
      <c r="C441" s="76" t="e">
        <f t="shared" si="29"/>
        <v>#REF!</v>
      </c>
    </row>
    <row r="442" spans="2:3" ht="15.75" customHeight="1" x14ac:dyDescent="0.25">
      <c r="B442" s="67" t="e">
        <f t="shared" si="28"/>
        <v>#REF!</v>
      </c>
      <c r="C442" s="76" t="e">
        <f t="shared" si="29"/>
        <v>#REF!</v>
      </c>
    </row>
    <row r="443" spans="2:3" ht="15.75" customHeight="1" x14ac:dyDescent="0.25">
      <c r="B443" s="67" t="e">
        <f t="shared" si="28"/>
        <v>#REF!</v>
      </c>
      <c r="C443" s="76" t="e">
        <f t="shared" si="29"/>
        <v>#REF!</v>
      </c>
    </row>
    <row r="444" spans="2:3" ht="15.75" customHeight="1" x14ac:dyDescent="0.25">
      <c r="B444" s="67" t="e">
        <f t="shared" si="28"/>
        <v>#REF!</v>
      </c>
      <c r="C444" s="76" t="e">
        <f t="shared" si="29"/>
        <v>#REF!</v>
      </c>
    </row>
    <row r="445" spans="2:3" ht="15.75" customHeight="1" x14ac:dyDescent="0.25">
      <c r="B445" s="67" t="e">
        <f t="shared" si="28"/>
        <v>#REF!</v>
      </c>
      <c r="C445" s="76" t="e">
        <f t="shared" si="29"/>
        <v>#REF!</v>
      </c>
    </row>
    <row r="446" spans="2:3" ht="15.75" customHeight="1" x14ac:dyDescent="0.25">
      <c r="B446" s="67" t="e">
        <f t="shared" si="28"/>
        <v>#REF!</v>
      </c>
      <c r="C446" s="76" t="e">
        <f t="shared" si="29"/>
        <v>#REF!</v>
      </c>
    </row>
    <row r="447" spans="2:3" ht="15.75" customHeight="1" x14ac:dyDescent="0.25">
      <c r="B447" s="67" t="e">
        <f t="shared" si="28"/>
        <v>#REF!</v>
      </c>
      <c r="C447" s="76" t="e">
        <f t="shared" si="29"/>
        <v>#REF!</v>
      </c>
    </row>
    <row r="448" spans="2:3" ht="15.75" customHeight="1" x14ac:dyDescent="0.25">
      <c r="B448" s="67" t="e">
        <f t="shared" si="28"/>
        <v>#REF!</v>
      </c>
      <c r="C448" s="76" t="e">
        <f t="shared" si="29"/>
        <v>#REF!</v>
      </c>
    </row>
    <row r="449" spans="2:3" ht="15.75" customHeight="1" x14ac:dyDescent="0.25">
      <c r="B449" s="67" t="e">
        <f t="shared" si="28"/>
        <v>#REF!</v>
      </c>
      <c r="C449" s="76" t="e">
        <f t="shared" si="29"/>
        <v>#REF!</v>
      </c>
    </row>
    <row r="450" spans="2:3" ht="15.75" customHeight="1" x14ac:dyDescent="0.25">
      <c r="B450" s="67" t="e">
        <f t="shared" si="28"/>
        <v>#REF!</v>
      </c>
      <c r="C450" s="76" t="e">
        <f t="shared" si="29"/>
        <v>#REF!</v>
      </c>
    </row>
    <row r="451" spans="2:3" ht="15.75" customHeight="1" x14ac:dyDescent="0.25">
      <c r="B451" s="67" t="e">
        <f t="shared" si="28"/>
        <v>#REF!</v>
      </c>
      <c r="C451" s="76" t="e">
        <f t="shared" si="29"/>
        <v>#REF!</v>
      </c>
    </row>
    <row r="452" spans="2:3" ht="15.75" customHeight="1" x14ac:dyDescent="0.25">
      <c r="B452" s="67" t="e">
        <f t="shared" si="28"/>
        <v>#REF!</v>
      </c>
      <c r="C452" s="76" t="e">
        <f t="shared" si="29"/>
        <v>#REF!</v>
      </c>
    </row>
    <row r="453" spans="2:3" ht="15.75" customHeight="1" x14ac:dyDescent="0.25">
      <c r="B453" s="67" t="e">
        <f t="shared" si="28"/>
        <v>#REF!</v>
      </c>
      <c r="C453" s="76" t="e">
        <f t="shared" si="29"/>
        <v>#REF!</v>
      </c>
    </row>
    <row r="454" spans="2:3" ht="15.75" customHeight="1" x14ac:dyDescent="0.25">
      <c r="B454" s="67" t="e">
        <f t="shared" si="28"/>
        <v>#REF!</v>
      </c>
      <c r="C454" s="76" t="e">
        <f t="shared" si="29"/>
        <v>#REF!</v>
      </c>
    </row>
    <row r="455" spans="2:3" ht="15.75" customHeight="1" x14ac:dyDescent="0.25">
      <c r="B455" s="67" t="e">
        <f t="shared" si="28"/>
        <v>#REF!</v>
      </c>
      <c r="C455" s="76" t="e">
        <f t="shared" si="29"/>
        <v>#REF!</v>
      </c>
    </row>
    <row r="456" spans="2:3" ht="15.75" customHeight="1" x14ac:dyDescent="0.25">
      <c r="B456" s="67" t="e">
        <f t="shared" si="28"/>
        <v>#REF!</v>
      </c>
      <c r="C456" s="76" t="e">
        <f t="shared" si="29"/>
        <v>#REF!</v>
      </c>
    </row>
    <row r="457" spans="2:3" ht="15.75" customHeight="1" x14ac:dyDescent="0.25">
      <c r="B457" s="67" t="e">
        <f t="shared" si="28"/>
        <v>#REF!</v>
      </c>
      <c r="C457" s="76" t="e">
        <f t="shared" si="29"/>
        <v>#REF!</v>
      </c>
    </row>
    <row r="458" spans="2:3" ht="15.75" customHeight="1" x14ac:dyDescent="0.25">
      <c r="B458" s="67" t="e">
        <f t="shared" si="28"/>
        <v>#REF!</v>
      </c>
      <c r="C458" s="76" t="e">
        <f t="shared" si="29"/>
        <v>#REF!</v>
      </c>
    </row>
    <row r="459" spans="2:3" ht="15.75" customHeight="1" x14ac:dyDescent="0.25">
      <c r="B459" s="67" t="e">
        <f t="shared" si="28"/>
        <v>#REF!</v>
      </c>
      <c r="C459" s="76" t="e">
        <f t="shared" si="29"/>
        <v>#REF!</v>
      </c>
    </row>
    <row r="460" spans="2:3" ht="15.75" customHeight="1" x14ac:dyDescent="0.25">
      <c r="B460" s="67" t="e">
        <f t="shared" si="28"/>
        <v>#REF!</v>
      </c>
      <c r="C460" s="76" t="e">
        <f t="shared" si="29"/>
        <v>#REF!</v>
      </c>
    </row>
    <row r="461" spans="2:3" ht="15.75" customHeight="1" x14ac:dyDescent="0.25">
      <c r="B461" s="67" t="e">
        <f t="shared" si="28"/>
        <v>#REF!</v>
      </c>
      <c r="C461" s="76" t="e">
        <f t="shared" si="29"/>
        <v>#REF!</v>
      </c>
    </row>
    <row r="462" spans="2:3" ht="15.75" customHeight="1" x14ac:dyDescent="0.25">
      <c r="B462" s="67" t="e">
        <f t="shared" si="28"/>
        <v>#REF!</v>
      </c>
      <c r="C462" s="76" t="e">
        <f t="shared" si="29"/>
        <v>#REF!</v>
      </c>
    </row>
    <row r="463" spans="2:3" ht="15.75" customHeight="1" x14ac:dyDescent="0.25">
      <c r="B463" s="67" t="e">
        <f t="shared" si="28"/>
        <v>#REF!</v>
      </c>
      <c r="C463" s="76" t="e">
        <f t="shared" si="29"/>
        <v>#REF!</v>
      </c>
    </row>
    <row r="464" spans="2:3" ht="15.75" customHeight="1" x14ac:dyDescent="0.25">
      <c r="B464" s="67" t="e">
        <f t="shared" si="28"/>
        <v>#REF!</v>
      </c>
      <c r="C464" s="76" t="e">
        <f t="shared" si="29"/>
        <v>#REF!</v>
      </c>
    </row>
    <row r="465" spans="2:3" ht="15.75" customHeight="1" x14ac:dyDescent="0.25">
      <c r="B465" s="67" t="e">
        <f t="shared" si="28"/>
        <v>#REF!</v>
      </c>
      <c r="C465" s="76" t="e">
        <f t="shared" si="29"/>
        <v>#REF!</v>
      </c>
    </row>
    <row r="466" spans="2:3" ht="15.75" customHeight="1" x14ac:dyDescent="0.25">
      <c r="B466" s="67" t="e">
        <f t="shared" si="28"/>
        <v>#REF!</v>
      </c>
      <c r="C466" s="76" t="e">
        <f t="shared" si="29"/>
        <v>#REF!</v>
      </c>
    </row>
    <row r="467" spans="2:3" ht="15.75" customHeight="1" x14ac:dyDescent="0.25">
      <c r="B467" s="67" t="e">
        <f t="shared" si="28"/>
        <v>#REF!</v>
      </c>
      <c r="C467" s="76" t="e">
        <f t="shared" si="29"/>
        <v>#REF!</v>
      </c>
    </row>
    <row r="468" spans="2:3" ht="15.75" customHeight="1" x14ac:dyDescent="0.25">
      <c r="B468" s="67" t="e">
        <f t="shared" si="28"/>
        <v>#REF!</v>
      </c>
      <c r="C468" s="76" t="e">
        <f t="shared" si="29"/>
        <v>#REF!</v>
      </c>
    </row>
    <row r="469" spans="2:3" ht="15.75" customHeight="1" x14ac:dyDescent="0.25">
      <c r="B469" s="67" t="e">
        <f t="shared" si="28"/>
        <v>#REF!</v>
      </c>
      <c r="C469" s="76" t="e">
        <f t="shared" si="29"/>
        <v>#REF!</v>
      </c>
    </row>
    <row r="470" spans="2:3" ht="15.75" customHeight="1" x14ac:dyDescent="0.25">
      <c r="B470" s="67" t="e">
        <f t="shared" si="28"/>
        <v>#REF!</v>
      </c>
      <c r="C470" s="76" t="e">
        <f t="shared" si="29"/>
        <v>#REF!</v>
      </c>
    </row>
    <row r="471" spans="2:3" ht="15.75" customHeight="1" x14ac:dyDescent="0.25">
      <c r="B471" s="67" t="e">
        <f t="shared" si="28"/>
        <v>#REF!</v>
      </c>
      <c r="C471" s="76" t="e">
        <f t="shared" si="29"/>
        <v>#REF!</v>
      </c>
    </row>
    <row r="472" spans="2:3" ht="15.75" customHeight="1" x14ac:dyDescent="0.25">
      <c r="B472" s="67" t="e">
        <f t="shared" si="28"/>
        <v>#REF!</v>
      </c>
      <c r="C472" s="76" t="e">
        <f t="shared" si="29"/>
        <v>#REF!</v>
      </c>
    </row>
    <row r="473" spans="2:3" ht="15.75" customHeight="1" x14ac:dyDescent="0.25">
      <c r="B473" s="67" t="e">
        <f t="shared" si="28"/>
        <v>#REF!</v>
      </c>
      <c r="C473" s="76" t="e">
        <f t="shared" si="29"/>
        <v>#REF!</v>
      </c>
    </row>
    <row r="474" spans="2:3" ht="15.75" customHeight="1" x14ac:dyDescent="0.25">
      <c r="B474" s="67" t="e">
        <f t="shared" si="28"/>
        <v>#REF!</v>
      </c>
      <c r="C474" s="76" t="e">
        <f t="shared" si="29"/>
        <v>#REF!</v>
      </c>
    </row>
    <row r="475" spans="2:3" ht="15.75" customHeight="1" x14ac:dyDescent="0.25">
      <c r="B475" s="67" t="e">
        <f t="shared" si="28"/>
        <v>#REF!</v>
      </c>
      <c r="C475" s="76" t="e">
        <f t="shared" si="29"/>
        <v>#REF!</v>
      </c>
    </row>
    <row r="476" spans="2:3" ht="15.75" customHeight="1" x14ac:dyDescent="0.25">
      <c r="B476" s="67" t="e">
        <f t="shared" si="28"/>
        <v>#REF!</v>
      </c>
      <c r="C476" s="76" t="e">
        <f t="shared" si="29"/>
        <v>#REF!</v>
      </c>
    </row>
    <row r="477" spans="2:3" ht="15.75" customHeight="1" x14ac:dyDescent="0.25">
      <c r="B477" s="67" t="e">
        <f t="shared" si="28"/>
        <v>#REF!</v>
      </c>
      <c r="C477" s="76" t="e">
        <f t="shared" si="29"/>
        <v>#REF!</v>
      </c>
    </row>
    <row r="478" spans="2:3" ht="15.75" customHeight="1" x14ac:dyDescent="0.25">
      <c r="B478" s="67" t="e">
        <f t="shared" ref="B478:B512" si="30">IF(B477="","",IF(B477+$C$10&lt;=$C$6,B477+$C$10,""))</f>
        <v>#REF!</v>
      </c>
      <c r="C478" s="76" t="e">
        <f t="shared" ref="C478:C512" si="31">IF(B478&lt;&gt;"",C477-$C$2/COUNT($B$18:$B$511),"")</f>
        <v>#REF!</v>
      </c>
    </row>
    <row r="479" spans="2:3" ht="15.75" customHeight="1" x14ac:dyDescent="0.25">
      <c r="B479" s="67" t="e">
        <f t="shared" si="30"/>
        <v>#REF!</v>
      </c>
      <c r="C479" s="76" t="e">
        <f t="shared" si="31"/>
        <v>#REF!</v>
      </c>
    </row>
    <row r="480" spans="2:3" ht="15.75" customHeight="1" x14ac:dyDescent="0.25">
      <c r="B480" s="67" t="e">
        <f t="shared" si="30"/>
        <v>#REF!</v>
      </c>
      <c r="C480" s="76" t="e">
        <f t="shared" si="31"/>
        <v>#REF!</v>
      </c>
    </row>
    <row r="481" spans="2:3" ht="15.75" customHeight="1" x14ac:dyDescent="0.25">
      <c r="B481" s="67" t="e">
        <f t="shared" si="30"/>
        <v>#REF!</v>
      </c>
      <c r="C481" s="76" t="e">
        <f t="shared" si="31"/>
        <v>#REF!</v>
      </c>
    </row>
    <row r="482" spans="2:3" ht="15.75" customHeight="1" x14ac:dyDescent="0.25">
      <c r="B482" s="67" t="e">
        <f t="shared" si="30"/>
        <v>#REF!</v>
      </c>
      <c r="C482" s="76" t="e">
        <f t="shared" si="31"/>
        <v>#REF!</v>
      </c>
    </row>
    <row r="483" spans="2:3" ht="15.75" customHeight="1" x14ac:dyDescent="0.25">
      <c r="B483" s="67" t="e">
        <f t="shared" si="30"/>
        <v>#REF!</v>
      </c>
      <c r="C483" s="76" t="e">
        <f t="shared" si="31"/>
        <v>#REF!</v>
      </c>
    </row>
    <row r="484" spans="2:3" ht="15.75" customHeight="1" x14ac:dyDescent="0.25">
      <c r="B484" s="67" t="e">
        <f t="shared" si="30"/>
        <v>#REF!</v>
      </c>
      <c r="C484" s="76" t="e">
        <f t="shared" si="31"/>
        <v>#REF!</v>
      </c>
    </row>
    <row r="485" spans="2:3" ht="15.75" customHeight="1" x14ac:dyDescent="0.25">
      <c r="B485" s="67" t="e">
        <f t="shared" si="30"/>
        <v>#REF!</v>
      </c>
      <c r="C485" s="76" t="e">
        <f t="shared" si="31"/>
        <v>#REF!</v>
      </c>
    </row>
    <row r="486" spans="2:3" ht="15.75" customHeight="1" x14ac:dyDescent="0.25">
      <c r="B486" s="67" t="e">
        <f t="shared" si="30"/>
        <v>#REF!</v>
      </c>
      <c r="C486" s="76" t="e">
        <f t="shared" si="31"/>
        <v>#REF!</v>
      </c>
    </row>
    <row r="487" spans="2:3" ht="15.75" customHeight="1" x14ac:dyDescent="0.25">
      <c r="B487" s="67" t="e">
        <f t="shared" si="30"/>
        <v>#REF!</v>
      </c>
      <c r="C487" s="76" t="e">
        <f t="shared" si="31"/>
        <v>#REF!</v>
      </c>
    </row>
    <row r="488" spans="2:3" ht="15.75" customHeight="1" x14ac:dyDescent="0.25">
      <c r="B488" s="67" t="e">
        <f t="shared" si="30"/>
        <v>#REF!</v>
      </c>
      <c r="C488" s="76" t="e">
        <f t="shared" si="31"/>
        <v>#REF!</v>
      </c>
    </row>
    <row r="489" spans="2:3" ht="15.75" customHeight="1" x14ac:dyDescent="0.25">
      <c r="B489" s="67" t="e">
        <f t="shared" si="30"/>
        <v>#REF!</v>
      </c>
      <c r="C489" s="76" t="e">
        <f t="shared" si="31"/>
        <v>#REF!</v>
      </c>
    </row>
    <row r="490" spans="2:3" ht="15.75" customHeight="1" x14ac:dyDescent="0.25">
      <c r="B490" s="67" t="e">
        <f t="shared" si="30"/>
        <v>#REF!</v>
      </c>
      <c r="C490" s="76" t="e">
        <f t="shared" si="31"/>
        <v>#REF!</v>
      </c>
    </row>
    <row r="491" spans="2:3" ht="15.75" customHeight="1" x14ac:dyDescent="0.25">
      <c r="B491" s="67" t="e">
        <f t="shared" si="30"/>
        <v>#REF!</v>
      </c>
      <c r="C491" s="76" t="e">
        <f t="shared" si="31"/>
        <v>#REF!</v>
      </c>
    </row>
    <row r="492" spans="2:3" ht="15.75" customHeight="1" x14ac:dyDescent="0.25">
      <c r="B492" s="67" t="e">
        <f t="shared" si="30"/>
        <v>#REF!</v>
      </c>
      <c r="C492" s="76" t="e">
        <f t="shared" si="31"/>
        <v>#REF!</v>
      </c>
    </row>
    <row r="493" spans="2:3" ht="15.75" customHeight="1" x14ac:dyDescent="0.25">
      <c r="B493" s="67" t="e">
        <f t="shared" si="30"/>
        <v>#REF!</v>
      </c>
      <c r="C493" s="76" t="e">
        <f t="shared" si="31"/>
        <v>#REF!</v>
      </c>
    </row>
    <row r="494" spans="2:3" ht="15.75" customHeight="1" x14ac:dyDescent="0.25">
      <c r="B494" s="67" t="e">
        <f t="shared" si="30"/>
        <v>#REF!</v>
      </c>
      <c r="C494" s="76" t="e">
        <f t="shared" si="31"/>
        <v>#REF!</v>
      </c>
    </row>
    <row r="495" spans="2:3" ht="15.75" customHeight="1" x14ac:dyDescent="0.25">
      <c r="B495" s="67" t="e">
        <f t="shared" si="30"/>
        <v>#REF!</v>
      </c>
      <c r="C495" s="76" t="e">
        <f t="shared" si="31"/>
        <v>#REF!</v>
      </c>
    </row>
    <row r="496" spans="2:3" ht="15.75" customHeight="1" x14ac:dyDescent="0.25">
      <c r="B496" s="67" t="e">
        <f t="shared" si="30"/>
        <v>#REF!</v>
      </c>
      <c r="C496" s="76" t="e">
        <f t="shared" si="31"/>
        <v>#REF!</v>
      </c>
    </row>
    <row r="497" spans="2:3" ht="15.75" customHeight="1" x14ac:dyDescent="0.25">
      <c r="B497" s="67" t="e">
        <f t="shared" si="30"/>
        <v>#REF!</v>
      </c>
      <c r="C497" s="76" t="e">
        <f t="shared" si="31"/>
        <v>#REF!</v>
      </c>
    </row>
    <row r="498" spans="2:3" ht="15.75" customHeight="1" x14ac:dyDescent="0.25">
      <c r="B498" s="67" t="e">
        <f t="shared" si="30"/>
        <v>#REF!</v>
      </c>
      <c r="C498" s="76" t="e">
        <f t="shared" si="31"/>
        <v>#REF!</v>
      </c>
    </row>
    <row r="499" spans="2:3" ht="15.75" customHeight="1" x14ac:dyDescent="0.25">
      <c r="B499" s="67" t="e">
        <f t="shared" si="30"/>
        <v>#REF!</v>
      </c>
      <c r="C499" s="76" t="e">
        <f t="shared" si="31"/>
        <v>#REF!</v>
      </c>
    </row>
    <row r="500" spans="2:3" ht="15.75" customHeight="1" x14ac:dyDescent="0.25">
      <c r="B500" s="67" t="e">
        <f t="shared" si="30"/>
        <v>#REF!</v>
      </c>
      <c r="C500" s="76" t="e">
        <f t="shared" si="31"/>
        <v>#REF!</v>
      </c>
    </row>
    <row r="501" spans="2:3" ht="15.75" customHeight="1" x14ac:dyDescent="0.25">
      <c r="B501" s="67" t="e">
        <f t="shared" si="30"/>
        <v>#REF!</v>
      </c>
      <c r="C501" s="76" t="e">
        <f t="shared" si="31"/>
        <v>#REF!</v>
      </c>
    </row>
    <row r="502" spans="2:3" ht="15.75" customHeight="1" x14ac:dyDescent="0.25">
      <c r="B502" s="67" t="e">
        <f t="shared" si="30"/>
        <v>#REF!</v>
      </c>
      <c r="C502" s="76" t="e">
        <f t="shared" si="31"/>
        <v>#REF!</v>
      </c>
    </row>
    <row r="503" spans="2:3" ht="15.75" customHeight="1" x14ac:dyDescent="0.25">
      <c r="B503" s="67" t="e">
        <f t="shared" si="30"/>
        <v>#REF!</v>
      </c>
      <c r="C503" s="76" t="e">
        <f t="shared" si="31"/>
        <v>#REF!</v>
      </c>
    </row>
    <row r="504" spans="2:3" ht="15.75" customHeight="1" x14ac:dyDescent="0.25">
      <c r="B504" s="67" t="e">
        <f t="shared" si="30"/>
        <v>#REF!</v>
      </c>
      <c r="C504" s="76" t="e">
        <f t="shared" si="31"/>
        <v>#REF!</v>
      </c>
    </row>
    <row r="505" spans="2:3" ht="15.75" customHeight="1" x14ac:dyDescent="0.25">
      <c r="B505" s="67" t="e">
        <f t="shared" si="30"/>
        <v>#REF!</v>
      </c>
      <c r="C505" s="76" t="e">
        <f t="shared" si="31"/>
        <v>#REF!</v>
      </c>
    </row>
    <row r="506" spans="2:3" ht="15.75" customHeight="1" x14ac:dyDescent="0.25">
      <c r="B506" s="67" t="e">
        <f t="shared" si="30"/>
        <v>#REF!</v>
      </c>
      <c r="C506" s="76" t="e">
        <f t="shared" si="31"/>
        <v>#REF!</v>
      </c>
    </row>
    <row r="507" spans="2:3" ht="15.75" customHeight="1" x14ac:dyDescent="0.25">
      <c r="B507" s="67" t="e">
        <f t="shared" si="30"/>
        <v>#REF!</v>
      </c>
      <c r="C507" s="76" t="e">
        <f t="shared" si="31"/>
        <v>#REF!</v>
      </c>
    </row>
    <row r="508" spans="2:3" ht="15.75" customHeight="1" x14ac:dyDescent="0.25">
      <c r="B508" s="67" t="e">
        <f t="shared" si="30"/>
        <v>#REF!</v>
      </c>
      <c r="C508" s="76" t="e">
        <f t="shared" si="31"/>
        <v>#REF!</v>
      </c>
    </row>
    <row r="509" spans="2:3" ht="15.75" customHeight="1" x14ac:dyDescent="0.25">
      <c r="B509" s="67" t="e">
        <f t="shared" si="30"/>
        <v>#REF!</v>
      </c>
      <c r="C509" s="76" t="e">
        <f t="shared" si="31"/>
        <v>#REF!</v>
      </c>
    </row>
    <row r="510" spans="2:3" ht="15.75" customHeight="1" x14ac:dyDescent="0.25">
      <c r="B510" s="67" t="e">
        <f t="shared" si="30"/>
        <v>#REF!</v>
      </c>
      <c r="C510" s="76" t="e">
        <f t="shared" si="31"/>
        <v>#REF!</v>
      </c>
    </row>
    <row r="511" spans="2:3" ht="15.75" customHeight="1" x14ac:dyDescent="0.25">
      <c r="B511" s="67" t="e">
        <f t="shared" si="30"/>
        <v>#REF!</v>
      </c>
      <c r="C511" s="76" t="e">
        <f t="shared" si="31"/>
        <v>#REF!</v>
      </c>
    </row>
    <row r="512" spans="2:3" ht="15.75" customHeight="1" x14ac:dyDescent="0.25">
      <c r="B512" s="67" t="e">
        <f t="shared" si="30"/>
        <v>#REF!</v>
      </c>
      <c r="C512" s="76" t="e">
        <f t="shared" si="31"/>
        <v>#REF!</v>
      </c>
    </row>
  </sheetData>
  <mergeCells count="3">
    <mergeCell ref="A1:K1"/>
    <mergeCell ref="B13:F13"/>
    <mergeCell ref="G13:L13"/>
  </mergeCells>
  <conditionalFormatting sqref="A15:F15 L15 H15:H44 A16:A40">
    <cfRule type="expression" dxfId="31" priority="9">
      <formula>AND(TODAY()&gt;=$B$15,TODAY()&lt;$B$16)</formula>
    </cfRule>
  </conditionalFormatting>
  <conditionalFormatting sqref="B15:B21 B23:B68">
    <cfRule type="cellIs" dxfId="30" priority="6" operator="greaterThan">
      <formula>$C$6</formula>
    </cfRule>
  </conditionalFormatting>
  <conditionalFormatting sqref="B17:B21 B23:B40 A41:C47 A48:L68 F45:L45 E46:L47">
    <cfRule type="expression" dxfId="29" priority="7">
      <formula>AND(TODAY()&gt;=$B17,TODAY()&lt;$B18)</formula>
    </cfRule>
  </conditionalFormatting>
  <conditionalFormatting sqref="B16:F16 G15:G44 I15:I44 C17:C40 E17:E45 D17:D47">
    <cfRule type="expression" dxfId="28" priority="8">
      <formula>AND(TODAY()&gt;=$B15,TODAY()&lt;$B16)</formula>
    </cfRule>
  </conditionalFormatting>
  <conditionalFormatting sqref="C2:C3">
    <cfRule type="expression" dxfId="27" priority="3">
      <formula>AND(TODAY()&gt;=$B$15,TODAY()&lt;$B$16)</formula>
    </cfRule>
  </conditionalFormatting>
  <conditionalFormatting sqref="F17:F44">
    <cfRule type="expression" dxfId="26" priority="1">
      <formula>AND(TODAY()&gt;=$B17,TODAY()&lt;$B18)</formula>
    </cfRule>
  </conditionalFormatting>
  <conditionalFormatting sqref="J15:K44">
    <cfRule type="expression" dxfId="25" priority="2">
      <formula>AND(TODAY()&gt;=$B$15,TODAY()&lt;$B$16)</formula>
    </cfRule>
  </conditionalFormatting>
  <conditionalFormatting sqref="L16:L21 L23:L44">
    <cfRule type="expression" dxfId="24" priority="5">
      <formula>AND(TODAY()&gt;=$B16,TODAY()&lt;$B17)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CE27E0-3C9A-4A0C-AC68-BF4AAFCF5D07}">
          <x14:formula1>
            <xm:f>'LEIA-ME'!$C$2:$C$6</xm:f>
          </x14:formula1>
          <xm:sqref>C3</xm:sqref>
        </x14:dataValidation>
        <x14:dataValidation type="list" allowBlank="1" showInputMessage="1" showErrorMessage="1" xr:uid="{6CA6A744-B477-4C1C-868A-9559CC264CEB}">
          <x14:formula1>
            <xm:f>'LEIA-ME'!$A$2:$A$14</xm:f>
          </x14:formula1>
          <xm:sqref>C2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FD56-7A60-4940-AF7D-2588DD8AB1B6}">
  <sheetPr>
    <tabColor theme="9" tint="-0.499984740745262"/>
  </sheetPr>
  <dimension ref="A1:L512"/>
  <sheetViews>
    <sheetView topLeftCell="A31" workbookViewId="0">
      <selection activeCell="F38" sqref="F38:F40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6" width="12.625" style="59" customWidth="1"/>
    <col min="7" max="11" width="13.875" style="59" customWidth="1"/>
    <col min="12" max="12" width="22.25" style="59" customWidth="1"/>
    <col min="13" max="13" width="34.375" style="59" customWidth="1"/>
    <col min="14" max="16384" width="12.625" style="59"/>
  </cols>
  <sheetData>
    <row r="1" spans="1:12" ht="19.5" x14ac:dyDescent="0.25">
      <c r="A1" s="154" t="s">
        <v>20</v>
      </c>
      <c r="B1" s="167"/>
      <c r="C1" s="167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25">
      <c r="A2" s="68"/>
      <c r="B2" s="119" t="s">
        <v>2542</v>
      </c>
      <c r="C2" s="120" t="s">
        <v>86</v>
      </c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15.75" customHeight="1" x14ac:dyDescent="0.25">
      <c r="A3" s="68"/>
      <c r="B3" s="119" t="s">
        <v>66</v>
      </c>
      <c r="C3" s="120" t="s">
        <v>69</v>
      </c>
      <c r="D3" s="70"/>
      <c r="E3" s="71"/>
      <c r="F3" s="71"/>
      <c r="G3" s="65"/>
      <c r="H3" s="65"/>
      <c r="I3" s="65"/>
      <c r="J3" s="65"/>
      <c r="K3" s="65"/>
      <c r="L3" s="65"/>
    </row>
    <row r="4" spans="1:12" ht="15" customHeight="1" x14ac:dyDescent="0.25">
      <c r="B4" s="121" t="s">
        <v>2494</v>
      </c>
      <c r="C4" s="125">
        <f>COUNTIFS(time, C2,
    release, "*" &amp; C3 &amp; "*")</f>
        <v>16</v>
      </c>
      <c r="D4" s="70" t="s">
        <v>25</v>
      </c>
      <c r="E4" s="71" t="s">
        <v>26</v>
      </c>
      <c r="F4" s="71"/>
      <c r="G4" s="65"/>
      <c r="H4" s="65"/>
      <c r="I4" s="65"/>
      <c r="J4" s="65"/>
      <c r="K4" s="65"/>
      <c r="L4" s="65"/>
    </row>
    <row r="5" spans="1:12" ht="15.75" customHeight="1" x14ac:dyDescent="0.25">
      <c r="B5" s="122" t="s">
        <v>27</v>
      </c>
      <c r="C5" s="107">
        <v>45936</v>
      </c>
      <c r="D5" s="70" t="s">
        <v>28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122" t="s">
        <v>29</v>
      </c>
      <c r="C6" s="107">
        <v>46113</v>
      </c>
      <c r="D6" s="70" t="s">
        <v>30</v>
      </c>
      <c r="E6" s="65"/>
      <c r="F6" s="65"/>
      <c r="G6" s="65"/>
      <c r="H6" s="65"/>
      <c r="I6" s="65"/>
      <c r="J6" s="65"/>
      <c r="K6" s="65"/>
      <c r="L6" s="65"/>
    </row>
    <row r="7" spans="1:12" ht="15.75" customHeight="1" x14ac:dyDescent="0.25">
      <c r="B7" s="119" t="s">
        <v>31</v>
      </c>
      <c r="C7" s="106" cm="1">
        <f t="array" ref="C7">IF(MAX(INDEX(J:J, LARGE(IF(J:J&lt;&gt;"", ROW(J:J)), {1;2;3;4;5;6;7;8})))=0,
  1,
  MAX(INDEX(J:J, LARGE(IF(J:J&lt;&gt;"", ROW(J:J)), {1;2;3;4;5;6;7;8}))))</f>
        <v>3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119" t="s">
        <v>34</v>
      </c>
      <c r="C8" s="106" cm="1">
        <f t="array" ref="C8">IF(MIN(INDEX(J:J, LARGE(IF(J:J&lt;&gt;"", ROW(J:J)), {1;2;3;4;5;6;7;8})))=0,
  1,
  MIN(INDEX(J:J, LARGE(IF(J:J&lt;&gt;"", ROW(J:J)), {1;2;3;4;5;6;7;8}))))</f>
        <v>1</v>
      </c>
      <c r="D8" s="70" t="s">
        <v>32</v>
      </c>
      <c r="E8" s="71" t="s">
        <v>33</v>
      </c>
      <c r="F8" s="71"/>
      <c r="G8" s="65"/>
      <c r="H8" s="65"/>
      <c r="I8" s="65"/>
      <c r="J8" s="65"/>
      <c r="K8" s="65"/>
      <c r="L8" s="65"/>
    </row>
    <row r="9" spans="1:12" ht="15.75" customHeight="1" x14ac:dyDescent="0.25">
      <c r="B9" s="122" t="s">
        <v>35</v>
      </c>
      <c r="C9" s="108">
        <v>8</v>
      </c>
      <c r="D9" s="70" t="s">
        <v>32</v>
      </c>
      <c r="E9" s="65"/>
      <c r="F9" s="65"/>
      <c r="G9" s="65"/>
      <c r="H9" s="65"/>
      <c r="I9" s="65"/>
      <c r="J9" s="65"/>
      <c r="K9" s="65"/>
      <c r="L9" s="65"/>
    </row>
    <row r="10" spans="1:12" ht="15.75" customHeight="1" x14ac:dyDescent="0.25">
      <c r="B10" s="122" t="s">
        <v>36</v>
      </c>
      <c r="C10" s="109">
        <v>7</v>
      </c>
      <c r="D10" s="70" t="s">
        <v>37</v>
      </c>
      <c r="E10" s="65"/>
      <c r="F10" s="65"/>
      <c r="G10" s="65"/>
      <c r="H10" s="65"/>
      <c r="I10" s="65"/>
      <c r="J10" s="65"/>
      <c r="K10" s="65"/>
      <c r="L10" s="65"/>
    </row>
    <row r="11" spans="1:12" ht="15.75" hidden="1" customHeight="1" x14ac:dyDescent="0.25">
      <c r="B11" s="112"/>
      <c r="C11" s="65"/>
      <c r="D11" s="113"/>
      <c r="E11" s="65"/>
      <c r="F11" s="65"/>
      <c r="G11" s="65"/>
      <c r="H11" s="65"/>
      <c r="I11" s="65"/>
      <c r="J11" s="65"/>
      <c r="K11" s="65"/>
      <c r="L11" s="65"/>
    </row>
    <row r="12" spans="1:12" s="39" customFormat="1" ht="40.5" customHeight="1" x14ac:dyDescent="0.45">
      <c r="A12" s="103"/>
      <c r="B12" s="61" t="s">
        <v>38</v>
      </c>
      <c r="C12" s="60" t="s">
        <v>39</v>
      </c>
      <c r="D12" s="60" t="s">
        <v>40</v>
      </c>
      <c r="E12" s="60" t="s">
        <v>41</v>
      </c>
      <c r="F12" s="60" t="s">
        <v>42</v>
      </c>
      <c r="G12" s="60" t="s">
        <v>43</v>
      </c>
      <c r="H12" s="60" t="s">
        <v>44</v>
      </c>
      <c r="I12" s="60" t="s">
        <v>45</v>
      </c>
      <c r="J12" s="60" t="s">
        <v>46</v>
      </c>
      <c r="K12" s="60" t="s">
        <v>47</v>
      </c>
      <c r="L12" s="60" t="s">
        <v>48</v>
      </c>
    </row>
    <row r="13" spans="1:12" ht="19.5" customHeight="1" x14ac:dyDescent="0.25">
      <c r="A13" s="91"/>
      <c r="B13" s="162" t="s">
        <v>49</v>
      </c>
      <c r="C13" s="163"/>
      <c r="D13" s="163"/>
      <c r="E13" s="163"/>
      <c r="F13" s="164"/>
      <c r="G13" s="165" t="s">
        <v>50</v>
      </c>
      <c r="H13" s="166"/>
      <c r="I13" s="166"/>
      <c r="J13" s="166"/>
      <c r="K13" s="166"/>
      <c r="L13" s="166"/>
    </row>
    <row r="14" spans="1:12" ht="31.5" customHeight="1" x14ac:dyDescent="0.25">
      <c r="A14" s="44" t="s">
        <v>51</v>
      </c>
      <c r="B14" s="45" t="s">
        <v>52</v>
      </c>
      <c r="C14" s="46" t="s">
        <v>2495</v>
      </c>
      <c r="D14" s="46" t="s">
        <v>2496</v>
      </c>
      <c r="E14" s="46" t="s">
        <v>55</v>
      </c>
      <c r="F14" s="58" t="s">
        <v>56</v>
      </c>
      <c r="G14" s="47" t="s">
        <v>57</v>
      </c>
      <c r="H14" s="47" t="s">
        <v>58</v>
      </c>
      <c r="I14" s="48" t="s">
        <v>2561</v>
      </c>
      <c r="J14" s="54" t="s">
        <v>60</v>
      </c>
      <c r="K14" s="87" t="s">
        <v>2562</v>
      </c>
      <c r="L14" s="77" t="s">
        <v>62</v>
      </c>
    </row>
    <row r="15" spans="1:12" ht="17.25" customHeight="1" x14ac:dyDescent="0.25">
      <c r="A15" s="73" t="s">
        <v>2543</v>
      </c>
      <c r="B15" s="66">
        <f>C5</f>
        <v>45936</v>
      </c>
      <c r="C15" s="79">
        <f>$C$4</f>
        <v>16</v>
      </c>
      <c r="D15" s="79">
        <f>$C$4</f>
        <v>16</v>
      </c>
      <c r="E15" s="79">
        <f>$C$4</f>
        <v>16</v>
      </c>
      <c r="F15" s="80"/>
      <c r="G15" s="118">
        <f t="shared" ref="G15" si="0">COUNTIFS(dtc, "&gt;=" &amp; INT(B15),
  dtc, "&lt;"  &amp; INT(B15)+1,
  time, $C$2,release, "*" &amp; $C$3 &amp; "*",
  Item, "&lt;&gt;BUG")</f>
        <v>0</v>
      </c>
      <c r="H15" s="118">
        <f t="shared" ref="H15:H39" si="1">COUNTIFS(dtc, "&gt;=" &amp;(INT(B15)+1),dtc,
 "&lt;"  &amp;(INT(B15)+7),time,
 $C$2,release, "*" &amp; $C$3 &amp; "*",Item,
 "&lt;&gt;BUG")</f>
        <v>0</v>
      </c>
      <c r="I15" s="82">
        <f t="shared" ref="I15:I39" si="2">COUNTIFS(time, $C$2,release, "*" &amp; $C$3 &amp; "*",Item,
 "BUG",dtc,
 "&gt;=" &amp; INT(B15),dtc,
 "&lt;"  &amp; INT(B15)+7)</f>
        <v>0</v>
      </c>
      <c r="J15" s="126">
        <f t="shared" ref="J15:J39" si="3">IF(COUNTIFS(time, $C$2, release, "*" &amp; $C$3 &amp; "*", resolvido, "&lt;&gt;" &amp; "", resolvido, "&gt;=" &amp; INT(B15), resolvido, "&lt;" &amp; INT(B15)+7)+K15 &lt; 0,
   0,
   COUNTIFS(time, $C$2, release, "*" &amp; $C$3 &amp; "*", resolvido, "&lt;&gt;" &amp; "", resolvido, "&gt;=" &amp; INT(B15), resolvido, "&lt;" &amp; INT(B15)+7)+K15)</f>
        <v>0</v>
      </c>
      <c r="K15" s="84">
        <f>-COUNTIFS(resolvido, "&gt;=" &amp; INT(B15),resolvido, "&lt;"  &amp; INT(B15)+7,status, "Descartado",time, $C$2,release, "*" &amp; $C$3 &amp; "*")</f>
        <v>0</v>
      </c>
      <c r="L15" s="86"/>
    </row>
    <row r="16" spans="1:12" ht="17.25" customHeight="1" x14ac:dyDescent="0.25">
      <c r="A16" s="73" t="s">
        <v>2544</v>
      </c>
      <c r="B16" s="66">
        <f t="shared" ref="B16:B68" si="4">B15+$C$10</f>
        <v>45943</v>
      </c>
      <c r="C16" s="79">
        <f>IF(OR(C15="",C15=0),"",IF(ISBLANK($J15),IF(C15+$K15-$C$7&lt;=0,IF(AND(C15&gt;0,C15&lt;&gt;""),0,""),C15+$K15-$C$7),IF((C15-$J15)+$K15&lt;=0,IF(AND(C15&gt;0,C15&lt;&gt;""),0,""),(C15-$J15)+$K15)))</f>
        <v>16</v>
      </c>
      <c r="D16" s="79">
        <f>IF(OR(D15="",D15=0),"",IF(ISBLANK($J15),IF(D15+$K15-$C$8&lt;=0,IF(AND(D15&gt;0,D15&lt;&gt;""),0,""),D15+$K15-$C$8),IF((D15-$J15)+$K15&lt;=0,IF(AND(D15&gt;0,D15&lt;&gt;""),0,""),(D15-$J15)+$K15)))</f>
        <v>16</v>
      </c>
      <c r="E16" s="79">
        <f>IF(OR(E15="",E15=0),"",IF(ISBLANK($J15),IF(E15+$K15-$C$9&lt;=0,IF(AND(E15&gt;0,E15&lt;&gt;""),0,""),E15+$K15-$C$9),IF((E15-$J15)+$K15&lt;=0,IF(AND(E15&gt;0,E15&lt;&gt;""),0,""),(E15-$J15)+$K15)))</f>
        <v>16</v>
      </c>
      <c r="F16" s="80">
        <f>IF(J15="","",IF(G15+F15+H15+I15+K15-J15&lt;0,0,G15+F15+H15+I15+K15-J15))</f>
        <v>0</v>
      </c>
      <c r="G16" s="118">
        <f t="shared" ref="G16:G39" si="5">COUNTIFS(dtc, "&gt;=" &amp; INT(B16),
  dtc, "&lt;"  &amp; INT(B16)+1,
  time, $C$2,release, "*" &amp; $C$3 &amp; "*",
  Item, "&lt;&gt;BUG")-COUNTIFS(dtc, "&gt;=" &amp; INT(B16),dtc, "&lt;"  &amp; INT(B16)+7,resolvido, "&gt;=" &amp; INT(B16),resolvido, "&lt;"  &amp; INT(B16)+7,status, "Descartado",time, $C$2,release, "*" &amp; $C$3 &amp; "*")</f>
        <v>0</v>
      </c>
      <c r="H16" s="118">
        <f t="shared" si="1"/>
        <v>0</v>
      </c>
      <c r="I16" s="82">
        <f t="shared" si="2"/>
        <v>0</v>
      </c>
      <c r="J16" s="126">
        <f t="shared" si="3"/>
        <v>0</v>
      </c>
      <c r="K16" s="84">
        <f>COUNTIFS(resolvido, "&gt;=" &amp; INT(B16),resolvido, "&lt;"  &amp; INT(B16)+7,status, "Descartado",time, $C$2,release, "*" &amp; $C$3 &amp; "*")</f>
        <v>0</v>
      </c>
      <c r="L16" s="86"/>
    </row>
    <row r="17" spans="1:12" ht="17.25" customHeight="1" x14ac:dyDescent="0.25">
      <c r="A17" s="73" t="s">
        <v>2545</v>
      </c>
      <c r="B17" s="66">
        <f t="shared" si="4"/>
        <v>45950</v>
      </c>
      <c r="C17" s="79">
        <f t="shared" ref="C17:C40" si="6">IF(OR(C16="",C16=0),"",IF(ISBLANK($J16),IF(C16+$K16-$C$7&lt;=0,IF(AND(C16&gt;0,C16&lt;&gt;""),0,""),C16+$K16-$C$7),IF((C16-$J16)+$K16&lt;=0,IF(AND(C16&gt;0,C16&lt;&gt;""),0,""),(C16-$J16)+$K16)))</f>
        <v>16</v>
      </c>
      <c r="D17" s="79">
        <f t="shared" ref="D17:D47" si="7">IF(OR(D16="",D16=0),"",IF(ISBLANK($J16),IF(D16+$K16-$C$8&lt;=0,IF(AND(D16&gt;0,D16&lt;&gt;""),0,""),D16+$K16-$C$8),IF((D16-$J16)+$K16&lt;=0,IF(AND(D16&gt;0,D16&lt;&gt;""),0,""),(D16-$J16)+$K16)))</f>
        <v>16</v>
      </c>
      <c r="E17" s="79">
        <f t="shared" ref="E17" si="8">IF(OR(E16="",E16=0),"",IF(ISBLANK($J16),IF(E16+$K16-$C$9&lt;=0,IF(AND(E16&gt;0,E16&lt;&gt;""),0,""),E16+$K16-$C$9),IF((E16-$J16)+$K16&lt;=0,IF(AND(E16&gt;0,E16&lt;&gt;""),0,""),(E16-$J16)+$K16)))</f>
        <v>16</v>
      </c>
      <c r="F17" s="80">
        <f t="shared" ref="F17:F28" si="9">IF(J16="","",IF(G16+F16+H16+I16+K16-J16&lt;0,0,G16+F16+H16+I16+K16-J16))</f>
        <v>0</v>
      </c>
      <c r="G17" s="118">
        <f t="shared" si="5"/>
        <v>0</v>
      </c>
      <c r="H17" s="118">
        <f t="shared" si="1"/>
        <v>0</v>
      </c>
      <c r="I17" s="82">
        <f t="shared" si="2"/>
        <v>0</v>
      </c>
      <c r="J17" s="126">
        <f t="shared" si="3"/>
        <v>0</v>
      </c>
      <c r="K17" s="84">
        <f t="shared" ref="K17:K39" si="10">-COUNTIFS(resolvido, "&gt;=" &amp; INT(B17),resolvido, "&lt;"  &amp; INT(B17)+7,status, "Descartado",time, $C$2,release, "*" &amp; $C$3 &amp; "*")</f>
        <v>0</v>
      </c>
      <c r="L17" s="86"/>
    </row>
    <row r="18" spans="1:12" ht="17.25" customHeight="1" x14ac:dyDescent="0.25">
      <c r="A18" s="73" t="s">
        <v>2546</v>
      </c>
      <c r="B18" s="66">
        <f t="shared" si="4"/>
        <v>45957</v>
      </c>
      <c r="C18" s="79">
        <f t="shared" si="6"/>
        <v>16</v>
      </c>
      <c r="D18" s="79">
        <f t="shared" si="7"/>
        <v>16</v>
      </c>
      <c r="E18" s="79">
        <f>IF(OR(E17="",E17=0),"",IF(ISBLANK($J17),IF(E17+$K17-$C$9&lt;=0,IF(AND(E17&gt;0,E17&lt;&gt;""),0,""),E17+$K17-$C$9),IF((E17-$J17)+$K17&lt;=0,IF(AND(E17&gt;0,E17&lt;&gt;""),0,""),(E17-$J17)+$K17)))</f>
        <v>16</v>
      </c>
      <c r="F18" s="80">
        <f t="shared" si="9"/>
        <v>0</v>
      </c>
      <c r="G18" s="118">
        <f t="shared" si="5"/>
        <v>0</v>
      </c>
      <c r="H18" s="118">
        <f t="shared" si="1"/>
        <v>0</v>
      </c>
      <c r="I18" s="82">
        <f t="shared" si="2"/>
        <v>0</v>
      </c>
      <c r="J18" s="126">
        <f t="shared" si="3"/>
        <v>0</v>
      </c>
      <c r="K18" s="84">
        <f t="shared" si="10"/>
        <v>0</v>
      </c>
      <c r="L18" s="111"/>
    </row>
    <row r="19" spans="1:12" ht="17.25" customHeight="1" x14ac:dyDescent="0.25">
      <c r="A19" s="73" t="s">
        <v>2547</v>
      </c>
      <c r="B19" s="66">
        <f t="shared" si="4"/>
        <v>45964</v>
      </c>
      <c r="C19" s="79">
        <f t="shared" si="6"/>
        <v>16</v>
      </c>
      <c r="D19" s="79">
        <f t="shared" si="7"/>
        <v>16</v>
      </c>
      <c r="E19" s="79">
        <f t="shared" ref="E19:E42" si="11">IF(OR(E18="",E18=0),"",IF(ISBLANK($J18),IF(E18+$K18-$C$9&lt;=0,IF(AND(E18&gt;0,E18&lt;&gt;""),0,""),E18+$K18-$C$9),IF((E18-$J18)+$K18&lt;=0,IF(AND(E18&gt;0,E18&lt;&gt;""),0,""),(E18-$J18)+$K18)))</f>
        <v>16</v>
      </c>
      <c r="F19" s="80">
        <f t="shared" si="9"/>
        <v>0</v>
      </c>
      <c r="G19" s="118">
        <f t="shared" si="5"/>
        <v>0</v>
      </c>
      <c r="H19" s="118">
        <f t="shared" si="1"/>
        <v>0</v>
      </c>
      <c r="I19" s="82">
        <f t="shared" si="2"/>
        <v>0</v>
      </c>
      <c r="J19" s="126">
        <f t="shared" si="3"/>
        <v>0</v>
      </c>
      <c r="K19" s="84">
        <f t="shared" si="10"/>
        <v>0</v>
      </c>
      <c r="L19" s="86"/>
    </row>
    <row r="20" spans="1:12" ht="17.25" customHeight="1" x14ac:dyDescent="0.25">
      <c r="A20" s="73" t="s">
        <v>2548</v>
      </c>
      <c r="B20" s="66">
        <f t="shared" si="4"/>
        <v>45971</v>
      </c>
      <c r="C20" s="79">
        <f t="shared" si="6"/>
        <v>16</v>
      </c>
      <c r="D20" s="79">
        <f t="shared" si="7"/>
        <v>16</v>
      </c>
      <c r="E20" s="79">
        <f t="shared" si="11"/>
        <v>16</v>
      </c>
      <c r="F20" s="80">
        <f t="shared" si="9"/>
        <v>0</v>
      </c>
      <c r="G20" s="118">
        <f t="shared" si="5"/>
        <v>0</v>
      </c>
      <c r="H20" s="118">
        <f t="shared" si="1"/>
        <v>0</v>
      </c>
      <c r="I20" s="82">
        <f t="shared" si="2"/>
        <v>0</v>
      </c>
      <c r="J20" s="126">
        <f t="shared" si="3"/>
        <v>0</v>
      </c>
      <c r="K20" s="84">
        <f t="shared" si="10"/>
        <v>0</v>
      </c>
      <c r="L20" s="86"/>
    </row>
    <row r="21" spans="1:12" ht="15.75" customHeight="1" x14ac:dyDescent="0.25">
      <c r="A21" s="73" t="s">
        <v>2549</v>
      </c>
      <c r="B21" s="66">
        <f t="shared" si="4"/>
        <v>45978</v>
      </c>
      <c r="C21" s="79">
        <f t="shared" si="6"/>
        <v>16</v>
      </c>
      <c r="D21" s="79">
        <f t="shared" si="7"/>
        <v>16</v>
      </c>
      <c r="E21" s="79">
        <f t="shared" si="11"/>
        <v>16</v>
      </c>
      <c r="F21" s="80">
        <f t="shared" si="9"/>
        <v>0</v>
      </c>
      <c r="G21" s="118">
        <f t="shared" si="5"/>
        <v>0</v>
      </c>
      <c r="H21" s="118">
        <f t="shared" si="1"/>
        <v>0</v>
      </c>
      <c r="I21" s="82">
        <f t="shared" si="2"/>
        <v>0</v>
      </c>
      <c r="J21" s="126">
        <f t="shared" si="3"/>
        <v>0</v>
      </c>
      <c r="K21" s="84">
        <f t="shared" si="10"/>
        <v>0</v>
      </c>
      <c r="L21" s="86"/>
    </row>
    <row r="22" spans="1:12" ht="15.75" customHeight="1" x14ac:dyDescent="0.25">
      <c r="A22" s="73" t="s">
        <v>2550</v>
      </c>
      <c r="B22" s="66">
        <f t="shared" si="4"/>
        <v>45985</v>
      </c>
      <c r="C22" s="79">
        <f t="shared" si="6"/>
        <v>16</v>
      </c>
      <c r="D22" s="79">
        <f t="shared" si="7"/>
        <v>16</v>
      </c>
      <c r="E22" s="79">
        <f t="shared" si="11"/>
        <v>16</v>
      </c>
      <c r="F22" s="80">
        <f t="shared" si="9"/>
        <v>0</v>
      </c>
      <c r="G22" s="118">
        <f t="shared" si="5"/>
        <v>0</v>
      </c>
      <c r="H22" s="118">
        <f t="shared" si="1"/>
        <v>0</v>
      </c>
      <c r="I22" s="82">
        <f t="shared" si="2"/>
        <v>0</v>
      </c>
      <c r="J22" s="126">
        <f t="shared" si="3"/>
        <v>0</v>
      </c>
      <c r="K22" s="84">
        <f t="shared" si="10"/>
        <v>0</v>
      </c>
      <c r="L22" s="86"/>
    </row>
    <row r="23" spans="1:12" ht="15.75" customHeight="1" x14ac:dyDescent="0.25">
      <c r="A23" s="73" t="s">
        <v>2551</v>
      </c>
      <c r="B23" s="66">
        <f t="shared" si="4"/>
        <v>45992</v>
      </c>
      <c r="C23" s="79">
        <f t="shared" si="6"/>
        <v>16</v>
      </c>
      <c r="D23" s="79">
        <f t="shared" si="7"/>
        <v>16</v>
      </c>
      <c r="E23" s="79">
        <f t="shared" si="11"/>
        <v>16</v>
      </c>
      <c r="F23" s="80">
        <f t="shared" si="9"/>
        <v>0</v>
      </c>
      <c r="G23" s="118">
        <f t="shared" si="5"/>
        <v>0</v>
      </c>
      <c r="H23" s="118">
        <f t="shared" si="1"/>
        <v>0</v>
      </c>
      <c r="I23" s="82">
        <f t="shared" si="2"/>
        <v>0</v>
      </c>
      <c r="J23" s="126">
        <f t="shared" si="3"/>
        <v>0</v>
      </c>
      <c r="K23" s="84">
        <f t="shared" si="10"/>
        <v>0</v>
      </c>
      <c r="L23" s="86"/>
    </row>
    <row r="24" spans="1:12" ht="15.75" customHeight="1" x14ac:dyDescent="0.25">
      <c r="A24" s="73" t="s">
        <v>2552</v>
      </c>
      <c r="B24" s="66">
        <f t="shared" si="4"/>
        <v>45999</v>
      </c>
      <c r="C24" s="79">
        <f t="shared" si="6"/>
        <v>16</v>
      </c>
      <c r="D24" s="79">
        <f t="shared" si="7"/>
        <v>16</v>
      </c>
      <c r="E24" s="79">
        <f t="shared" si="11"/>
        <v>16</v>
      </c>
      <c r="F24" s="80">
        <f t="shared" si="9"/>
        <v>0</v>
      </c>
      <c r="G24" s="118">
        <f t="shared" si="5"/>
        <v>0</v>
      </c>
      <c r="H24" s="118">
        <f t="shared" si="1"/>
        <v>0</v>
      </c>
      <c r="I24" s="82">
        <f t="shared" si="2"/>
        <v>0</v>
      </c>
      <c r="J24" s="126">
        <f t="shared" si="3"/>
        <v>0</v>
      </c>
      <c r="K24" s="84">
        <f t="shared" si="10"/>
        <v>0</v>
      </c>
      <c r="L24" s="86"/>
    </row>
    <row r="25" spans="1:12" ht="15.75" customHeight="1" x14ac:dyDescent="0.25">
      <c r="A25" s="73" t="s">
        <v>2553</v>
      </c>
      <c r="B25" s="66">
        <f t="shared" si="4"/>
        <v>46006</v>
      </c>
      <c r="C25" s="79">
        <f t="shared" si="6"/>
        <v>16</v>
      </c>
      <c r="D25" s="79">
        <f t="shared" si="7"/>
        <v>16</v>
      </c>
      <c r="E25" s="79">
        <f t="shared" si="11"/>
        <v>16</v>
      </c>
      <c r="F25" s="80">
        <f t="shared" si="9"/>
        <v>0</v>
      </c>
      <c r="G25" s="118">
        <f t="shared" si="5"/>
        <v>0</v>
      </c>
      <c r="H25" s="118">
        <f t="shared" si="1"/>
        <v>0</v>
      </c>
      <c r="I25" s="82">
        <f t="shared" si="2"/>
        <v>1</v>
      </c>
      <c r="J25" s="126">
        <f t="shared" si="3"/>
        <v>1</v>
      </c>
      <c r="K25" s="84">
        <f t="shared" si="10"/>
        <v>0</v>
      </c>
      <c r="L25" s="86"/>
    </row>
    <row r="26" spans="1:12" ht="15.75" customHeight="1" x14ac:dyDescent="0.25">
      <c r="A26" s="73" t="s">
        <v>2554</v>
      </c>
      <c r="B26" s="66">
        <f t="shared" si="4"/>
        <v>46013</v>
      </c>
      <c r="C26" s="79">
        <f t="shared" si="6"/>
        <v>15</v>
      </c>
      <c r="D26" s="79">
        <f t="shared" si="7"/>
        <v>15</v>
      </c>
      <c r="E26" s="79">
        <f t="shared" si="11"/>
        <v>15</v>
      </c>
      <c r="F26" s="80">
        <f t="shared" si="9"/>
        <v>0</v>
      </c>
      <c r="G26" s="118">
        <f t="shared" si="5"/>
        <v>0</v>
      </c>
      <c r="H26" s="118">
        <f t="shared" si="1"/>
        <v>0</v>
      </c>
      <c r="I26" s="82">
        <f t="shared" si="2"/>
        <v>0</v>
      </c>
      <c r="J26" s="126">
        <f t="shared" si="3"/>
        <v>0</v>
      </c>
      <c r="K26" s="84">
        <f t="shared" si="10"/>
        <v>0</v>
      </c>
      <c r="L26" s="86"/>
    </row>
    <row r="27" spans="1:12" ht="15.75" customHeight="1" x14ac:dyDescent="0.25">
      <c r="A27" s="73" t="s">
        <v>2555</v>
      </c>
      <c r="B27" s="66">
        <f t="shared" si="4"/>
        <v>46020</v>
      </c>
      <c r="C27" s="79">
        <f t="shared" si="6"/>
        <v>15</v>
      </c>
      <c r="D27" s="79">
        <f t="shared" si="7"/>
        <v>15</v>
      </c>
      <c r="E27" s="79">
        <f t="shared" si="11"/>
        <v>15</v>
      </c>
      <c r="F27" s="80">
        <f t="shared" si="9"/>
        <v>0</v>
      </c>
      <c r="G27" s="118">
        <f t="shared" si="5"/>
        <v>0</v>
      </c>
      <c r="H27" s="118">
        <f t="shared" si="1"/>
        <v>0</v>
      </c>
      <c r="I27" s="82">
        <f t="shared" si="2"/>
        <v>0</v>
      </c>
      <c r="J27" s="126">
        <f t="shared" si="3"/>
        <v>0</v>
      </c>
      <c r="K27" s="84">
        <f t="shared" si="10"/>
        <v>0</v>
      </c>
      <c r="L27" s="86"/>
    </row>
    <row r="28" spans="1:12" ht="15.75" customHeight="1" x14ac:dyDescent="0.25">
      <c r="A28" s="73" t="s">
        <v>2556</v>
      </c>
      <c r="B28" s="66">
        <f t="shared" si="4"/>
        <v>46027</v>
      </c>
      <c r="C28" s="79">
        <f t="shared" si="6"/>
        <v>15</v>
      </c>
      <c r="D28" s="79">
        <f t="shared" si="7"/>
        <v>15</v>
      </c>
      <c r="E28" s="79">
        <f t="shared" si="11"/>
        <v>15</v>
      </c>
      <c r="F28" s="80">
        <f t="shared" si="9"/>
        <v>0</v>
      </c>
      <c r="G28" s="118">
        <f t="shared" si="5"/>
        <v>0</v>
      </c>
      <c r="H28" s="118">
        <f t="shared" si="1"/>
        <v>1</v>
      </c>
      <c r="I28" s="82">
        <f t="shared" si="2"/>
        <v>0</v>
      </c>
      <c r="J28" s="126">
        <f t="shared" si="3"/>
        <v>1</v>
      </c>
      <c r="K28" s="84">
        <f t="shared" si="10"/>
        <v>0</v>
      </c>
      <c r="L28" s="86"/>
    </row>
    <row r="29" spans="1:12" ht="15.75" customHeight="1" x14ac:dyDescent="0.25">
      <c r="A29" s="73" t="s">
        <v>2557</v>
      </c>
      <c r="B29" s="66">
        <f t="shared" si="4"/>
        <v>46034</v>
      </c>
      <c r="C29" s="79">
        <f>IF(OR(C28="",C28=0),"",IF(ISBLANK($J28),IF(C28+$K28-$C$7&lt;=0,IF(AND(C28&gt;0,C28&lt;&gt;""),0,""),C28+$K28-$C$7),IF((C28-$J28)+$K28&lt;=0,IF(AND(C28&gt;0,C28&lt;&gt;""),0,""),(C28-$J28)+$K28)))</f>
        <v>14</v>
      </c>
      <c r="D29" s="79">
        <f t="shared" si="7"/>
        <v>14</v>
      </c>
      <c r="E29" s="79">
        <f t="shared" si="11"/>
        <v>14</v>
      </c>
      <c r="F29" s="80">
        <f t="shared" ref="F29:F68" si="12">IF(J28="","",IF(G28+F28+H28+I28-J28&lt;0,0,G28+F28+H28+I28-J28))</f>
        <v>0</v>
      </c>
      <c r="G29" s="118">
        <f t="shared" si="5"/>
        <v>1</v>
      </c>
      <c r="H29" s="118">
        <f t="shared" si="1"/>
        <v>0</v>
      </c>
      <c r="I29" s="82">
        <f t="shared" si="2"/>
        <v>0</v>
      </c>
      <c r="J29" s="126">
        <f t="shared" si="3"/>
        <v>0</v>
      </c>
      <c r="K29" s="84">
        <f t="shared" si="10"/>
        <v>0</v>
      </c>
      <c r="L29" s="86"/>
    </row>
    <row r="30" spans="1:12" ht="15.75" customHeight="1" x14ac:dyDescent="0.25">
      <c r="A30" s="73" t="s">
        <v>2558</v>
      </c>
      <c r="B30" s="66">
        <f t="shared" si="4"/>
        <v>46041</v>
      </c>
      <c r="C30" s="79">
        <f t="shared" si="6"/>
        <v>14</v>
      </c>
      <c r="D30" s="79">
        <f t="shared" si="7"/>
        <v>14</v>
      </c>
      <c r="E30" s="79">
        <f t="shared" si="11"/>
        <v>14</v>
      </c>
      <c r="F30" s="80">
        <f t="shared" si="12"/>
        <v>1</v>
      </c>
      <c r="G30" s="118">
        <f t="shared" si="5"/>
        <v>0</v>
      </c>
      <c r="H30" s="118">
        <f t="shared" si="1"/>
        <v>0</v>
      </c>
      <c r="I30" s="82">
        <f t="shared" si="2"/>
        <v>0</v>
      </c>
      <c r="J30" s="126">
        <f t="shared" si="3"/>
        <v>1</v>
      </c>
      <c r="K30" s="84">
        <f t="shared" si="10"/>
        <v>0</v>
      </c>
      <c r="L30" s="86"/>
    </row>
    <row r="31" spans="1:12" ht="15.75" customHeight="1" x14ac:dyDescent="0.25">
      <c r="A31" s="73" t="s">
        <v>2559</v>
      </c>
      <c r="B31" s="66">
        <f t="shared" si="4"/>
        <v>46048</v>
      </c>
      <c r="C31" s="79">
        <f t="shared" si="6"/>
        <v>13</v>
      </c>
      <c r="D31" s="79">
        <f t="shared" si="7"/>
        <v>13</v>
      </c>
      <c r="E31" s="79">
        <f>IF(OR(E30="",E30=0),"",IF(ISBLANK($J30),IF(E30+$K30-$C$9&lt;=0,IF(AND(E30&gt;0,E30&lt;&gt;""),0,""),E30+$K30-$C$9),IF((E30-$J30)+$K30&lt;=0,IF(AND(E30&gt;0,E30&lt;&gt;""),0,""),(E30-$J30)+$K30)))</f>
        <v>13</v>
      </c>
      <c r="F31" s="80">
        <f t="shared" si="12"/>
        <v>0</v>
      </c>
      <c r="G31" s="118">
        <f t="shared" si="5"/>
        <v>0</v>
      </c>
      <c r="H31" s="118">
        <f t="shared" si="1"/>
        <v>0</v>
      </c>
      <c r="I31" s="82">
        <f t="shared" si="2"/>
        <v>0</v>
      </c>
      <c r="J31" s="126">
        <f t="shared" si="3"/>
        <v>0</v>
      </c>
      <c r="K31" s="84">
        <f t="shared" si="10"/>
        <v>0</v>
      </c>
      <c r="L31" s="86"/>
    </row>
    <row r="32" spans="1:12" ht="15.75" customHeight="1" x14ac:dyDescent="0.25">
      <c r="A32" s="73" t="s">
        <v>2560</v>
      </c>
      <c r="B32" s="66">
        <f t="shared" si="4"/>
        <v>46055</v>
      </c>
      <c r="C32" s="79">
        <f t="shared" si="6"/>
        <v>13</v>
      </c>
      <c r="D32" s="79">
        <f>IF(OR(D31="",D31=0),"",IF(ISBLANK($J31),IF(D31+$K31-$C$8&lt;=0,IF(AND(D31&gt;0,D31&lt;&gt;""),0,""),D31+$K31-$C$8),IF((D31-$J31)+$K31&lt;=0,IF(AND(D31&gt;0,D31&lt;&gt;""),0,""),(D31-$J31)+$K31)))</f>
        <v>13</v>
      </c>
      <c r="E32" s="79">
        <f t="shared" si="11"/>
        <v>13</v>
      </c>
      <c r="F32" s="80">
        <f t="shared" si="12"/>
        <v>0</v>
      </c>
      <c r="G32" s="118">
        <f t="shared" si="5"/>
        <v>1</v>
      </c>
      <c r="H32" s="118">
        <f t="shared" si="1"/>
        <v>0</v>
      </c>
      <c r="I32" s="82">
        <f t="shared" si="2"/>
        <v>0</v>
      </c>
      <c r="J32" s="126">
        <f t="shared" si="3"/>
        <v>1</v>
      </c>
      <c r="K32" s="84">
        <f t="shared" si="10"/>
        <v>0</v>
      </c>
      <c r="L32" s="86"/>
    </row>
    <row r="33" spans="1:12" ht="15.75" customHeight="1" x14ac:dyDescent="0.25">
      <c r="A33" s="73" t="s">
        <v>2563</v>
      </c>
      <c r="B33" s="66">
        <f t="shared" si="4"/>
        <v>46062</v>
      </c>
      <c r="C33" s="79">
        <f t="shared" si="6"/>
        <v>12</v>
      </c>
      <c r="D33" s="79">
        <f t="shared" si="7"/>
        <v>12</v>
      </c>
      <c r="E33" s="79">
        <f t="shared" si="11"/>
        <v>12</v>
      </c>
      <c r="F33" s="80">
        <f t="shared" si="12"/>
        <v>0</v>
      </c>
      <c r="G33" s="118">
        <f t="shared" si="5"/>
        <v>0</v>
      </c>
      <c r="H33" s="118">
        <f t="shared" si="1"/>
        <v>0</v>
      </c>
      <c r="I33" s="82">
        <f t="shared" si="2"/>
        <v>0</v>
      </c>
      <c r="J33" s="126">
        <f t="shared" si="3"/>
        <v>0</v>
      </c>
      <c r="K33" s="84">
        <f t="shared" si="10"/>
        <v>0</v>
      </c>
      <c r="L33" s="86"/>
    </row>
    <row r="34" spans="1:12" ht="15.75" customHeight="1" x14ac:dyDescent="0.25">
      <c r="A34" s="73" t="s">
        <v>2564</v>
      </c>
      <c r="B34" s="66">
        <f t="shared" si="4"/>
        <v>46069</v>
      </c>
      <c r="C34" s="79">
        <f t="shared" si="6"/>
        <v>12</v>
      </c>
      <c r="D34" s="79">
        <f t="shared" si="7"/>
        <v>12</v>
      </c>
      <c r="E34" s="79">
        <f t="shared" si="11"/>
        <v>12</v>
      </c>
      <c r="F34" s="80">
        <f t="shared" si="12"/>
        <v>0</v>
      </c>
      <c r="G34" s="118">
        <f t="shared" si="5"/>
        <v>0</v>
      </c>
      <c r="H34" s="118">
        <f t="shared" si="1"/>
        <v>1</v>
      </c>
      <c r="I34" s="82">
        <f t="shared" si="2"/>
        <v>0</v>
      </c>
      <c r="J34" s="126">
        <f t="shared" si="3"/>
        <v>1</v>
      </c>
      <c r="K34" s="84">
        <f t="shared" si="10"/>
        <v>0</v>
      </c>
      <c r="L34" s="86"/>
    </row>
    <row r="35" spans="1:12" ht="15.75" customHeight="1" x14ac:dyDescent="0.25">
      <c r="A35" s="73" t="s">
        <v>2565</v>
      </c>
      <c r="B35" s="66">
        <f t="shared" si="4"/>
        <v>46076</v>
      </c>
      <c r="C35" s="79">
        <f t="shared" si="6"/>
        <v>11</v>
      </c>
      <c r="D35" s="79">
        <f t="shared" si="7"/>
        <v>11</v>
      </c>
      <c r="E35" s="79">
        <f t="shared" si="11"/>
        <v>11</v>
      </c>
      <c r="F35" s="80">
        <f t="shared" si="12"/>
        <v>0</v>
      </c>
      <c r="G35" s="118">
        <f t="shared" si="5"/>
        <v>0</v>
      </c>
      <c r="H35" s="118">
        <f t="shared" si="1"/>
        <v>0</v>
      </c>
      <c r="I35" s="82">
        <f t="shared" si="2"/>
        <v>0</v>
      </c>
      <c r="J35" s="126">
        <f t="shared" si="3"/>
        <v>0</v>
      </c>
      <c r="K35" s="84">
        <f t="shared" si="10"/>
        <v>0</v>
      </c>
      <c r="L35" s="86"/>
    </row>
    <row r="36" spans="1:12" ht="15.75" customHeight="1" x14ac:dyDescent="0.25">
      <c r="A36" s="73" t="s">
        <v>2566</v>
      </c>
      <c r="B36" s="66">
        <f t="shared" si="4"/>
        <v>46083</v>
      </c>
      <c r="C36" s="79">
        <f t="shared" si="6"/>
        <v>11</v>
      </c>
      <c r="D36" s="79">
        <f t="shared" si="7"/>
        <v>11</v>
      </c>
      <c r="E36" s="79">
        <f t="shared" si="11"/>
        <v>11</v>
      </c>
      <c r="F36" s="80">
        <f t="shared" si="12"/>
        <v>0</v>
      </c>
      <c r="G36" s="118">
        <f t="shared" si="5"/>
        <v>3</v>
      </c>
      <c r="H36" s="118">
        <f t="shared" si="1"/>
        <v>0</v>
      </c>
      <c r="I36" s="82">
        <f t="shared" si="2"/>
        <v>0</v>
      </c>
      <c r="J36" s="126">
        <f t="shared" si="3"/>
        <v>2</v>
      </c>
      <c r="K36" s="84">
        <f t="shared" si="10"/>
        <v>0</v>
      </c>
      <c r="L36" s="86"/>
    </row>
    <row r="37" spans="1:12" ht="15.75" customHeight="1" x14ac:dyDescent="0.25">
      <c r="A37" s="73" t="s">
        <v>2567</v>
      </c>
      <c r="B37" s="66">
        <f t="shared" si="4"/>
        <v>46090</v>
      </c>
      <c r="C37" s="79">
        <f t="shared" si="6"/>
        <v>9</v>
      </c>
      <c r="D37" s="79">
        <f t="shared" si="7"/>
        <v>9</v>
      </c>
      <c r="E37" s="79">
        <f t="shared" si="11"/>
        <v>9</v>
      </c>
      <c r="F37" s="80">
        <f t="shared" si="12"/>
        <v>1</v>
      </c>
      <c r="G37" s="118">
        <f t="shared" si="5"/>
        <v>0</v>
      </c>
      <c r="H37" s="118">
        <f t="shared" si="1"/>
        <v>2</v>
      </c>
      <c r="I37" s="82">
        <f t="shared" si="2"/>
        <v>0</v>
      </c>
      <c r="J37" s="126">
        <f t="shared" si="3"/>
        <v>3</v>
      </c>
      <c r="K37" s="84">
        <f t="shared" si="10"/>
        <v>0</v>
      </c>
      <c r="L37" s="86"/>
    </row>
    <row r="38" spans="1:12" ht="15.75" customHeight="1" x14ac:dyDescent="0.25">
      <c r="A38" s="73" t="s">
        <v>2568</v>
      </c>
      <c r="B38" s="66">
        <f t="shared" si="4"/>
        <v>46097</v>
      </c>
      <c r="C38" s="79">
        <f t="shared" si="6"/>
        <v>6</v>
      </c>
      <c r="D38" s="79">
        <f t="shared" si="7"/>
        <v>6</v>
      </c>
      <c r="E38" s="79">
        <f t="shared" si="11"/>
        <v>6</v>
      </c>
      <c r="F38" s="80">
        <f ca="1">IF(TODAY() &lt;B37," ",IF(J37="","",IF(G37+F37+H37+I37-J37&lt;0,0,G37+F37+H37+I37-J37)))</f>
        <v>0</v>
      </c>
      <c r="G38" s="118">
        <f t="shared" si="5"/>
        <v>2</v>
      </c>
      <c r="H38" s="118">
        <f t="shared" si="1"/>
        <v>0</v>
      </c>
      <c r="I38" s="82">
        <f t="shared" si="2"/>
        <v>0</v>
      </c>
      <c r="J38" s="126">
        <f t="shared" si="3"/>
        <v>1</v>
      </c>
      <c r="K38" s="84">
        <f t="shared" si="10"/>
        <v>0</v>
      </c>
      <c r="L38" s="86"/>
    </row>
    <row r="39" spans="1:12" ht="15.75" customHeight="1" x14ac:dyDescent="0.25">
      <c r="A39" s="73" t="s">
        <v>2569</v>
      </c>
      <c r="B39" s="66">
        <f t="shared" si="4"/>
        <v>46104</v>
      </c>
      <c r="C39" s="79">
        <f t="shared" si="6"/>
        <v>5</v>
      </c>
      <c r="D39" s="79">
        <f t="shared" si="7"/>
        <v>5</v>
      </c>
      <c r="E39" s="79">
        <f t="shared" si="11"/>
        <v>5</v>
      </c>
      <c r="F39" s="80">
        <f t="shared" ref="F39:F40" ca="1" si="13">IF(TODAY() &lt;B38," ",IF(J38="","",IF(G38+F38+H38+I38-J38&lt;0,0,G38+F38+H38+I38-J38)))</f>
        <v>1</v>
      </c>
      <c r="G39" s="118">
        <f t="shared" si="5"/>
        <v>1</v>
      </c>
      <c r="H39" s="118">
        <f t="shared" si="1"/>
        <v>0</v>
      </c>
      <c r="I39" s="82">
        <f t="shared" si="2"/>
        <v>0</v>
      </c>
      <c r="J39" s="126">
        <f t="shared" si="3"/>
        <v>0</v>
      </c>
      <c r="K39" s="84">
        <f t="shared" si="10"/>
        <v>0</v>
      </c>
      <c r="L39" s="86"/>
    </row>
    <row r="40" spans="1:12" ht="15.75" customHeight="1" x14ac:dyDescent="0.25">
      <c r="A40" s="73" t="s">
        <v>2570</v>
      </c>
      <c r="B40" s="66">
        <f t="shared" si="4"/>
        <v>46111</v>
      </c>
      <c r="C40" s="79">
        <f t="shared" si="6"/>
        <v>5</v>
      </c>
      <c r="D40" s="79">
        <f t="shared" si="7"/>
        <v>5</v>
      </c>
      <c r="E40" s="79">
        <f t="shared" si="11"/>
        <v>5</v>
      </c>
      <c r="F40" s="80">
        <f t="shared" ca="1" si="13"/>
        <v>2</v>
      </c>
      <c r="G40" s="118"/>
      <c r="H40" s="118"/>
      <c r="I40" s="82"/>
      <c r="J40" s="126"/>
      <c r="K40" s="84"/>
      <c r="L40" s="86"/>
    </row>
    <row r="41" spans="1:12" ht="15.75" customHeight="1" x14ac:dyDescent="0.25">
      <c r="A41" s="73"/>
      <c r="B41" s="66">
        <f t="shared" si="4"/>
        <v>46118</v>
      </c>
      <c r="C41" s="85">
        <f>IF(OR(C40="",C40=0),"",IF(ISBLANK(J40),IF(C40+K40+I40-$C$7&lt;=0,IF(AND(C40&gt;0,C40&lt;&gt;""),0,""),C40+K40+I40-$C$7),IF((C40-J40)+K40+I40&lt;=0,IF(AND(C40&gt;0,C40&lt;&gt;""),0,""),(C40-J40)+K40+I40)))</f>
        <v>2</v>
      </c>
      <c r="D41" s="79">
        <f t="shared" si="7"/>
        <v>4</v>
      </c>
      <c r="E41" s="79">
        <f t="shared" si="11"/>
        <v>0</v>
      </c>
      <c r="F41" s="80" t="str">
        <f t="shared" ref="F41:F43" ca="1" si="14">IF(TODAY() &lt;B40," ",IF(J40="","",IF(G40+F40+H40+I40-J40&lt;0,0,G40+F40+H40+I40-J40)))</f>
        <v/>
      </c>
      <c r="G41" s="118"/>
      <c r="H41" s="118"/>
      <c r="I41" s="82"/>
      <c r="J41" s="126"/>
      <c r="K41" s="84"/>
      <c r="L41" s="86"/>
    </row>
    <row r="42" spans="1:12" ht="15.75" customHeight="1" x14ac:dyDescent="0.25">
      <c r="A42" s="73"/>
      <c r="B42" s="66">
        <f t="shared" si="4"/>
        <v>46125</v>
      </c>
      <c r="C42" s="85">
        <f t="shared" ref="C42:C68" si="15">IF(OR(C41="",C41=0),"",IF(ISBLANK(J41),IF(C41+K41+I41-$C$7&lt;=0,IF(AND(C41&gt;0,C41&lt;&gt;""),0,""),C41+K41+I41-$C$7),IF((C41-J41)+K41+I41&lt;=0,IF(AND(C41&gt;0,C41&lt;&gt;""),0,""),(C41-J41)+K41+I41)))</f>
        <v>0</v>
      </c>
      <c r="D42" s="79">
        <f t="shared" si="7"/>
        <v>3</v>
      </c>
      <c r="E42" s="79" t="str">
        <f t="shared" si="11"/>
        <v/>
      </c>
      <c r="F42" s="80" t="str">
        <f t="shared" ca="1" si="14"/>
        <v xml:space="preserve"> </v>
      </c>
      <c r="G42" s="118"/>
      <c r="H42" s="118"/>
      <c r="I42" s="82"/>
      <c r="J42" s="126"/>
      <c r="K42" s="84"/>
      <c r="L42" s="86"/>
    </row>
    <row r="43" spans="1:12" ht="15.75" customHeight="1" x14ac:dyDescent="0.25">
      <c r="A43" s="73"/>
      <c r="B43" s="66">
        <f t="shared" si="4"/>
        <v>46132</v>
      </c>
      <c r="C43" s="85" t="str">
        <f t="shared" si="15"/>
        <v/>
      </c>
      <c r="D43" s="79">
        <f t="shared" si="7"/>
        <v>2</v>
      </c>
      <c r="E43" s="79" t="str">
        <f t="shared" ref="E43:E45" si="16">IF(OR(E42="",E42=0),"",IF(ISBLANK($J42),IF(E42-$K42+$I42-$C$9&lt;=0,IF(AND(E42&gt;0,E42&lt;&gt;""),0,""),E42-$K42+$I42-$C$9),IF((E42-$J42)-$K42+$I42&lt;=0,IF(AND(E42&gt;0,E42&lt;&gt;""),0,""),(E42-$J42)-$K42+$I42)))</f>
        <v/>
      </c>
      <c r="F43" s="80" t="str">
        <f t="shared" ca="1" si="14"/>
        <v xml:space="preserve"> </v>
      </c>
      <c r="G43" s="81"/>
      <c r="H43" s="81"/>
      <c r="I43" s="82"/>
      <c r="J43" s="83"/>
      <c r="K43" s="84"/>
      <c r="L43" s="86"/>
    </row>
    <row r="44" spans="1:12" ht="15.75" customHeight="1" x14ac:dyDescent="0.25">
      <c r="A44" s="73"/>
      <c r="B44" s="66">
        <f t="shared" si="4"/>
        <v>46139</v>
      </c>
      <c r="C44" s="85" t="str">
        <f t="shared" si="15"/>
        <v/>
      </c>
      <c r="D44" s="79">
        <f t="shared" si="7"/>
        <v>1</v>
      </c>
      <c r="E44" s="79" t="str">
        <f t="shared" si="16"/>
        <v/>
      </c>
      <c r="F44" s="80" t="str">
        <f t="shared" si="12"/>
        <v/>
      </c>
      <c r="G44" s="81"/>
      <c r="H44" s="81"/>
      <c r="I44" s="82"/>
      <c r="J44" s="83"/>
      <c r="K44" s="84"/>
      <c r="L44" s="86"/>
    </row>
    <row r="45" spans="1:12" ht="15.75" customHeight="1" x14ac:dyDescent="0.25">
      <c r="A45" s="73"/>
      <c r="B45" s="66">
        <f t="shared" si="4"/>
        <v>46146</v>
      </c>
      <c r="C45" s="85" t="str">
        <f t="shared" si="15"/>
        <v/>
      </c>
      <c r="D45" s="79">
        <f t="shared" si="7"/>
        <v>0</v>
      </c>
      <c r="E45" s="79" t="str">
        <f t="shared" si="16"/>
        <v/>
      </c>
      <c r="F45" s="80" t="str">
        <f t="shared" si="12"/>
        <v/>
      </c>
      <c r="G45" s="81"/>
      <c r="H45" s="81"/>
      <c r="I45" s="82"/>
      <c r="J45" s="83"/>
      <c r="K45" s="84"/>
      <c r="L45" s="86"/>
    </row>
    <row r="46" spans="1:12" ht="15.75" customHeight="1" x14ac:dyDescent="0.25">
      <c r="A46" s="73"/>
      <c r="B46" s="66">
        <f t="shared" si="4"/>
        <v>46153</v>
      </c>
      <c r="C46" s="85" t="str">
        <f t="shared" si="15"/>
        <v/>
      </c>
      <c r="D46" s="79" t="str">
        <f t="shared" si="7"/>
        <v/>
      </c>
      <c r="E46" s="85" t="str">
        <f t="shared" ref="E46:E68" si="17">IF(OR(E45="",E45=0),"",IF(ISBLANK($J45),IF(E45+$K45+$I45-$C$9&lt;=0,IF(AND(E45&gt;0,E45&lt;&gt;""),0,""),E45+$K45+$I45-$C$9),IF((E45-$J45)+$K45+$I45&lt;=0,IF(AND(E45&gt;0,E45&lt;&gt;""),0,""),(E45-$J45)+$K45+$I45)))</f>
        <v/>
      </c>
      <c r="F46" s="80" t="str">
        <f t="shared" si="12"/>
        <v/>
      </c>
      <c r="G46" s="81"/>
      <c r="H46" s="81"/>
      <c r="I46" s="82"/>
      <c r="J46" s="83"/>
      <c r="K46" s="84"/>
      <c r="L46" s="86"/>
    </row>
    <row r="47" spans="1:12" ht="15.75" customHeight="1" x14ac:dyDescent="0.25">
      <c r="A47" s="73"/>
      <c r="B47" s="66">
        <f t="shared" si="4"/>
        <v>46160</v>
      </c>
      <c r="C47" s="85" t="str">
        <f t="shared" si="15"/>
        <v/>
      </c>
      <c r="D47" s="79" t="str">
        <f t="shared" si="7"/>
        <v/>
      </c>
      <c r="E47" s="85" t="str">
        <f t="shared" si="17"/>
        <v/>
      </c>
      <c r="F47" s="80" t="str">
        <f t="shared" si="12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/>
      <c r="B48" s="66">
        <f t="shared" si="4"/>
        <v>46167</v>
      </c>
      <c r="C48" s="85" t="str">
        <f t="shared" si="15"/>
        <v/>
      </c>
      <c r="D48" s="85" t="str">
        <f t="shared" ref="D48:D68" si="18">IF(OR(D47="",D47=0),"",IF(ISBLANK($J47),IF(D47+$K47+$I47-$C$8&lt;=0,IF(AND(D47&gt;0,D47&lt;&gt;""),0,""),D47+$K47+$I47-$C$8),IF((D47-$J47)+$K47+$I47&lt;=0,IF(AND(D47&gt;0,D47&lt;&gt;""),0,""),(D47-$J47)+$K47+$I47)))</f>
        <v/>
      </c>
      <c r="E48" s="85" t="str">
        <f t="shared" si="17"/>
        <v/>
      </c>
      <c r="F48" s="80" t="str">
        <f t="shared" si="12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4"/>
        <v>46174</v>
      </c>
      <c r="C49" s="85" t="str">
        <f t="shared" si="15"/>
        <v/>
      </c>
      <c r="D49" s="85" t="str">
        <f t="shared" si="18"/>
        <v/>
      </c>
      <c r="E49" s="85" t="str">
        <f t="shared" si="17"/>
        <v/>
      </c>
      <c r="F49" s="80" t="str">
        <f t="shared" si="12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4"/>
        <v>46181</v>
      </c>
      <c r="C50" s="85" t="str">
        <f t="shared" si="15"/>
        <v/>
      </c>
      <c r="D50" s="85" t="str">
        <f t="shared" si="18"/>
        <v/>
      </c>
      <c r="E50" s="85" t="str">
        <f t="shared" si="17"/>
        <v/>
      </c>
      <c r="F50" s="80" t="str">
        <f t="shared" si="12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4"/>
        <v>46188</v>
      </c>
      <c r="C51" s="85" t="str">
        <f t="shared" si="15"/>
        <v/>
      </c>
      <c r="D51" s="85" t="str">
        <f t="shared" si="18"/>
        <v/>
      </c>
      <c r="E51" s="85" t="str">
        <f t="shared" si="17"/>
        <v/>
      </c>
      <c r="F51" s="80" t="str">
        <f t="shared" si="12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4"/>
        <v>46195</v>
      </c>
      <c r="C52" s="85" t="str">
        <f t="shared" si="15"/>
        <v/>
      </c>
      <c r="D52" s="85" t="str">
        <f t="shared" si="18"/>
        <v/>
      </c>
      <c r="E52" s="85" t="str">
        <f t="shared" si="17"/>
        <v/>
      </c>
      <c r="F52" s="80" t="str">
        <f t="shared" si="12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4"/>
        <v>46202</v>
      </c>
      <c r="C53" s="85" t="str">
        <f t="shared" si="15"/>
        <v/>
      </c>
      <c r="D53" s="85" t="str">
        <f t="shared" si="18"/>
        <v/>
      </c>
      <c r="E53" s="85" t="str">
        <f t="shared" si="17"/>
        <v/>
      </c>
      <c r="F53" s="80" t="str">
        <f t="shared" si="12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4"/>
        <v>46209</v>
      </c>
      <c r="C54" s="85" t="str">
        <f t="shared" si="15"/>
        <v/>
      </c>
      <c r="D54" s="85" t="str">
        <f t="shared" si="18"/>
        <v/>
      </c>
      <c r="E54" s="85" t="str">
        <f t="shared" si="17"/>
        <v/>
      </c>
      <c r="F54" s="80" t="str">
        <f t="shared" si="12"/>
        <v/>
      </c>
      <c r="G54" s="81"/>
      <c r="H54" s="81"/>
      <c r="I54" s="82"/>
      <c r="J54" s="83"/>
      <c r="K54" s="84"/>
      <c r="L54" s="86"/>
    </row>
    <row r="55" spans="1:12" ht="15.75" customHeight="1" x14ac:dyDescent="0.25">
      <c r="A55" s="73"/>
      <c r="B55" s="66">
        <f t="shared" si="4"/>
        <v>46216</v>
      </c>
      <c r="C55" s="85" t="str">
        <f t="shared" si="15"/>
        <v/>
      </c>
      <c r="D55" s="85" t="str">
        <f t="shared" si="18"/>
        <v/>
      </c>
      <c r="E55" s="85" t="str">
        <f t="shared" si="17"/>
        <v/>
      </c>
      <c r="F55" s="80" t="str">
        <f t="shared" si="12"/>
        <v/>
      </c>
      <c r="G55" s="81"/>
      <c r="H55" s="81"/>
      <c r="I55" s="82"/>
      <c r="J55" s="83"/>
      <c r="K55" s="84"/>
      <c r="L55" s="86"/>
    </row>
    <row r="56" spans="1:12" ht="15" customHeight="1" x14ac:dyDescent="0.25">
      <c r="A56" s="73"/>
      <c r="B56" s="66">
        <f t="shared" si="4"/>
        <v>46223</v>
      </c>
      <c r="C56" s="85" t="str">
        <f t="shared" si="15"/>
        <v/>
      </c>
      <c r="D56" s="85" t="str">
        <f t="shared" si="18"/>
        <v/>
      </c>
      <c r="E56" s="85" t="str">
        <f t="shared" si="17"/>
        <v/>
      </c>
      <c r="F56" s="80" t="str">
        <f t="shared" si="12"/>
        <v/>
      </c>
      <c r="G56" s="81"/>
      <c r="H56" s="81"/>
      <c r="I56" s="82"/>
      <c r="J56" s="83"/>
      <c r="K56" s="84"/>
      <c r="L56" s="86"/>
    </row>
    <row r="57" spans="1:12" ht="15" customHeight="1" x14ac:dyDescent="0.25">
      <c r="A57" s="73"/>
      <c r="B57" s="66">
        <f t="shared" si="4"/>
        <v>46230</v>
      </c>
      <c r="C57" s="85" t="str">
        <f t="shared" si="15"/>
        <v/>
      </c>
      <c r="D57" s="85" t="str">
        <f t="shared" si="18"/>
        <v/>
      </c>
      <c r="E57" s="85" t="str">
        <f t="shared" si="17"/>
        <v/>
      </c>
      <c r="F57" s="80" t="str">
        <f t="shared" si="12"/>
        <v/>
      </c>
      <c r="G57" s="81"/>
      <c r="H57" s="81"/>
      <c r="I57" s="82"/>
      <c r="J57" s="83"/>
      <c r="K57" s="84"/>
      <c r="L57" s="86"/>
    </row>
    <row r="58" spans="1:12" ht="15" customHeight="1" x14ac:dyDescent="0.25">
      <c r="A58" s="73"/>
      <c r="B58" s="66">
        <f t="shared" si="4"/>
        <v>46237</v>
      </c>
      <c r="C58" s="85" t="str">
        <f t="shared" si="15"/>
        <v/>
      </c>
      <c r="D58" s="85" t="str">
        <f t="shared" si="18"/>
        <v/>
      </c>
      <c r="E58" s="85" t="str">
        <f t="shared" si="17"/>
        <v/>
      </c>
      <c r="F58" s="80" t="str">
        <f t="shared" si="12"/>
        <v/>
      </c>
      <c r="G58" s="81"/>
      <c r="H58" s="81"/>
      <c r="I58" s="82"/>
      <c r="J58" s="83"/>
      <c r="K58" s="84"/>
      <c r="L58" s="86"/>
    </row>
    <row r="59" spans="1:12" ht="15" customHeight="1" x14ac:dyDescent="0.25">
      <c r="A59" s="73"/>
      <c r="B59" s="66">
        <f t="shared" si="4"/>
        <v>46244</v>
      </c>
      <c r="C59" s="85" t="str">
        <f t="shared" si="15"/>
        <v/>
      </c>
      <c r="D59" s="85" t="str">
        <f t="shared" si="18"/>
        <v/>
      </c>
      <c r="E59" s="85" t="str">
        <f t="shared" si="17"/>
        <v/>
      </c>
      <c r="F59" s="80" t="str">
        <f t="shared" si="12"/>
        <v/>
      </c>
      <c r="G59" s="81"/>
      <c r="H59" s="81"/>
      <c r="I59" s="82"/>
      <c r="J59" s="83"/>
      <c r="K59" s="84"/>
      <c r="L59" s="86"/>
    </row>
    <row r="60" spans="1:12" ht="15" customHeight="1" x14ac:dyDescent="0.25">
      <c r="A60" s="73"/>
      <c r="B60" s="66">
        <f t="shared" si="4"/>
        <v>46251</v>
      </c>
      <c r="C60" s="85" t="str">
        <f t="shared" si="15"/>
        <v/>
      </c>
      <c r="D60" s="85" t="str">
        <f t="shared" si="18"/>
        <v/>
      </c>
      <c r="E60" s="85" t="str">
        <f t="shared" si="17"/>
        <v/>
      </c>
      <c r="F60" s="80" t="str">
        <f t="shared" si="12"/>
        <v/>
      </c>
      <c r="G60" s="81"/>
      <c r="H60" s="81"/>
      <c r="I60" s="82"/>
      <c r="J60" s="83"/>
      <c r="K60" s="84"/>
      <c r="L60" s="86"/>
    </row>
    <row r="61" spans="1:12" ht="15" customHeight="1" x14ac:dyDescent="0.25">
      <c r="A61" s="73"/>
      <c r="B61" s="66">
        <f t="shared" si="4"/>
        <v>46258</v>
      </c>
      <c r="C61" s="85" t="str">
        <f t="shared" si="15"/>
        <v/>
      </c>
      <c r="D61" s="85" t="str">
        <f t="shared" si="18"/>
        <v/>
      </c>
      <c r="E61" s="85" t="str">
        <f t="shared" si="17"/>
        <v/>
      </c>
      <c r="F61" s="80" t="str">
        <f t="shared" si="12"/>
        <v/>
      </c>
      <c r="G61" s="81"/>
      <c r="H61" s="81"/>
      <c r="I61" s="82"/>
      <c r="J61" s="83"/>
      <c r="K61" s="84"/>
      <c r="L61" s="86"/>
    </row>
    <row r="62" spans="1:12" ht="15" customHeight="1" x14ac:dyDescent="0.25">
      <c r="A62" s="73"/>
      <c r="B62" s="66">
        <f t="shared" si="4"/>
        <v>46265</v>
      </c>
      <c r="C62" s="85" t="str">
        <f t="shared" si="15"/>
        <v/>
      </c>
      <c r="D62" s="85" t="str">
        <f t="shared" si="18"/>
        <v/>
      </c>
      <c r="E62" s="85" t="str">
        <f t="shared" si="17"/>
        <v/>
      </c>
      <c r="F62" s="80" t="str">
        <f t="shared" si="12"/>
        <v/>
      </c>
      <c r="G62" s="81"/>
      <c r="H62" s="81"/>
      <c r="I62" s="82"/>
      <c r="J62" s="83"/>
      <c r="K62" s="84"/>
      <c r="L62" s="86"/>
    </row>
    <row r="63" spans="1:12" ht="15" customHeight="1" x14ac:dyDescent="0.25">
      <c r="A63" s="73"/>
      <c r="B63" s="66">
        <f t="shared" si="4"/>
        <v>46272</v>
      </c>
      <c r="C63" s="85" t="str">
        <f t="shared" si="15"/>
        <v/>
      </c>
      <c r="D63" s="85" t="str">
        <f t="shared" si="18"/>
        <v/>
      </c>
      <c r="E63" s="85" t="str">
        <f t="shared" si="17"/>
        <v/>
      </c>
      <c r="F63" s="80" t="str">
        <f t="shared" si="12"/>
        <v/>
      </c>
      <c r="G63" s="81"/>
      <c r="H63" s="81"/>
      <c r="I63" s="82"/>
      <c r="J63" s="83"/>
      <c r="K63" s="84"/>
      <c r="L63" s="86"/>
    </row>
    <row r="64" spans="1:12" ht="15" customHeight="1" x14ac:dyDescent="0.25">
      <c r="A64" s="73"/>
      <c r="B64" s="66">
        <f t="shared" si="4"/>
        <v>46279</v>
      </c>
      <c r="C64" s="85" t="str">
        <f t="shared" si="15"/>
        <v/>
      </c>
      <c r="D64" s="85" t="str">
        <f t="shared" si="18"/>
        <v/>
      </c>
      <c r="E64" s="85" t="str">
        <f t="shared" si="17"/>
        <v/>
      </c>
      <c r="F64" s="80" t="str">
        <f t="shared" si="12"/>
        <v/>
      </c>
      <c r="G64" s="81"/>
      <c r="H64" s="81"/>
      <c r="I64" s="82"/>
      <c r="J64" s="83"/>
      <c r="K64" s="84"/>
      <c r="L64" s="86"/>
    </row>
    <row r="65" spans="1:12" ht="15" customHeight="1" x14ac:dyDescent="0.25">
      <c r="A65" s="73"/>
      <c r="B65" s="66">
        <f t="shared" si="4"/>
        <v>46286</v>
      </c>
      <c r="C65" s="85" t="str">
        <f t="shared" si="15"/>
        <v/>
      </c>
      <c r="D65" s="85" t="str">
        <f t="shared" si="18"/>
        <v/>
      </c>
      <c r="E65" s="85" t="str">
        <f t="shared" si="17"/>
        <v/>
      </c>
      <c r="F65" s="80" t="str">
        <f t="shared" si="12"/>
        <v/>
      </c>
      <c r="G65" s="81"/>
      <c r="H65" s="81"/>
      <c r="I65" s="82"/>
      <c r="J65" s="83"/>
      <c r="K65" s="84"/>
      <c r="L65" s="86"/>
    </row>
    <row r="66" spans="1:12" ht="15" customHeight="1" x14ac:dyDescent="0.25">
      <c r="A66" s="73"/>
      <c r="B66" s="66">
        <f t="shared" si="4"/>
        <v>46293</v>
      </c>
      <c r="C66" s="85" t="str">
        <f t="shared" si="15"/>
        <v/>
      </c>
      <c r="D66" s="85" t="str">
        <f t="shared" si="18"/>
        <v/>
      </c>
      <c r="E66" s="85" t="str">
        <f t="shared" si="17"/>
        <v/>
      </c>
      <c r="F66" s="80" t="str">
        <f t="shared" si="12"/>
        <v/>
      </c>
      <c r="G66" s="81"/>
      <c r="H66" s="81"/>
      <c r="I66" s="82"/>
      <c r="J66" s="83"/>
      <c r="K66" s="84"/>
      <c r="L66" s="86"/>
    </row>
    <row r="67" spans="1:12" ht="15" customHeight="1" x14ac:dyDescent="0.25">
      <c r="A67" s="73"/>
      <c r="B67" s="66">
        <f t="shared" si="4"/>
        <v>46300</v>
      </c>
      <c r="C67" s="85" t="str">
        <f t="shared" si="15"/>
        <v/>
      </c>
      <c r="D67" s="85" t="str">
        <f t="shared" si="18"/>
        <v/>
      </c>
      <c r="E67" s="85" t="str">
        <f t="shared" si="17"/>
        <v/>
      </c>
      <c r="F67" s="80" t="str">
        <f t="shared" si="12"/>
        <v/>
      </c>
      <c r="G67" s="81"/>
      <c r="H67" s="81"/>
      <c r="I67" s="82"/>
      <c r="J67" s="83"/>
      <c r="K67" s="84"/>
      <c r="L67" s="86"/>
    </row>
    <row r="68" spans="1:12" ht="15" customHeight="1" x14ac:dyDescent="0.25">
      <c r="A68" s="73"/>
      <c r="B68" s="66">
        <f t="shared" si="4"/>
        <v>46307</v>
      </c>
      <c r="C68" s="85" t="str">
        <f t="shared" si="15"/>
        <v/>
      </c>
      <c r="D68" s="85" t="str">
        <f t="shared" si="18"/>
        <v/>
      </c>
      <c r="E68" s="85" t="str">
        <f t="shared" si="17"/>
        <v/>
      </c>
      <c r="F68" s="80" t="str">
        <f t="shared" si="12"/>
        <v/>
      </c>
      <c r="G68" s="81"/>
      <c r="H68" s="81"/>
      <c r="I68" s="82"/>
      <c r="J68" s="83"/>
      <c r="K68" s="84"/>
      <c r="L68" s="86"/>
    </row>
    <row r="93" spans="2:3" ht="15.75" customHeight="1" x14ac:dyDescent="0.25">
      <c r="B93" s="67" t="e">
        <f>IF(#REF!="","",IF(#REF!+$C$10&lt;=$C$6,#REF!+$C$10,""))</f>
        <v>#REF!</v>
      </c>
      <c r="C93" s="76" t="e">
        <f>IF(B93&lt;&gt;"",#REF!-$C$2/COUNT($B$18:$B$511),"")</f>
        <v>#REF!</v>
      </c>
    </row>
    <row r="94" spans="2:3" ht="15.75" customHeight="1" x14ac:dyDescent="0.25">
      <c r="B94" s="67" t="e">
        <f t="shared" ref="B94:B157" si="19">IF(B93="","",IF(B93+$C$10&lt;=$C$6,B93+$C$10,""))</f>
        <v>#REF!</v>
      </c>
      <c r="C94" s="76" t="e">
        <f t="shared" ref="C94:C157" si="20">IF(B94&lt;&gt;"",C93-$C$2/COUNT($B$18:$B$511),"")</f>
        <v>#REF!</v>
      </c>
    </row>
    <row r="95" spans="2:3" ht="15.75" customHeight="1" x14ac:dyDescent="0.25">
      <c r="B95" s="67" t="e">
        <f t="shared" si="19"/>
        <v>#REF!</v>
      </c>
      <c r="C95" s="76" t="e">
        <f t="shared" si="20"/>
        <v>#REF!</v>
      </c>
    </row>
    <row r="96" spans="2:3" ht="15.75" customHeight="1" x14ac:dyDescent="0.25">
      <c r="B96" s="67" t="e">
        <f t="shared" si="19"/>
        <v>#REF!</v>
      </c>
      <c r="C96" s="76" t="e">
        <f t="shared" si="20"/>
        <v>#REF!</v>
      </c>
    </row>
    <row r="97" spans="2:3" ht="15.75" customHeight="1" x14ac:dyDescent="0.25">
      <c r="B97" s="67" t="e">
        <f t="shared" si="19"/>
        <v>#REF!</v>
      </c>
      <c r="C97" s="76" t="e">
        <f t="shared" si="20"/>
        <v>#REF!</v>
      </c>
    </row>
    <row r="98" spans="2:3" ht="15.75" customHeight="1" x14ac:dyDescent="0.25">
      <c r="B98" s="67" t="e">
        <f t="shared" si="19"/>
        <v>#REF!</v>
      </c>
      <c r="C98" s="76" t="e">
        <f t="shared" si="20"/>
        <v>#REF!</v>
      </c>
    </row>
    <row r="99" spans="2:3" ht="15.75" customHeight="1" x14ac:dyDescent="0.25">
      <c r="B99" s="67" t="e">
        <f t="shared" si="19"/>
        <v>#REF!</v>
      </c>
      <c r="C99" s="76" t="e">
        <f t="shared" si="20"/>
        <v>#REF!</v>
      </c>
    </row>
    <row r="100" spans="2:3" ht="15.75" customHeight="1" x14ac:dyDescent="0.25">
      <c r="B100" s="67" t="e">
        <f t="shared" si="19"/>
        <v>#REF!</v>
      </c>
      <c r="C100" s="76" t="e">
        <f t="shared" si="20"/>
        <v>#REF!</v>
      </c>
    </row>
    <row r="101" spans="2:3" ht="15.75" customHeight="1" x14ac:dyDescent="0.25">
      <c r="B101" s="67" t="e">
        <f t="shared" si="19"/>
        <v>#REF!</v>
      </c>
      <c r="C101" s="76" t="e">
        <f t="shared" si="20"/>
        <v>#REF!</v>
      </c>
    </row>
    <row r="102" spans="2:3" ht="15.75" customHeight="1" x14ac:dyDescent="0.25">
      <c r="B102" s="67" t="e">
        <f t="shared" si="19"/>
        <v>#REF!</v>
      </c>
      <c r="C102" s="76" t="e">
        <f t="shared" si="20"/>
        <v>#REF!</v>
      </c>
    </row>
    <row r="103" spans="2:3" ht="15.75" customHeight="1" x14ac:dyDescent="0.25">
      <c r="B103" s="67" t="e">
        <f t="shared" si="19"/>
        <v>#REF!</v>
      </c>
      <c r="C103" s="76" t="e">
        <f t="shared" si="20"/>
        <v>#REF!</v>
      </c>
    </row>
    <row r="104" spans="2:3" ht="15.75" customHeight="1" x14ac:dyDescent="0.25">
      <c r="B104" s="67" t="e">
        <f t="shared" si="19"/>
        <v>#REF!</v>
      </c>
      <c r="C104" s="76" t="e">
        <f t="shared" si="20"/>
        <v>#REF!</v>
      </c>
    </row>
    <row r="105" spans="2:3" ht="15.75" customHeight="1" x14ac:dyDescent="0.25">
      <c r="B105" s="67" t="e">
        <f t="shared" si="19"/>
        <v>#REF!</v>
      </c>
      <c r="C105" s="76" t="e">
        <f t="shared" si="20"/>
        <v>#REF!</v>
      </c>
    </row>
    <row r="106" spans="2:3" ht="15.75" customHeight="1" x14ac:dyDescent="0.25">
      <c r="B106" s="67" t="e">
        <f t="shared" si="19"/>
        <v>#REF!</v>
      </c>
      <c r="C106" s="76" t="e">
        <f t="shared" si="20"/>
        <v>#REF!</v>
      </c>
    </row>
    <row r="107" spans="2:3" ht="15.75" customHeight="1" x14ac:dyDescent="0.25">
      <c r="B107" s="67" t="e">
        <f t="shared" si="19"/>
        <v>#REF!</v>
      </c>
      <c r="C107" s="76" t="e">
        <f t="shared" si="20"/>
        <v>#REF!</v>
      </c>
    </row>
    <row r="108" spans="2:3" ht="15.75" customHeight="1" x14ac:dyDescent="0.25">
      <c r="B108" s="67" t="e">
        <f t="shared" si="19"/>
        <v>#REF!</v>
      </c>
      <c r="C108" s="76" t="e">
        <f t="shared" si="20"/>
        <v>#REF!</v>
      </c>
    </row>
    <row r="109" spans="2:3" ht="15.75" customHeight="1" x14ac:dyDescent="0.25">
      <c r="B109" s="67" t="e">
        <f t="shared" si="19"/>
        <v>#REF!</v>
      </c>
      <c r="C109" s="76" t="e">
        <f t="shared" si="20"/>
        <v>#REF!</v>
      </c>
    </row>
    <row r="110" spans="2:3" ht="15.75" customHeight="1" x14ac:dyDescent="0.25">
      <c r="B110" s="67" t="e">
        <f t="shared" si="19"/>
        <v>#REF!</v>
      </c>
      <c r="C110" s="76" t="e">
        <f t="shared" si="20"/>
        <v>#REF!</v>
      </c>
    </row>
    <row r="111" spans="2:3" ht="15.75" customHeight="1" x14ac:dyDescent="0.25">
      <c r="B111" s="67" t="e">
        <f t="shared" si="19"/>
        <v>#REF!</v>
      </c>
      <c r="C111" s="76" t="e">
        <f t="shared" si="20"/>
        <v>#REF!</v>
      </c>
    </row>
    <row r="112" spans="2:3" ht="15.75" customHeight="1" x14ac:dyDescent="0.25">
      <c r="B112" s="67" t="e">
        <f t="shared" si="19"/>
        <v>#REF!</v>
      </c>
      <c r="C112" s="76" t="e">
        <f t="shared" si="20"/>
        <v>#REF!</v>
      </c>
    </row>
    <row r="113" spans="2:3" ht="15.75" customHeight="1" x14ac:dyDescent="0.25">
      <c r="B113" s="67" t="e">
        <f t="shared" si="19"/>
        <v>#REF!</v>
      </c>
      <c r="C113" s="76" t="e">
        <f t="shared" si="20"/>
        <v>#REF!</v>
      </c>
    </row>
    <row r="114" spans="2:3" ht="15.75" customHeight="1" x14ac:dyDescent="0.25">
      <c r="B114" s="67" t="e">
        <f t="shared" si="19"/>
        <v>#REF!</v>
      </c>
      <c r="C114" s="76" t="e">
        <f t="shared" si="20"/>
        <v>#REF!</v>
      </c>
    </row>
    <row r="115" spans="2:3" ht="15.75" customHeight="1" x14ac:dyDescent="0.25">
      <c r="B115" s="67" t="e">
        <f t="shared" si="19"/>
        <v>#REF!</v>
      </c>
      <c r="C115" s="76" t="e">
        <f t="shared" si="20"/>
        <v>#REF!</v>
      </c>
    </row>
    <row r="116" spans="2:3" ht="15.75" customHeight="1" x14ac:dyDescent="0.25">
      <c r="B116" s="67" t="e">
        <f t="shared" si="19"/>
        <v>#REF!</v>
      </c>
      <c r="C116" s="76" t="e">
        <f t="shared" si="20"/>
        <v>#REF!</v>
      </c>
    </row>
    <row r="117" spans="2:3" ht="15.75" customHeight="1" x14ac:dyDescent="0.25">
      <c r="B117" s="67" t="e">
        <f t="shared" si="19"/>
        <v>#REF!</v>
      </c>
      <c r="C117" s="76" t="e">
        <f t="shared" si="20"/>
        <v>#REF!</v>
      </c>
    </row>
    <row r="118" spans="2:3" ht="15.75" customHeight="1" x14ac:dyDescent="0.25">
      <c r="B118" s="67" t="e">
        <f t="shared" si="19"/>
        <v>#REF!</v>
      </c>
      <c r="C118" s="76" t="e">
        <f t="shared" si="20"/>
        <v>#REF!</v>
      </c>
    </row>
    <row r="119" spans="2:3" ht="15.75" customHeight="1" x14ac:dyDescent="0.25">
      <c r="B119" s="67" t="e">
        <f t="shared" si="19"/>
        <v>#REF!</v>
      </c>
      <c r="C119" s="76" t="e">
        <f t="shared" si="20"/>
        <v>#REF!</v>
      </c>
    </row>
    <row r="120" spans="2:3" ht="15.75" customHeight="1" x14ac:dyDescent="0.25">
      <c r="B120" s="67" t="e">
        <f t="shared" si="19"/>
        <v>#REF!</v>
      </c>
      <c r="C120" s="76" t="e">
        <f t="shared" si="20"/>
        <v>#REF!</v>
      </c>
    </row>
    <row r="121" spans="2:3" ht="15.75" customHeight="1" x14ac:dyDescent="0.25">
      <c r="B121" s="67" t="e">
        <f t="shared" si="19"/>
        <v>#REF!</v>
      </c>
      <c r="C121" s="76" t="e">
        <f t="shared" si="20"/>
        <v>#REF!</v>
      </c>
    </row>
    <row r="122" spans="2:3" ht="15.75" customHeight="1" x14ac:dyDescent="0.25">
      <c r="B122" s="67" t="e">
        <f t="shared" si="19"/>
        <v>#REF!</v>
      </c>
      <c r="C122" s="76" t="e">
        <f t="shared" si="20"/>
        <v>#REF!</v>
      </c>
    </row>
    <row r="123" spans="2:3" ht="15.75" customHeight="1" x14ac:dyDescent="0.25">
      <c r="B123" s="67" t="e">
        <f t="shared" si="19"/>
        <v>#REF!</v>
      </c>
      <c r="C123" s="76" t="e">
        <f t="shared" si="20"/>
        <v>#REF!</v>
      </c>
    </row>
    <row r="124" spans="2:3" ht="15.75" customHeight="1" x14ac:dyDescent="0.25">
      <c r="B124" s="67" t="e">
        <f t="shared" si="19"/>
        <v>#REF!</v>
      </c>
      <c r="C124" s="76" t="e">
        <f t="shared" si="20"/>
        <v>#REF!</v>
      </c>
    </row>
    <row r="125" spans="2:3" ht="15.75" customHeight="1" x14ac:dyDescent="0.25">
      <c r="B125" s="67" t="e">
        <f t="shared" si="19"/>
        <v>#REF!</v>
      </c>
      <c r="C125" s="76" t="e">
        <f t="shared" si="20"/>
        <v>#REF!</v>
      </c>
    </row>
    <row r="126" spans="2:3" ht="15.75" customHeight="1" x14ac:dyDescent="0.25">
      <c r="B126" s="67" t="e">
        <f t="shared" si="19"/>
        <v>#REF!</v>
      </c>
      <c r="C126" s="76" t="e">
        <f t="shared" si="20"/>
        <v>#REF!</v>
      </c>
    </row>
    <row r="127" spans="2:3" ht="15.75" customHeight="1" x14ac:dyDescent="0.25">
      <c r="B127" s="67" t="e">
        <f t="shared" si="19"/>
        <v>#REF!</v>
      </c>
      <c r="C127" s="76" t="e">
        <f t="shared" si="20"/>
        <v>#REF!</v>
      </c>
    </row>
    <row r="128" spans="2:3" ht="15.75" customHeight="1" x14ac:dyDescent="0.25">
      <c r="B128" s="67" t="e">
        <f t="shared" si="19"/>
        <v>#REF!</v>
      </c>
      <c r="C128" s="76" t="e">
        <f t="shared" si="20"/>
        <v>#REF!</v>
      </c>
    </row>
    <row r="129" spans="2:3" ht="15.75" customHeight="1" x14ac:dyDescent="0.25">
      <c r="B129" s="67" t="e">
        <f t="shared" si="19"/>
        <v>#REF!</v>
      </c>
      <c r="C129" s="76" t="e">
        <f t="shared" si="20"/>
        <v>#REF!</v>
      </c>
    </row>
    <row r="130" spans="2:3" ht="15.75" customHeight="1" x14ac:dyDescent="0.25">
      <c r="B130" s="67" t="e">
        <f t="shared" si="19"/>
        <v>#REF!</v>
      </c>
      <c r="C130" s="76" t="e">
        <f t="shared" si="20"/>
        <v>#REF!</v>
      </c>
    </row>
    <row r="131" spans="2:3" ht="15.75" customHeight="1" x14ac:dyDescent="0.25">
      <c r="B131" s="67" t="e">
        <f t="shared" si="19"/>
        <v>#REF!</v>
      </c>
      <c r="C131" s="76" t="e">
        <f t="shared" si="20"/>
        <v>#REF!</v>
      </c>
    </row>
    <row r="132" spans="2:3" ht="15.75" customHeight="1" x14ac:dyDescent="0.25">
      <c r="B132" s="67" t="e">
        <f t="shared" si="19"/>
        <v>#REF!</v>
      </c>
      <c r="C132" s="76" t="e">
        <f t="shared" si="20"/>
        <v>#REF!</v>
      </c>
    </row>
    <row r="133" spans="2:3" ht="15.75" customHeight="1" x14ac:dyDescent="0.25">
      <c r="B133" s="67" t="e">
        <f t="shared" si="19"/>
        <v>#REF!</v>
      </c>
      <c r="C133" s="76" t="e">
        <f t="shared" si="20"/>
        <v>#REF!</v>
      </c>
    </row>
    <row r="134" spans="2:3" ht="15.75" customHeight="1" x14ac:dyDescent="0.25">
      <c r="B134" s="67" t="e">
        <f t="shared" si="19"/>
        <v>#REF!</v>
      </c>
      <c r="C134" s="76" t="e">
        <f t="shared" si="20"/>
        <v>#REF!</v>
      </c>
    </row>
    <row r="135" spans="2:3" ht="15.75" customHeight="1" x14ac:dyDescent="0.25">
      <c r="B135" s="67" t="e">
        <f t="shared" si="19"/>
        <v>#REF!</v>
      </c>
      <c r="C135" s="76" t="e">
        <f t="shared" si="20"/>
        <v>#REF!</v>
      </c>
    </row>
    <row r="136" spans="2:3" ht="15.75" customHeight="1" x14ac:dyDescent="0.25">
      <c r="B136" s="67" t="e">
        <f t="shared" si="19"/>
        <v>#REF!</v>
      </c>
      <c r="C136" s="76" t="e">
        <f t="shared" si="20"/>
        <v>#REF!</v>
      </c>
    </row>
    <row r="137" spans="2:3" ht="15.75" customHeight="1" x14ac:dyDescent="0.25">
      <c r="B137" s="67" t="e">
        <f t="shared" si="19"/>
        <v>#REF!</v>
      </c>
      <c r="C137" s="76" t="e">
        <f t="shared" si="20"/>
        <v>#REF!</v>
      </c>
    </row>
    <row r="138" spans="2:3" ht="15.75" customHeight="1" x14ac:dyDescent="0.25">
      <c r="B138" s="67" t="e">
        <f t="shared" si="19"/>
        <v>#REF!</v>
      </c>
      <c r="C138" s="76" t="e">
        <f t="shared" si="20"/>
        <v>#REF!</v>
      </c>
    </row>
    <row r="139" spans="2:3" ht="15.75" customHeight="1" x14ac:dyDescent="0.25">
      <c r="B139" s="67" t="e">
        <f t="shared" si="19"/>
        <v>#REF!</v>
      </c>
      <c r="C139" s="76" t="e">
        <f t="shared" si="20"/>
        <v>#REF!</v>
      </c>
    </row>
    <row r="140" spans="2:3" ht="15.75" customHeight="1" x14ac:dyDescent="0.25">
      <c r="B140" s="67" t="e">
        <f t="shared" si="19"/>
        <v>#REF!</v>
      </c>
      <c r="C140" s="76" t="e">
        <f t="shared" si="20"/>
        <v>#REF!</v>
      </c>
    </row>
    <row r="141" spans="2:3" ht="15.75" customHeight="1" x14ac:dyDescent="0.25">
      <c r="B141" s="67" t="e">
        <f t="shared" si="19"/>
        <v>#REF!</v>
      </c>
      <c r="C141" s="76" t="e">
        <f t="shared" si="20"/>
        <v>#REF!</v>
      </c>
    </row>
    <row r="142" spans="2:3" ht="15.75" customHeight="1" x14ac:dyDescent="0.25">
      <c r="B142" s="67" t="e">
        <f t="shared" si="19"/>
        <v>#REF!</v>
      </c>
      <c r="C142" s="76" t="e">
        <f t="shared" si="20"/>
        <v>#REF!</v>
      </c>
    </row>
    <row r="143" spans="2:3" ht="15.75" customHeight="1" x14ac:dyDescent="0.25">
      <c r="B143" s="67" t="e">
        <f t="shared" si="19"/>
        <v>#REF!</v>
      </c>
      <c r="C143" s="76" t="e">
        <f t="shared" si="20"/>
        <v>#REF!</v>
      </c>
    </row>
    <row r="144" spans="2:3" ht="15.75" customHeight="1" x14ac:dyDescent="0.25">
      <c r="B144" s="67" t="e">
        <f t="shared" si="19"/>
        <v>#REF!</v>
      </c>
      <c r="C144" s="76" t="e">
        <f t="shared" si="20"/>
        <v>#REF!</v>
      </c>
    </row>
    <row r="145" spans="2:3" ht="15.75" customHeight="1" x14ac:dyDescent="0.25">
      <c r="B145" s="67" t="e">
        <f t="shared" si="19"/>
        <v>#REF!</v>
      </c>
      <c r="C145" s="76" t="e">
        <f t="shared" si="20"/>
        <v>#REF!</v>
      </c>
    </row>
    <row r="146" spans="2:3" ht="15.75" customHeight="1" x14ac:dyDescent="0.25">
      <c r="B146" s="67" t="e">
        <f t="shared" si="19"/>
        <v>#REF!</v>
      </c>
      <c r="C146" s="76" t="e">
        <f t="shared" si="20"/>
        <v>#REF!</v>
      </c>
    </row>
    <row r="147" spans="2:3" ht="15.75" customHeight="1" x14ac:dyDescent="0.25">
      <c r="B147" s="67" t="e">
        <f t="shared" si="19"/>
        <v>#REF!</v>
      </c>
      <c r="C147" s="76" t="e">
        <f t="shared" si="20"/>
        <v>#REF!</v>
      </c>
    </row>
    <row r="148" spans="2:3" ht="15.75" customHeight="1" x14ac:dyDescent="0.25">
      <c r="B148" s="67" t="e">
        <f t="shared" si="19"/>
        <v>#REF!</v>
      </c>
      <c r="C148" s="76" t="e">
        <f t="shared" si="20"/>
        <v>#REF!</v>
      </c>
    </row>
    <row r="149" spans="2:3" ht="15.75" customHeight="1" x14ac:dyDescent="0.25">
      <c r="B149" s="67" t="e">
        <f t="shared" si="19"/>
        <v>#REF!</v>
      </c>
      <c r="C149" s="76" t="e">
        <f t="shared" si="20"/>
        <v>#REF!</v>
      </c>
    </row>
    <row r="150" spans="2:3" ht="15.75" customHeight="1" x14ac:dyDescent="0.25">
      <c r="B150" s="67" t="e">
        <f t="shared" si="19"/>
        <v>#REF!</v>
      </c>
      <c r="C150" s="76" t="e">
        <f t="shared" si="20"/>
        <v>#REF!</v>
      </c>
    </row>
    <row r="151" spans="2:3" ht="15.75" customHeight="1" x14ac:dyDescent="0.25">
      <c r="B151" s="67" t="e">
        <f t="shared" si="19"/>
        <v>#REF!</v>
      </c>
      <c r="C151" s="76" t="e">
        <f t="shared" si="20"/>
        <v>#REF!</v>
      </c>
    </row>
    <row r="152" spans="2:3" ht="15.75" customHeight="1" x14ac:dyDescent="0.25">
      <c r="B152" s="67" t="e">
        <f t="shared" si="19"/>
        <v>#REF!</v>
      </c>
      <c r="C152" s="76" t="e">
        <f t="shared" si="20"/>
        <v>#REF!</v>
      </c>
    </row>
    <row r="153" spans="2:3" ht="15.75" customHeight="1" x14ac:dyDescent="0.25">
      <c r="B153" s="67" t="e">
        <f t="shared" si="19"/>
        <v>#REF!</v>
      </c>
      <c r="C153" s="76" t="e">
        <f t="shared" si="20"/>
        <v>#REF!</v>
      </c>
    </row>
    <row r="154" spans="2:3" ht="15.75" customHeight="1" x14ac:dyDescent="0.25">
      <c r="B154" s="67" t="e">
        <f t="shared" si="19"/>
        <v>#REF!</v>
      </c>
      <c r="C154" s="76" t="e">
        <f t="shared" si="20"/>
        <v>#REF!</v>
      </c>
    </row>
    <row r="155" spans="2:3" ht="15.75" customHeight="1" x14ac:dyDescent="0.25">
      <c r="B155" s="67" t="e">
        <f t="shared" si="19"/>
        <v>#REF!</v>
      </c>
      <c r="C155" s="76" t="e">
        <f t="shared" si="20"/>
        <v>#REF!</v>
      </c>
    </row>
    <row r="156" spans="2:3" ht="15.75" customHeight="1" x14ac:dyDescent="0.25">
      <c r="B156" s="67" t="e">
        <f t="shared" si="19"/>
        <v>#REF!</v>
      </c>
      <c r="C156" s="76" t="e">
        <f t="shared" si="20"/>
        <v>#REF!</v>
      </c>
    </row>
    <row r="157" spans="2:3" ht="15.75" customHeight="1" x14ac:dyDescent="0.25">
      <c r="B157" s="67" t="e">
        <f t="shared" si="19"/>
        <v>#REF!</v>
      </c>
      <c r="C157" s="76" t="e">
        <f t="shared" si="20"/>
        <v>#REF!</v>
      </c>
    </row>
    <row r="158" spans="2:3" ht="15.75" customHeight="1" x14ac:dyDescent="0.25">
      <c r="B158" s="67" t="e">
        <f t="shared" ref="B158:B221" si="21">IF(B157="","",IF(B157+$C$10&lt;=$C$6,B157+$C$10,""))</f>
        <v>#REF!</v>
      </c>
      <c r="C158" s="76" t="e">
        <f t="shared" ref="C158:C221" si="22">IF(B158&lt;&gt;"",C157-$C$2/COUNT($B$18:$B$511),"")</f>
        <v>#REF!</v>
      </c>
    </row>
    <row r="159" spans="2:3" ht="15.75" customHeight="1" x14ac:dyDescent="0.25">
      <c r="B159" s="67" t="e">
        <f t="shared" si="21"/>
        <v>#REF!</v>
      </c>
      <c r="C159" s="76" t="e">
        <f t="shared" si="22"/>
        <v>#REF!</v>
      </c>
    </row>
    <row r="160" spans="2:3" ht="15.75" customHeight="1" x14ac:dyDescent="0.25">
      <c r="B160" s="67" t="e">
        <f t="shared" si="21"/>
        <v>#REF!</v>
      </c>
      <c r="C160" s="76" t="e">
        <f t="shared" si="22"/>
        <v>#REF!</v>
      </c>
    </row>
    <row r="161" spans="2:3" ht="15.75" customHeight="1" x14ac:dyDescent="0.25">
      <c r="B161" s="67" t="e">
        <f t="shared" si="21"/>
        <v>#REF!</v>
      </c>
      <c r="C161" s="76" t="e">
        <f t="shared" si="22"/>
        <v>#REF!</v>
      </c>
    </row>
    <row r="162" spans="2:3" ht="15.75" customHeight="1" x14ac:dyDescent="0.25">
      <c r="B162" s="67" t="e">
        <f t="shared" si="21"/>
        <v>#REF!</v>
      </c>
      <c r="C162" s="76" t="e">
        <f t="shared" si="22"/>
        <v>#REF!</v>
      </c>
    </row>
    <row r="163" spans="2:3" ht="15.75" customHeight="1" x14ac:dyDescent="0.25">
      <c r="B163" s="67" t="e">
        <f t="shared" si="21"/>
        <v>#REF!</v>
      </c>
      <c r="C163" s="76" t="e">
        <f t="shared" si="22"/>
        <v>#REF!</v>
      </c>
    </row>
    <row r="164" spans="2:3" ht="15.75" customHeight="1" x14ac:dyDescent="0.25">
      <c r="B164" s="67" t="e">
        <f t="shared" si="21"/>
        <v>#REF!</v>
      </c>
      <c r="C164" s="76" t="e">
        <f t="shared" si="22"/>
        <v>#REF!</v>
      </c>
    </row>
    <row r="165" spans="2:3" ht="15.75" customHeight="1" x14ac:dyDescent="0.25">
      <c r="B165" s="67" t="e">
        <f t="shared" si="21"/>
        <v>#REF!</v>
      </c>
      <c r="C165" s="76" t="e">
        <f t="shared" si="22"/>
        <v>#REF!</v>
      </c>
    </row>
    <row r="166" spans="2:3" ht="15.75" customHeight="1" x14ac:dyDescent="0.25">
      <c r="B166" s="67" t="e">
        <f t="shared" si="21"/>
        <v>#REF!</v>
      </c>
      <c r="C166" s="76" t="e">
        <f t="shared" si="22"/>
        <v>#REF!</v>
      </c>
    </row>
    <row r="167" spans="2:3" ht="15.75" customHeight="1" x14ac:dyDescent="0.25">
      <c r="B167" s="67" t="e">
        <f t="shared" si="21"/>
        <v>#REF!</v>
      </c>
      <c r="C167" s="76" t="e">
        <f t="shared" si="22"/>
        <v>#REF!</v>
      </c>
    </row>
    <row r="168" spans="2:3" ht="15.75" customHeight="1" x14ac:dyDescent="0.25">
      <c r="B168" s="67" t="e">
        <f t="shared" si="21"/>
        <v>#REF!</v>
      </c>
      <c r="C168" s="76" t="e">
        <f t="shared" si="22"/>
        <v>#REF!</v>
      </c>
    </row>
    <row r="169" spans="2:3" ht="15.75" customHeight="1" x14ac:dyDescent="0.25">
      <c r="B169" s="67" t="e">
        <f t="shared" si="21"/>
        <v>#REF!</v>
      </c>
      <c r="C169" s="76" t="e">
        <f t="shared" si="22"/>
        <v>#REF!</v>
      </c>
    </row>
    <row r="170" spans="2:3" ht="15.75" customHeight="1" x14ac:dyDescent="0.25">
      <c r="B170" s="67" t="e">
        <f t="shared" si="21"/>
        <v>#REF!</v>
      </c>
      <c r="C170" s="76" t="e">
        <f t="shared" si="22"/>
        <v>#REF!</v>
      </c>
    </row>
    <row r="171" spans="2:3" ht="15.75" customHeight="1" x14ac:dyDescent="0.25">
      <c r="B171" s="67" t="e">
        <f t="shared" si="21"/>
        <v>#REF!</v>
      </c>
      <c r="C171" s="76" t="e">
        <f t="shared" si="22"/>
        <v>#REF!</v>
      </c>
    </row>
    <row r="172" spans="2:3" ht="15.75" customHeight="1" x14ac:dyDescent="0.25">
      <c r="B172" s="67" t="e">
        <f t="shared" si="21"/>
        <v>#REF!</v>
      </c>
      <c r="C172" s="76" t="e">
        <f t="shared" si="22"/>
        <v>#REF!</v>
      </c>
    </row>
    <row r="173" spans="2:3" ht="15.75" customHeight="1" x14ac:dyDescent="0.25">
      <c r="B173" s="67" t="e">
        <f t="shared" si="21"/>
        <v>#REF!</v>
      </c>
      <c r="C173" s="76" t="e">
        <f t="shared" si="22"/>
        <v>#REF!</v>
      </c>
    </row>
    <row r="174" spans="2:3" ht="15.75" customHeight="1" x14ac:dyDescent="0.25">
      <c r="B174" s="67" t="e">
        <f t="shared" si="21"/>
        <v>#REF!</v>
      </c>
      <c r="C174" s="76" t="e">
        <f t="shared" si="22"/>
        <v>#REF!</v>
      </c>
    </row>
    <row r="175" spans="2:3" ht="15.75" customHeight="1" x14ac:dyDescent="0.25">
      <c r="B175" s="67" t="e">
        <f t="shared" si="21"/>
        <v>#REF!</v>
      </c>
      <c r="C175" s="76" t="e">
        <f t="shared" si="22"/>
        <v>#REF!</v>
      </c>
    </row>
    <row r="176" spans="2:3" ht="15.75" customHeight="1" x14ac:dyDescent="0.25">
      <c r="B176" s="67" t="e">
        <f t="shared" si="21"/>
        <v>#REF!</v>
      </c>
      <c r="C176" s="76" t="e">
        <f t="shared" si="22"/>
        <v>#REF!</v>
      </c>
    </row>
    <row r="177" spans="2:3" ht="15.75" customHeight="1" x14ac:dyDescent="0.25">
      <c r="B177" s="67" t="e">
        <f t="shared" si="21"/>
        <v>#REF!</v>
      </c>
      <c r="C177" s="76" t="e">
        <f t="shared" si="22"/>
        <v>#REF!</v>
      </c>
    </row>
    <row r="178" spans="2:3" ht="15.75" customHeight="1" x14ac:dyDescent="0.25">
      <c r="B178" s="67" t="e">
        <f t="shared" si="21"/>
        <v>#REF!</v>
      </c>
      <c r="C178" s="76" t="e">
        <f t="shared" si="22"/>
        <v>#REF!</v>
      </c>
    </row>
    <row r="179" spans="2:3" ht="15.75" customHeight="1" x14ac:dyDescent="0.25">
      <c r="B179" s="67" t="e">
        <f t="shared" si="21"/>
        <v>#REF!</v>
      </c>
      <c r="C179" s="76" t="e">
        <f t="shared" si="22"/>
        <v>#REF!</v>
      </c>
    </row>
    <row r="180" spans="2:3" ht="15.75" customHeight="1" x14ac:dyDescent="0.25">
      <c r="B180" s="67" t="e">
        <f t="shared" si="21"/>
        <v>#REF!</v>
      </c>
      <c r="C180" s="76" t="e">
        <f t="shared" si="22"/>
        <v>#REF!</v>
      </c>
    </row>
    <row r="181" spans="2:3" ht="15.75" customHeight="1" x14ac:dyDescent="0.25">
      <c r="B181" s="67" t="e">
        <f t="shared" si="21"/>
        <v>#REF!</v>
      </c>
      <c r="C181" s="76" t="e">
        <f t="shared" si="22"/>
        <v>#REF!</v>
      </c>
    </row>
    <row r="182" spans="2:3" ht="15.75" customHeight="1" x14ac:dyDescent="0.25">
      <c r="B182" s="67" t="e">
        <f t="shared" si="21"/>
        <v>#REF!</v>
      </c>
      <c r="C182" s="76" t="e">
        <f t="shared" si="22"/>
        <v>#REF!</v>
      </c>
    </row>
    <row r="183" spans="2:3" ht="15.75" customHeight="1" x14ac:dyDescent="0.25">
      <c r="B183" s="67" t="e">
        <f t="shared" si="21"/>
        <v>#REF!</v>
      </c>
      <c r="C183" s="76" t="e">
        <f t="shared" si="22"/>
        <v>#REF!</v>
      </c>
    </row>
    <row r="184" spans="2:3" ht="15.75" customHeight="1" x14ac:dyDescent="0.25">
      <c r="B184" s="67" t="e">
        <f t="shared" si="21"/>
        <v>#REF!</v>
      </c>
      <c r="C184" s="76" t="e">
        <f t="shared" si="22"/>
        <v>#REF!</v>
      </c>
    </row>
    <row r="185" spans="2:3" ht="15.75" customHeight="1" x14ac:dyDescent="0.25">
      <c r="B185" s="67" t="e">
        <f t="shared" si="21"/>
        <v>#REF!</v>
      </c>
      <c r="C185" s="76" t="e">
        <f t="shared" si="22"/>
        <v>#REF!</v>
      </c>
    </row>
    <row r="186" spans="2:3" ht="15.75" customHeight="1" x14ac:dyDescent="0.25">
      <c r="B186" s="67" t="e">
        <f t="shared" si="21"/>
        <v>#REF!</v>
      </c>
      <c r="C186" s="76" t="e">
        <f t="shared" si="22"/>
        <v>#REF!</v>
      </c>
    </row>
    <row r="187" spans="2:3" ht="15.75" customHeight="1" x14ac:dyDescent="0.25">
      <c r="B187" s="67" t="e">
        <f t="shared" si="21"/>
        <v>#REF!</v>
      </c>
      <c r="C187" s="76" t="e">
        <f t="shared" si="22"/>
        <v>#REF!</v>
      </c>
    </row>
    <row r="188" spans="2:3" ht="15.75" customHeight="1" x14ac:dyDescent="0.25">
      <c r="B188" s="67" t="e">
        <f t="shared" si="21"/>
        <v>#REF!</v>
      </c>
      <c r="C188" s="76" t="e">
        <f t="shared" si="22"/>
        <v>#REF!</v>
      </c>
    </row>
    <row r="189" spans="2:3" ht="15.75" customHeight="1" x14ac:dyDescent="0.25">
      <c r="B189" s="67" t="e">
        <f t="shared" si="21"/>
        <v>#REF!</v>
      </c>
      <c r="C189" s="76" t="e">
        <f t="shared" si="22"/>
        <v>#REF!</v>
      </c>
    </row>
    <row r="190" spans="2:3" ht="15.75" customHeight="1" x14ac:dyDescent="0.25">
      <c r="B190" s="67" t="e">
        <f t="shared" si="21"/>
        <v>#REF!</v>
      </c>
      <c r="C190" s="76" t="e">
        <f t="shared" si="22"/>
        <v>#REF!</v>
      </c>
    </row>
    <row r="191" spans="2:3" ht="15.75" customHeight="1" x14ac:dyDescent="0.25">
      <c r="B191" s="67" t="e">
        <f t="shared" si="21"/>
        <v>#REF!</v>
      </c>
      <c r="C191" s="76" t="e">
        <f t="shared" si="22"/>
        <v>#REF!</v>
      </c>
    </row>
    <row r="192" spans="2:3" ht="15.75" customHeight="1" x14ac:dyDescent="0.25">
      <c r="B192" s="67" t="e">
        <f t="shared" si="21"/>
        <v>#REF!</v>
      </c>
      <c r="C192" s="76" t="e">
        <f t="shared" si="22"/>
        <v>#REF!</v>
      </c>
    </row>
    <row r="193" spans="2:3" ht="15.75" customHeight="1" x14ac:dyDescent="0.25">
      <c r="B193" s="67" t="e">
        <f t="shared" si="21"/>
        <v>#REF!</v>
      </c>
      <c r="C193" s="76" t="e">
        <f t="shared" si="22"/>
        <v>#REF!</v>
      </c>
    </row>
    <row r="194" spans="2:3" ht="15.75" customHeight="1" x14ac:dyDescent="0.25">
      <c r="B194" s="67" t="e">
        <f t="shared" si="21"/>
        <v>#REF!</v>
      </c>
      <c r="C194" s="76" t="e">
        <f t="shared" si="22"/>
        <v>#REF!</v>
      </c>
    </row>
    <row r="195" spans="2:3" ht="15.75" customHeight="1" x14ac:dyDescent="0.25">
      <c r="B195" s="67" t="e">
        <f t="shared" si="21"/>
        <v>#REF!</v>
      </c>
      <c r="C195" s="76" t="e">
        <f t="shared" si="22"/>
        <v>#REF!</v>
      </c>
    </row>
    <row r="196" spans="2:3" ht="15.75" customHeight="1" x14ac:dyDescent="0.25">
      <c r="B196" s="67" t="e">
        <f t="shared" si="21"/>
        <v>#REF!</v>
      </c>
      <c r="C196" s="76" t="e">
        <f t="shared" si="22"/>
        <v>#REF!</v>
      </c>
    </row>
    <row r="197" spans="2:3" ht="15.75" customHeight="1" x14ac:dyDescent="0.25">
      <c r="B197" s="67" t="e">
        <f t="shared" si="21"/>
        <v>#REF!</v>
      </c>
      <c r="C197" s="76" t="e">
        <f t="shared" si="22"/>
        <v>#REF!</v>
      </c>
    </row>
    <row r="198" spans="2:3" ht="15.75" customHeight="1" x14ac:dyDescent="0.25">
      <c r="B198" s="67" t="e">
        <f t="shared" si="21"/>
        <v>#REF!</v>
      </c>
      <c r="C198" s="76" t="e">
        <f t="shared" si="22"/>
        <v>#REF!</v>
      </c>
    </row>
    <row r="199" spans="2:3" ht="15.75" customHeight="1" x14ac:dyDescent="0.25">
      <c r="B199" s="67" t="e">
        <f t="shared" si="21"/>
        <v>#REF!</v>
      </c>
      <c r="C199" s="76" t="e">
        <f t="shared" si="22"/>
        <v>#REF!</v>
      </c>
    </row>
    <row r="200" spans="2:3" ht="15.75" customHeight="1" x14ac:dyDescent="0.25">
      <c r="B200" s="67" t="e">
        <f t="shared" si="21"/>
        <v>#REF!</v>
      </c>
      <c r="C200" s="76" t="e">
        <f t="shared" si="22"/>
        <v>#REF!</v>
      </c>
    </row>
    <row r="201" spans="2:3" ht="15.75" customHeight="1" x14ac:dyDescent="0.25">
      <c r="B201" s="67" t="e">
        <f t="shared" si="21"/>
        <v>#REF!</v>
      </c>
      <c r="C201" s="76" t="e">
        <f t="shared" si="22"/>
        <v>#REF!</v>
      </c>
    </row>
    <row r="202" spans="2:3" ht="15.75" customHeight="1" x14ac:dyDescent="0.25">
      <c r="B202" s="67" t="e">
        <f t="shared" si="21"/>
        <v>#REF!</v>
      </c>
      <c r="C202" s="76" t="e">
        <f t="shared" si="22"/>
        <v>#REF!</v>
      </c>
    </row>
    <row r="203" spans="2:3" ht="15.75" customHeight="1" x14ac:dyDescent="0.25">
      <c r="B203" s="67" t="e">
        <f t="shared" si="21"/>
        <v>#REF!</v>
      </c>
      <c r="C203" s="76" t="e">
        <f t="shared" si="22"/>
        <v>#REF!</v>
      </c>
    </row>
    <row r="204" spans="2:3" ht="15.75" customHeight="1" x14ac:dyDescent="0.25">
      <c r="B204" s="67" t="e">
        <f t="shared" si="21"/>
        <v>#REF!</v>
      </c>
      <c r="C204" s="76" t="e">
        <f t="shared" si="22"/>
        <v>#REF!</v>
      </c>
    </row>
    <row r="205" spans="2:3" ht="15.75" customHeight="1" x14ac:dyDescent="0.25">
      <c r="B205" s="67" t="e">
        <f t="shared" si="21"/>
        <v>#REF!</v>
      </c>
      <c r="C205" s="76" t="e">
        <f t="shared" si="22"/>
        <v>#REF!</v>
      </c>
    </row>
    <row r="206" spans="2:3" ht="15.75" customHeight="1" x14ac:dyDescent="0.25">
      <c r="B206" s="67" t="e">
        <f t="shared" si="21"/>
        <v>#REF!</v>
      </c>
      <c r="C206" s="76" t="e">
        <f t="shared" si="22"/>
        <v>#REF!</v>
      </c>
    </row>
    <row r="207" spans="2:3" ht="15.75" customHeight="1" x14ac:dyDescent="0.25">
      <c r="B207" s="67" t="e">
        <f t="shared" si="21"/>
        <v>#REF!</v>
      </c>
      <c r="C207" s="76" t="e">
        <f t="shared" si="22"/>
        <v>#REF!</v>
      </c>
    </row>
    <row r="208" spans="2:3" ht="15.75" customHeight="1" x14ac:dyDescent="0.25">
      <c r="B208" s="67" t="e">
        <f t="shared" si="21"/>
        <v>#REF!</v>
      </c>
      <c r="C208" s="76" t="e">
        <f t="shared" si="22"/>
        <v>#REF!</v>
      </c>
    </row>
    <row r="209" spans="2:3" ht="15.75" customHeight="1" x14ac:dyDescent="0.25">
      <c r="B209" s="67" t="e">
        <f t="shared" si="21"/>
        <v>#REF!</v>
      </c>
      <c r="C209" s="76" t="e">
        <f t="shared" si="22"/>
        <v>#REF!</v>
      </c>
    </row>
    <row r="210" spans="2:3" ht="15.75" customHeight="1" x14ac:dyDescent="0.25">
      <c r="B210" s="67" t="e">
        <f t="shared" si="21"/>
        <v>#REF!</v>
      </c>
      <c r="C210" s="76" t="e">
        <f t="shared" si="22"/>
        <v>#REF!</v>
      </c>
    </row>
    <row r="211" spans="2:3" ht="15.75" customHeight="1" x14ac:dyDescent="0.25">
      <c r="B211" s="67" t="e">
        <f t="shared" si="21"/>
        <v>#REF!</v>
      </c>
      <c r="C211" s="76" t="e">
        <f t="shared" si="22"/>
        <v>#REF!</v>
      </c>
    </row>
    <row r="212" spans="2:3" ht="15.75" customHeight="1" x14ac:dyDescent="0.25">
      <c r="B212" s="67" t="e">
        <f t="shared" si="21"/>
        <v>#REF!</v>
      </c>
      <c r="C212" s="76" t="e">
        <f t="shared" si="22"/>
        <v>#REF!</v>
      </c>
    </row>
    <row r="213" spans="2:3" ht="15.75" customHeight="1" x14ac:dyDescent="0.25">
      <c r="B213" s="67" t="e">
        <f t="shared" si="21"/>
        <v>#REF!</v>
      </c>
      <c r="C213" s="76" t="e">
        <f t="shared" si="22"/>
        <v>#REF!</v>
      </c>
    </row>
    <row r="214" spans="2:3" ht="15.75" customHeight="1" x14ac:dyDescent="0.25">
      <c r="B214" s="67" t="e">
        <f t="shared" si="21"/>
        <v>#REF!</v>
      </c>
      <c r="C214" s="76" t="e">
        <f t="shared" si="22"/>
        <v>#REF!</v>
      </c>
    </row>
    <row r="215" spans="2:3" ht="15.75" customHeight="1" x14ac:dyDescent="0.25">
      <c r="B215" s="67" t="e">
        <f t="shared" si="21"/>
        <v>#REF!</v>
      </c>
      <c r="C215" s="76" t="e">
        <f t="shared" si="22"/>
        <v>#REF!</v>
      </c>
    </row>
    <row r="216" spans="2:3" ht="15.75" customHeight="1" x14ac:dyDescent="0.25">
      <c r="B216" s="67" t="e">
        <f t="shared" si="21"/>
        <v>#REF!</v>
      </c>
      <c r="C216" s="76" t="e">
        <f t="shared" si="22"/>
        <v>#REF!</v>
      </c>
    </row>
    <row r="217" spans="2:3" ht="15.75" customHeight="1" x14ac:dyDescent="0.25">
      <c r="B217" s="67" t="e">
        <f t="shared" si="21"/>
        <v>#REF!</v>
      </c>
      <c r="C217" s="76" t="e">
        <f t="shared" si="22"/>
        <v>#REF!</v>
      </c>
    </row>
    <row r="218" spans="2:3" ht="15.75" customHeight="1" x14ac:dyDescent="0.25">
      <c r="B218" s="67" t="e">
        <f t="shared" si="21"/>
        <v>#REF!</v>
      </c>
      <c r="C218" s="76" t="e">
        <f t="shared" si="22"/>
        <v>#REF!</v>
      </c>
    </row>
    <row r="219" spans="2:3" ht="15.75" customHeight="1" x14ac:dyDescent="0.25">
      <c r="B219" s="67" t="e">
        <f t="shared" si="21"/>
        <v>#REF!</v>
      </c>
      <c r="C219" s="76" t="e">
        <f t="shared" si="22"/>
        <v>#REF!</v>
      </c>
    </row>
    <row r="220" spans="2:3" ht="15.75" customHeight="1" x14ac:dyDescent="0.25">
      <c r="B220" s="67" t="e">
        <f t="shared" si="21"/>
        <v>#REF!</v>
      </c>
      <c r="C220" s="76" t="e">
        <f t="shared" si="22"/>
        <v>#REF!</v>
      </c>
    </row>
    <row r="221" spans="2:3" ht="15.75" customHeight="1" x14ac:dyDescent="0.25">
      <c r="B221" s="67" t="e">
        <f t="shared" si="21"/>
        <v>#REF!</v>
      </c>
      <c r="C221" s="76" t="e">
        <f t="shared" si="22"/>
        <v>#REF!</v>
      </c>
    </row>
    <row r="222" spans="2:3" ht="15.75" customHeight="1" x14ac:dyDescent="0.25">
      <c r="B222" s="67" t="e">
        <f t="shared" ref="B222:B285" si="23">IF(B221="","",IF(B221+$C$10&lt;=$C$6,B221+$C$10,""))</f>
        <v>#REF!</v>
      </c>
      <c r="C222" s="76" t="e">
        <f t="shared" ref="C222:C285" si="24">IF(B222&lt;&gt;"",C221-$C$2/COUNT($B$18:$B$511),"")</f>
        <v>#REF!</v>
      </c>
    </row>
    <row r="223" spans="2:3" ht="15.75" customHeight="1" x14ac:dyDescent="0.25">
      <c r="B223" s="67" t="e">
        <f t="shared" si="23"/>
        <v>#REF!</v>
      </c>
      <c r="C223" s="76" t="e">
        <f t="shared" si="24"/>
        <v>#REF!</v>
      </c>
    </row>
    <row r="224" spans="2:3" ht="15.75" customHeight="1" x14ac:dyDescent="0.25">
      <c r="B224" s="67" t="e">
        <f t="shared" si="23"/>
        <v>#REF!</v>
      </c>
      <c r="C224" s="76" t="e">
        <f t="shared" si="24"/>
        <v>#REF!</v>
      </c>
    </row>
    <row r="225" spans="2:3" ht="15.75" customHeight="1" x14ac:dyDescent="0.25">
      <c r="B225" s="67" t="e">
        <f t="shared" si="23"/>
        <v>#REF!</v>
      </c>
      <c r="C225" s="76" t="e">
        <f t="shared" si="24"/>
        <v>#REF!</v>
      </c>
    </row>
    <row r="226" spans="2:3" ht="15.75" customHeight="1" x14ac:dyDescent="0.25">
      <c r="B226" s="67" t="e">
        <f t="shared" si="23"/>
        <v>#REF!</v>
      </c>
      <c r="C226" s="76" t="e">
        <f t="shared" si="24"/>
        <v>#REF!</v>
      </c>
    </row>
    <row r="227" spans="2:3" ht="15.75" customHeight="1" x14ac:dyDescent="0.25">
      <c r="B227" s="67" t="e">
        <f t="shared" si="23"/>
        <v>#REF!</v>
      </c>
      <c r="C227" s="76" t="e">
        <f t="shared" si="24"/>
        <v>#REF!</v>
      </c>
    </row>
    <row r="228" spans="2:3" ht="15.75" customHeight="1" x14ac:dyDescent="0.25">
      <c r="B228" s="67" t="e">
        <f t="shared" si="23"/>
        <v>#REF!</v>
      </c>
      <c r="C228" s="76" t="e">
        <f t="shared" si="24"/>
        <v>#REF!</v>
      </c>
    </row>
    <row r="229" spans="2:3" ht="15.75" customHeight="1" x14ac:dyDescent="0.25">
      <c r="B229" s="67" t="e">
        <f t="shared" si="23"/>
        <v>#REF!</v>
      </c>
      <c r="C229" s="76" t="e">
        <f t="shared" si="24"/>
        <v>#REF!</v>
      </c>
    </row>
    <row r="230" spans="2:3" ht="15.75" customHeight="1" x14ac:dyDescent="0.25">
      <c r="B230" s="67" t="e">
        <f t="shared" si="23"/>
        <v>#REF!</v>
      </c>
      <c r="C230" s="76" t="e">
        <f t="shared" si="24"/>
        <v>#REF!</v>
      </c>
    </row>
    <row r="231" spans="2:3" ht="15.75" customHeight="1" x14ac:dyDescent="0.25">
      <c r="B231" s="67" t="e">
        <f t="shared" si="23"/>
        <v>#REF!</v>
      </c>
      <c r="C231" s="76" t="e">
        <f t="shared" si="24"/>
        <v>#REF!</v>
      </c>
    </row>
    <row r="232" spans="2:3" ht="15.75" customHeight="1" x14ac:dyDescent="0.25">
      <c r="B232" s="67" t="e">
        <f t="shared" si="23"/>
        <v>#REF!</v>
      </c>
      <c r="C232" s="76" t="e">
        <f t="shared" si="24"/>
        <v>#REF!</v>
      </c>
    </row>
    <row r="233" spans="2:3" ht="15.75" customHeight="1" x14ac:dyDescent="0.25">
      <c r="B233" s="67" t="e">
        <f t="shared" si="23"/>
        <v>#REF!</v>
      </c>
      <c r="C233" s="76" t="e">
        <f t="shared" si="24"/>
        <v>#REF!</v>
      </c>
    </row>
    <row r="234" spans="2:3" ht="15.75" customHeight="1" x14ac:dyDescent="0.25">
      <c r="B234" s="67" t="e">
        <f t="shared" si="23"/>
        <v>#REF!</v>
      </c>
      <c r="C234" s="76" t="e">
        <f t="shared" si="24"/>
        <v>#REF!</v>
      </c>
    </row>
    <row r="235" spans="2:3" ht="15.75" customHeight="1" x14ac:dyDescent="0.25">
      <c r="B235" s="67" t="e">
        <f t="shared" si="23"/>
        <v>#REF!</v>
      </c>
      <c r="C235" s="76" t="e">
        <f t="shared" si="24"/>
        <v>#REF!</v>
      </c>
    </row>
    <row r="236" spans="2:3" ht="15.75" customHeight="1" x14ac:dyDescent="0.25">
      <c r="B236" s="67" t="e">
        <f t="shared" si="23"/>
        <v>#REF!</v>
      </c>
      <c r="C236" s="76" t="e">
        <f t="shared" si="24"/>
        <v>#REF!</v>
      </c>
    </row>
    <row r="237" spans="2:3" ht="15.75" customHeight="1" x14ac:dyDescent="0.25">
      <c r="B237" s="67" t="e">
        <f t="shared" si="23"/>
        <v>#REF!</v>
      </c>
      <c r="C237" s="76" t="e">
        <f t="shared" si="24"/>
        <v>#REF!</v>
      </c>
    </row>
    <row r="238" spans="2:3" ht="15.75" customHeight="1" x14ac:dyDescent="0.25">
      <c r="B238" s="67" t="e">
        <f t="shared" si="23"/>
        <v>#REF!</v>
      </c>
      <c r="C238" s="76" t="e">
        <f t="shared" si="24"/>
        <v>#REF!</v>
      </c>
    </row>
    <row r="239" spans="2:3" ht="15.75" customHeight="1" x14ac:dyDescent="0.25">
      <c r="B239" s="67" t="e">
        <f t="shared" si="23"/>
        <v>#REF!</v>
      </c>
      <c r="C239" s="76" t="e">
        <f t="shared" si="24"/>
        <v>#REF!</v>
      </c>
    </row>
    <row r="240" spans="2:3" ht="15.75" customHeight="1" x14ac:dyDescent="0.25">
      <c r="B240" s="67" t="e">
        <f t="shared" si="23"/>
        <v>#REF!</v>
      </c>
      <c r="C240" s="76" t="e">
        <f t="shared" si="24"/>
        <v>#REF!</v>
      </c>
    </row>
    <row r="241" spans="2:3" ht="15.75" customHeight="1" x14ac:dyDescent="0.25">
      <c r="B241" s="67" t="e">
        <f t="shared" si="23"/>
        <v>#REF!</v>
      </c>
      <c r="C241" s="76" t="e">
        <f t="shared" si="24"/>
        <v>#REF!</v>
      </c>
    </row>
    <row r="242" spans="2:3" ht="15.75" customHeight="1" x14ac:dyDescent="0.25">
      <c r="B242" s="67" t="e">
        <f t="shared" si="23"/>
        <v>#REF!</v>
      </c>
      <c r="C242" s="76" t="e">
        <f t="shared" si="24"/>
        <v>#REF!</v>
      </c>
    </row>
    <row r="243" spans="2:3" ht="15.75" customHeight="1" x14ac:dyDescent="0.25">
      <c r="B243" s="67" t="e">
        <f t="shared" si="23"/>
        <v>#REF!</v>
      </c>
      <c r="C243" s="76" t="e">
        <f t="shared" si="24"/>
        <v>#REF!</v>
      </c>
    </row>
    <row r="244" spans="2:3" ht="15.75" customHeight="1" x14ac:dyDescent="0.25">
      <c r="B244" s="67" t="e">
        <f t="shared" si="23"/>
        <v>#REF!</v>
      </c>
      <c r="C244" s="76" t="e">
        <f t="shared" si="24"/>
        <v>#REF!</v>
      </c>
    </row>
    <row r="245" spans="2:3" ht="15.75" customHeight="1" x14ac:dyDescent="0.25">
      <c r="B245" s="67" t="e">
        <f t="shared" si="23"/>
        <v>#REF!</v>
      </c>
      <c r="C245" s="76" t="e">
        <f t="shared" si="24"/>
        <v>#REF!</v>
      </c>
    </row>
    <row r="246" spans="2:3" ht="15.75" customHeight="1" x14ac:dyDescent="0.25">
      <c r="B246" s="67" t="e">
        <f t="shared" si="23"/>
        <v>#REF!</v>
      </c>
      <c r="C246" s="76" t="e">
        <f t="shared" si="24"/>
        <v>#REF!</v>
      </c>
    </row>
    <row r="247" spans="2:3" ht="15.75" customHeight="1" x14ac:dyDescent="0.25">
      <c r="B247" s="67" t="e">
        <f t="shared" si="23"/>
        <v>#REF!</v>
      </c>
      <c r="C247" s="76" t="e">
        <f t="shared" si="24"/>
        <v>#REF!</v>
      </c>
    </row>
    <row r="248" spans="2:3" ht="15.75" customHeight="1" x14ac:dyDescent="0.25">
      <c r="B248" s="67" t="e">
        <f t="shared" si="23"/>
        <v>#REF!</v>
      </c>
      <c r="C248" s="76" t="e">
        <f t="shared" si="24"/>
        <v>#REF!</v>
      </c>
    </row>
    <row r="249" spans="2:3" ht="15.75" customHeight="1" x14ac:dyDescent="0.25">
      <c r="B249" s="67" t="e">
        <f t="shared" si="23"/>
        <v>#REF!</v>
      </c>
      <c r="C249" s="76" t="e">
        <f t="shared" si="24"/>
        <v>#REF!</v>
      </c>
    </row>
    <row r="250" spans="2:3" ht="15.75" customHeight="1" x14ac:dyDescent="0.25">
      <c r="B250" s="67" t="e">
        <f t="shared" si="23"/>
        <v>#REF!</v>
      </c>
      <c r="C250" s="76" t="e">
        <f t="shared" si="24"/>
        <v>#REF!</v>
      </c>
    </row>
    <row r="251" spans="2:3" ht="15.75" customHeight="1" x14ac:dyDescent="0.25">
      <c r="B251" s="67" t="e">
        <f t="shared" si="23"/>
        <v>#REF!</v>
      </c>
      <c r="C251" s="76" t="e">
        <f t="shared" si="24"/>
        <v>#REF!</v>
      </c>
    </row>
    <row r="252" spans="2:3" ht="15.75" customHeight="1" x14ac:dyDescent="0.25">
      <c r="B252" s="67" t="e">
        <f t="shared" si="23"/>
        <v>#REF!</v>
      </c>
      <c r="C252" s="76" t="e">
        <f t="shared" si="24"/>
        <v>#REF!</v>
      </c>
    </row>
    <row r="253" spans="2:3" ht="15.75" customHeight="1" x14ac:dyDescent="0.25">
      <c r="B253" s="67" t="e">
        <f t="shared" si="23"/>
        <v>#REF!</v>
      </c>
      <c r="C253" s="76" t="e">
        <f t="shared" si="24"/>
        <v>#REF!</v>
      </c>
    </row>
    <row r="254" spans="2:3" ht="15.75" customHeight="1" x14ac:dyDescent="0.25">
      <c r="B254" s="67" t="e">
        <f t="shared" si="23"/>
        <v>#REF!</v>
      </c>
      <c r="C254" s="76" t="e">
        <f t="shared" si="24"/>
        <v>#REF!</v>
      </c>
    </row>
    <row r="255" spans="2:3" ht="15.75" customHeight="1" x14ac:dyDescent="0.25">
      <c r="B255" s="67" t="e">
        <f t="shared" si="23"/>
        <v>#REF!</v>
      </c>
      <c r="C255" s="76" t="e">
        <f t="shared" si="24"/>
        <v>#REF!</v>
      </c>
    </row>
    <row r="256" spans="2:3" ht="15.75" customHeight="1" x14ac:dyDescent="0.25">
      <c r="B256" s="67" t="e">
        <f t="shared" si="23"/>
        <v>#REF!</v>
      </c>
      <c r="C256" s="76" t="e">
        <f t="shared" si="24"/>
        <v>#REF!</v>
      </c>
    </row>
    <row r="257" spans="2:3" ht="15.75" customHeight="1" x14ac:dyDescent="0.25">
      <c r="B257" s="67" t="e">
        <f t="shared" si="23"/>
        <v>#REF!</v>
      </c>
      <c r="C257" s="76" t="e">
        <f t="shared" si="24"/>
        <v>#REF!</v>
      </c>
    </row>
    <row r="258" spans="2:3" ht="15.75" customHeight="1" x14ac:dyDescent="0.25">
      <c r="B258" s="67" t="e">
        <f t="shared" si="23"/>
        <v>#REF!</v>
      </c>
      <c r="C258" s="76" t="e">
        <f t="shared" si="24"/>
        <v>#REF!</v>
      </c>
    </row>
    <row r="259" spans="2:3" ht="15.75" customHeight="1" x14ac:dyDescent="0.25">
      <c r="B259" s="67" t="e">
        <f t="shared" si="23"/>
        <v>#REF!</v>
      </c>
      <c r="C259" s="76" t="e">
        <f t="shared" si="24"/>
        <v>#REF!</v>
      </c>
    </row>
    <row r="260" spans="2:3" ht="15.75" customHeight="1" x14ac:dyDescent="0.25">
      <c r="B260" s="67" t="e">
        <f t="shared" si="23"/>
        <v>#REF!</v>
      </c>
      <c r="C260" s="76" t="e">
        <f t="shared" si="24"/>
        <v>#REF!</v>
      </c>
    </row>
    <row r="261" spans="2:3" ht="15.75" customHeight="1" x14ac:dyDescent="0.25">
      <c r="B261" s="67" t="e">
        <f t="shared" si="23"/>
        <v>#REF!</v>
      </c>
      <c r="C261" s="76" t="e">
        <f t="shared" si="24"/>
        <v>#REF!</v>
      </c>
    </row>
    <row r="262" spans="2:3" ht="15.75" customHeight="1" x14ac:dyDescent="0.25">
      <c r="B262" s="67" t="e">
        <f t="shared" si="23"/>
        <v>#REF!</v>
      </c>
      <c r="C262" s="76" t="e">
        <f t="shared" si="24"/>
        <v>#REF!</v>
      </c>
    </row>
    <row r="263" spans="2:3" ht="15.75" customHeight="1" x14ac:dyDescent="0.25">
      <c r="B263" s="67" t="e">
        <f t="shared" si="23"/>
        <v>#REF!</v>
      </c>
      <c r="C263" s="76" t="e">
        <f t="shared" si="24"/>
        <v>#REF!</v>
      </c>
    </row>
    <row r="264" spans="2:3" ht="15.75" customHeight="1" x14ac:dyDescent="0.25">
      <c r="B264" s="67" t="e">
        <f t="shared" si="23"/>
        <v>#REF!</v>
      </c>
      <c r="C264" s="76" t="e">
        <f t="shared" si="24"/>
        <v>#REF!</v>
      </c>
    </row>
    <row r="265" spans="2:3" ht="15.75" customHeight="1" x14ac:dyDescent="0.25">
      <c r="B265" s="67" t="e">
        <f t="shared" si="23"/>
        <v>#REF!</v>
      </c>
      <c r="C265" s="76" t="e">
        <f t="shared" si="24"/>
        <v>#REF!</v>
      </c>
    </row>
    <row r="266" spans="2:3" ht="15.75" customHeight="1" x14ac:dyDescent="0.25">
      <c r="B266" s="67" t="e">
        <f t="shared" si="23"/>
        <v>#REF!</v>
      </c>
      <c r="C266" s="76" t="e">
        <f t="shared" si="24"/>
        <v>#REF!</v>
      </c>
    </row>
    <row r="267" spans="2:3" ht="15.75" customHeight="1" x14ac:dyDescent="0.25">
      <c r="B267" s="67" t="e">
        <f t="shared" si="23"/>
        <v>#REF!</v>
      </c>
      <c r="C267" s="76" t="e">
        <f t="shared" si="24"/>
        <v>#REF!</v>
      </c>
    </row>
    <row r="268" spans="2:3" ht="15.75" customHeight="1" x14ac:dyDescent="0.25">
      <c r="B268" s="67" t="e">
        <f t="shared" si="23"/>
        <v>#REF!</v>
      </c>
      <c r="C268" s="76" t="e">
        <f t="shared" si="24"/>
        <v>#REF!</v>
      </c>
    </row>
    <row r="269" spans="2:3" ht="15.75" customHeight="1" x14ac:dyDescent="0.25">
      <c r="B269" s="67" t="e">
        <f t="shared" si="23"/>
        <v>#REF!</v>
      </c>
      <c r="C269" s="76" t="e">
        <f t="shared" si="24"/>
        <v>#REF!</v>
      </c>
    </row>
    <row r="270" spans="2:3" ht="15.75" customHeight="1" x14ac:dyDescent="0.25">
      <c r="B270" s="67" t="e">
        <f t="shared" si="23"/>
        <v>#REF!</v>
      </c>
      <c r="C270" s="76" t="e">
        <f t="shared" si="24"/>
        <v>#REF!</v>
      </c>
    </row>
    <row r="271" spans="2:3" ht="15.75" customHeight="1" x14ac:dyDescent="0.25">
      <c r="B271" s="67" t="e">
        <f t="shared" si="23"/>
        <v>#REF!</v>
      </c>
      <c r="C271" s="76" t="e">
        <f t="shared" si="24"/>
        <v>#REF!</v>
      </c>
    </row>
    <row r="272" spans="2:3" ht="15.75" customHeight="1" x14ac:dyDescent="0.25">
      <c r="B272" s="67" t="e">
        <f t="shared" si="23"/>
        <v>#REF!</v>
      </c>
      <c r="C272" s="76" t="e">
        <f t="shared" si="24"/>
        <v>#REF!</v>
      </c>
    </row>
    <row r="273" spans="2:3" ht="15.75" customHeight="1" x14ac:dyDescent="0.25">
      <c r="B273" s="67" t="e">
        <f t="shared" si="23"/>
        <v>#REF!</v>
      </c>
      <c r="C273" s="76" t="e">
        <f t="shared" si="24"/>
        <v>#REF!</v>
      </c>
    </row>
    <row r="274" spans="2:3" ht="15.75" customHeight="1" x14ac:dyDescent="0.25">
      <c r="B274" s="67" t="e">
        <f t="shared" si="23"/>
        <v>#REF!</v>
      </c>
      <c r="C274" s="76" t="e">
        <f t="shared" si="24"/>
        <v>#REF!</v>
      </c>
    </row>
    <row r="275" spans="2:3" ht="15.75" customHeight="1" x14ac:dyDescent="0.25">
      <c r="B275" s="67" t="e">
        <f t="shared" si="23"/>
        <v>#REF!</v>
      </c>
      <c r="C275" s="76" t="e">
        <f t="shared" si="24"/>
        <v>#REF!</v>
      </c>
    </row>
    <row r="276" spans="2:3" ht="15.75" customHeight="1" x14ac:dyDescent="0.25">
      <c r="B276" s="67" t="e">
        <f t="shared" si="23"/>
        <v>#REF!</v>
      </c>
      <c r="C276" s="76" t="e">
        <f t="shared" si="24"/>
        <v>#REF!</v>
      </c>
    </row>
    <row r="277" spans="2:3" ht="15.75" customHeight="1" x14ac:dyDescent="0.25">
      <c r="B277" s="67" t="e">
        <f t="shared" si="23"/>
        <v>#REF!</v>
      </c>
      <c r="C277" s="76" t="e">
        <f t="shared" si="24"/>
        <v>#REF!</v>
      </c>
    </row>
    <row r="278" spans="2:3" ht="15.75" customHeight="1" x14ac:dyDescent="0.25">
      <c r="B278" s="67" t="e">
        <f t="shared" si="23"/>
        <v>#REF!</v>
      </c>
      <c r="C278" s="76" t="e">
        <f t="shared" si="24"/>
        <v>#REF!</v>
      </c>
    </row>
    <row r="279" spans="2:3" ht="15.75" customHeight="1" x14ac:dyDescent="0.25">
      <c r="B279" s="67" t="e">
        <f t="shared" si="23"/>
        <v>#REF!</v>
      </c>
      <c r="C279" s="76" t="e">
        <f t="shared" si="24"/>
        <v>#REF!</v>
      </c>
    </row>
    <row r="280" spans="2:3" ht="15.75" customHeight="1" x14ac:dyDescent="0.25">
      <c r="B280" s="67" t="e">
        <f t="shared" si="23"/>
        <v>#REF!</v>
      </c>
      <c r="C280" s="76" t="e">
        <f t="shared" si="24"/>
        <v>#REF!</v>
      </c>
    </row>
    <row r="281" spans="2:3" ht="15.75" customHeight="1" x14ac:dyDescent="0.25">
      <c r="B281" s="67" t="e">
        <f t="shared" si="23"/>
        <v>#REF!</v>
      </c>
      <c r="C281" s="76" t="e">
        <f t="shared" si="24"/>
        <v>#REF!</v>
      </c>
    </row>
    <row r="282" spans="2:3" ht="15.75" customHeight="1" x14ac:dyDescent="0.25">
      <c r="B282" s="67" t="e">
        <f t="shared" si="23"/>
        <v>#REF!</v>
      </c>
      <c r="C282" s="76" t="e">
        <f t="shared" si="24"/>
        <v>#REF!</v>
      </c>
    </row>
    <row r="283" spans="2:3" ht="15.75" customHeight="1" x14ac:dyDescent="0.25">
      <c r="B283" s="67" t="e">
        <f t="shared" si="23"/>
        <v>#REF!</v>
      </c>
      <c r="C283" s="76" t="e">
        <f t="shared" si="24"/>
        <v>#REF!</v>
      </c>
    </row>
    <row r="284" spans="2:3" ht="15.75" customHeight="1" x14ac:dyDescent="0.25">
      <c r="B284" s="67" t="e">
        <f t="shared" si="23"/>
        <v>#REF!</v>
      </c>
      <c r="C284" s="76" t="e">
        <f t="shared" si="24"/>
        <v>#REF!</v>
      </c>
    </row>
    <row r="285" spans="2:3" ht="15.75" customHeight="1" x14ac:dyDescent="0.25">
      <c r="B285" s="67" t="e">
        <f t="shared" si="23"/>
        <v>#REF!</v>
      </c>
      <c r="C285" s="76" t="e">
        <f t="shared" si="24"/>
        <v>#REF!</v>
      </c>
    </row>
    <row r="286" spans="2:3" ht="15.75" customHeight="1" x14ac:dyDescent="0.25">
      <c r="B286" s="67" t="e">
        <f t="shared" ref="B286:B349" si="25">IF(B285="","",IF(B285+$C$10&lt;=$C$6,B285+$C$10,""))</f>
        <v>#REF!</v>
      </c>
      <c r="C286" s="76" t="e">
        <f t="shared" ref="C286:C349" si="26">IF(B286&lt;&gt;"",C285-$C$2/COUNT($B$18:$B$511),"")</f>
        <v>#REF!</v>
      </c>
    </row>
    <row r="287" spans="2:3" ht="15.75" customHeight="1" x14ac:dyDescent="0.25">
      <c r="B287" s="67" t="e">
        <f t="shared" si="25"/>
        <v>#REF!</v>
      </c>
      <c r="C287" s="76" t="e">
        <f t="shared" si="26"/>
        <v>#REF!</v>
      </c>
    </row>
    <row r="288" spans="2:3" ht="15.75" customHeight="1" x14ac:dyDescent="0.25">
      <c r="B288" s="67" t="e">
        <f t="shared" si="25"/>
        <v>#REF!</v>
      </c>
      <c r="C288" s="76" t="e">
        <f t="shared" si="26"/>
        <v>#REF!</v>
      </c>
    </row>
    <row r="289" spans="2:3" ht="15.75" customHeight="1" x14ac:dyDescent="0.25">
      <c r="B289" s="67" t="e">
        <f t="shared" si="25"/>
        <v>#REF!</v>
      </c>
      <c r="C289" s="76" t="e">
        <f t="shared" si="26"/>
        <v>#REF!</v>
      </c>
    </row>
    <row r="290" spans="2:3" ht="15.75" customHeight="1" x14ac:dyDescent="0.25">
      <c r="B290" s="67" t="e">
        <f t="shared" si="25"/>
        <v>#REF!</v>
      </c>
      <c r="C290" s="76" t="e">
        <f t="shared" si="26"/>
        <v>#REF!</v>
      </c>
    </row>
    <row r="291" spans="2:3" ht="15.75" customHeight="1" x14ac:dyDescent="0.25">
      <c r="B291" s="67" t="e">
        <f t="shared" si="25"/>
        <v>#REF!</v>
      </c>
      <c r="C291" s="76" t="e">
        <f t="shared" si="26"/>
        <v>#REF!</v>
      </c>
    </row>
    <row r="292" spans="2:3" ht="15.75" customHeight="1" x14ac:dyDescent="0.25">
      <c r="B292" s="67" t="e">
        <f t="shared" si="25"/>
        <v>#REF!</v>
      </c>
      <c r="C292" s="76" t="e">
        <f t="shared" si="26"/>
        <v>#REF!</v>
      </c>
    </row>
    <row r="293" spans="2:3" ht="15.75" customHeight="1" x14ac:dyDescent="0.25">
      <c r="B293" s="67" t="e">
        <f t="shared" si="25"/>
        <v>#REF!</v>
      </c>
      <c r="C293" s="76" t="e">
        <f t="shared" si="26"/>
        <v>#REF!</v>
      </c>
    </row>
    <row r="294" spans="2:3" ht="15.75" customHeight="1" x14ac:dyDescent="0.25">
      <c r="B294" s="67" t="e">
        <f t="shared" si="25"/>
        <v>#REF!</v>
      </c>
      <c r="C294" s="76" t="e">
        <f t="shared" si="26"/>
        <v>#REF!</v>
      </c>
    </row>
    <row r="295" spans="2:3" ht="15.75" customHeight="1" x14ac:dyDescent="0.25">
      <c r="B295" s="67" t="e">
        <f t="shared" si="25"/>
        <v>#REF!</v>
      </c>
      <c r="C295" s="76" t="e">
        <f t="shared" si="26"/>
        <v>#REF!</v>
      </c>
    </row>
    <row r="296" spans="2:3" ht="15.75" customHeight="1" x14ac:dyDescent="0.25">
      <c r="B296" s="67" t="e">
        <f t="shared" si="25"/>
        <v>#REF!</v>
      </c>
      <c r="C296" s="76" t="e">
        <f t="shared" si="26"/>
        <v>#REF!</v>
      </c>
    </row>
    <row r="297" spans="2:3" ht="15.75" customHeight="1" x14ac:dyDescent="0.25">
      <c r="B297" s="67" t="e">
        <f t="shared" si="25"/>
        <v>#REF!</v>
      </c>
      <c r="C297" s="76" t="e">
        <f t="shared" si="26"/>
        <v>#REF!</v>
      </c>
    </row>
    <row r="298" spans="2:3" ht="15.75" customHeight="1" x14ac:dyDescent="0.25">
      <c r="B298" s="67" t="e">
        <f t="shared" si="25"/>
        <v>#REF!</v>
      </c>
      <c r="C298" s="76" t="e">
        <f t="shared" si="26"/>
        <v>#REF!</v>
      </c>
    </row>
    <row r="299" spans="2:3" ht="15.75" customHeight="1" x14ac:dyDescent="0.25">
      <c r="B299" s="67" t="e">
        <f t="shared" si="25"/>
        <v>#REF!</v>
      </c>
      <c r="C299" s="76" t="e">
        <f t="shared" si="26"/>
        <v>#REF!</v>
      </c>
    </row>
    <row r="300" spans="2:3" ht="15.75" customHeight="1" x14ac:dyDescent="0.25">
      <c r="B300" s="67" t="e">
        <f t="shared" si="25"/>
        <v>#REF!</v>
      </c>
      <c r="C300" s="76" t="e">
        <f t="shared" si="26"/>
        <v>#REF!</v>
      </c>
    </row>
    <row r="301" spans="2:3" ht="15.75" customHeight="1" x14ac:dyDescent="0.25">
      <c r="B301" s="67" t="e">
        <f t="shared" si="25"/>
        <v>#REF!</v>
      </c>
      <c r="C301" s="76" t="e">
        <f t="shared" si="26"/>
        <v>#REF!</v>
      </c>
    </row>
    <row r="302" spans="2:3" ht="15.75" customHeight="1" x14ac:dyDescent="0.25">
      <c r="B302" s="67" t="e">
        <f t="shared" si="25"/>
        <v>#REF!</v>
      </c>
      <c r="C302" s="76" t="e">
        <f t="shared" si="26"/>
        <v>#REF!</v>
      </c>
    </row>
    <row r="303" spans="2:3" ht="15.75" customHeight="1" x14ac:dyDescent="0.25">
      <c r="B303" s="67" t="e">
        <f t="shared" si="25"/>
        <v>#REF!</v>
      </c>
      <c r="C303" s="76" t="e">
        <f t="shared" si="26"/>
        <v>#REF!</v>
      </c>
    </row>
    <row r="304" spans="2:3" ht="15.75" customHeight="1" x14ac:dyDescent="0.25">
      <c r="B304" s="67" t="e">
        <f t="shared" si="25"/>
        <v>#REF!</v>
      </c>
      <c r="C304" s="76" t="e">
        <f t="shared" si="26"/>
        <v>#REF!</v>
      </c>
    </row>
    <row r="305" spans="2:3" ht="15.75" customHeight="1" x14ac:dyDescent="0.25">
      <c r="B305" s="67" t="e">
        <f t="shared" si="25"/>
        <v>#REF!</v>
      </c>
      <c r="C305" s="76" t="e">
        <f t="shared" si="26"/>
        <v>#REF!</v>
      </c>
    </row>
    <row r="306" spans="2:3" ht="15.75" customHeight="1" x14ac:dyDescent="0.25">
      <c r="B306" s="67" t="e">
        <f t="shared" si="25"/>
        <v>#REF!</v>
      </c>
      <c r="C306" s="76" t="e">
        <f t="shared" si="26"/>
        <v>#REF!</v>
      </c>
    </row>
    <row r="307" spans="2:3" ht="15.75" customHeight="1" x14ac:dyDescent="0.25">
      <c r="B307" s="67" t="e">
        <f t="shared" si="25"/>
        <v>#REF!</v>
      </c>
      <c r="C307" s="76" t="e">
        <f t="shared" si="26"/>
        <v>#REF!</v>
      </c>
    </row>
    <row r="308" spans="2:3" ht="15.75" customHeight="1" x14ac:dyDescent="0.25">
      <c r="B308" s="67" t="e">
        <f t="shared" si="25"/>
        <v>#REF!</v>
      </c>
      <c r="C308" s="76" t="e">
        <f t="shared" si="26"/>
        <v>#REF!</v>
      </c>
    </row>
    <row r="309" spans="2:3" ht="15.75" customHeight="1" x14ac:dyDescent="0.25">
      <c r="B309" s="67" t="e">
        <f t="shared" si="25"/>
        <v>#REF!</v>
      </c>
      <c r="C309" s="76" t="e">
        <f t="shared" si="26"/>
        <v>#REF!</v>
      </c>
    </row>
    <row r="310" spans="2:3" ht="15.75" customHeight="1" x14ac:dyDescent="0.25">
      <c r="B310" s="67" t="e">
        <f t="shared" si="25"/>
        <v>#REF!</v>
      </c>
      <c r="C310" s="76" t="e">
        <f t="shared" si="26"/>
        <v>#REF!</v>
      </c>
    </row>
    <row r="311" spans="2:3" ht="15.75" customHeight="1" x14ac:dyDescent="0.25">
      <c r="B311" s="67" t="e">
        <f t="shared" si="25"/>
        <v>#REF!</v>
      </c>
      <c r="C311" s="76" t="e">
        <f t="shared" si="26"/>
        <v>#REF!</v>
      </c>
    </row>
    <row r="312" spans="2:3" ht="15.75" customHeight="1" x14ac:dyDescent="0.25">
      <c r="B312" s="67" t="e">
        <f t="shared" si="25"/>
        <v>#REF!</v>
      </c>
      <c r="C312" s="76" t="e">
        <f t="shared" si="26"/>
        <v>#REF!</v>
      </c>
    </row>
    <row r="313" spans="2:3" ht="15.75" customHeight="1" x14ac:dyDescent="0.25">
      <c r="B313" s="67" t="e">
        <f t="shared" si="25"/>
        <v>#REF!</v>
      </c>
      <c r="C313" s="76" t="e">
        <f t="shared" si="26"/>
        <v>#REF!</v>
      </c>
    </row>
    <row r="314" spans="2:3" ht="15.75" customHeight="1" x14ac:dyDescent="0.25">
      <c r="B314" s="67" t="e">
        <f t="shared" si="25"/>
        <v>#REF!</v>
      </c>
      <c r="C314" s="76" t="e">
        <f t="shared" si="26"/>
        <v>#REF!</v>
      </c>
    </row>
    <row r="315" spans="2:3" ht="15.75" customHeight="1" x14ac:dyDescent="0.25">
      <c r="B315" s="67" t="e">
        <f t="shared" si="25"/>
        <v>#REF!</v>
      </c>
      <c r="C315" s="76" t="e">
        <f t="shared" si="26"/>
        <v>#REF!</v>
      </c>
    </row>
    <row r="316" spans="2:3" ht="15.75" customHeight="1" x14ac:dyDescent="0.25">
      <c r="B316" s="67" t="e">
        <f t="shared" si="25"/>
        <v>#REF!</v>
      </c>
      <c r="C316" s="76" t="e">
        <f t="shared" si="26"/>
        <v>#REF!</v>
      </c>
    </row>
    <row r="317" spans="2:3" ht="15.75" customHeight="1" x14ac:dyDescent="0.25">
      <c r="B317" s="67" t="e">
        <f t="shared" si="25"/>
        <v>#REF!</v>
      </c>
      <c r="C317" s="76" t="e">
        <f t="shared" si="26"/>
        <v>#REF!</v>
      </c>
    </row>
    <row r="318" spans="2:3" ht="15.75" customHeight="1" x14ac:dyDescent="0.25">
      <c r="B318" s="67" t="e">
        <f t="shared" si="25"/>
        <v>#REF!</v>
      </c>
      <c r="C318" s="76" t="e">
        <f t="shared" si="26"/>
        <v>#REF!</v>
      </c>
    </row>
    <row r="319" spans="2:3" ht="15.75" customHeight="1" x14ac:dyDescent="0.25">
      <c r="B319" s="67" t="e">
        <f t="shared" si="25"/>
        <v>#REF!</v>
      </c>
      <c r="C319" s="76" t="e">
        <f t="shared" si="26"/>
        <v>#REF!</v>
      </c>
    </row>
    <row r="320" spans="2:3" ht="15.75" customHeight="1" x14ac:dyDescent="0.25">
      <c r="B320" s="67" t="e">
        <f t="shared" si="25"/>
        <v>#REF!</v>
      </c>
      <c r="C320" s="76" t="e">
        <f t="shared" si="26"/>
        <v>#REF!</v>
      </c>
    </row>
    <row r="321" spans="2:3" ht="15.75" customHeight="1" x14ac:dyDescent="0.25">
      <c r="B321" s="67" t="e">
        <f t="shared" si="25"/>
        <v>#REF!</v>
      </c>
      <c r="C321" s="76" t="e">
        <f t="shared" si="26"/>
        <v>#REF!</v>
      </c>
    </row>
    <row r="322" spans="2:3" ht="15.75" customHeight="1" x14ac:dyDescent="0.25">
      <c r="B322" s="67" t="e">
        <f t="shared" si="25"/>
        <v>#REF!</v>
      </c>
      <c r="C322" s="76" t="e">
        <f t="shared" si="26"/>
        <v>#REF!</v>
      </c>
    </row>
    <row r="323" spans="2:3" ht="15.75" customHeight="1" x14ac:dyDescent="0.25">
      <c r="B323" s="67" t="e">
        <f t="shared" si="25"/>
        <v>#REF!</v>
      </c>
      <c r="C323" s="76" t="e">
        <f t="shared" si="26"/>
        <v>#REF!</v>
      </c>
    </row>
    <row r="324" spans="2:3" ht="15.75" customHeight="1" x14ac:dyDescent="0.25">
      <c r="B324" s="67" t="e">
        <f t="shared" si="25"/>
        <v>#REF!</v>
      </c>
      <c r="C324" s="76" t="e">
        <f t="shared" si="26"/>
        <v>#REF!</v>
      </c>
    </row>
    <row r="325" spans="2:3" ht="15.75" customHeight="1" x14ac:dyDescent="0.25">
      <c r="B325" s="67" t="e">
        <f t="shared" si="25"/>
        <v>#REF!</v>
      </c>
      <c r="C325" s="76" t="e">
        <f t="shared" si="26"/>
        <v>#REF!</v>
      </c>
    </row>
    <row r="326" spans="2:3" ht="15.75" customHeight="1" x14ac:dyDescent="0.25">
      <c r="B326" s="67" t="e">
        <f t="shared" si="25"/>
        <v>#REF!</v>
      </c>
      <c r="C326" s="76" t="e">
        <f t="shared" si="26"/>
        <v>#REF!</v>
      </c>
    </row>
    <row r="327" spans="2:3" ht="15.75" customHeight="1" x14ac:dyDescent="0.25">
      <c r="B327" s="67" t="e">
        <f t="shared" si="25"/>
        <v>#REF!</v>
      </c>
      <c r="C327" s="76" t="e">
        <f t="shared" si="26"/>
        <v>#REF!</v>
      </c>
    </row>
    <row r="328" spans="2:3" ht="15.75" customHeight="1" x14ac:dyDescent="0.25">
      <c r="B328" s="67" t="e">
        <f t="shared" si="25"/>
        <v>#REF!</v>
      </c>
      <c r="C328" s="76" t="e">
        <f t="shared" si="26"/>
        <v>#REF!</v>
      </c>
    </row>
    <row r="329" spans="2:3" ht="15.75" customHeight="1" x14ac:dyDescent="0.25">
      <c r="B329" s="67" t="e">
        <f t="shared" si="25"/>
        <v>#REF!</v>
      </c>
      <c r="C329" s="76" t="e">
        <f t="shared" si="26"/>
        <v>#REF!</v>
      </c>
    </row>
    <row r="330" spans="2:3" ht="15.75" customHeight="1" x14ac:dyDescent="0.25">
      <c r="B330" s="67" t="e">
        <f t="shared" si="25"/>
        <v>#REF!</v>
      </c>
      <c r="C330" s="76" t="e">
        <f t="shared" si="26"/>
        <v>#REF!</v>
      </c>
    </row>
    <row r="331" spans="2:3" ht="15.75" customHeight="1" x14ac:dyDescent="0.25">
      <c r="B331" s="67" t="e">
        <f t="shared" si="25"/>
        <v>#REF!</v>
      </c>
      <c r="C331" s="76" t="e">
        <f t="shared" si="26"/>
        <v>#REF!</v>
      </c>
    </row>
    <row r="332" spans="2:3" ht="15.75" customHeight="1" x14ac:dyDescent="0.25">
      <c r="B332" s="67" t="e">
        <f t="shared" si="25"/>
        <v>#REF!</v>
      </c>
      <c r="C332" s="76" t="e">
        <f t="shared" si="26"/>
        <v>#REF!</v>
      </c>
    </row>
    <row r="333" spans="2:3" ht="15.75" customHeight="1" x14ac:dyDescent="0.25">
      <c r="B333" s="67" t="e">
        <f t="shared" si="25"/>
        <v>#REF!</v>
      </c>
      <c r="C333" s="76" t="e">
        <f t="shared" si="26"/>
        <v>#REF!</v>
      </c>
    </row>
    <row r="334" spans="2:3" ht="15.75" customHeight="1" x14ac:dyDescent="0.25">
      <c r="B334" s="67" t="e">
        <f t="shared" si="25"/>
        <v>#REF!</v>
      </c>
      <c r="C334" s="76" t="e">
        <f t="shared" si="26"/>
        <v>#REF!</v>
      </c>
    </row>
    <row r="335" spans="2:3" ht="15.75" customHeight="1" x14ac:dyDescent="0.25">
      <c r="B335" s="67" t="e">
        <f t="shared" si="25"/>
        <v>#REF!</v>
      </c>
      <c r="C335" s="76" t="e">
        <f t="shared" si="26"/>
        <v>#REF!</v>
      </c>
    </row>
    <row r="336" spans="2:3" ht="15.75" customHeight="1" x14ac:dyDescent="0.25">
      <c r="B336" s="67" t="e">
        <f t="shared" si="25"/>
        <v>#REF!</v>
      </c>
      <c r="C336" s="76" t="e">
        <f t="shared" si="26"/>
        <v>#REF!</v>
      </c>
    </row>
    <row r="337" spans="2:3" ht="15.75" customHeight="1" x14ac:dyDescent="0.25">
      <c r="B337" s="67" t="e">
        <f t="shared" si="25"/>
        <v>#REF!</v>
      </c>
      <c r="C337" s="76" t="e">
        <f t="shared" si="26"/>
        <v>#REF!</v>
      </c>
    </row>
    <row r="338" spans="2:3" ht="15.75" customHeight="1" x14ac:dyDescent="0.25">
      <c r="B338" s="67" t="e">
        <f t="shared" si="25"/>
        <v>#REF!</v>
      </c>
      <c r="C338" s="76" t="e">
        <f t="shared" si="26"/>
        <v>#REF!</v>
      </c>
    </row>
    <row r="339" spans="2:3" ht="15.75" customHeight="1" x14ac:dyDescent="0.25">
      <c r="B339" s="67" t="e">
        <f t="shared" si="25"/>
        <v>#REF!</v>
      </c>
      <c r="C339" s="76" t="e">
        <f t="shared" si="26"/>
        <v>#REF!</v>
      </c>
    </row>
    <row r="340" spans="2:3" ht="15.75" customHeight="1" x14ac:dyDescent="0.25">
      <c r="B340" s="67" t="e">
        <f t="shared" si="25"/>
        <v>#REF!</v>
      </c>
      <c r="C340" s="76" t="e">
        <f t="shared" si="26"/>
        <v>#REF!</v>
      </c>
    </row>
    <row r="341" spans="2:3" ht="15.75" customHeight="1" x14ac:dyDescent="0.25">
      <c r="B341" s="67" t="e">
        <f t="shared" si="25"/>
        <v>#REF!</v>
      </c>
      <c r="C341" s="76" t="e">
        <f t="shared" si="26"/>
        <v>#REF!</v>
      </c>
    </row>
    <row r="342" spans="2:3" ht="15.75" customHeight="1" x14ac:dyDescent="0.25">
      <c r="B342" s="67" t="e">
        <f t="shared" si="25"/>
        <v>#REF!</v>
      </c>
      <c r="C342" s="76" t="e">
        <f t="shared" si="26"/>
        <v>#REF!</v>
      </c>
    </row>
    <row r="343" spans="2:3" ht="15.75" customHeight="1" x14ac:dyDescent="0.25">
      <c r="B343" s="67" t="e">
        <f t="shared" si="25"/>
        <v>#REF!</v>
      </c>
      <c r="C343" s="76" t="e">
        <f t="shared" si="26"/>
        <v>#REF!</v>
      </c>
    </row>
    <row r="344" spans="2:3" ht="15.75" customHeight="1" x14ac:dyDescent="0.25">
      <c r="B344" s="67" t="e">
        <f t="shared" si="25"/>
        <v>#REF!</v>
      </c>
      <c r="C344" s="76" t="e">
        <f t="shared" si="26"/>
        <v>#REF!</v>
      </c>
    </row>
    <row r="345" spans="2:3" ht="15.75" customHeight="1" x14ac:dyDescent="0.25">
      <c r="B345" s="67" t="e">
        <f t="shared" si="25"/>
        <v>#REF!</v>
      </c>
      <c r="C345" s="76" t="e">
        <f t="shared" si="26"/>
        <v>#REF!</v>
      </c>
    </row>
    <row r="346" spans="2:3" ht="15.75" customHeight="1" x14ac:dyDescent="0.25">
      <c r="B346" s="67" t="e">
        <f t="shared" si="25"/>
        <v>#REF!</v>
      </c>
      <c r="C346" s="76" t="e">
        <f t="shared" si="26"/>
        <v>#REF!</v>
      </c>
    </row>
    <row r="347" spans="2:3" ht="15.75" customHeight="1" x14ac:dyDescent="0.25">
      <c r="B347" s="67" t="e">
        <f t="shared" si="25"/>
        <v>#REF!</v>
      </c>
      <c r="C347" s="76" t="e">
        <f t="shared" si="26"/>
        <v>#REF!</v>
      </c>
    </row>
    <row r="348" spans="2:3" ht="15.75" customHeight="1" x14ac:dyDescent="0.25">
      <c r="B348" s="67" t="e">
        <f t="shared" si="25"/>
        <v>#REF!</v>
      </c>
      <c r="C348" s="76" t="e">
        <f t="shared" si="26"/>
        <v>#REF!</v>
      </c>
    </row>
    <row r="349" spans="2:3" ht="15.75" customHeight="1" x14ac:dyDescent="0.25">
      <c r="B349" s="67" t="e">
        <f t="shared" si="25"/>
        <v>#REF!</v>
      </c>
      <c r="C349" s="76" t="e">
        <f t="shared" si="26"/>
        <v>#REF!</v>
      </c>
    </row>
    <row r="350" spans="2:3" ht="15.75" customHeight="1" x14ac:dyDescent="0.25">
      <c r="B350" s="67" t="e">
        <f t="shared" ref="B350:B413" si="27">IF(B349="","",IF(B349+$C$10&lt;=$C$6,B349+$C$10,""))</f>
        <v>#REF!</v>
      </c>
      <c r="C350" s="76" t="e">
        <f t="shared" ref="C350:C413" si="28">IF(B350&lt;&gt;"",C349-$C$2/COUNT($B$18:$B$511),"")</f>
        <v>#REF!</v>
      </c>
    </row>
    <row r="351" spans="2:3" ht="15.75" customHeight="1" x14ac:dyDescent="0.25">
      <c r="B351" s="67" t="e">
        <f t="shared" si="27"/>
        <v>#REF!</v>
      </c>
      <c r="C351" s="76" t="e">
        <f t="shared" si="28"/>
        <v>#REF!</v>
      </c>
    </row>
    <row r="352" spans="2:3" ht="15.75" customHeight="1" x14ac:dyDescent="0.25">
      <c r="B352" s="67" t="e">
        <f t="shared" si="27"/>
        <v>#REF!</v>
      </c>
      <c r="C352" s="76" t="e">
        <f t="shared" si="28"/>
        <v>#REF!</v>
      </c>
    </row>
    <row r="353" spans="2:3" ht="15.75" customHeight="1" x14ac:dyDescent="0.25">
      <c r="B353" s="67" t="e">
        <f t="shared" si="27"/>
        <v>#REF!</v>
      </c>
      <c r="C353" s="76" t="e">
        <f t="shared" si="28"/>
        <v>#REF!</v>
      </c>
    </row>
    <row r="354" spans="2:3" ht="15.75" customHeight="1" x14ac:dyDescent="0.25">
      <c r="B354" s="67" t="e">
        <f t="shared" si="27"/>
        <v>#REF!</v>
      </c>
      <c r="C354" s="76" t="e">
        <f t="shared" si="28"/>
        <v>#REF!</v>
      </c>
    </row>
    <row r="355" spans="2:3" ht="15.75" customHeight="1" x14ac:dyDescent="0.25">
      <c r="B355" s="67" t="e">
        <f t="shared" si="27"/>
        <v>#REF!</v>
      </c>
      <c r="C355" s="76" t="e">
        <f t="shared" si="28"/>
        <v>#REF!</v>
      </c>
    </row>
    <row r="356" spans="2:3" ht="15.75" customHeight="1" x14ac:dyDescent="0.25">
      <c r="B356" s="67" t="e">
        <f t="shared" si="27"/>
        <v>#REF!</v>
      </c>
      <c r="C356" s="76" t="e">
        <f t="shared" si="28"/>
        <v>#REF!</v>
      </c>
    </row>
    <row r="357" spans="2:3" ht="15.75" customHeight="1" x14ac:dyDescent="0.25">
      <c r="B357" s="67" t="e">
        <f t="shared" si="27"/>
        <v>#REF!</v>
      </c>
      <c r="C357" s="76" t="e">
        <f t="shared" si="28"/>
        <v>#REF!</v>
      </c>
    </row>
    <row r="358" spans="2:3" ht="15.75" customHeight="1" x14ac:dyDescent="0.25">
      <c r="B358" s="67" t="e">
        <f t="shared" si="27"/>
        <v>#REF!</v>
      </c>
      <c r="C358" s="76" t="e">
        <f t="shared" si="28"/>
        <v>#REF!</v>
      </c>
    </row>
    <row r="359" spans="2:3" ht="15.75" customHeight="1" x14ac:dyDescent="0.25">
      <c r="B359" s="67" t="e">
        <f t="shared" si="27"/>
        <v>#REF!</v>
      </c>
      <c r="C359" s="76" t="e">
        <f t="shared" si="28"/>
        <v>#REF!</v>
      </c>
    </row>
    <row r="360" spans="2:3" ht="15.75" customHeight="1" x14ac:dyDescent="0.25">
      <c r="B360" s="67" t="e">
        <f t="shared" si="27"/>
        <v>#REF!</v>
      </c>
      <c r="C360" s="76" t="e">
        <f t="shared" si="28"/>
        <v>#REF!</v>
      </c>
    </row>
    <row r="361" spans="2:3" ht="15.75" customHeight="1" x14ac:dyDescent="0.25">
      <c r="B361" s="67" t="e">
        <f t="shared" si="27"/>
        <v>#REF!</v>
      </c>
      <c r="C361" s="76" t="e">
        <f t="shared" si="28"/>
        <v>#REF!</v>
      </c>
    </row>
    <row r="362" spans="2:3" ht="15.75" customHeight="1" x14ac:dyDescent="0.25">
      <c r="B362" s="67" t="e">
        <f t="shared" si="27"/>
        <v>#REF!</v>
      </c>
      <c r="C362" s="76" t="e">
        <f t="shared" si="28"/>
        <v>#REF!</v>
      </c>
    </row>
    <row r="363" spans="2:3" ht="15.75" customHeight="1" x14ac:dyDescent="0.25">
      <c r="B363" s="67" t="e">
        <f t="shared" si="27"/>
        <v>#REF!</v>
      </c>
      <c r="C363" s="76" t="e">
        <f t="shared" si="28"/>
        <v>#REF!</v>
      </c>
    </row>
    <row r="364" spans="2:3" ht="15.75" customHeight="1" x14ac:dyDescent="0.25">
      <c r="B364" s="67" t="e">
        <f t="shared" si="27"/>
        <v>#REF!</v>
      </c>
      <c r="C364" s="76" t="e">
        <f t="shared" si="28"/>
        <v>#REF!</v>
      </c>
    </row>
    <row r="365" spans="2:3" ht="15.75" customHeight="1" x14ac:dyDescent="0.25">
      <c r="B365" s="67" t="e">
        <f t="shared" si="27"/>
        <v>#REF!</v>
      </c>
      <c r="C365" s="76" t="e">
        <f t="shared" si="28"/>
        <v>#REF!</v>
      </c>
    </row>
    <row r="366" spans="2:3" ht="15.75" customHeight="1" x14ac:dyDescent="0.25">
      <c r="B366" s="67" t="e">
        <f t="shared" si="27"/>
        <v>#REF!</v>
      </c>
      <c r="C366" s="76" t="e">
        <f t="shared" si="28"/>
        <v>#REF!</v>
      </c>
    </row>
    <row r="367" spans="2:3" ht="15.75" customHeight="1" x14ac:dyDescent="0.25">
      <c r="B367" s="67" t="e">
        <f t="shared" si="27"/>
        <v>#REF!</v>
      </c>
      <c r="C367" s="76" t="e">
        <f t="shared" si="28"/>
        <v>#REF!</v>
      </c>
    </row>
    <row r="368" spans="2:3" ht="15.75" customHeight="1" x14ac:dyDescent="0.25">
      <c r="B368" s="67" t="e">
        <f t="shared" si="27"/>
        <v>#REF!</v>
      </c>
      <c r="C368" s="76" t="e">
        <f t="shared" si="28"/>
        <v>#REF!</v>
      </c>
    </row>
    <row r="369" spans="2:3" ht="15.75" customHeight="1" x14ac:dyDescent="0.25">
      <c r="B369" s="67" t="e">
        <f t="shared" si="27"/>
        <v>#REF!</v>
      </c>
      <c r="C369" s="76" t="e">
        <f t="shared" si="28"/>
        <v>#REF!</v>
      </c>
    </row>
    <row r="370" spans="2:3" ht="15.75" customHeight="1" x14ac:dyDescent="0.25">
      <c r="B370" s="67" t="e">
        <f t="shared" si="27"/>
        <v>#REF!</v>
      </c>
      <c r="C370" s="76" t="e">
        <f t="shared" si="28"/>
        <v>#REF!</v>
      </c>
    </row>
    <row r="371" spans="2:3" ht="15.75" customHeight="1" x14ac:dyDescent="0.25">
      <c r="B371" s="67" t="e">
        <f t="shared" si="27"/>
        <v>#REF!</v>
      </c>
      <c r="C371" s="76" t="e">
        <f t="shared" si="28"/>
        <v>#REF!</v>
      </c>
    </row>
    <row r="372" spans="2:3" ht="15.75" customHeight="1" x14ac:dyDescent="0.25">
      <c r="B372" s="67" t="e">
        <f t="shared" si="27"/>
        <v>#REF!</v>
      </c>
      <c r="C372" s="76" t="e">
        <f t="shared" si="28"/>
        <v>#REF!</v>
      </c>
    </row>
    <row r="373" spans="2:3" ht="15.75" customHeight="1" x14ac:dyDescent="0.25">
      <c r="B373" s="67" t="e">
        <f t="shared" si="27"/>
        <v>#REF!</v>
      </c>
      <c r="C373" s="76" t="e">
        <f t="shared" si="28"/>
        <v>#REF!</v>
      </c>
    </row>
    <row r="374" spans="2:3" ht="15.75" customHeight="1" x14ac:dyDescent="0.25">
      <c r="B374" s="67" t="e">
        <f t="shared" si="27"/>
        <v>#REF!</v>
      </c>
      <c r="C374" s="76" t="e">
        <f t="shared" si="28"/>
        <v>#REF!</v>
      </c>
    </row>
    <row r="375" spans="2:3" ht="15.75" customHeight="1" x14ac:dyDescent="0.25">
      <c r="B375" s="67" t="e">
        <f t="shared" si="27"/>
        <v>#REF!</v>
      </c>
      <c r="C375" s="76" t="e">
        <f t="shared" si="28"/>
        <v>#REF!</v>
      </c>
    </row>
    <row r="376" spans="2:3" ht="15.75" customHeight="1" x14ac:dyDescent="0.25">
      <c r="B376" s="67" t="e">
        <f t="shared" si="27"/>
        <v>#REF!</v>
      </c>
      <c r="C376" s="76" t="e">
        <f t="shared" si="28"/>
        <v>#REF!</v>
      </c>
    </row>
    <row r="377" spans="2:3" ht="15.75" customHeight="1" x14ac:dyDescent="0.25">
      <c r="B377" s="67" t="e">
        <f t="shared" si="27"/>
        <v>#REF!</v>
      </c>
      <c r="C377" s="76" t="e">
        <f t="shared" si="28"/>
        <v>#REF!</v>
      </c>
    </row>
    <row r="378" spans="2:3" ht="15.75" customHeight="1" x14ac:dyDescent="0.25">
      <c r="B378" s="67" t="e">
        <f t="shared" si="27"/>
        <v>#REF!</v>
      </c>
      <c r="C378" s="76" t="e">
        <f t="shared" si="28"/>
        <v>#REF!</v>
      </c>
    </row>
    <row r="379" spans="2:3" ht="15.75" customHeight="1" x14ac:dyDescent="0.25">
      <c r="B379" s="67" t="e">
        <f t="shared" si="27"/>
        <v>#REF!</v>
      </c>
      <c r="C379" s="76" t="e">
        <f t="shared" si="28"/>
        <v>#REF!</v>
      </c>
    </row>
    <row r="380" spans="2:3" ht="15.75" customHeight="1" x14ac:dyDescent="0.25">
      <c r="B380" s="67" t="e">
        <f t="shared" si="27"/>
        <v>#REF!</v>
      </c>
      <c r="C380" s="76" t="e">
        <f t="shared" si="28"/>
        <v>#REF!</v>
      </c>
    </row>
    <row r="381" spans="2:3" ht="15.75" customHeight="1" x14ac:dyDescent="0.25">
      <c r="B381" s="67" t="e">
        <f t="shared" si="27"/>
        <v>#REF!</v>
      </c>
      <c r="C381" s="76" t="e">
        <f t="shared" si="28"/>
        <v>#REF!</v>
      </c>
    </row>
    <row r="382" spans="2:3" ht="15.75" customHeight="1" x14ac:dyDescent="0.25">
      <c r="B382" s="67" t="e">
        <f t="shared" si="27"/>
        <v>#REF!</v>
      </c>
      <c r="C382" s="76" t="e">
        <f t="shared" si="28"/>
        <v>#REF!</v>
      </c>
    </row>
    <row r="383" spans="2:3" ht="15.75" customHeight="1" x14ac:dyDescent="0.25">
      <c r="B383" s="67" t="e">
        <f t="shared" si="27"/>
        <v>#REF!</v>
      </c>
      <c r="C383" s="76" t="e">
        <f t="shared" si="28"/>
        <v>#REF!</v>
      </c>
    </row>
    <row r="384" spans="2:3" ht="15.75" customHeight="1" x14ac:dyDescent="0.25">
      <c r="B384" s="67" t="e">
        <f t="shared" si="27"/>
        <v>#REF!</v>
      </c>
      <c r="C384" s="76" t="e">
        <f t="shared" si="28"/>
        <v>#REF!</v>
      </c>
    </row>
    <row r="385" spans="2:3" ht="15.75" customHeight="1" x14ac:dyDescent="0.25">
      <c r="B385" s="67" t="e">
        <f t="shared" si="27"/>
        <v>#REF!</v>
      </c>
      <c r="C385" s="76" t="e">
        <f t="shared" si="28"/>
        <v>#REF!</v>
      </c>
    </row>
    <row r="386" spans="2:3" ht="15.75" customHeight="1" x14ac:dyDescent="0.25">
      <c r="B386" s="67" t="e">
        <f t="shared" si="27"/>
        <v>#REF!</v>
      </c>
      <c r="C386" s="76" t="e">
        <f t="shared" si="28"/>
        <v>#REF!</v>
      </c>
    </row>
    <row r="387" spans="2:3" ht="15.75" customHeight="1" x14ac:dyDescent="0.25">
      <c r="B387" s="67" t="e">
        <f t="shared" si="27"/>
        <v>#REF!</v>
      </c>
      <c r="C387" s="76" t="e">
        <f t="shared" si="28"/>
        <v>#REF!</v>
      </c>
    </row>
    <row r="388" spans="2:3" ht="15.75" customHeight="1" x14ac:dyDescent="0.25">
      <c r="B388" s="67" t="e">
        <f t="shared" si="27"/>
        <v>#REF!</v>
      </c>
      <c r="C388" s="76" t="e">
        <f t="shared" si="28"/>
        <v>#REF!</v>
      </c>
    </row>
    <row r="389" spans="2:3" ht="15.75" customHeight="1" x14ac:dyDescent="0.25">
      <c r="B389" s="67" t="e">
        <f t="shared" si="27"/>
        <v>#REF!</v>
      </c>
      <c r="C389" s="76" t="e">
        <f t="shared" si="28"/>
        <v>#REF!</v>
      </c>
    </row>
    <row r="390" spans="2:3" ht="15.75" customHeight="1" x14ac:dyDescent="0.25">
      <c r="B390" s="67" t="e">
        <f t="shared" si="27"/>
        <v>#REF!</v>
      </c>
      <c r="C390" s="76" t="e">
        <f t="shared" si="28"/>
        <v>#REF!</v>
      </c>
    </row>
    <row r="391" spans="2:3" ht="15.75" customHeight="1" x14ac:dyDescent="0.25">
      <c r="B391" s="67" t="e">
        <f t="shared" si="27"/>
        <v>#REF!</v>
      </c>
      <c r="C391" s="76" t="e">
        <f t="shared" si="28"/>
        <v>#REF!</v>
      </c>
    </row>
    <row r="392" spans="2:3" ht="15.75" customHeight="1" x14ac:dyDescent="0.25">
      <c r="B392" s="67" t="e">
        <f t="shared" si="27"/>
        <v>#REF!</v>
      </c>
      <c r="C392" s="76" t="e">
        <f t="shared" si="28"/>
        <v>#REF!</v>
      </c>
    </row>
    <row r="393" spans="2:3" ht="15.75" customHeight="1" x14ac:dyDescent="0.25">
      <c r="B393" s="67" t="e">
        <f t="shared" si="27"/>
        <v>#REF!</v>
      </c>
      <c r="C393" s="76" t="e">
        <f t="shared" si="28"/>
        <v>#REF!</v>
      </c>
    </row>
    <row r="394" spans="2:3" ht="15.75" customHeight="1" x14ac:dyDescent="0.25">
      <c r="B394" s="67" t="e">
        <f t="shared" si="27"/>
        <v>#REF!</v>
      </c>
      <c r="C394" s="76" t="e">
        <f t="shared" si="28"/>
        <v>#REF!</v>
      </c>
    </row>
    <row r="395" spans="2:3" ht="15.75" customHeight="1" x14ac:dyDescent="0.25">
      <c r="B395" s="67" t="e">
        <f t="shared" si="27"/>
        <v>#REF!</v>
      </c>
      <c r="C395" s="76" t="e">
        <f t="shared" si="28"/>
        <v>#REF!</v>
      </c>
    </row>
    <row r="396" spans="2:3" ht="15.75" customHeight="1" x14ac:dyDescent="0.25">
      <c r="B396" s="67" t="e">
        <f t="shared" si="27"/>
        <v>#REF!</v>
      </c>
      <c r="C396" s="76" t="e">
        <f t="shared" si="28"/>
        <v>#REF!</v>
      </c>
    </row>
    <row r="397" spans="2:3" ht="15.75" customHeight="1" x14ac:dyDescent="0.25">
      <c r="B397" s="67" t="e">
        <f t="shared" si="27"/>
        <v>#REF!</v>
      </c>
      <c r="C397" s="76" t="e">
        <f t="shared" si="28"/>
        <v>#REF!</v>
      </c>
    </row>
    <row r="398" spans="2:3" ht="15.75" customHeight="1" x14ac:dyDescent="0.25">
      <c r="B398" s="67" t="e">
        <f t="shared" si="27"/>
        <v>#REF!</v>
      </c>
      <c r="C398" s="76" t="e">
        <f t="shared" si="28"/>
        <v>#REF!</v>
      </c>
    </row>
    <row r="399" spans="2:3" ht="15.75" customHeight="1" x14ac:dyDescent="0.25">
      <c r="B399" s="67" t="e">
        <f t="shared" si="27"/>
        <v>#REF!</v>
      </c>
      <c r="C399" s="76" t="e">
        <f t="shared" si="28"/>
        <v>#REF!</v>
      </c>
    </row>
    <row r="400" spans="2:3" ht="15.75" customHeight="1" x14ac:dyDescent="0.25">
      <c r="B400" s="67" t="e">
        <f t="shared" si="27"/>
        <v>#REF!</v>
      </c>
      <c r="C400" s="76" t="e">
        <f t="shared" si="28"/>
        <v>#REF!</v>
      </c>
    </row>
    <row r="401" spans="2:3" ht="15.75" customHeight="1" x14ac:dyDescent="0.25">
      <c r="B401" s="67" t="e">
        <f t="shared" si="27"/>
        <v>#REF!</v>
      </c>
      <c r="C401" s="76" t="e">
        <f t="shared" si="28"/>
        <v>#REF!</v>
      </c>
    </row>
    <row r="402" spans="2:3" ht="15.75" customHeight="1" x14ac:dyDescent="0.25">
      <c r="B402" s="67" t="e">
        <f t="shared" si="27"/>
        <v>#REF!</v>
      </c>
      <c r="C402" s="76" t="e">
        <f t="shared" si="28"/>
        <v>#REF!</v>
      </c>
    </row>
    <row r="403" spans="2:3" ht="15.75" customHeight="1" x14ac:dyDescent="0.25">
      <c r="B403" s="67" t="e">
        <f t="shared" si="27"/>
        <v>#REF!</v>
      </c>
      <c r="C403" s="76" t="e">
        <f t="shared" si="28"/>
        <v>#REF!</v>
      </c>
    </row>
    <row r="404" spans="2:3" ht="15.75" customHeight="1" x14ac:dyDescent="0.25">
      <c r="B404" s="67" t="e">
        <f t="shared" si="27"/>
        <v>#REF!</v>
      </c>
      <c r="C404" s="76" t="e">
        <f t="shared" si="28"/>
        <v>#REF!</v>
      </c>
    </row>
    <row r="405" spans="2:3" ht="15.75" customHeight="1" x14ac:dyDescent="0.25">
      <c r="B405" s="67" t="e">
        <f t="shared" si="27"/>
        <v>#REF!</v>
      </c>
      <c r="C405" s="76" t="e">
        <f t="shared" si="28"/>
        <v>#REF!</v>
      </c>
    </row>
    <row r="406" spans="2:3" ht="15.75" customHeight="1" x14ac:dyDescent="0.25">
      <c r="B406" s="67" t="e">
        <f t="shared" si="27"/>
        <v>#REF!</v>
      </c>
      <c r="C406" s="76" t="e">
        <f t="shared" si="28"/>
        <v>#REF!</v>
      </c>
    </row>
    <row r="407" spans="2:3" ht="15.75" customHeight="1" x14ac:dyDescent="0.25">
      <c r="B407" s="67" t="e">
        <f t="shared" si="27"/>
        <v>#REF!</v>
      </c>
      <c r="C407" s="76" t="e">
        <f t="shared" si="28"/>
        <v>#REF!</v>
      </c>
    </row>
    <row r="408" spans="2:3" ht="15.75" customHeight="1" x14ac:dyDescent="0.25">
      <c r="B408" s="67" t="e">
        <f t="shared" si="27"/>
        <v>#REF!</v>
      </c>
      <c r="C408" s="76" t="e">
        <f t="shared" si="28"/>
        <v>#REF!</v>
      </c>
    </row>
    <row r="409" spans="2:3" ht="15.75" customHeight="1" x14ac:dyDescent="0.25">
      <c r="B409" s="67" t="e">
        <f t="shared" si="27"/>
        <v>#REF!</v>
      </c>
      <c r="C409" s="76" t="e">
        <f t="shared" si="28"/>
        <v>#REF!</v>
      </c>
    </row>
    <row r="410" spans="2:3" ht="15.75" customHeight="1" x14ac:dyDescent="0.25">
      <c r="B410" s="67" t="e">
        <f t="shared" si="27"/>
        <v>#REF!</v>
      </c>
      <c r="C410" s="76" t="e">
        <f t="shared" si="28"/>
        <v>#REF!</v>
      </c>
    </row>
    <row r="411" spans="2:3" ht="15.75" customHeight="1" x14ac:dyDescent="0.25">
      <c r="B411" s="67" t="e">
        <f t="shared" si="27"/>
        <v>#REF!</v>
      </c>
      <c r="C411" s="76" t="e">
        <f t="shared" si="28"/>
        <v>#REF!</v>
      </c>
    </row>
    <row r="412" spans="2:3" ht="15.75" customHeight="1" x14ac:dyDescent="0.25">
      <c r="B412" s="67" t="e">
        <f t="shared" si="27"/>
        <v>#REF!</v>
      </c>
      <c r="C412" s="76" t="e">
        <f t="shared" si="28"/>
        <v>#REF!</v>
      </c>
    </row>
    <row r="413" spans="2:3" ht="15.75" customHeight="1" x14ac:dyDescent="0.25">
      <c r="B413" s="67" t="e">
        <f t="shared" si="27"/>
        <v>#REF!</v>
      </c>
      <c r="C413" s="76" t="e">
        <f t="shared" si="28"/>
        <v>#REF!</v>
      </c>
    </row>
    <row r="414" spans="2:3" ht="15.75" customHeight="1" x14ac:dyDescent="0.25">
      <c r="B414" s="67" t="e">
        <f t="shared" ref="B414:B477" si="29">IF(B413="","",IF(B413+$C$10&lt;=$C$6,B413+$C$10,""))</f>
        <v>#REF!</v>
      </c>
      <c r="C414" s="76" t="e">
        <f t="shared" ref="C414:C477" si="30">IF(B414&lt;&gt;"",C413-$C$2/COUNT($B$18:$B$511),"")</f>
        <v>#REF!</v>
      </c>
    </row>
    <row r="415" spans="2:3" ht="15.75" customHeight="1" x14ac:dyDescent="0.25">
      <c r="B415" s="67" t="e">
        <f t="shared" si="29"/>
        <v>#REF!</v>
      </c>
      <c r="C415" s="76" t="e">
        <f t="shared" si="30"/>
        <v>#REF!</v>
      </c>
    </row>
    <row r="416" spans="2:3" ht="15.75" customHeight="1" x14ac:dyDescent="0.25">
      <c r="B416" s="67" t="e">
        <f t="shared" si="29"/>
        <v>#REF!</v>
      </c>
      <c r="C416" s="76" t="e">
        <f t="shared" si="30"/>
        <v>#REF!</v>
      </c>
    </row>
    <row r="417" spans="2:3" ht="15.75" customHeight="1" x14ac:dyDescent="0.25">
      <c r="B417" s="67" t="e">
        <f t="shared" si="29"/>
        <v>#REF!</v>
      </c>
      <c r="C417" s="76" t="e">
        <f t="shared" si="30"/>
        <v>#REF!</v>
      </c>
    </row>
    <row r="418" spans="2:3" ht="15.75" customHeight="1" x14ac:dyDescent="0.25">
      <c r="B418" s="67" t="e">
        <f t="shared" si="29"/>
        <v>#REF!</v>
      </c>
      <c r="C418" s="76" t="e">
        <f t="shared" si="30"/>
        <v>#REF!</v>
      </c>
    </row>
    <row r="419" spans="2:3" ht="15.75" customHeight="1" x14ac:dyDescent="0.25">
      <c r="B419" s="67" t="e">
        <f t="shared" si="29"/>
        <v>#REF!</v>
      </c>
      <c r="C419" s="76" t="e">
        <f t="shared" si="30"/>
        <v>#REF!</v>
      </c>
    </row>
    <row r="420" spans="2:3" ht="15.75" customHeight="1" x14ac:dyDescent="0.25">
      <c r="B420" s="67" t="e">
        <f t="shared" si="29"/>
        <v>#REF!</v>
      </c>
      <c r="C420" s="76" t="e">
        <f t="shared" si="30"/>
        <v>#REF!</v>
      </c>
    </row>
    <row r="421" spans="2:3" ht="15.75" customHeight="1" x14ac:dyDescent="0.25">
      <c r="B421" s="67" t="e">
        <f t="shared" si="29"/>
        <v>#REF!</v>
      </c>
      <c r="C421" s="76" t="e">
        <f t="shared" si="30"/>
        <v>#REF!</v>
      </c>
    </row>
    <row r="422" spans="2:3" ht="15.75" customHeight="1" x14ac:dyDescent="0.25">
      <c r="B422" s="67" t="e">
        <f t="shared" si="29"/>
        <v>#REF!</v>
      </c>
      <c r="C422" s="76" t="e">
        <f t="shared" si="30"/>
        <v>#REF!</v>
      </c>
    </row>
    <row r="423" spans="2:3" ht="15.75" customHeight="1" x14ac:dyDescent="0.25">
      <c r="B423" s="67" t="e">
        <f t="shared" si="29"/>
        <v>#REF!</v>
      </c>
      <c r="C423" s="76" t="e">
        <f t="shared" si="30"/>
        <v>#REF!</v>
      </c>
    </row>
    <row r="424" spans="2:3" ht="15.75" customHeight="1" x14ac:dyDescent="0.25">
      <c r="B424" s="67" t="e">
        <f t="shared" si="29"/>
        <v>#REF!</v>
      </c>
      <c r="C424" s="76" t="e">
        <f t="shared" si="30"/>
        <v>#REF!</v>
      </c>
    </row>
    <row r="425" spans="2:3" ht="15.75" customHeight="1" x14ac:dyDescent="0.25">
      <c r="B425" s="67" t="e">
        <f t="shared" si="29"/>
        <v>#REF!</v>
      </c>
      <c r="C425" s="76" t="e">
        <f t="shared" si="30"/>
        <v>#REF!</v>
      </c>
    </row>
    <row r="426" spans="2:3" ht="15.75" customHeight="1" x14ac:dyDescent="0.25">
      <c r="B426" s="67" t="e">
        <f t="shared" si="29"/>
        <v>#REF!</v>
      </c>
      <c r="C426" s="76" t="e">
        <f t="shared" si="30"/>
        <v>#REF!</v>
      </c>
    </row>
    <row r="427" spans="2:3" ht="15.75" customHeight="1" x14ac:dyDescent="0.25">
      <c r="B427" s="67" t="e">
        <f t="shared" si="29"/>
        <v>#REF!</v>
      </c>
      <c r="C427" s="76" t="e">
        <f t="shared" si="30"/>
        <v>#REF!</v>
      </c>
    </row>
    <row r="428" spans="2:3" ht="15.75" customHeight="1" x14ac:dyDescent="0.25">
      <c r="B428" s="67" t="e">
        <f t="shared" si="29"/>
        <v>#REF!</v>
      </c>
      <c r="C428" s="76" t="e">
        <f t="shared" si="30"/>
        <v>#REF!</v>
      </c>
    </row>
    <row r="429" spans="2:3" ht="15.75" customHeight="1" x14ac:dyDescent="0.25">
      <c r="B429" s="67" t="e">
        <f t="shared" si="29"/>
        <v>#REF!</v>
      </c>
      <c r="C429" s="76" t="e">
        <f t="shared" si="30"/>
        <v>#REF!</v>
      </c>
    </row>
    <row r="430" spans="2:3" ht="15.75" customHeight="1" x14ac:dyDescent="0.25">
      <c r="B430" s="67" t="e">
        <f t="shared" si="29"/>
        <v>#REF!</v>
      </c>
      <c r="C430" s="76" t="e">
        <f t="shared" si="30"/>
        <v>#REF!</v>
      </c>
    </row>
    <row r="431" spans="2:3" ht="15.75" customHeight="1" x14ac:dyDescent="0.25">
      <c r="B431" s="67" t="e">
        <f t="shared" si="29"/>
        <v>#REF!</v>
      </c>
      <c r="C431" s="76" t="e">
        <f t="shared" si="30"/>
        <v>#REF!</v>
      </c>
    </row>
    <row r="432" spans="2:3" ht="15.75" customHeight="1" x14ac:dyDescent="0.25">
      <c r="B432" s="67" t="e">
        <f t="shared" si="29"/>
        <v>#REF!</v>
      </c>
      <c r="C432" s="76" t="e">
        <f t="shared" si="30"/>
        <v>#REF!</v>
      </c>
    </row>
    <row r="433" spans="2:3" ht="15.75" customHeight="1" x14ac:dyDescent="0.25">
      <c r="B433" s="67" t="e">
        <f t="shared" si="29"/>
        <v>#REF!</v>
      </c>
      <c r="C433" s="76" t="e">
        <f t="shared" si="30"/>
        <v>#REF!</v>
      </c>
    </row>
    <row r="434" spans="2:3" ht="15.75" customHeight="1" x14ac:dyDescent="0.25">
      <c r="B434" s="67" t="e">
        <f t="shared" si="29"/>
        <v>#REF!</v>
      </c>
      <c r="C434" s="76" t="e">
        <f t="shared" si="30"/>
        <v>#REF!</v>
      </c>
    </row>
    <row r="435" spans="2:3" ht="15.75" customHeight="1" x14ac:dyDescent="0.25">
      <c r="B435" s="67" t="e">
        <f t="shared" si="29"/>
        <v>#REF!</v>
      </c>
      <c r="C435" s="76" t="e">
        <f t="shared" si="30"/>
        <v>#REF!</v>
      </c>
    </row>
    <row r="436" spans="2:3" ht="15.75" customHeight="1" x14ac:dyDescent="0.25">
      <c r="B436" s="67" t="e">
        <f t="shared" si="29"/>
        <v>#REF!</v>
      </c>
      <c r="C436" s="76" t="e">
        <f t="shared" si="30"/>
        <v>#REF!</v>
      </c>
    </row>
    <row r="437" spans="2:3" ht="15.75" customHeight="1" x14ac:dyDescent="0.25">
      <c r="B437" s="67" t="e">
        <f t="shared" si="29"/>
        <v>#REF!</v>
      </c>
      <c r="C437" s="76" t="e">
        <f t="shared" si="30"/>
        <v>#REF!</v>
      </c>
    </row>
    <row r="438" spans="2:3" ht="15.75" customHeight="1" x14ac:dyDescent="0.25">
      <c r="B438" s="67" t="e">
        <f t="shared" si="29"/>
        <v>#REF!</v>
      </c>
      <c r="C438" s="76" t="e">
        <f t="shared" si="30"/>
        <v>#REF!</v>
      </c>
    </row>
    <row r="439" spans="2:3" ht="15.75" customHeight="1" x14ac:dyDescent="0.25">
      <c r="B439" s="67" t="e">
        <f t="shared" si="29"/>
        <v>#REF!</v>
      </c>
      <c r="C439" s="76" t="e">
        <f t="shared" si="30"/>
        <v>#REF!</v>
      </c>
    </row>
    <row r="440" spans="2:3" ht="15.75" customHeight="1" x14ac:dyDescent="0.25">
      <c r="B440" s="67" t="e">
        <f t="shared" si="29"/>
        <v>#REF!</v>
      </c>
      <c r="C440" s="76" t="e">
        <f t="shared" si="30"/>
        <v>#REF!</v>
      </c>
    </row>
    <row r="441" spans="2:3" ht="15.75" customHeight="1" x14ac:dyDescent="0.25">
      <c r="B441" s="67" t="e">
        <f t="shared" si="29"/>
        <v>#REF!</v>
      </c>
      <c r="C441" s="76" t="e">
        <f t="shared" si="30"/>
        <v>#REF!</v>
      </c>
    </row>
    <row r="442" spans="2:3" ht="15.75" customHeight="1" x14ac:dyDescent="0.25">
      <c r="B442" s="67" t="e">
        <f t="shared" si="29"/>
        <v>#REF!</v>
      </c>
      <c r="C442" s="76" t="e">
        <f t="shared" si="30"/>
        <v>#REF!</v>
      </c>
    </row>
    <row r="443" spans="2:3" ht="15.75" customHeight="1" x14ac:dyDescent="0.25">
      <c r="B443" s="67" t="e">
        <f t="shared" si="29"/>
        <v>#REF!</v>
      </c>
      <c r="C443" s="76" t="e">
        <f t="shared" si="30"/>
        <v>#REF!</v>
      </c>
    </row>
    <row r="444" spans="2:3" ht="15.75" customHeight="1" x14ac:dyDescent="0.25">
      <c r="B444" s="67" t="e">
        <f t="shared" si="29"/>
        <v>#REF!</v>
      </c>
      <c r="C444" s="76" t="e">
        <f t="shared" si="30"/>
        <v>#REF!</v>
      </c>
    </row>
    <row r="445" spans="2:3" ht="15.75" customHeight="1" x14ac:dyDescent="0.25">
      <c r="B445" s="67" t="e">
        <f t="shared" si="29"/>
        <v>#REF!</v>
      </c>
      <c r="C445" s="76" t="e">
        <f t="shared" si="30"/>
        <v>#REF!</v>
      </c>
    </row>
    <row r="446" spans="2:3" ht="15.75" customHeight="1" x14ac:dyDescent="0.25">
      <c r="B446" s="67" t="e">
        <f t="shared" si="29"/>
        <v>#REF!</v>
      </c>
      <c r="C446" s="76" t="e">
        <f t="shared" si="30"/>
        <v>#REF!</v>
      </c>
    </row>
    <row r="447" spans="2:3" ht="15.75" customHeight="1" x14ac:dyDescent="0.25">
      <c r="B447" s="67" t="e">
        <f t="shared" si="29"/>
        <v>#REF!</v>
      </c>
      <c r="C447" s="76" t="e">
        <f t="shared" si="30"/>
        <v>#REF!</v>
      </c>
    </row>
    <row r="448" spans="2:3" ht="15.75" customHeight="1" x14ac:dyDescent="0.25">
      <c r="B448" s="67" t="e">
        <f t="shared" si="29"/>
        <v>#REF!</v>
      </c>
      <c r="C448" s="76" t="e">
        <f t="shared" si="30"/>
        <v>#REF!</v>
      </c>
    </row>
    <row r="449" spans="2:3" ht="15.75" customHeight="1" x14ac:dyDescent="0.25">
      <c r="B449" s="67" t="e">
        <f t="shared" si="29"/>
        <v>#REF!</v>
      </c>
      <c r="C449" s="76" t="e">
        <f t="shared" si="30"/>
        <v>#REF!</v>
      </c>
    </row>
    <row r="450" spans="2:3" ht="15.75" customHeight="1" x14ac:dyDescent="0.25">
      <c r="B450" s="67" t="e">
        <f t="shared" si="29"/>
        <v>#REF!</v>
      </c>
      <c r="C450" s="76" t="e">
        <f t="shared" si="30"/>
        <v>#REF!</v>
      </c>
    </row>
    <row r="451" spans="2:3" ht="15.75" customHeight="1" x14ac:dyDescent="0.25">
      <c r="B451" s="67" t="e">
        <f t="shared" si="29"/>
        <v>#REF!</v>
      </c>
      <c r="C451" s="76" t="e">
        <f t="shared" si="30"/>
        <v>#REF!</v>
      </c>
    </row>
    <row r="452" spans="2:3" ht="15.75" customHeight="1" x14ac:dyDescent="0.25">
      <c r="B452" s="67" t="e">
        <f t="shared" si="29"/>
        <v>#REF!</v>
      </c>
      <c r="C452" s="76" t="e">
        <f t="shared" si="30"/>
        <v>#REF!</v>
      </c>
    </row>
    <row r="453" spans="2:3" ht="15.75" customHeight="1" x14ac:dyDescent="0.25">
      <c r="B453" s="67" t="e">
        <f t="shared" si="29"/>
        <v>#REF!</v>
      </c>
      <c r="C453" s="76" t="e">
        <f t="shared" si="30"/>
        <v>#REF!</v>
      </c>
    </row>
    <row r="454" spans="2:3" ht="15.75" customHeight="1" x14ac:dyDescent="0.25">
      <c r="B454" s="67" t="e">
        <f t="shared" si="29"/>
        <v>#REF!</v>
      </c>
      <c r="C454" s="76" t="e">
        <f t="shared" si="30"/>
        <v>#REF!</v>
      </c>
    </row>
    <row r="455" spans="2:3" ht="15.75" customHeight="1" x14ac:dyDescent="0.25">
      <c r="B455" s="67" t="e">
        <f t="shared" si="29"/>
        <v>#REF!</v>
      </c>
      <c r="C455" s="76" t="e">
        <f t="shared" si="30"/>
        <v>#REF!</v>
      </c>
    </row>
    <row r="456" spans="2:3" ht="15.75" customHeight="1" x14ac:dyDescent="0.25">
      <c r="B456" s="67" t="e">
        <f t="shared" si="29"/>
        <v>#REF!</v>
      </c>
      <c r="C456" s="76" t="e">
        <f t="shared" si="30"/>
        <v>#REF!</v>
      </c>
    </row>
    <row r="457" spans="2:3" ht="15.75" customHeight="1" x14ac:dyDescent="0.25">
      <c r="B457" s="67" t="e">
        <f t="shared" si="29"/>
        <v>#REF!</v>
      </c>
      <c r="C457" s="76" t="e">
        <f t="shared" si="30"/>
        <v>#REF!</v>
      </c>
    </row>
    <row r="458" spans="2:3" ht="15.75" customHeight="1" x14ac:dyDescent="0.25">
      <c r="B458" s="67" t="e">
        <f t="shared" si="29"/>
        <v>#REF!</v>
      </c>
      <c r="C458" s="76" t="e">
        <f t="shared" si="30"/>
        <v>#REF!</v>
      </c>
    </row>
    <row r="459" spans="2:3" ht="15.75" customHeight="1" x14ac:dyDescent="0.25">
      <c r="B459" s="67" t="e">
        <f t="shared" si="29"/>
        <v>#REF!</v>
      </c>
      <c r="C459" s="76" t="e">
        <f t="shared" si="30"/>
        <v>#REF!</v>
      </c>
    </row>
    <row r="460" spans="2:3" ht="15.75" customHeight="1" x14ac:dyDescent="0.25">
      <c r="B460" s="67" t="e">
        <f t="shared" si="29"/>
        <v>#REF!</v>
      </c>
      <c r="C460" s="76" t="e">
        <f t="shared" si="30"/>
        <v>#REF!</v>
      </c>
    </row>
    <row r="461" spans="2:3" ht="15.75" customHeight="1" x14ac:dyDescent="0.25">
      <c r="B461" s="67" t="e">
        <f t="shared" si="29"/>
        <v>#REF!</v>
      </c>
      <c r="C461" s="76" t="e">
        <f t="shared" si="30"/>
        <v>#REF!</v>
      </c>
    </row>
    <row r="462" spans="2:3" ht="15.75" customHeight="1" x14ac:dyDescent="0.25">
      <c r="B462" s="67" t="e">
        <f t="shared" si="29"/>
        <v>#REF!</v>
      </c>
      <c r="C462" s="76" t="e">
        <f t="shared" si="30"/>
        <v>#REF!</v>
      </c>
    </row>
    <row r="463" spans="2:3" ht="15.75" customHeight="1" x14ac:dyDescent="0.25">
      <c r="B463" s="67" t="e">
        <f t="shared" si="29"/>
        <v>#REF!</v>
      </c>
      <c r="C463" s="76" t="e">
        <f t="shared" si="30"/>
        <v>#REF!</v>
      </c>
    </row>
    <row r="464" spans="2:3" ht="15.75" customHeight="1" x14ac:dyDescent="0.25">
      <c r="B464" s="67" t="e">
        <f t="shared" si="29"/>
        <v>#REF!</v>
      </c>
      <c r="C464" s="76" t="e">
        <f t="shared" si="30"/>
        <v>#REF!</v>
      </c>
    </row>
    <row r="465" spans="2:3" ht="15.75" customHeight="1" x14ac:dyDescent="0.25">
      <c r="B465" s="67" t="e">
        <f t="shared" si="29"/>
        <v>#REF!</v>
      </c>
      <c r="C465" s="76" t="e">
        <f t="shared" si="30"/>
        <v>#REF!</v>
      </c>
    </row>
    <row r="466" spans="2:3" ht="15.75" customHeight="1" x14ac:dyDescent="0.25">
      <c r="B466" s="67" t="e">
        <f t="shared" si="29"/>
        <v>#REF!</v>
      </c>
      <c r="C466" s="76" t="e">
        <f t="shared" si="30"/>
        <v>#REF!</v>
      </c>
    </row>
    <row r="467" spans="2:3" ht="15.75" customHeight="1" x14ac:dyDescent="0.25">
      <c r="B467" s="67" t="e">
        <f t="shared" si="29"/>
        <v>#REF!</v>
      </c>
      <c r="C467" s="76" t="e">
        <f t="shared" si="30"/>
        <v>#REF!</v>
      </c>
    </row>
    <row r="468" spans="2:3" ht="15.75" customHeight="1" x14ac:dyDescent="0.25">
      <c r="B468" s="67" t="e">
        <f t="shared" si="29"/>
        <v>#REF!</v>
      </c>
      <c r="C468" s="76" t="e">
        <f t="shared" si="30"/>
        <v>#REF!</v>
      </c>
    </row>
    <row r="469" spans="2:3" ht="15.75" customHeight="1" x14ac:dyDescent="0.25">
      <c r="B469" s="67" t="e">
        <f t="shared" si="29"/>
        <v>#REF!</v>
      </c>
      <c r="C469" s="76" t="e">
        <f t="shared" si="30"/>
        <v>#REF!</v>
      </c>
    </row>
    <row r="470" spans="2:3" ht="15.75" customHeight="1" x14ac:dyDescent="0.25">
      <c r="B470" s="67" t="e">
        <f t="shared" si="29"/>
        <v>#REF!</v>
      </c>
      <c r="C470" s="76" t="e">
        <f t="shared" si="30"/>
        <v>#REF!</v>
      </c>
    </row>
    <row r="471" spans="2:3" ht="15.75" customHeight="1" x14ac:dyDescent="0.25">
      <c r="B471" s="67" t="e">
        <f t="shared" si="29"/>
        <v>#REF!</v>
      </c>
      <c r="C471" s="76" t="e">
        <f t="shared" si="30"/>
        <v>#REF!</v>
      </c>
    </row>
    <row r="472" spans="2:3" ht="15.75" customHeight="1" x14ac:dyDescent="0.25">
      <c r="B472" s="67" t="e">
        <f t="shared" si="29"/>
        <v>#REF!</v>
      </c>
      <c r="C472" s="76" t="e">
        <f t="shared" si="30"/>
        <v>#REF!</v>
      </c>
    </row>
    <row r="473" spans="2:3" ht="15.75" customHeight="1" x14ac:dyDescent="0.25">
      <c r="B473" s="67" t="e">
        <f t="shared" si="29"/>
        <v>#REF!</v>
      </c>
      <c r="C473" s="76" t="e">
        <f t="shared" si="30"/>
        <v>#REF!</v>
      </c>
    </row>
    <row r="474" spans="2:3" ht="15.75" customHeight="1" x14ac:dyDescent="0.25">
      <c r="B474" s="67" t="e">
        <f t="shared" si="29"/>
        <v>#REF!</v>
      </c>
      <c r="C474" s="76" t="e">
        <f t="shared" si="30"/>
        <v>#REF!</v>
      </c>
    </row>
    <row r="475" spans="2:3" ht="15.75" customHeight="1" x14ac:dyDescent="0.25">
      <c r="B475" s="67" t="e">
        <f t="shared" si="29"/>
        <v>#REF!</v>
      </c>
      <c r="C475" s="76" t="e">
        <f t="shared" si="30"/>
        <v>#REF!</v>
      </c>
    </row>
    <row r="476" spans="2:3" ht="15.75" customHeight="1" x14ac:dyDescent="0.25">
      <c r="B476" s="67" t="e">
        <f t="shared" si="29"/>
        <v>#REF!</v>
      </c>
      <c r="C476" s="76" t="e">
        <f t="shared" si="30"/>
        <v>#REF!</v>
      </c>
    </row>
    <row r="477" spans="2:3" ht="15.75" customHeight="1" x14ac:dyDescent="0.25">
      <c r="B477" s="67" t="e">
        <f t="shared" si="29"/>
        <v>#REF!</v>
      </c>
      <c r="C477" s="76" t="e">
        <f t="shared" si="30"/>
        <v>#REF!</v>
      </c>
    </row>
    <row r="478" spans="2:3" ht="15.75" customHeight="1" x14ac:dyDescent="0.25">
      <c r="B478" s="67" t="e">
        <f t="shared" ref="B478:B512" si="31">IF(B477="","",IF(B477+$C$10&lt;=$C$6,B477+$C$10,""))</f>
        <v>#REF!</v>
      </c>
      <c r="C478" s="76" t="e">
        <f t="shared" ref="C478:C512" si="32">IF(B478&lt;&gt;"",C477-$C$2/COUNT($B$18:$B$511),"")</f>
        <v>#REF!</v>
      </c>
    </row>
    <row r="479" spans="2:3" ht="15.75" customHeight="1" x14ac:dyDescent="0.25">
      <c r="B479" s="67" t="e">
        <f t="shared" si="31"/>
        <v>#REF!</v>
      </c>
      <c r="C479" s="76" t="e">
        <f t="shared" si="32"/>
        <v>#REF!</v>
      </c>
    </row>
    <row r="480" spans="2:3" ht="15.75" customHeight="1" x14ac:dyDescent="0.25">
      <c r="B480" s="67" t="e">
        <f t="shared" si="31"/>
        <v>#REF!</v>
      </c>
      <c r="C480" s="76" t="e">
        <f t="shared" si="32"/>
        <v>#REF!</v>
      </c>
    </row>
    <row r="481" spans="2:3" ht="15.75" customHeight="1" x14ac:dyDescent="0.25">
      <c r="B481" s="67" t="e">
        <f t="shared" si="31"/>
        <v>#REF!</v>
      </c>
      <c r="C481" s="76" t="e">
        <f t="shared" si="32"/>
        <v>#REF!</v>
      </c>
    </row>
    <row r="482" spans="2:3" ht="15.75" customHeight="1" x14ac:dyDescent="0.25">
      <c r="B482" s="67" t="e">
        <f t="shared" si="31"/>
        <v>#REF!</v>
      </c>
      <c r="C482" s="76" t="e">
        <f t="shared" si="32"/>
        <v>#REF!</v>
      </c>
    </row>
    <row r="483" spans="2:3" ht="15.75" customHeight="1" x14ac:dyDescent="0.25">
      <c r="B483" s="67" t="e">
        <f t="shared" si="31"/>
        <v>#REF!</v>
      </c>
      <c r="C483" s="76" t="e">
        <f t="shared" si="32"/>
        <v>#REF!</v>
      </c>
    </row>
    <row r="484" spans="2:3" ht="15.75" customHeight="1" x14ac:dyDescent="0.25">
      <c r="B484" s="67" t="e">
        <f t="shared" si="31"/>
        <v>#REF!</v>
      </c>
      <c r="C484" s="76" t="e">
        <f t="shared" si="32"/>
        <v>#REF!</v>
      </c>
    </row>
    <row r="485" spans="2:3" ht="15.75" customHeight="1" x14ac:dyDescent="0.25">
      <c r="B485" s="67" t="e">
        <f t="shared" si="31"/>
        <v>#REF!</v>
      </c>
      <c r="C485" s="76" t="e">
        <f t="shared" si="32"/>
        <v>#REF!</v>
      </c>
    </row>
    <row r="486" spans="2:3" ht="15.75" customHeight="1" x14ac:dyDescent="0.25">
      <c r="B486" s="67" t="e">
        <f t="shared" si="31"/>
        <v>#REF!</v>
      </c>
      <c r="C486" s="76" t="e">
        <f t="shared" si="32"/>
        <v>#REF!</v>
      </c>
    </row>
    <row r="487" spans="2:3" ht="15.75" customHeight="1" x14ac:dyDescent="0.25">
      <c r="B487" s="67" t="e">
        <f t="shared" si="31"/>
        <v>#REF!</v>
      </c>
      <c r="C487" s="76" t="e">
        <f t="shared" si="32"/>
        <v>#REF!</v>
      </c>
    </row>
    <row r="488" spans="2:3" ht="15.75" customHeight="1" x14ac:dyDescent="0.25">
      <c r="B488" s="67" t="e">
        <f t="shared" si="31"/>
        <v>#REF!</v>
      </c>
      <c r="C488" s="76" t="e">
        <f t="shared" si="32"/>
        <v>#REF!</v>
      </c>
    </row>
    <row r="489" spans="2:3" ht="15.75" customHeight="1" x14ac:dyDescent="0.25">
      <c r="B489" s="67" t="e">
        <f t="shared" si="31"/>
        <v>#REF!</v>
      </c>
      <c r="C489" s="76" t="e">
        <f t="shared" si="32"/>
        <v>#REF!</v>
      </c>
    </row>
    <row r="490" spans="2:3" ht="15.75" customHeight="1" x14ac:dyDescent="0.25">
      <c r="B490" s="67" t="e">
        <f t="shared" si="31"/>
        <v>#REF!</v>
      </c>
      <c r="C490" s="76" t="e">
        <f t="shared" si="32"/>
        <v>#REF!</v>
      </c>
    </row>
    <row r="491" spans="2:3" ht="15.75" customHeight="1" x14ac:dyDescent="0.25">
      <c r="B491" s="67" t="e">
        <f t="shared" si="31"/>
        <v>#REF!</v>
      </c>
      <c r="C491" s="76" t="e">
        <f t="shared" si="32"/>
        <v>#REF!</v>
      </c>
    </row>
    <row r="492" spans="2:3" ht="15.75" customHeight="1" x14ac:dyDescent="0.25">
      <c r="B492" s="67" t="e">
        <f t="shared" si="31"/>
        <v>#REF!</v>
      </c>
      <c r="C492" s="76" t="e">
        <f t="shared" si="32"/>
        <v>#REF!</v>
      </c>
    </row>
    <row r="493" spans="2:3" ht="15.75" customHeight="1" x14ac:dyDescent="0.25">
      <c r="B493" s="67" t="e">
        <f t="shared" si="31"/>
        <v>#REF!</v>
      </c>
      <c r="C493" s="76" t="e">
        <f t="shared" si="32"/>
        <v>#REF!</v>
      </c>
    </row>
    <row r="494" spans="2:3" ht="15.75" customHeight="1" x14ac:dyDescent="0.25">
      <c r="B494" s="67" t="e">
        <f t="shared" si="31"/>
        <v>#REF!</v>
      </c>
      <c r="C494" s="76" t="e">
        <f t="shared" si="32"/>
        <v>#REF!</v>
      </c>
    </row>
    <row r="495" spans="2:3" ht="15.75" customHeight="1" x14ac:dyDescent="0.25">
      <c r="B495" s="67" t="e">
        <f t="shared" si="31"/>
        <v>#REF!</v>
      </c>
      <c r="C495" s="76" t="e">
        <f t="shared" si="32"/>
        <v>#REF!</v>
      </c>
    </row>
    <row r="496" spans="2:3" ht="15.75" customHeight="1" x14ac:dyDescent="0.25">
      <c r="B496" s="67" t="e">
        <f t="shared" si="31"/>
        <v>#REF!</v>
      </c>
      <c r="C496" s="76" t="e">
        <f t="shared" si="32"/>
        <v>#REF!</v>
      </c>
    </row>
    <row r="497" spans="2:3" ht="15.75" customHeight="1" x14ac:dyDescent="0.25">
      <c r="B497" s="67" t="e">
        <f t="shared" si="31"/>
        <v>#REF!</v>
      </c>
      <c r="C497" s="76" t="e">
        <f t="shared" si="32"/>
        <v>#REF!</v>
      </c>
    </row>
    <row r="498" spans="2:3" ht="15.75" customHeight="1" x14ac:dyDescent="0.25">
      <c r="B498" s="67" t="e">
        <f t="shared" si="31"/>
        <v>#REF!</v>
      </c>
      <c r="C498" s="76" t="e">
        <f t="shared" si="32"/>
        <v>#REF!</v>
      </c>
    </row>
    <row r="499" spans="2:3" ht="15.75" customHeight="1" x14ac:dyDescent="0.25">
      <c r="B499" s="67" t="e">
        <f t="shared" si="31"/>
        <v>#REF!</v>
      </c>
      <c r="C499" s="76" t="e">
        <f t="shared" si="32"/>
        <v>#REF!</v>
      </c>
    </row>
    <row r="500" spans="2:3" ht="15.75" customHeight="1" x14ac:dyDescent="0.25">
      <c r="B500" s="67" t="e">
        <f t="shared" si="31"/>
        <v>#REF!</v>
      </c>
      <c r="C500" s="76" t="e">
        <f t="shared" si="32"/>
        <v>#REF!</v>
      </c>
    </row>
    <row r="501" spans="2:3" ht="15.75" customHeight="1" x14ac:dyDescent="0.25">
      <c r="B501" s="67" t="e">
        <f t="shared" si="31"/>
        <v>#REF!</v>
      </c>
      <c r="C501" s="76" t="e">
        <f t="shared" si="32"/>
        <v>#REF!</v>
      </c>
    </row>
    <row r="502" spans="2:3" ht="15.75" customHeight="1" x14ac:dyDescent="0.25">
      <c r="B502" s="67" t="e">
        <f t="shared" si="31"/>
        <v>#REF!</v>
      </c>
      <c r="C502" s="76" t="e">
        <f t="shared" si="32"/>
        <v>#REF!</v>
      </c>
    </row>
    <row r="503" spans="2:3" ht="15.75" customHeight="1" x14ac:dyDescent="0.25">
      <c r="B503" s="67" t="e">
        <f t="shared" si="31"/>
        <v>#REF!</v>
      </c>
      <c r="C503" s="76" t="e">
        <f t="shared" si="32"/>
        <v>#REF!</v>
      </c>
    </row>
    <row r="504" spans="2:3" ht="15.75" customHeight="1" x14ac:dyDescent="0.25">
      <c r="B504" s="67" t="e">
        <f t="shared" si="31"/>
        <v>#REF!</v>
      </c>
      <c r="C504" s="76" t="e">
        <f t="shared" si="32"/>
        <v>#REF!</v>
      </c>
    </row>
    <row r="505" spans="2:3" ht="15.75" customHeight="1" x14ac:dyDescent="0.25">
      <c r="B505" s="67" t="e">
        <f t="shared" si="31"/>
        <v>#REF!</v>
      </c>
      <c r="C505" s="76" t="e">
        <f t="shared" si="32"/>
        <v>#REF!</v>
      </c>
    </row>
    <row r="506" spans="2:3" ht="15.75" customHeight="1" x14ac:dyDescent="0.25">
      <c r="B506" s="67" t="e">
        <f t="shared" si="31"/>
        <v>#REF!</v>
      </c>
      <c r="C506" s="76" t="e">
        <f t="shared" si="32"/>
        <v>#REF!</v>
      </c>
    </row>
    <row r="507" spans="2:3" ht="15.75" customHeight="1" x14ac:dyDescent="0.25">
      <c r="B507" s="67" t="e">
        <f t="shared" si="31"/>
        <v>#REF!</v>
      </c>
      <c r="C507" s="76" t="e">
        <f t="shared" si="32"/>
        <v>#REF!</v>
      </c>
    </row>
    <row r="508" spans="2:3" ht="15.75" customHeight="1" x14ac:dyDescent="0.25">
      <c r="B508" s="67" t="e">
        <f t="shared" si="31"/>
        <v>#REF!</v>
      </c>
      <c r="C508" s="76" t="e">
        <f t="shared" si="32"/>
        <v>#REF!</v>
      </c>
    </row>
    <row r="509" spans="2:3" ht="15.75" customHeight="1" x14ac:dyDescent="0.25">
      <c r="B509" s="67" t="e">
        <f t="shared" si="31"/>
        <v>#REF!</v>
      </c>
      <c r="C509" s="76" t="e">
        <f t="shared" si="32"/>
        <v>#REF!</v>
      </c>
    </row>
    <row r="510" spans="2:3" ht="15.75" customHeight="1" x14ac:dyDescent="0.25">
      <c r="B510" s="67" t="e">
        <f t="shared" si="31"/>
        <v>#REF!</v>
      </c>
      <c r="C510" s="76" t="e">
        <f t="shared" si="32"/>
        <v>#REF!</v>
      </c>
    </row>
    <row r="511" spans="2:3" ht="15.75" customHeight="1" x14ac:dyDescent="0.25">
      <c r="B511" s="67" t="e">
        <f t="shared" si="31"/>
        <v>#REF!</v>
      </c>
      <c r="C511" s="76" t="e">
        <f t="shared" si="32"/>
        <v>#REF!</v>
      </c>
    </row>
    <row r="512" spans="2:3" ht="15.75" customHeight="1" x14ac:dyDescent="0.25">
      <c r="B512" s="67" t="e">
        <f t="shared" si="31"/>
        <v>#REF!</v>
      </c>
      <c r="C512" s="76" t="e">
        <f t="shared" si="32"/>
        <v>#REF!</v>
      </c>
    </row>
  </sheetData>
  <mergeCells count="3">
    <mergeCell ref="A1:K1"/>
    <mergeCell ref="B13:F13"/>
    <mergeCell ref="G13:L13"/>
  </mergeCells>
  <conditionalFormatting sqref="A15:F15 L15 H15:H42 A16:A40">
    <cfRule type="expression" dxfId="23" priority="8">
      <formula>AND(TODAY()&gt;=$B$15,TODAY()&lt;$B$16)</formula>
    </cfRule>
  </conditionalFormatting>
  <conditionalFormatting sqref="B15:B21 B23:B68">
    <cfRule type="cellIs" dxfId="22" priority="5" operator="greaterThan">
      <formula>$C$6</formula>
    </cfRule>
  </conditionalFormatting>
  <conditionalFormatting sqref="B17:B21 B23:B40 A41:C47 A48:L68 G43:L43 F44:L45 E46:L47">
    <cfRule type="expression" dxfId="21" priority="6">
      <formula>AND(TODAY()&gt;=$B17,TODAY()&lt;$B18)</formula>
    </cfRule>
  </conditionalFormatting>
  <conditionalFormatting sqref="B16:F16 G15:G42 I15:I42 C17:C40 E17:E45 D17:D47">
    <cfRule type="expression" dxfId="20" priority="7">
      <formula>AND(TODAY()&gt;=$B15,TODAY()&lt;$B16)</formula>
    </cfRule>
  </conditionalFormatting>
  <conditionalFormatting sqref="C2:C3">
    <cfRule type="expression" dxfId="19" priority="2">
      <formula>AND(TODAY()&gt;=$B$15,TODAY()&lt;$B$16)</formula>
    </cfRule>
  </conditionalFormatting>
  <conditionalFormatting sqref="J15:K42">
    <cfRule type="expression" dxfId="18" priority="1">
      <formula>AND(TODAY()&gt;=$B$15,TODAY()&lt;$B$16)</formula>
    </cfRule>
  </conditionalFormatting>
  <conditionalFormatting sqref="L16:L21 F17:F43 L23:L42">
    <cfRule type="expression" dxfId="17" priority="4">
      <formula>AND(TODAY()&gt;=$B16,TODAY()&lt;$B17)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340B026-2BDC-43AB-B566-FCE883BCD140}">
          <x14:formula1>
            <xm:f>'LEIA-ME'!$C$2:$C$6</xm:f>
          </x14:formula1>
          <xm:sqref>C3</xm:sqref>
        </x14:dataValidation>
        <x14:dataValidation type="list" allowBlank="1" showInputMessage="1" showErrorMessage="1" xr:uid="{37AA72F8-FBE3-41F7-9B19-47A07DA73745}">
          <x14:formula1>
            <xm:f>'LEIA-ME'!$A$2:$A$14</xm:f>
          </x14:formula1>
          <xm:sqref>C2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5753-59BD-4F95-A62B-F317E1277AE7}">
  <sheetPr>
    <tabColor theme="9" tint="-0.499984740745262"/>
  </sheetPr>
  <dimension ref="A1:L512"/>
  <sheetViews>
    <sheetView topLeftCell="A32" workbookViewId="0">
      <selection activeCell="F38" sqref="F38:F41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6" width="12.625" style="59" customWidth="1"/>
    <col min="7" max="11" width="13.875" style="59" customWidth="1"/>
    <col min="12" max="12" width="22.25" style="59" customWidth="1"/>
    <col min="13" max="13" width="34.375" style="59" customWidth="1"/>
    <col min="14" max="16384" width="12.625" style="59"/>
  </cols>
  <sheetData>
    <row r="1" spans="1:12" ht="19.5" x14ac:dyDescent="0.25">
      <c r="A1" s="154" t="s">
        <v>20</v>
      </c>
      <c r="B1" s="167"/>
      <c r="C1" s="167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25">
      <c r="A2" s="68"/>
      <c r="B2" s="119" t="s">
        <v>2542</v>
      </c>
      <c r="C2" s="120" t="s">
        <v>79</v>
      </c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15.75" customHeight="1" x14ac:dyDescent="0.25">
      <c r="A3" s="68"/>
      <c r="B3" s="119" t="s">
        <v>66</v>
      </c>
      <c r="C3" s="120" t="s">
        <v>75</v>
      </c>
      <c r="D3" s="70"/>
      <c r="E3" s="71"/>
      <c r="F3" s="71"/>
      <c r="G3" s="65"/>
      <c r="H3" s="65"/>
      <c r="I3" s="65"/>
      <c r="J3" s="65"/>
      <c r="K3" s="65"/>
      <c r="L3" s="65"/>
    </row>
    <row r="4" spans="1:12" ht="15" customHeight="1" x14ac:dyDescent="0.25">
      <c r="B4" s="121" t="s">
        <v>2494</v>
      </c>
      <c r="C4" s="125">
        <f>COUNTIFS(time, C2,
    release, "*" &amp; C3 &amp; "*")</f>
        <v>21</v>
      </c>
      <c r="D4" s="70" t="s">
        <v>25</v>
      </c>
      <c r="E4" s="71" t="s">
        <v>26</v>
      </c>
      <c r="F4" s="71"/>
      <c r="G4" s="65"/>
      <c r="H4" s="65"/>
      <c r="I4" s="65"/>
      <c r="J4" s="65"/>
      <c r="K4" s="65"/>
      <c r="L4" s="65"/>
    </row>
    <row r="5" spans="1:12" ht="15.75" customHeight="1" x14ac:dyDescent="0.25">
      <c r="B5" s="122" t="s">
        <v>27</v>
      </c>
      <c r="C5" s="107">
        <v>45936</v>
      </c>
      <c r="D5" s="70" t="s">
        <v>28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122" t="s">
        <v>29</v>
      </c>
      <c r="C6" s="107">
        <v>46113</v>
      </c>
      <c r="D6" s="70" t="s">
        <v>30</v>
      </c>
      <c r="E6" s="65"/>
      <c r="F6" s="65"/>
      <c r="G6" s="65"/>
      <c r="H6" s="65"/>
      <c r="I6" s="65"/>
      <c r="J6" s="65"/>
      <c r="K6" s="65"/>
      <c r="L6" s="65"/>
    </row>
    <row r="7" spans="1:12" ht="15.75" customHeight="1" x14ac:dyDescent="0.25">
      <c r="B7" s="119" t="s">
        <v>31</v>
      </c>
      <c r="C7" s="106" cm="1">
        <f t="array" ref="C7">IF(MAX(INDEX(J:J, LARGE(IF(J:J&lt;&gt;"", ROW(J:J)), {1;2;3;4;5;6;7;8})))=0,
  1,
  MAX(INDEX(J:J, LARGE(IF(J:J&lt;&gt;"", ROW(J:J)), {1;2;3;4;5;6;7;8}))))</f>
        <v>5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119" t="s">
        <v>34</v>
      </c>
      <c r="C8" s="106" cm="1">
        <f t="array" ref="C8">IF(MIN(INDEX(J:J, LARGE(IF(J:J&lt;&gt;"", ROW(J:J)), {1;2;3;4;5;6;7;8})))=0,
  1,
  MIN(INDEX(J:J, LARGE(IF(J:J&lt;&gt;"", ROW(J:J)), {1;2;3;4;5;6;7;8}))))</f>
        <v>1</v>
      </c>
      <c r="D8" s="70" t="s">
        <v>32</v>
      </c>
      <c r="E8" s="71" t="s">
        <v>33</v>
      </c>
      <c r="F8" s="71"/>
      <c r="G8" s="65"/>
      <c r="H8" s="65"/>
      <c r="I8" s="65"/>
      <c r="J8" s="65"/>
      <c r="K8" s="65"/>
      <c r="L8" s="65"/>
    </row>
    <row r="9" spans="1:12" ht="15.75" customHeight="1" x14ac:dyDescent="0.25">
      <c r="B9" s="122" t="s">
        <v>35</v>
      </c>
      <c r="C9" s="108">
        <v>5</v>
      </c>
      <c r="D9" s="70" t="s">
        <v>32</v>
      </c>
      <c r="E9" s="65"/>
      <c r="F9" s="65"/>
      <c r="G9" s="65"/>
      <c r="H9" s="65"/>
      <c r="I9" s="65"/>
      <c r="J9" s="65"/>
      <c r="K9" s="65"/>
      <c r="L9" s="65"/>
    </row>
    <row r="10" spans="1:12" ht="15.75" customHeight="1" x14ac:dyDescent="0.25">
      <c r="B10" s="122" t="s">
        <v>36</v>
      </c>
      <c r="C10" s="109">
        <v>7</v>
      </c>
      <c r="D10" s="70" t="s">
        <v>37</v>
      </c>
      <c r="E10" s="65"/>
      <c r="F10" s="65"/>
      <c r="G10" s="65"/>
      <c r="H10" s="65"/>
      <c r="I10" s="65"/>
      <c r="J10" s="65"/>
      <c r="K10" s="65"/>
      <c r="L10" s="65"/>
    </row>
    <row r="11" spans="1:12" ht="15.75" hidden="1" customHeight="1" x14ac:dyDescent="0.25">
      <c r="B11" s="112"/>
      <c r="C11" s="65"/>
      <c r="D11" s="113"/>
      <c r="E11" s="65"/>
      <c r="F11" s="65"/>
      <c r="G11" s="65"/>
      <c r="H11" s="65"/>
      <c r="I11" s="65"/>
      <c r="J11" s="65"/>
      <c r="K11" s="65"/>
      <c r="L11" s="65"/>
    </row>
    <row r="12" spans="1:12" s="39" customFormat="1" ht="40.5" customHeight="1" x14ac:dyDescent="0.45">
      <c r="A12" s="103"/>
      <c r="B12" s="61" t="s">
        <v>38</v>
      </c>
      <c r="C12" s="60" t="s">
        <v>39</v>
      </c>
      <c r="D12" s="60" t="s">
        <v>40</v>
      </c>
      <c r="E12" s="60" t="s">
        <v>41</v>
      </c>
      <c r="F12" s="60" t="s">
        <v>42</v>
      </c>
      <c r="G12" s="60" t="s">
        <v>43</v>
      </c>
      <c r="H12" s="60" t="s">
        <v>44</v>
      </c>
      <c r="I12" s="60" t="s">
        <v>45</v>
      </c>
      <c r="J12" s="60" t="s">
        <v>46</v>
      </c>
      <c r="K12" s="60" t="s">
        <v>47</v>
      </c>
      <c r="L12" s="60" t="s">
        <v>48</v>
      </c>
    </row>
    <row r="13" spans="1:12" ht="19.5" customHeight="1" x14ac:dyDescent="0.25">
      <c r="A13" s="91"/>
      <c r="B13" s="162" t="s">
        <v>49</v>
      </c>
      <c r="C13" s="163"/>
      <c r="D13" s="163"/>
      <c r="E13" s="163"/>
      <c r="F13" s="164"/>
      <c r="G13" s="165" t="s">
        <v>50</v>
      </c>
      <c r="H13" s="166"/>
      <c r="I13" s="166"/>
      <c r="J13" s="166"/>
      <c r="K13" s="166"/>
      <c r="L13" s="166"/>
    </row>
    <row r="14" spans="1:12" ht="31.5" customHeight="1" x14ac:dyDescent="0.25">
      <c r="A14" s="44" t="s">
        <v>51</v>
      </c>
      <c r="B14" s="45" t="s">
        <v>52</v>
      </c>
      <c r="C14" s="46" t="s">
        <v>2495</v>
      </c>
      <c r="D14" s="46" t="s">
        <v>2496</v>
      </c>
      <c r="E14" s="46" t="s">
        <v>55</v>
      </c>
      <c r="F14" s="58" t="s">
        <v>56</v>
      </c>
      <c r="G14" s="47" t="s">
        <v>57</v>
      </c>
      <c r="H14" s="47" t="s">
        <v>58</v>
      </c>
      <c r="I14" s="48" t="s">
        <v>2561</v>
      </c>
      <c r="J14" s="54" t="s">
        <v>60</v>
      </c>
      <c r="K14" s="87" t="s">
        <v>2562</v>
      </c>
      <c r="L14" s="77" t="s">
        <v>62</v>
      </c>
    </row>
    <row r="15" spans="1:12" ht="17.25" customHeight="1" x14ac:dyDescent="0.25">
      <c r="A15" s="73" t="s">
        <v>2543</v>
      </c>
      <c r="B15" s="66">
        <f>C5</f>
        <v>45936</v>
      </c>
      <c r="C15" s="79">
        <f>$C$4</f>
        <v>21</v>
      </c>
      <c r="D15" s="79">
        <f>$C$4</f>
        <v>21</v>
      </c>
      <c r="E15" s="79">
        <f>$C$4</f>
        <v>21</v>
      </c>
      <c r="F15" s="80"/>
      <c r="G15" s="118">
        <f t="shared" ref="G15" si="0">COUNTIFS(dtc, "&gt;=" &amp; INT(B15),
  dtc, "&lt;"  &amp; INT(B15)+1,
  time, $C$2,release, "*" &amp; $C$3 &amp; "*",
  Item, "&lt;&gt;BUG")</f>
        <v>0</v>
      </c>
      <c r="H15" s="118">
        <f t="shared" ref="H15:H39" si="1">COUNTIFS(dtc, "&gt;=" &amp;(INT(B15)+1),dtc,
 "&lt;"  &amp;(INT(B15)+7),time,
 $C$2,release, "*" &amp; $C$3 &amp; "*",Item,
 "&lt;&gt;BUG")</f>
        <v>0</v>
      </c>
      <c r="I15" s="82">
        <f t="shared" ref="I15:I39" si="2">COUNTIFS(time, $C$2,release, "*" &amp; $C$3 &amp; "*",Item,
 "BUG",dtc,
 "&gt;=" &amp; INT(B15),dtc,
 "&lt;"  &amp; INT(B15)+7)</f>
        <v>0</v>
      </c>
      <c r="J15" s="126">
        <f t="shared" ref="J15:J39" si="3">IF(COUNTIFS(time, $C$2, release, "*" &amp; $C$3 &amp; "*", resolvido, "&lt;&gt;" &amp; "", resolvido, "&gt;=" &amp; INT(B15), resolvido, "&lt;" &amp; INT(B15)+7)+K15 &lt; 0,
   0,
   COUNTIFS(time, $C$2, release, "*" &amp; $C$3 &amp; "*", resolvido, "&lt;&gt;" &amp; "", resolvido, "&gt;=" &amp; INT(B15), resolvido, "&lt;" &amp; INT(B15)+7)+K15)</f>
        <v>0</v>
      </c>
      <c r="K15" s="84">
        <f>-COUNTIFS(resolvido, "&gt;=" &amp; INT(B15),resolvido, "&lt;"  &amp; INT(B15)+7,status, "Descartado",time, $C$2,release, "*" &amp; $C$3 &amp; "*")</f>
        <v>0</v>
      </c>
      <c r="L15" s="86"/>
    </row>
    <row r="16" spans="1:12" ht="17.25" customHeight="1" x14ac:dyDescent="0.25">
      <c r="A16" s="73" t="s">
        <v>2544</v>
      </c>
      <c r="B16" s="66">
        <f t="shared" ref="B16:B68" si="4">B15+$C$10</f>
        <v>45943</v>
      </c>
      <c r="C16" s="79">
        <f>IF(OR(C15="",C15=0),"",IF(ISBLANK($J15),IF(C15+$K15-$C$7&lt;=0,IF(AND(C15&gt;0,C15&lt;&gt;""),0,""),C15+$K15-$C$7),IF((C15-$J15)+$K15&lt;=0,IF(AND(C15&gt;0,C15&lt;&gt;""),0,""),(C15-$J15)+$K15)))</f>
        <v>21</v>
      </c>
      <c r="D16" s="79">
        <f>IF(OR(D15="",D15=0),"",IF(ISBLANK($J15),IF(D15+$K15-$C$8&lt;=0,IF(AND(D15&gt;0,D15&lt;&gt;""),0,""),D15+$K15-$C$8),IF((D15-$J15)+$K15&lt;=0,IF(AND(D15&gt;0,D15&lt;&gt;""),0,""),(D15-$J15)+$K15)))</f>
        <v>21</v>
      </c>
      <c r="E16" s="79">
        <f>IF(OR(E15="",E15=0),"",IF(ISBLANK($J15),IF(E15+$K15-$C$9&lt;=0,IF(AND(E15&gt;0,E15&lt;&gt;""),0,""),E15+$K15-$C$9),IF((E15-$J15)+$K15&lt;=0,IF(AND(E15&gt;0,E15&lt;&gt;""),0,""),(E15-$J15)+$K15)))</f>
        <v>21</v>
      </c>
      <c r="F16" s="80">
        <f>IF(J15="","",IF(G15+F15+H15+I15+K15-J15&lt;0,0,G15+F15+H15+I15+K15-J15))</f>
        <v>0</v>
      </c>
      <c r="G16" s="118">
        <f t="shared" ref="G16:G39" si="5">COUNTIFS(dtc, "&gt;=" &amp; INT(B16),
  dtc, "&lt;"  &amp; INT(B16)+1,
  time, $C$2,release, "*" &amp; $C$3 &amp; "*",
  Item, "&lt;&gt;BUG")-COUNTIFS(dtc, "&gt;=" &amp; INT(B16),dtc, "&lt;"  &amp; INT(B16)+7,resolvido, "&gt;=" &amp; INT(B16),resolvido, "&lt;"  &amp; INT(B16)+7,status, "Descartado",time, $C$2,release, "*" &amp; $C$3 &amp; "*")</f>
        <v>0</v>
      </c>
      <c r="H16" s="118">
        <f t="shared" si="1"/>
        <v>0</v>
      </c>
      <c r="I16" s="82">
        <f t="shared" si="2"/>
        <v>0</v>
      </c>
      <c r="J16" s="126">
        <f t="shared" si="3"/>
        <v>0</v>
      </c>
      <c r="K16" s="84">
        <f>COUNTIFS(resolvido, "&gt;=" &amp; INT(B16),resolvido, "&lt;"  &amp; INT(B16)+7,status, "Descartado",time, $C$2,release, "*" &amp; $C$3 &amp; "*")</f>
        <v>0</v>
      </c>
      <c r="L16" s="86"/>
    </row>
    <row r="17" spans="1:12" ht="17.25" customHeight="1" x14ac:dyDescent="0.25">
      <c r="A17" s="73" t="s">
        <v>2545</v>
      </c>
      <c r="B17" s="66">
        <f t="shared" si="4"/>
        <v>45950</v>
      </c>
      <c r="C17" s="79">
        <f t="shared" ref="C17:C40" si="6">IF(OR(C16="",C16=0),"",IF(ISBLANK($J16),IF(C16+$K16-$C$7&lt;=0,IF(AND(C16&gt;0,C16&lt;&gt;""),0,""),C16+$K16-$C$7),IF((C16-$J16)+$K16&lt;=0,IF(AND(C16&gt;0,C16&lt;&gt;""),0,""),(C16-$J16)+$K16)))</f>
        <v>21</v>
      </c>
      <c r="D17" s="79">
        <f t="shared" ref="D17:D47" si="7">IF(OR(D16="",D16=0),"",IF(ISBLANK($J16),IF(D16+$K16-$C$8&lt;=0,IF(AND(D16&gt;0,D16&lt;&gt;""),0,""),D16+$K16-$C$8),IF((D16-$J16)+$K16&lt;=0,IF(AND(D16&gt;0,D16&lt;&gt;""),0,""),(D16-$J16)+$K16)))</f>
        <v>21</v>
      </c>
      <c r="E17" s="79">
        <f t="shared" ref="E17" si="8">IF(OR(E16="",E16=0),"",IF(ISBLANK($J16),IF(E16+$K16-$C$9&lt;=0,IF(AND(E16&gt;0,E16&lt;&gt;""),0,""),E16+$K16-$C$9),IF((E16-$J16)+$K16&lt;=0,IF(AND(E16&gt;0,E16&lt;&gt;""),0,""),(E16-$J16)+$K16)))</f>
        <v>21</v>
      </c>
      <c r="F17" s="80">
        <f t="shared" ref="F17:F28" si="9">IF(J16="","",IF(G16+F16+H16+I16+K16-J16&lt;0,0,G16+F16+H16+I16+K16-J16))</f>
        <v>0</v>
      </c>
      <c r="G17" s="118">
        <f t="shared" si="5"/>
        <v>0</v>
      </c>
      <c r="H17" s="118">
        <f t="shared" si="1"/>
        <v>0</v>
      </c>
      <c r="I17" s="82">
        <f t="shared" si="2"/>
        <v>0</v>
      </c>
      <c r="J17" s="126">
        <f t="shared" si="3"/>
        <v>0</v>
      </c>
      <c r="K17" s="84">
        <f t="shared" ref="K17:K39" si="10">-COUNTIFS(resolvido, "&gt;=" &amp; INT(B17),resolvido, "&lt;"  &amp; INT(B17)+7,status, "Descartado",time, $C$2,release, "*" &amp; $C$3 &amp; "*")</f>
        <v>0</v>
      </c>
      <c r="L17" s="86"/>
    </row>
    <row r="18" spans="1:12" ht="17.25" customHeight="1" x14ac:dyDescent="0.25">
      <c r="A18" s="73" t="s">
        <v>2546</v>
      </c>
      <c r="B18" s="66">
        <f t="shared" si="4"/>
        <v>45957</v>
      </c>
      <c r="C18" s="79">
        <f t="shared" si="6"/>
        <v>21</v>
      </c>
      <c r="D18" s="79">
        <f t="shared" si="7"/>
        <v>21</v>
      </c>
      <c r="E18" s="79">
        <f>IF(OR(E17="",E17=0),"",IF(ISBLANK($J17),IF(E17+$K17-$C$9&lt;=0,IF(AND(E17&gt;0,E17&lt;&gt;""),0,""),E17+$K17-$C$9),IF((E17-$J17)+$K17&lt;=0,IF(AND(E17&gt;0,E17&lt;&gt;""),0,""),(E17-$J17)+$K17)))</f>
        <v>21</v>
      </c>
      <c r="F18" s="80">
        <f t="shared" si="9"/>
        <v>0</v>
      </c>
      <c r="G18" s="118">
        <f t="shared" si="5"/>
        <v>0</v>
      </c>
      <c r="H18" s="118">
        <f t="shared" si="1"/>
        <v>0</v>
      </c>
      <c r="I18" s="82">
        <f t="shared" si="2"/>
        <v>0</v>
      </c>
      <c r="J18" s="126">
        <f t="shared" si="3"/>
        <v>0</v>
      </c>
      <c r="K18" s="84">
        <f t="shared" si="10"/>
        <v>0</v>
      </c>
      <c r="L18" s="111"/>
    </row>
    <row r="19" spans="1:12" ht="17.25" customHeight="1" x14ac:dyDescent="0.25">
      <c r="A19" s="73" t="s">
        <v>2547</v>
      </c>
      <c r="B19" s="66">
        <f t="shared" si="4"/>
        <v>45964</v>
      </c>
      <c r="C19" s="79">
        <f t="shared" si="6"/>
        <v>21</v>
      </c>
      <c r="D19" s="79">
        <f t="shared" si="7"/>
        <v>21</v>
      </c>
      <c r="E19" s="79">
        <f t="shared" ref="E19:E42" si="11">IF(OR(E18="",E18=0),"",IF(ISBLANK($J18),IF(E18+$K18-$C$9&lt;=0,IF(AND(E18&gt;0,E18&lt;&gt;""),0,""),E18+$K18-$C$9),IF((E18-$J18)+$K18&lt;=0,IF(AND(E18&gt;0,E18&lt;&gt;""),0,""),(E18-$J18)+$K18)))</f>
        <v>21</v>
      </c>
      <c r="F19" s="80">
        <f t="shared" si="9"/>
        <v>0</v>
      </c>
      <c r="G19" s="118">
        <f t="shared" si="5"/>
        <v>0</v>
      </c>
      <c r="H19" s="118">
        <f t="shared" si="1"/>
        <v>0</v>
      </c>
      <c r="I19" s="82">
        <f t="shared" si="2"/>
        <v>0</v>
      </c>
      <c r="J19" s="126">
        <f t="shared" si="3"/>
        <v>0</v>
      </c>
      <c r="K19" s="84">
        <f t="shared" si="10"/>
        <v>0</v>
      </c>
      <c r="L19" s="86"/>
    </row>
    <row r="20" spans="1:12" ht="17.25" customHeight="1" x14ac:dyDescent="0.25">
      <c r="A20" s="73" t="s">
        <v>2548</v>
      </c>
      <c r="B20" s="66">
        <f t="shared" si="4"/>
        <v>45971</v>
      </c>
      <c r="C20" s="79">
        <f t="shared" si="6"/>
        <v>21</v>
      </c>
      <c r="D20" s="79">
        <f t="shared" si="7"/>
        <v>21</v>
      </c>
      <c r="E20" s="79">
        <f t="shared" si="11"/>
        <v>21</v>
      </c>
      <c r="F20" s="80">
        <f t="shared" si="9"/>
        <v>0</v>
      </c>
      <c r="G20" s="118">
        <f t="shared" si="5"/>
        <v>0</v>
      </c>
      <c r="H20" s="118">
        <f t="shared" si="1"/>
        <v>0</v>
      </c>
      <c r="I20" s="82">
        <f t="shared" si="2"/>
        <v>0</v>
      </c>
      <c r="J20" s="126">
        <f t="shared" si="3"/>
        <v>0</v>
      </c>
      <c r="K20" s="84">
        <f t="shared" si="10"/>
        <v>0</v>
      </c>
      <c r="L20" s="86"/>
    </row>
    <row r="21" spans="1:12" ht="15.75" customHeight="1" x14ac:dyDescent="0.25">
      <c r="A21" s="73" t="s">
        <v>2549</v>
      </c>
      <c r="B21" s="66">
        <f t="shared" si="4"/>
        <v>45978</v>
      </c>
      <c r="C21" s="79">
        <f t="shared" si="6"/>
        <v>21</v>
      </c>
      <c r="D21" s="79">
        <f t="shared" si="7"/>
        <v>21</v>
      </c>
      <c r="E21" s="79">
        <f t="shared" si="11"/>
        <v>21</v>
      </c>
      <c r="F21" s="80">
        <f t="shared" si="9"/>
        <v>0</v>
      </c>
      <c r="G21" s="118">
        <f t="shared" si="5"/>
        <v>0</v>
      </c>
      <c r="H21" s="118">
        <f t="shared" si="1"/>
        <v>0</v>
      </c>
      <c r="I21" s="82">
        <f t="shared" si="2"/>
        <v>0</v>
      </c>
      <c r="J21" s="126">
        <f t="shared" si="3"/>
        <v>0</v>
      </c>
      <c r="K21" s="84">
        <f t="shared" si="10"/>
        <v>0</v>
      </c>
      <c r="L21" s="86"/>
    </row>
    <row r="22" spans="1:12" ht="15.75" customHeight="1" x14ac:dyDescent="0.25">
      <c r="A22" s="73" t="s">
        <v>2550</v>
      </c>
      <c r="B22" s="66">
        <f t="shared" si="4"/>
        <v>45985</v>
      </c>
      <c r="C22" s="79">
        <f t="shared" si="6"/>
        <v>21</v>
      </c>
      <c r="D22" s="79">
        <f t="shared" si="7"/>
        <v>21</v>
      </c>
      <c r="E22" s="79">
        <f t="shared" si="11"/>
        <v>21</v>
      </c>
      <c r="F22" s="80">
        <f t="shared" si="9"/>
        <v>0</v>
      </c>
      <c r="G22" s="118">
        <f t="shared" si="5"/>
        <v>0</v>
      </c>
      <c r="H22" s="118">
        <f t="shared" si="1"/>
        <v>0</v>
      </c>
      <c r="I22" s="82">
        <f t="shared" si="2"/>
        <v>0</v>
      </c>
      <c r="J22" s="126">
        <f t="shared" si="3"/>
        <v>0</v>
      </c>
      <c r="K22" s="84">
        <f t="shared" si="10"/>
        <v>0</v>
      </c>
      <c r="L22" s="86"/>
    </row>
    <row r="23" spans="1:12" ht="15.75" customHeight="1" x14ac:dyDescent="0.25">
      <c r="A23" s="73" t="s">
        <v>2551</v>
      </c>
      <c r="B23" s="66">
        <f t="shared" si="4"/>
        <v>45992</v>
      </c>
      <c r="C23" s="79">
        <f t="shared" si="6"/>
        <v>21</v>
      </c>
      <c r="D23" s="79">
        <f t="shared" si="7"/>
        <v>21</v>
      </c>
      <c r="E23" s="79">
        <f t="shared" si="11"/>
        <v>21</v>
      </c>
      <c r="F23" s="80">
        <f t="shared" si="9"/>
        <v>0</v>
      </c>
      <c r="G23" s="118">
        <f t="shared" si="5"/>
        <v>0</v>
      </c>
      <c r="H23" s="118">
        <f t="shared" si="1"/>
        <v>0</v>
      </c>
      <c r="I23" s="82">
        <f t="shared" si="2"/>
        <v>0</v>
      </c>
      <c r="J23" s="126">
        <f t="shared" si="3"/>
        <v>0</v>
      </c>
      <c r="K23" s="84">
        <f t="shared" si="10"/>
        <v>0</v>
      </c>
      <c r="L23" s="86"/>
    </row>
    <row r="24" spans="1:12" ht="15.75" customHeight="1" x14ac:dyDescent="0.25">
      <c r="A24" s="73" t="s">
        <v>2552</v>
      </c>
      <c r="B24" s="66">
        <f t="shared" si="4"/>
        <v>45999</v>
      </c>
      <c r="C24" s="79">
        <f t="shared" si="6"/>
        <v>21</v>
      </c>
      <c r="D24" s="79">
        <f t="shared" si="7"/>
        <v>21</v>
      </c>
      <c r="E24" s="79">
        <f t="shared" si="11"/>
        <v>21</v>
      </c>
      <c r="F24" s="80">
        <f t="shared" si="9"/>
        <v>0</v>
      </c>
      <c r="G24" s="118">
        <f t="shared" si="5"/>
        <v>0</v>
      </c>
      <c r="H24" s="118">
        <f t="shared" si="1"/>
        <v>0</v>
      </c>
      <c r="I24" s="82">
        <f t="shared" si="2"/>
        <v>0</v>
      </c>
      <c r="J24" s="126">
        <f t="shared" si="3"/>
        <v>0</v>
      </c>
      <c r="K24" s="84">
        <f t="shared" si="10"/>
        <v>0</v>
      </c>
      <c r="L24" s="86"/>
    </row>
    <row r="25" spans="1:12" ht="15.75" customHeight="1" x14ac:dyDescent="0.25">
      <c r="A25" s="73" t="s">
        <v>2553</v>
      </c>
      <c r="B25" s="66">
        <f t="shared" si="4"/>
        <v>46006</v>
      </c>
      <c r="C25" s="79">
        <f t="shared" si="6"/>
        <v>21</v>
      </c>
      <c r="D25" s="79">
        <f t="shared" si="7"/>
        <v>21</v>
      </c>
      <c r="E25" s="79">
        <f t="shared" si="11"/>
        <v>21</v>
      </c>
      <c r="F25" s="80">
        <f t="shared" si="9"/>
        <v>0</v>
      </c>
      <c r="G25" s="118">
        <f t="shared" si="5"/>
        <v>0</v>
      </c>
      <c r="H25" s="118">
        <f t="shared" si="1"/>
        <v>0</v>
      </c>
      <c r="I25" s="82">
        <f t="shared" si="2"/>
        <v>0</v>
      </c>
      <c r="J25" s="126">
        <f t="shared" si="3"/>
        <v>0</v>
      </c>
      <c r="K25" s="84">
        <f t="shared" si="10"/>
        <v>0</v>
      </c>
      <c r="L25" s="86"/>
    </row>
    <row r="26" spans="1:12" ht="15.75" customHeight="1" x14ac:dyDescent="0.25">
      <c r="A26" s="73" t="s">
        <v>2554</v>
      </c>
      <c r="B26" s="66">
        <f t="shared" si="4"/>
        <v>46013</v>
      </c>
      <c r="C26" s="79">
        <f t="shared" si="6"/>
        <v>21</v>
      </c>
      <c r="D26" s="79">
        <f t="shared" si="7"/>
        <v>21</v>
      </c>
      <c r="E26" s="79">
        <f t="shared" si="11"/>
        <v>21</v>
      </c>
      <c r="F26" s="80">
        <f t="shared" si="9"/>
        <v>0</v>
      </c>
      <c r="G26" s="118">
        <f t="shared" si="5"/>
        <v>0</v>
      </c>
      <c r="H26" s="118">
        <f t="shared" si="1"/>
        <v>0</v>
      </c>
      <c r="I26" s="82">
        <f t="shared" si="2"/>
        <v>0</v>
      </c>
      <c r="J26" s="126">
        <f t="shared" si="3"/>
        <v>0</v>
      </c>
      <c r="K26" s="84">
        <f t="shared" si="10"/>
        <v>0</v>
      </c>
      <c r="L26" s="86"/>
    </row>
    <row r="27" spans="1:12" ht="15.75" customHeight="1" x14ac:dyDescent="0.25">
      <c r="A27" s="73" t="s">
        <v>2555</v>
      </c>
      <c r="B27" s="66">
        <f t="shared" si="4"/>
        <v>46020</v>
      </c>
      <c r="C27" s="79">
        <f t="shared" si="6"/>
        <v>21</v>
      </c>
      <c r="D27" s="79">
        <f t="shared" si="7"/>
        <v>21</v>
      </c>
      <c r="E27" s="79">
        <f t="shared" si="11"/>
        <v>21</v>
      </c>
      <c r="F27" s="80">
        <f t="shared" si="9"/>
        <v>0</v>
      </c>
      <c r="G27" s="118">
        <f t="shared" si="5"/>
        <v>0</v>
      </c>
      <c r="H27" s="118">
        <f t="shared" si="1"/>
        <v>0</v>
      </c>
      <c r="I27" s="82">
        <f t="shared" si="2"/>
        <v>0</v>
      </c>
      <c r="J27" s="126">
        <f t="shared" si="3"/>
        <v>0</v>
      </c>
      <c r="K27" s="84">
        <f t="shared" si="10"/>
        <v>0</v>
      </c>
      <c r="L27" s="86"/>
    </row>
    <row r="28" spans="1:12" ht="15.75" customHeight="1" x14ac:dyDescent="0.25">
      <c r="A28" s="73" t="s">
        <v>2556</v>
      </c>
      <c r="B28" s="66">
        <f t="shared" si="4"/>
        <v>46027</v>
      </c>
      <c r="C28" s="79">
        <f t="shared" si="6"/>
        <v>21</v>
      </c>
      <c r="D28" s="79">
        <f t="shared" si="7"/>
        <v>21</v>
      </c>
      <c r="E28" s="79">
        <f t="shared" si="11"/>
        <v>21</v>
      </c>
      <c r="F28" s="80">
        <f t="shared" si="9"/>
        <v>0</v>
      </c>
      <c r="G28" s="118">
        <f t="shared" si="5"/>
        <v>0</v>
      </c>
      <c r="H28" s="118">
        <f t="shared" si="1"/>
        <v>0</v>
      </c>
      <c r="I28" s="82">
        <f t="shared" si="2"/>
        <v>0</v>
      </c>
      <c r="J28" s="126">
        <f t="shared" si="3"/>
        <v>0</v>
      </c>
      <c r="K28" s="84">
        <f t="shared" si="10"/>
        <v>0</v>
      </c>
      <c r="L28" s="86"/>
    </row>
    <row r="29" spans="1:12" ht="15.75" customHeight="1" x14ac:dyDescent="0.25">
      <c r="A29" s="73" t="s">
        <v>2557</v>
      </c>
      <c r="B29" s="66">
        <f t="shared" si="4"/>
        <v>46034</v>
      </c>
      <c r="C29" s="79">
        <f>IF(OR(C28="",C28=0),"",IF(ISBLANK($J28),IF(C28+$K28-$C$7&lt;=0,IF(AND(C28&gt;0,C28&lt;&gt;""),0,""),C28+$K28-$C$7),IF((C28-$J28)+$K28&lt;=0,IF(AND(C28&gt;0,C28&lt;&gt;""),0,""),(C28-$J28)+$K28)))</f>
        <v>21</v>
      </c>
      <c r="D29" s="79">
        <f t="shared" si="7"/>
        <v>21</v>
      </c>
      <c r="E29" s="79">
        <f t="shared" si="11"/>
        <v>21</v>
      </c>
      <c r="F29" s="80">
        <f t="shared" ref="F29:F68" si="12">IF(J28="","",IF(G28+F28+H28+I28-J28&lt;0,0,G28+F28+H28+I28-J28))</f>
        <v>0</v>
      </c>
      <c r="G29" s="118">
        <f t="shared" si="5"/>
        <v>0</v>
      </c>
      <c r="H29" s="118">
        <f t="shared" si="1"/>
        <v>0</v>
      </c>
      <c r="I29" s="82">
        <f t="shared" si="2"/>
        <v>0</v>
      </c>
      <c r="J29" s="126">
        <f t="shared" si="3"/>
        <v>0</v>
      </c>
      <c r="K29" s="84">
        <f t="shared" si="10"/>
        <v>0</v>
      </c>
      <c r="L29" s="86"/>
    </row>
    <row r="30" spans="1:12" ht="15.75" customHeight="1" x14ac:dyDescent="0.25">
      <c r="A30" s="73" t="s">
        <v>2558</v>
      </c>
      <c r="B30" s="66">
        <f t="shared" si="4"/>
        <v>46041</v>
      </c>
      <c r="C30" s="79">
        <f t="shared" si="6"/>
        <v>21</v>
      </c>
      <c r="D30" s="79">
        <f t="shared" si="7"/>
        <v>21</v>
      </c>
      <c r="E30" s="79">
        <f t="shared" si="11"/>
        <v>21</v>
      </c>
      <c r="F30" s="80">
        <f t="shared" si="12"/>
        <v>0</v>
      </c>
      <c r="G30" s="118">
        <f t="shared" si="5"/>
        <v>0</v>
      </c>
      <c r="H30" s="118">
        <f t="shared" si="1"/>
        <v>0</v>
      </c>
      <c r="I30" s="82">
        <f t="shared" si="2"/>
        <v>0</v>
      </c>
      <c r="J30" s="126">
        <f t="shared" si="3"/>
        <v>0</v>
      </c>
      <c r="K30" s="84">
        <f t="shared" si="10"/>
        <v>0</v>
      </c>
      <c r="L30" s="86"/>
    </row>
    <row r="31" spans="1:12" ht="15.75" customHeight="1" x14ac:dyDescent="0.25">
      <c r="A31" s="73" t="s">
        <v>2559</v>
      </c>
      <c r="B31" s="66">
        <f t="shared" si="4"/>
        <v>46048</v>
      </c>
      <c r="C31" s="79">
        <f t="shared" si="6"/>
        <v>21</v>
      </c>
      <c r="D31" s="79">
        <f t="shared" si="7"/>
        <v>21</v>
      </c>
      <c r="E31" s="79">
        <f>IF(OR(E30="",E30=0),"",IF(ISBLANK($J30),IF(E30+$K30-$C$9&lt;=0,IF(AND(E30&gt;0,E30&lt;&gt;""),0,""),E30+$K30-$C$9),IF((E30-$J30)+$K30&lt;=0,IF(AND(E30&gt;0,E30&lt;&gt;""),0,""),(E30-$J30)+$K30)))</f>
        <v>21</v>
      </c>
      <c r="F31" s="80">
        <f t="shared" si="12"/>
        <v>0</v>
      </c>
      <c r="G31" s="118">
        <f t="shared" si="5"/>
        <v>0</v>
      </c>
      <c r="H31" s="118">
        <f t="shared" si="1"/>
        <v>3</v>
      </c>
      <c r="I31" s="82">
        <f t="shared" si="2"/>
        <v>0</v>
      </c>
      <c r="J31" s="126">
        <f t="shared" si="3"/>
        <v>0</v>
      </c>
      <c r="K31" s="84">
        <f t="shared" si="10"/>
        <v>0</v>
      </c>
      <c r="L31" s="86"/>
    </row>
    <row r="32" spans="1:12" ht="15.75" customHeight="1" x14ac:dyDescent="0.25">
      <c r="A32" s="73" t="s">
        <v>2560</v>
      </c>
      <c r="B32" s="66">
        <f t="shared" si="4"/>
        <v>46055</v>
      </c>
      <c r="C32" s="79">
        <f t="shared" si="6"/>
        <v>21</v>
      </c>
      <c r="D32" s="79">
        <f>IF(OR(D31="",D31=0),"",IF(ISBLANK($J31),IF(D31+$K31-$C$8&lt;=0,IF(AND(D31&gt;0,D31&lt;&gt;""),0,""),D31+$K31-$C$8),IF((D31-$J31)+$K31&lt;=0,IF(AND(D31&gt;0,D31&lt;&gt;""),0,""),(D31-$J31)+$K31)))</f>
        <v>21</v>
      </c>
      <c r="E32" s="79">
        <f t="shared" si="11"/>
        <v>21</v>
      </c>
      <c r="F32" s="80">
        <f t="shared" si="12"/>
        <v>3</v>
      </c>
      <c r="G32" s="118">
        <f t="shared" si="5"/>
        <v>3</v>
      </c>
      <c r="H32" s="118">
        <f t="shared" si="1"/>
        <v>1</v>
      </c>
      <c r="I32" s="82">
        <f t="shared" si="2"/>
        <v>0</v>
      </c>
      <c r="J32" s="126">
        <f t="shared" si="3"/>
        <v>1</v>
      </c>
      <c r="K32" s="84">
        <f t="shared" si="10"/>
        <v>0</v>
      </c>
      <c r="L32" s="86"/>
    </row>
    <row r="33" spans="1:12" ht="15.75" customHeight="1" x14ac:dyDescent="0.25">
      <c r="A33" s="73" t="s">
        <v>2563</v>
      </c>
      <c r="B33" s="66">
        <f t="shared" si="4"/>
        <v>46062</v>
      </c>
      <c r="C33" s="79">
        <f t="shared" si="6"/>
        <v>20</v>
      </c>
      <c r="D33" s="79">
        <f t="shared" si="7"/>
        <v>20</v>
      </c>
      <c r="E33" s="79">
        <f t="shared" si="11"/>
        <v>20</v>
      </c>
      <c r="F33" s="80">
        <f t="shared" si="12"/>
        <v>6</v>
      </c>
      <c r="G33" s="118">
        <f t="shared" si="5"/>
        <v>0</v>
      </c>
      <c r="H33" s="118">
        <f t="shared" si="1"/>
        <v>0</v>
      </c>
      <c r="I33" s="82">
        <f t="shared" si="2"/>
        <v>1</v>
      </c>
      <c r="J33" s="126">
        <f t="shared" si="3"/>
        <v>0</v>
      </c>
      <c r="K33" s="84">
        <f t="shared" si="10"/>
        <v>0</v>
      </c>
      <c r="L33" s="86"/>
    </row>
    <row r="34" spans="1:12" ht="15.75" customHeight="1" x14ac:dyDescent="0.25">
      <c r="A34" s="73" t="s">
        <v>2564</v>
      </c>
      <c r="B34" s="66">
        <f t="shared" si="4"/>
        <v>46069</v>
      </c>
      <c r="C34" s="79">
        <f t="shared" si="6"/>
        <v>20</v>
      </c>
      <c r="D34" s="79">
        <f t="shared" si="7"/>
        <v>20</v>
      </c>
      <c r="E34" s="79">
        <f t="shared" si="11"/>
        <v>20</v>
      </c>
      <c r="F34" s="80">
        <f t="shared" si="12"/>
        <v>7</v>
      </c>
      <c r="G34" s="118">
        <f t="shared" si="5"/>
        <v>0</v>
      </c>
      <c r="H34" s="118">
        <f t="shared" si="1"/>
        <v>2</v>
      </c>
      <c r="I34" s="82">
        <f t="shared" si="2"/>
        <v>0</v>
      </c>
      <c r="J34" s="126">
        <f t="shared" si="3"/>
        <v>4</v>
      </c>
      <c r="K34" s="84">
        <f t="shared" si="10"/>
        <v>0</v>
      </c>
      <c r="L34" s="86"/>
    </row>
    <row r="35" spans="1:12" ht="15.75" customHeight="1" x14ac:dyDescent="0.25">
      <c r="A35" s="73" t="s">
        <v>2565</v>
      </c>
      <c r="B35" s="66">
        <f t="shared" si="4"/>
        <v>46076</v>
      </c>
      <c r="C35" s="79">
        <f t="shared" si="6"/>
        <v>16</v>
      </c>
      <c r="D35" s="79">
        <f t="shared" si="7"/>
        <v>16</v>
      </c>
      <c r="E35" s="79">
        <f t="shared" si="11"/>
        <v>16</v>
      </c>
      <c r="F35" s="80">
        <f t="shared" si="12"/>
        <v>5</v>
      </c>
      <c r="G35" s="118">
        <f t="shared" si="5"/>
        <v>0</v>
      </c>
      <c r="H35" s="118">
        <f t="shared" si="1"/>
        <v>0</v>
      </c>
      <c r="I35" s="82">
        <f t="shared" si="2"/>
        <v>0</v>
      </c>
      <c r="J35" s="126">
        <f t="shared" si="3"/>
        <v>0</v>
      </c>
      <c r="K35" s="84">
        <f t="shared" si="10"/>
        <v>0</v>
      </c>
      <c r="L35" s="86"/>
    </row>
    <row r="36" spans="1:12" ht="15.75" customHeight="1" x14ac:dyDescent="0.25">
      <c r="A36" s="73" t="s">
        <v>2566</v>
      </c>
      <c r="B36" s="66">
        <f t="shared" si="4"/>
        <v>46083</v>
      </c>
      <c r="C36" s="79">
        <f t="shared" si="6"/>
        <v>16</v>
      </c>
      <c r="D36" s="79">
        <f t="shared" si="7"/>
        <v>16</v>
      </c>
      <c r="E36" s="79">
        <f t="shared" si="11"/>
        <v>16</v>
      </c>
      <c r="F36" s="80">
        <f t="shared" si="12"/>
        <v>5</v>
      </c>
      <c r="G36" s="118">
        <f t="shared" si="5"/>
        <v>1</v>
      </c>
      <c r="H36" s="118">
        <f t="shared" si="1"/>
        <v>1</v>
      </c>
      <c r="I36" s="82">
        <f t="shared" si="2"/>
        <v>0</v>
      </c>
      <c r="J36" s="126">
        <f t="shared" si="3"/>
        <v>5</v>
      </c>
      <c r="K36" s="84">
        <f t="shared" si="10"/>
        <v>0</v>
      </c>
      <c r="L36" s="86"/>
    </row>
    <row r="37" spans="1:12" ht="15.75" customHeight="1" x14ac:dyDescent="0.25">
      <c r="A37" s="73" t="s">
        <v>2567</v>
      </c>
      <c r="B37" s="66">
        <f t="shared" si="4"/>
        <v>46090</v>
      </c>
      <c r="C37" s="79">
        <f t="shared" si="6"/>
        <v>11</v>
      </c>
      <c r="D37" s="79">
        <f t="shared" si="7"/>
        <v>11</v>
      </c>
      <c r="E37" s="79">
        <f t="shared" si="11"/>
        <v>11</v>
      </c>
      <c r="F37" s="80">
        <f t="shared" si="12"/>
        <v>2</v>
      </c>
      <c r="G37" s="118">
        <f t="shared" si="5"/>
        <v>1</v>
      </c>
      <c r="H37" s="118">
        <f t="shared" si="1"/>
        <v>0</v>
      </c>
      <c r="I37" s="82">
        <f t="shared" si="2"/>
        <v>0</v>
      </c>
      <c r="J37" s="126">
        <f t="shared" si="3"/>
        <v>0</v>
      </c>
      <c r="K37" s="84">
        <f t="shared" si="10"/>
        <v>-1</v>
      </c>
      <c r="L37" s="86"/>
    </row>
    <row r="38" spans="1:12" ht="15.75" customHeight="1" x14ac:dyDescent="0.25">
      <c r="A38" s="73" t="s">
        <v>2568</v>
      </c>
      <c r="B38" s="66">
        <f t="shared" si="4"/>
        <v>46097</v>
      </c>
      <c r="C38" s="79">
        <f t="shared" si="6"/>
        <v>10</v>
      </c>
      <c r="D38" s="79">
        <f t="shared" si="7"/>
        <v>10</v>
      </c>
      <c r="E38" s="79">
        <f t="shared" si="11"/>
        <v>10</v>
      </c>
      <c r="F38" s="80">
        <f ca="1">IF(TODAY() &lt;B37," ",IF(J37="","",IF(G37+F37+H37+I37-J37&lt;0,0,G37+F37+H37+I37-J37)))</f>
        <v>3</v>
      </c>
      <c r="G38" s="118">
        <f t="shared" si="5"/>
        <v>0</v>
      </c>
      <c r="H38" s="118">
        <f t="shared" si="1"/>
        <v>0</v>
      </c>
      <c r="I38" s="82">
        <f t="shared" si="2"/>
        <v>1</v>
      </c>
      <c r="J38" s="126">
        <f t="shared" si="3"/>
        <v>3</v>
      </c>
      <c r="K38" s="84">
        <f t="shared" si="10"/>
        <v>0</v>
      </c>
      <c r="L38" s="86"/>
    </row>
    <row r="39" spans="1:12" ht="15.75" customHeight="1" x14ac:dyDescent="0.25">
      <c r="A39" s="73" t="s">
        <v>2569</v>
      </c>
      <c r="B39" s="66">
        <f t="shared" si="4"/>
        <v>46104</v>
      </c>
      <c r="C39" s="79">
        <f t="shared" si="6"/>
        <v>7</v>
      </c>
      <c r="D39" s="79">
        <f t="shared" si="7"/>
        <v>7</v>
      </c>
      <c r="E39" s="79">
        <f t="shared" si="11"/>
        <v>7</v>
      </c>
      <c r="F39" s="80">
        <f t="shared" ref="F39:F41" ca="1" si="13">IF(TODAY() &lt;B38," ",IF(J38="","",IF(G38+F38+H38+I38-J38&lt;0,0,G38+F38+H38+I38-J38)))</f>
        <v>1</v>
      </c>
      <c r="G39" s="118">
        <f t="shared" si="5"/>
        <v>3</v>
      </c>
      <c r="H39" s="118">
        <f t="shared" si="1"/>
        <v>1</v>
      </c>
      <c r="I39" s="82">
        <f t="shared" si="2"/>
        <v>0</v>
      </c>
      <c r="J39" s="126">
        <f t="shared" si="3"/>
        <v>0</v>
      </c>
      <c r="K39" s="84">
        <f t="shared" si="10"/>
        <v>0</v>
      </c>
      <c r="L39" s="86"/>
    </row>
    <row r="40" spans="1:12" ht="15.75" customHeight="1" x14ac:dyDescent="0.25">
      <c r="A40" s="73" t="s">
        <v>2570</v>
      </c>
      <c r="B40" s="66">
        <f t="shared" si="4"/>
        <v>46111</v>
      </c>
      <c r="C40" s="79">
        <f t="shared" si="6"/>
        <v>7</v>
      </c>
      <c r="D40" s="79">
        <f t="shared" si="7"/>
        <v>7</v>
      </c>
      <c r="E40" s="79">
        <f t="shared" si="11"/>
        <v>7</v>
      </c>
      <c r="F40" s="80">
        <f t="shared" ca="1" si="13"/>
        <v>5</v>
      </c>
      <c r="G40" s="118"/>
      <c r="H40" s="118"/>
      <c r="I40" s="82"/>
      <c r="J40" s="126"/>
      <c r="K40" s="84"/>
      <c r="L40" s="86"/>
    </row>
    <row r="41" spans="1:12" ht="15.75" customHeight="1" x14ac:dyDescent="0.25">
      <c r="A41" s="73"/>
      <c r="B41" s="66">
        <f t="shared" si="4"/>
        <v>46118</v>
      </c>
      <c r="C41" s="85">
        <f>IF(OR(C40="",C40=0),"",IF(ISBLANK(J40),IF(C40+K40+I40-$C$7&lt;=0,IF(AND(C40&gt;0,C40&lt;&gt;""),0,""),C40+K40+I40-$C$7),IF((C40-J40)+K40+I40&lt;=0,IF(AND(C40&gt;0,C40&lt;&gt;""),0,""),(C40-J40)+K40+I40)))</f>
        <v>2</v>
      </c>
      <c r="D41" s="79">
        <f t="shared" si="7"/>
        <v>6</v>
      </c>
      <c r="E41" s="79">
        <f t="shared" si="11"/>
        <v>2</v>
      </c>
      <c r="F41" s="80" t="str">
        <f t="shared" ca="1" si="13"/>
        <v/>
      </c>
      <c r="G41" s="118"/>
      <c r="H41" s="118"/>
      <c r="I41" s="82"/>
      <c r="J41" s="126"/>
      <c r="K41" s="84"/>
      <c r="L41" s="86"/>
    </row>
    <row r="42" spans="1:12" ht="15.75" customHeight="1" x14ac:dyDescent="0.25">
      <c r="A42" s="73"/>
      <c r="B42" s="66">
        <f t="shared" si="4"/>
        <v>46125</v>
      </c>
      <c r="C42" s="85">
        <f t="shared" ref="C42:C68" si="14">IF(OR(C41="",C41=0),"",IF(ISBLANK(J41),IF(C41+K41+I41-$C$7&lt;=0,IF(AND(C41&gt;0,C41&lt;&gt;""),0,""),C41+K41+I41-$C$7),IF((C41-J41)+K41+I41&lt;=0,IF(AND(C41&gt;0,C41&lt;&gt;""),0,""),(C41-J41)+K41+I41)))</f>
        <v>0</v>
      </c>
      <c r="D42" s="79">
        <f t="shared" si="7"/>
        <v>5</v>
      </c>
      <c r="E42" s="79">
        <f t="shared" si="11"/>
        <v>0</v>
      </c>
      <c r="F42" s="80" t="str">
        <f t="shared" ref="F42:F43" ca="1" si="15">IF(TODAY() &lt;B41," ",IF(J41="","",IF(G41+F41+H41+I41-J41&lt;0,0,G41+F41+H41+I41-J41)))</f>
        <v xml:space="preserve"> </v>
      </c>
      <c r="G42" s="118"/>
      <c r="H42" s="118"/>
      <c r="I42" s="82"/>
      <c r="J42" s="126"/>
      <c r="K42" s="84"/>
      <c r="L42" s="86"/>
    </row>
    <row r="43" spans="1:12" ht="15.75" customHeight="1" x14ac:dyDescent="0.25">
      <c r="A43" s="73"/>
      <c r="B43" s="66">
        <f t="shared" si="4"/>
        <v>46132</v>
      </c>
      <c r="C43" s="85" t="str">
        <f t="shared" si="14"/>
        <v/>
      </c>
      <c r="D43" s="79">
        <f t="shared" si="7"/>
        <v>4</v>
      </c>
      <c r="E43" s="79" t="str">
        <f t="shared" ref="E43:E45" si="16">IF(OR(E42="",E42=0),"",IF(ISBLANK($J42),IF(E42-$K42+$I42-$C$9&lt;=0,IF(AND(E42&gt;0,E42&lt;&gt;""),0,""),E42-$K42+$I42-$C$9),IF((E42-$J42)-$K42+$I42&lt;=0,IF(AND(E42&gt;0,E42&lt;&gt;""),0,""),(E42-$J42)-$K42+$I42)))</f>
        <v/>
      </c>
      <c r="F43" s="80" t="str">
        <f t="shared" ca="1" si="15"/>
        <v xml:space="preserve"> </v>
      </c>
      <c r="G43" s="81"/>
      <c r="H43" s="81"/>
      <c r="I43" s="82"/>
      <c r="J43" s="83"/>
      <c r="K43" s="84"/>
      <c r="L43" s="86"/>
    </row>
    <row r="44" spans="1:12" ht="15.75" customHeight="1" x14ac:dyDescent="0.25">
      <c r="A44" s="73"/>
      <c r="B44" s="66">
        <f t="shared" si="4"/>
        <v>46139</v>
      </c>
      <c r="C44" s="85" t="str">
        <f t="shared" si="14"/>
        <v/>
      </c>
      <c r="D44" s="79">
        <f t="shared" si="7"/>
        <v>3</v>
      </c>
      <c r="E44" s="79" t="str">
        <f t="shared" si="16"/>
        <v/>
      </c>
      <c r="F44" s="80" t="str">
        <f t="shared" si="12"/>
        <v/>
      </c>
      <c r="G44" s="81"/>
      <c r="H44" s="81"/>
      <c r="I44" s="82"/>
      <c r="J44" s="83"/>
      <c r="K44" s="84"/>
      <c r="L44" s="86"/>
    </row>
    <row r="45" spans="1:12" ht="15.75" customHeight="1" x14ac:dyDescent="0.25">
      <c r="A45" s="73"/>
      <c r="B45" s="66">
        <f t="shared" si="4"/>
        <v>46146</v>
      </c>
      <c r="C45" s="85" t="str">
        <f t="shared" si="14"/>
        <v/>
      </c>
      <c r="D45" s="79">
        <f t="shared" si="7"/>
        <v>2</v>
      </c>
      <c r="E45" s="79" t="str">
        <f t="shared" si="16"/>
        <v/>
      </c>
      <c r="F45" s="80" t="str">
        <f t="shared" si="12"/>
        <v/>
      </c>
      <c r="G45" s="81"/>
      <c r="H45" s="81"/>
      <c r="I45" s="82"/>
      <c r="J45" s="83"/>
      <c r="K45" s="84"/>
      <c r="L45" s="86"/>
    </row>
    <row r="46" spans="1:12" ht="15.75" customHeight="1" x14ac:dyDescent="0.25">
      <c r="A46" s="73"/>
      <c r="B46" s="66">
        <f t="shared" si="4"/>
        <v>46153</v>
      </c>
      <c r="C46" s="85" t="str">
        <f t="shared" si="14"/>
        <v/>
      </c>
      <c r="D46" s="79">
        <f t="shared" si="7"/>
        <v>1</v>
      </c>
      <c r="E46" s="85" t="str">
        <f t="shared" ref="E46:E68" si="17">IF(OR(E45="",E45=0),"",IF(ISBLANK($J45),IF(E45+$K45+$I45-$C$9&lt;=0,IF(AND(E45&gt;0,E45&lt;&gt;""),0,""),E45+$K45+$I45-$C$9),IF((E45-$J45)+$K45+$I45&lt;=0,IF(AND(E45&gt;0,E45&lt;&gt;""),0,""),(E45-$J45)+$K45+$I45)))</f>
        <v/>
      </c>
      <c r="F46" s="80" t="str">
        <f t="shared" si="12"/>
        <v/>
      </c>
      <c r="G46" s="81"/>
      <c r="H46" s="81"/>
      <c r="I46" s="82"/>
      <c r="J46" s="83"/>
      <c r="K46" s="84"/>
      <c r="L46" s="86"/>
    </row>
    <row r="47" spans="1:12" ht="15.75" customHeight="1" x14ac:dyDescent="0.25">
      <c r="A47" s="73"/>
      <c r="B47" s="66">
        <f t="shared" si="4"/>
        <v>46160</v>
      </c>
      <c r="C47" s="85" t="str">
        <f t="shared" si="14"/>
        <v/>
      </c>
      <c r="D47" s="79">
        <f t="shared" si="7"/>
        <v>0</v>
      </c>
      <c r="E47" s="85" t="str">
        <f t="shared" si="17"/>
        <v/>
      </c>
      <c r="F47" s="80" t="str">
        <f t="shared" si="12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/>
      <c r="B48" s="66">
        <f t="shared" si="4"/>
        <v>46167</v>
      </c>
      <c r="C48" s="85" t="str">
        <f t="shared" si="14"/>
        <v/>
      </c>
      <c r="D48" s="85" t="str">
        <f t="shared" ref="D48:D68" si="18">IF(OR(D47="",D47=0),"",IF(ISBLANK($J47),IF(D47+$K47+$I47-$C$8&lt;=0,IF(AND(D47&gt;0,D47&lt;&gt;""),0,""),D47+$K47+$I47-$C$8),IF((D47-$J47)+$K47+$I47&lt;=0,IF(AND(D47&gt;0,D47&lt;&gt;""),0,""),(D47-$J47)+$K47+$I47)))</f>
        <v/>
      </c>
      <c r="E48" s="85" t="str">
        <f t="shared" si="17"/>
        <v/>
      </c>
      <c r="F48" s="80" t="str">
        <f t="shared" si="12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4"/>
        <v>46174</v>
      </c>
      <c r="C49" s="85" t="str">
        <f t="shared" si="14"/>
        <v/>
      </c>
      <c r="D49" s="85" t="str">
        <f t="shared" si="18"/>
        <v/>
      </c>
      <c r="E49" s="85" t="str">
        <f t="shared" si="17"/>
        <v/>
      </c>
      <c r="F49" s="80" t="str">
        <f t="shared" si="12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4"/>
        <v>46181</v>
      </c>
      <c r="C50" s="85" t="str">
        <f t="shared" si="14"/>
        <v/>
      </c>
      <c r="D50" s="85" t="str">
        <f t="shared" si="18"/>
        <v/>
      </c>
      <c r="E50" s="85" t="str">
        <f t="shared" si="17"/>
        <v/>
      </c>
      <c r="F50" s="80" t="str">
        <f t="shared" si="12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4"/>
        <v>46188</v>
      </c>
      <c r="C51" s="85" t="str">
        <f t="shared" si="14"/>
        <v/>
      </c>
      <c r="D51" s="85" t="str">
        <f t="shared" si="18"/>
        <v/>
      </c>
      <c r="E51" s="85" t="str">
        <f t="shared" si="17"/>
        <v/>
      </c>
      <c r="F51" s="80" t="str">
        <f t="shared" si="12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4"/>
        <v>46195</v>
      </c>
      <c r="C52" s="85" t="str">
        <f t="shared" si="14"/>
        <v/>
      </c>
      <c r="D52" s="85" t="str">
        <f t="shared" si="18"/>
        <v/>
      </c>
      <c r="E52" s="85" t="str">
        <f t="shared" si="17"/>
        <v/>
      </c>
      <c r="F52" s="80" t="str">
        <f t="shared" si="12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4"/>
        <v>46202</v>
      </c>
      <c r="C53" s="85" t="str">
        <f t="shared" si="14"/>
        <v/>
      </c>
      <c r="D53" s="85" t="str">
        <f t="shared" si="18"/>
        <v/>
      </c>
      <c r="E53" s="85" t="str">
        <f t="shared" si="17"/>
        <v/>
      </c>
      <c r="F53" s="80" t="str">
        <f t="shared" si="12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4"/>
        <v>46209</v>
      </c>
      <c r="C54" s="85" t="str">
        <f t="shared" si="14"/>
        <v/>
      </c>
      <c r="D54" s="85" t="str">
        <f t="shared" si="18"/>
        <v/>
      </c>
      <c r="E54" s="85" t="str">
        <f t="shared" si="17"/>
        <v/>
      </c>
      <c r="F54" s="80" t="str">
        <f t="shared" si="12"/>
        <v/>
      </c>
      <c r="G54" s="81"/>
      <c r="H54" s="81"/>
      <c r="I54" s="82"/>
      <c r="J54" s="83"/>
      <c r="K54" s="84"/>
      <c r="L54" s="86"/>
    </row>
    <row r="55" spans="1:12" ht="15.75" customHeight="1" x14ac:dyDescent="0.25">
      <c r="A55" s="73"/>
      <c r="B55" s="66">
        <f t="shared" si="4"/>
        <v>46216</v>
      </c>
      <c r="C55" s="85" t="str">
        <f t="shared" si="14"/>
        <v/>
      </c>
      <c r="D55" s="85" t="str">
        <f t="shared" si="18"/>
        <v/>
      </c>
      <c r="E55" s="85" t="str">
        <f t="shared" si="17"/>
        <v/>
      </c>
      <c r="F55" s="80" t="str">
        <f t="shared" si="12"/>
        <v/>
      </c>
      <c r="G55" s="81"/>
      <c r="H55" s="81"/>
      <c r="I55" s="82"/>
      <c r="J55" s="83"/>
      <c r="K55" s="84"/>
      <c r="L55" s="86"/>
    </row>
    <row r="56" spans="1:12" ht="15" customHeight="1" x14ac:dyDescent="0.25">
      <c r="A56" s="73"/>
      <c r="B56" s="66">
        <f t="shared" si="4"/>
        <v>46223</v>
      </c>
      <c r="C56" s="85" t="str">
        <f t="shared" si="14"/>
        <v/>
      </c>
      <c r="D56" s="85" t="str">
        <f t="shared" si="18"/>
        <v/>
      </c>
      <c r="E56" s="85" t="str">
        <f t="shared" si="17"/>
        <v/>
      </c>
      <c r="F56" s="80" t="str">
        <f t="shared" si="12"/>
        <v/>
      </c>
      <c r="G56" s="81"/>
      <c r="H56" s="81"/>
      <c r="I56" s="82"/>
      <c r="J56" s="83"/>
      <c r="K56" s="84"/>
      <c r="L56" s="86"/>
    </row>
    <row r="57" spans="1:12" ht="15" customHeight="1" x14ac:dyDescent="0.25">
      <c r="A57" s="73"/>
      <c r="B57" s="66">
        <f t="shared" si="4"/>
        <v>46230</v>
      </c>
      <c r="C57" s="85" t="str">
        <f t="shared" si="14"/>
        <v/>
      </c>
      <c r="D57" s="85" t="str">
        <f t="shared" si="18"/>
        <v/>
      </c>
      <c r="E57" s="85" t="str">
        <f t="shared" si="17"/>
        <v/>
      </c>
      <c r="F57" s="80" t="str">
        <f t="shared" si="12"/>
        <v/>
      </c>
      <c r="G57" s="81"/>
      <c r="H57" s="81"/>
      <c r="I57" s="82"/>
      <c r="J57" s="83"/>
      <c r="K57" s="84"/>
      <c r="L57" s="86"/>
    </row>
    <row r="58" spans="1:12" ht="15" customHeight="1" x14ac:dyDescent="0.25">
      <c r="A58" s="73"/>
      <c r="B58" s="66">
        <f t="shared" si="4"/>
        <v>46237</v>
      </c>
      <c r="C58" s="85" t="str">
        <f t="shared" si="14"/>
        <v/>
      </c>
      <c r="D58" s="85" t="str">
        <f t="shared" si="18"/>
        <v/>
      </c>
      <c r="E58" s="85" t="str">
        <f t="shared" si="17"/>
        <v/>
      </c>
      <c r="F58" s="80" t="str">
        <f t="shared" si="12"/>
        <v/>
      </c>
      <c r="G58" s="81"/>
      <c r="H58" s="81"/>
      <c r="I58" s="82"/>
      <c r="J58" s="83"/>
      <c r="K58" s="84"/>
      <c r="L58" s="86"/>
    </row>
    <row r="59" spans="1:12" ht="15" customHeight="1" x14ac:dyDescent="0.25">
      <c r="A59" s="73"/>
      <c r="B59" s="66">
        <f t="shared" si="4"/>
        <v>46244</v>
      </c>
      <c r="C59" s="85" t="str">
        <f t="shared" si="14"/>
        <v/>
      </c>
      <c r="D59" s="85" t="str">
        <f t="shared" si="18"/>
        <v/>
      </c>
      <c r="E59" s="85" t="str">
        <f t="shared" si="17"/>
        <v/>
      </c>
      <c r="F59" s="80" t="str">
        <f t="shared" si="12"/>
        <v/>
      </c>
      <c r="G59" s="81"/>
      <c r="H59" s="81"/>
      <c r="I59" s="82"/>
      <c r="J59" s="83"/>
      <c r="K59" s="84"/>
      <c r="L59" s="86"/>
    </row>
    <row r="60" spans="1:12" ht="15" customHeight="1" x14ac:dyDescent="0.25">
      <c r="A60" s="73"/>
      <c r="B60" s="66">
        <f t="shared" si="4"/>
        <v>46251</v>
      </c>
      <c r="C60" s="85" t="str">
        <f t="shared" si="14"/>
        <v/>
      </c>
      <c r="D60" s="85" t="str">
        <f t="shared" si="18"/>
        <v/>
      </c>
      <c r="E60" s="85" t="str">
        <f t="shared" si="17"/>
        <v/>
      </c>
      <c r="F60" s="80" t="str">
        <f t="shared" si="12"/>
        <v/>
      </c>
      <c r="G60" s="81"/>
      <c r="H60" s="81"/>
      <c r="I60" s="82"/>
      <c r="J60" s="83"/>
      <c r="K60" s="84"/>
      <c r="L60" s="86"/>
    </row>
    <row r="61" spans="1:12" ht="15" customHeight="1" x14ac:dyDescent="0.25">
      <c r="A61" s="73"/>
      <c r="B61" s="66">
        <f t="shared" si="4"/>
        <v>46258</v>
      </c>
      <c r="C61" s="85" t="str">
        <f t="shared" si="14"/>
        <v/>
      </c>
      <c r="D61" s="85" t="str">
        <f t="shared" si="18"/>
        <v/>
      </c>
      <c r="E61" s="85" t="str">
        <f t="shared" si="17"/>
        <v/>
      </c>
      <c r="F61" s="80" t="str">
        <f t="shared" si="12"/>
        <v/>
      </c>
      <c r="G61" s="81"/>
      <c r="H61" s="81"/>
      <c r="I61" s="82"/>
      <c r="J61" s="83"/>
      <c r="K61" s="84"/>
      <c r="L61" s="86"/>
    </row>
    <row r="62" spans="1:12" ht="15" customHeight="1" x14ac:dyDescent="0.25">
      <c r="A62" s="73"/>
      <c r="B62" s="66">
        <f t="shared" si="4"/>
        <v>46265</v>
      </c>
      <c r="C62" s="85" t="str">
        <f t="shared" si="14"/>
        <v/>
      </c>
      <c r="D62" s="85" t="str">
        <f t="shared" si="18"/>
        <v/>
      </c>
      <c r="E62" s="85" t="str">
        <f t="shared" si="17"/>
        <v/>
      </c>
      <c r="F62" s="80" t="str">
        <f t="shared" si="12"/>
        <v/>
      </c>
      <c r="G62" s="81"/>
      <c r="H62" s="81"/>
      <c r="I62" s="82"/>
      <c r="J62" s="83"/>
      <c r="K62" s="84"/>
      <c r="L62" s="86"/>
    </row>
    <row r="63" spans="1:12" ht="15" customHeight="1" x14ac:dyDescent="0.25">
      <c r="A63" s="73"/>
      <c r="B63" s="66">
        <f t="shared" si="4"/>
        <v>46272</v>
      </c>
      <c r="C63" s="85" t="str">
        <f t="shared" si="14"/>
        <v/>
      </c>
      <c r="D63" s="85" t="str">
        <f t="shared" si="18"/>
        <v/>
      </c>
      <c r="E63" s="85" t="str">
        <f t="shared" si="17"/>
        <v/>
      </c>
      <c r="F63" s="80" t="str">
        <f t="shared" si="12"/>
        <v/>
      </c>
      <c r="G63" s="81"/>
      <c r="H63" s="81"/>
      <c r="I63" s="82"/>
      <c r="J63" s="83"/>
      <c r="K63" s="84"/>
      <c r="L63" s="86"/>
    </row>
    <row r="64" spans="1:12" ht="15" customHeight="1" x14ac:dyDescent="0.25">
      <c r="A64" s="73"/>
      <c r="B64" s="66">
        <f t="shared" si="4"/>
        <v>46279</v>
      </c>
      <c r="C64" s="85" t="str">
        <f t="shared" si="14"/>
        <v/>
      </c>
      <c r="D64" s="85" t="str">
        <f t="shared" si="18"/>
        <v/>
      </c>
      <c r="E64" s="85" t="str">
        <f t="shared" si="17"/>
        <v/>
      </c>
      <c r="F64" s="80" t="str">
        <f t="shared" si="12"/>
        <v/>
      </c>
      <c r="G64" s="81"/>
      <c r="H64" s="81"/>
      <c r="I64" s="82"/>
      <c r="J64" s="83"/>
      <c r="K64" s="84"/>
      <c r="L64" s="86"/>
    </row>
    <row r="65" spans="1:12" ht="15" customHeight="1" x14ac:dyDescent="0.25">
      <c r="A65" s="73"/>
      <c r="B65" s="66">
        <f t="shared" si="4"/>
        <v>46286</v>
      </c>
      <c r="C65" s="85" t="str">
        <f t="shared" si="14"/>
        <v/>
      </c>
      <c r="D65" s="85" t="str">
        <f t="shared" si="18"/>
        <v/>
      </c>
      <c r="E65" s="85" t="str">
        <f t="shared" si="17"/>
        <v/>
      </c>
      <c r="F65" s="80" t="str">
        <f t="shared" si="12"/>
        <v/>
      </c>
      <c r="G65" s="81"/>
      <c r="H65" s="81"/>
      <c r="I65" s="82"/>
      <c r="J65" s="83"/>
      <c r="K65" s="84"/>
      <c r="L65" s="86"/>
    </row>
    <row r="66" spans="1:12" ht="15" customHeight="1" x14ac:dyDescent="0.25">
      <c r="A66" s="73"/>
      <c r="B66" s="66">
        <f t="shared" si="4"/>
        <v>46293</v>
      </c>
      <c r="C66" s="85" t="str">
        <f t="shared" si="14"/>
        <v/>
      </c>
      <c r="D66" s="85" t="str">
        <f t="shared" si="18"/>
        <v/>
      </c>
      <c r="E66" s="85" t="str">
        <f t="shared" si="17"/>
        <v/>
      </c>
      <c r="F66" s="80" t="str">
        <f t="shared" si="12"/>
        <v/>
      </c>
      <c r="G66" s="81"/>
      <c r="H66" s="81"/>
      <c r="I66" s="82"/>
      <c r="J66" s="83"/>
      <c r="K66" s="84"/>
      <c r="L66" s="86"/>
    </row>
    <row r="67" spans="1:12" ht="15" customHeight="1" x14ac:dyDescent="0.25">
      <c r="A67" s="73"/>
      <c r="B67" s="66">
        <f t="shared" si="4"/>
        <v>46300</v>
      </c>
      <c r="C67" s="85" t="str">
        <f t="shared" si="14"/>
        <v/>
      </c>
      <c r="D67" s="85" t="str">
        <f t="shared" si="18"/>
        <v/>
      </c>
      <c r="E67" s="85" t="str">
        <f t="shared" si="17"/>
        <v/>
      </c>
      <c r="F67" s="80" t="str">
        <f t="shared" si="12"/>
        <v/>
      </c>
      <c r="G67" s="81"/>
      <c r="H67" s="81"/>
      <c r="I67" s="82"/>
      <c r="J67" s="83"/>
      <c r="K67" s="84"/>
      <c r="L67" s="86"/>
    </row>
    <row r="68" spans="1:12" ht="15" customHeight="1" x14ac:dyDescent="0.25">
      <c r="A68" s="73"/>
      <c r="B68" s="66">
        <f t="shared" si="4"/>
        <v>46307</v>
      </c>
      <c r="C68" s="85" t="str">
        <f t="shared" si="14"/>
        <v/>
      </c>
      <c r="D68" s="85" t="str">
        <f t="shared" si="18"/>
        <v/>
      </c>
      <c r="E68" s="85" t="str">
        <f t="shared" si="17"/>
        <v/>
      </c>
      <c r="F68" s="80" t="str">
        <f t="shared" si="12"/>
        <v/>
      </c>
      <c r="G68" s="81"/>
      <c r="H68" s="81"/>
      <c r="I68" s="82"/>
      <c r="J68" s="83"/>
      <c r="K68" s="84"/>
      <c r="L68" s="86"/>
    </row>
    <row r="93" spans="2:3" ht="15.75" customHeight="1" x14ac:dyDescent="0.25">
      <c r="B93" s="67" t="e">
        <f>IF(#REF!="","",IF(#REF!+$C$10&lt;=$C$6,#REF!+$C$10,""))</f>
        <v>#REF!</v>
      </c>
      <c r="C93" s="76" t="e">
        <f>IF(B93&lt;&gt;"",#REF!-$C$2/COUNT($B$18:$B$511),"")</f>
        <v>#REF!</v>
      </c>
    </row>
    <row r="94" spans="2:3" ht="15.75" customHeight="1" x14ac:dyDescent="0.25">
      <c r="B94" s="67" t="e">
        <f t="shared" ref="B94:B157" si="19">IF(B93="","",IF(B93+$C$10&lt;=$C$6,B93+$C$10,""))</f>
        <v>#REF!</v>
      </c>
      <c r="C94" s="76" t="e">
        <f t="shared" ref="C94:C157" si="20">IF(B94&lt;&gt;"",C93-$C$2/COUNT($B$18:$B$511),"")</f>
        <v>#REF!</v>
      </c>
    </row>
    <row r="95" spans="2:3" ht="15.75" customHeight="1" x14ac:dyDescent="0.25">
      <c r="B95" s="67" t="e">
        <f t="shared" si="19"/>
        <v>#REF!</v>
      </c>
      <c r="C95" s="76" t="e">
        <f t="shared" si="20"/>
        <v>#REF!</v>
      </c>
    </row>
    <row r="96" spans="2:3" ht="15.75" customHeight="1" x14ac:dyDescent="0.25">
      <c r="B96" s="67" t="e">
        <f t="shared" si="19"/>
        <v>#REF!</v>
      </c>
      <c r="C96" s="76" t="e">
        <f t="shared" si="20"/>
        <v>#REF!</v>
      </c>
    </row>
    <row r="97" spans="2:3" ht="15.75" customHeight="1" x14ac:dyDescent="0.25">
      <c r="B97" s="67" t="e">
        <f t="shared" si="19"/>
        <v>#REF!</v>
      </c>
      <c r="C97" s="76" t="e">
        <f t="shared" si="20"/>
        <v>#REF!</v>
      </c>
    </row>
    <row r="98" spans="2:3" ht="15.75" customHeight="1" x14ac:dyDescent="0.25">
      <c r="B98" s="67" t="e">
        <f t="shared" si="19"/>
        <v>#REF!</v>
      </c>
      <c r="C98" s="76" t="e">
        <f t="shared" si="20"/>
        <v>#REF!</v>
      </c>
    </row>
    <row r="99" spans="2:3" ht="15.75" customHeight="1" x14ac:dyDescent="0.25">
      <c r="B99" s="67" t="e">
        <f t="shared" si="19"/>
        <v>#REF!</v>
      </c>
      <c r="C99" s="76" t="e">
        <f t="shared" si="20"/>
        <v>#REF!</v>
      </c>
    </row>
    <row r="100" spans="2:3" ht="15.75" customHeight="1" x14ac:dyDescent="0.25">
      <c r="B100" s="67" t="e">
        <f t="shared" si="19"/>
        <v>#REF!</v>
      </c>
      <c r="C100" s="76" t="e">
        <f t="shared" si="20"/>
        <v>#REF!</v>
      </c>
    </row>
    <row r="101" spans="2:3" ht="15.75" customHeight="1" x14ac:dyDescent="0.25">
      <c r="B101" s="67" t="e">
        <f t="shared" si="19"/>
        <v>#REF!</v>
      </c>
      <c r="C101" s="76" t="e">
        <f t="shared" si="20"/>
        <v>#REF!</v>
      </c>
    </row>
    <row r="102" spans="2:3" ht="15.75" customHeight="1" x14ac:dyDescent="0.25">
      <c r="B102" s="67" t="e">
        <f t="shared" si="19"/>
        <v>#REF!</v>
      </c>
      <c r="C102" s="76" t="e">
        <f t="shared" si="20"/>
        <v>#REF!</v>
      </c>
    </row>
    <row r="103" spans="2:3" ht="15.75" customHeight="1" x14ac:dyDescent="0.25">
      <c r="B103" s="67" t="e">
        <f t="shared" si="19"/>
        <v>#REF!</v>
      </c>
      <c r="C103" s="76" t="e">
        <f t="shared" si="20"/>
        <v>#REF!</v>
      </c>
    </row>
    <row r="104" spans="2:3" ht="15.75" customHeight="1" x14ac:dyDescent="0.25">
      <c r="B104" s="67" t="e">
        <f t="shared" si="19"/>
        <v>#REF!</v>
      </c>
      <c r="C104" s="76" t="e">
        <f t="shared" si="20"/>
        <v>#REF!</v>
      </c>
    </row>
    <row r="105" spans="2:3" ht="15.75" customHeight="1" x14ac:dyDescent="0.25">
      <c r="B105" s="67" t="e">
        <f t="shared" si="19"/>
        <v>#REF!</v>
      </c>
      <c r="C105" s="76" t="e">
        <f t="shared" si="20"/>
        <v>#REF!</v>
      </c>
    </row>
    <row r="106" spans="2:3" ht="15.75" customHeight="1" x14ac:dyDescent="0.25">
      <c r="B106" s="67" t="e">
        <f t="shared" si="19"/>
        <v>#REF!</v>
      </c>
      <c r="C106" s="76" t="e">
        <f t="shared" si="20"/>
        <v>#REF!</v>
      </c>
    </row>
    <row r="107" spans="2:3" ht="15.75" customHeight="1" x14ac:dyDescent="0.25">
      <c r="B107" s="67" t="e">
        <f t="shared" si="19"/>
        <v>#REF!</v>
      </c>
      <c r="C107" s="76" t="e">
        <f t="shared" si="20"/>
        <v>#REF!</v>
      </c>
    </row>
    <row r="108" spans="2:3" ht="15.75" customHeight="1" x14ac:dyDescent="0.25">
      <c r="B108" s="67" t="e">
        <f t="shared" si="19"/>
        <v>#REF!</v>
      </c>
      <c r="C108" s="76" t="e">
        <f t="shared" si="20"/>
        <v>#REF!</v>
      </c>
    </row>
    <row r="109" spans="2:3" ht="15.75" customHeight="1" x14ac:dyDescent="0.25">
      <c r="B109" s="67" t="e">
        <f t="shared" si="19"/>
        <v>#REF!</v>
      </c>
      <c r="C109" s="76" t="e">
        <f t="shared" si="20"/>
        <v>#REF!</v>
      </c>
    </row>
    <row r="110" spans="2:3" ht="15.75" customHeight="1" x14ac:dyDescent="0.25">
      <c r="B110" s="67" t="e">
        <f t="shared" si="19"/>
        <v>#REF!</v>
      </c>
      <c r="C110" s="76" t="e">
        <f t="shared" si="20"/>
        <v>#REF!</v>
      </c>
    </row>
    <row r="111" spans="2:3" ht="15.75" customHeight="1" x14ac:dyDescent="0.25">
      <c r="B111" s="67" t="e">
        <f t="shared" si="19"/>
        <v>#REF!</v>
      </c>
      <c r="C111" s="76" t="e">
        <f t="shared" si="20"/>
        <v>#REF!</v>
      </c>
    </row>
    <row r="112" spans="2:3" ht="15.75" customHeight="1" x14ac:dyDescent="0.25">
      <c r="B112" s="67" t="e">
        <f t="shared" si="19"/>
        <v>#REF!</v>
      </c>
      <c r="C112" s="76" t="e">
        <f t="shared" si="20"/>
        <v>#REF!</v>
      </c>
    </row>
    <row r="113" spans="2:3" ht="15.75" customHeight="1" x14ac:dyDescent="0.25">
      <c r="B113" s="67" t="e">
        <f t="shared" si="19"/>
        <v>#REF!</v>
      </c>
      <c r="C113" s="76" t="e">
        <f t="shared" si="20"/>
        <v>#REF!</v>
      </c>
    </row>
    <row r="114" spans="2:3" ht="15.75" customHeight="1" x14ac:dyDescent="0.25">
      <c r="B114" s="67" t="e">
        <f t="shared" si="19"/>
        <v>#REF!</v>
      </c>
      <c r="C114" s="76" t="e">
        <f t="shared" si="20"/>
        <v>#REF!</v>
      </c>
    </row>
    <row r="115" spans="2:3" ht="15.75" customHeight="1" x14ac:dyDescent="0.25">
      <c r="B115" s="67" t="e">
        <f t="shared" si="19"/>
        <v>#REF!</v>
      </c>
      <c r="C115" s="76" t="e">
        <f t="shared" si="20"/>
        <v>#REF!</v>
      </c>
    </row>
    <row r="116" spans="2:3" ht="15.75" customHeight="1" x14ac:dyDescent="0.25">
      <c r="B116" s="67" t="e">
        <f t="shared" si="19"/>
        <v>#REF!</v>
      </c>
      <c r="C116" s="76" t="e">
        <f t="shared" si="20"/>
        <v>#REF!</v>
      </c>
    </row>
    <row r="117" spans="2:3" ht="15.75" customHeight="1" x14ac:dyDescent="0.25">
      <c r="B117" s="67" t="e">
        <f t="shared" si="19"/>
        <v>#REF!</v>
      </c>
      <c r="C117" s="76" t="e">
        <f t="shared" si="20"/>
        <v>#REF!</v>
      </c>
    </row>
    <row r="118" spans="2:3" ht="15.75" customHeight="1" x14ac:dyDescent="0.25">
      <c r="B118" s="67" t="e">
        <f t="shared" si="19"/>
        <v>#REF!</v>
      </c>
      <c r="C118" s="76" t="e">
        <f t="shared" si="20"/>
        <v>#REF!</v>
      </c>
    </row>
    <row r="119" spans="2:3" ht="15.75" customHeight="1" x14ac:dyDescent="0.25">
      <c r="B119" s="67" t="e">
        <f t="shared" si="19"/>
        <v>#REF!</v>
      </c>
      <c r="C119" s="76" t="e">
        <f t="shared" si="20"/>
        <v>#REF!</v>
      </c>
    </row>
    <row r="120" spans="2:3" ht="15.75" customHeight="1" x14ac:dyDescent="0.25">
      <c r="B120" s="67" t="e">
        <f t="shared" si="19"/>
        <v>#REF!</v>
      </c>
      <c r="C120" s="76" t="e">
        <f t="shared" si="20"/>
        <v>#REF!</v>
      </c>
    </row>
    <row r="121" spans="2:3" ht="15.75" customHeight="1" x14ac:dyDescent="0.25">
      <c r="B121" s="67" t="e">
        <f t="shared" si="19"/>
        <v>#REF!</v>
      </c>
      <c r="C121" s="76" t="e">
        <f t="shared" si="20"/>
        <v>#REF!</v>
      </c>
    </row>
    <row r="122" spans="2:3" ht="15.75" customHeight="1" x14ac:dyDescent="0.25">
      <c r="B122" s="67" t="e">
        <f t="shared" si="19"/>
        <v>#REF!</v>
      </c>
      <c r="C122" s="76" t="e">
        <f t="shared" si="20"/>
        <v>#REF!</v>
      </c>
    </row>
    <row r="123" spans="2:3" ht="15.75" customHeight="1" x14ac:dyDescent="0.25">
      <c r="B123" s="67" t="e">
        <f t="shared" si="19"/>
        <v>#REF!</v>
      </c>
      <c r="C123" s="76" t="e">
        <f t="shared" si="20"/>
        <v>#REF!</v>
      </c>
    </row>
    <row r="124" spans="2:3" ht="15.75" customHeight="1" x14ac:dyDescent="0.25">
      <c r="B124" s="67" t="e">
        <f t="shared" si="19"/>
        <v>#REF!</v>
      </c>
      <c r="C124" s="76" t="e">
        <f t="shared" si="20"/>
        <v>#REF!</v>
      </c>
    </row>
    <row r="125" spans="2:3" ht="15.75" customHeight="1" x14ac:dyDescent="0.25">
      <c r="B125" s="67" t="e">
        <f t="shared" si="19"/>
        <v>#REF!</v>
      </c>
      <c r="C125" s="76" t="e">
        <f t="shared" si="20"/>
        <v>#REF!</v>
      </c>
    </row>
    <row r="126" spans="2:3" ht="15.75" customHeight="1" x14ac:dyDescent="0.25">
      <c r="B126" s="67" t="e">
        <f t="shared" si="19"/>
        <v>#REF!</v>
      </c>
      <c r="C126" s="76" t="e">
        <f t="shared" si="20"/>
        <v>#REF!</v>
      </c>
    </row>
    <row r="127" spans="2:3" ht="15.75" customHeight="1" x14ac:dyDescent="0.25">
      <c r="B127" s="67" t="e">
        <f t="shared" si="19"/>
        <v>#REF!</v>
      </c>
      <c r="C127" s="76" t="e">
        <f t="shared" si="20"/>
        <v>#REF!</v>
      </c>
    </row>
    <row r="128" spans="2:3" ht="15.75" customHeight="1" x14ac:dyDescent="0.25">
      <c r="B128" s="67" t="e">
        <f t="shared" si="19"/>
        <v>#REF!</v>
      </c>
      <c r="C128" s="76" t="e">
        <f t="shared" si="20"/>
        <v>#REF!</v>
      </c>
    </row>
    <row r="129" spans="2:3" ht="15.75" customHeight="1" x14ac:dyDescent="0.25">
      <c r="B129" s="67" t="e">
        <f t="shared" si="19"/>
        <v>#REF!</v>
      </c>
      <c r="C129" s="76" t="e">
        <f t="shared" si="20"/>
        <v>#REF!</v>
      </c>
    </row>
    <row r="130" spans="2:3" ht="15.75" customHeight="1" x14ac:dyDescent="0.25">
      <c r="B130" s="67" t="e">
        <f t="shared" si="19"/>
        <v>#REF!</v>
      </c>
      <c r="C130" s="76" t="e">
        <f t="shared" si="20"/>
        <v>#REF!</v>
      </c>
    </row>
    <row r="131" spans="2:3" ht="15.75" customHeight="1" x14ac:dyDescent="0.25">
      <c r="B131" s="67" t="e">
        <f t="shared" si="19"/>
        <v>#REF!</v>
      </c>
      <c r="C131" s="76" t="e">
        <f t="shared" si="20"/>
        <v>#REF!</v>
      </c>
    </row>
    <row r="132" spans="2:3" ht="15.75" customHeight="1" x14ac:dyDescent="0.25">
      <c r="B132" s="67" t="e">
        <f t="shared" si="19"/>
        <v>#REF!</v>
      </c>
      <c r="C132" s="76" t="e">
        <f t="shared" si="20"/>
        <v>#REF!</v>
      </c>
    </row>
    <row r="133" spans="2:3" ht="15.75" customHeight="1" x14ac:dyDescent="0.25">
      <c r="B133" s="67" t="e">
        <f t="shared" si="19"/>
        <v>#REF!</v>
      </c>
      <c r="C133" s="76" t="e">
        <f t="shared" si="20"/>
        <v>#REF!</v>
      </c>
    </row>
    <row r="134" spans="2:3" ht="15.75" customHeight="1" x14ac:dyDescent="0.25">
      <c r="B134" s="67" t="e">
        <f t="shared" si="19"/>
        <v>#REF!</v>
      </c>
      <c r="C134" s="76" t="e">
        <f t="shared" si="20"/>
        <v>#REF!</v>
      </c>
    </row>
    <row r="135" spans="2:3" ht="15.75" customHeight="1" x14ac:dyDescent="0.25">
      <c r="B135" s="67" t="e">
        <f t="shared" si="19"/>
        <v>#REF!</v>
      </c>
      <c r="C135" s="76" t="e">
        <f t="shared" si="20"/>
        <v>#REF!</v>
      </c>
    </row>
    <row r="136" spans="2:3" ht="15.75" customHeight="1" x14ac:dyDescent="0.25">
      <c r="B136" s="67" t="e">
        <f t="shared" si="19"/>
        <v>#REF!</v>
      </c>
      <c r="C136" s="76" t="e">
        <f t="shared" si="20"/>
        <v>#REF!</v>
      </c>
    </row>
    <row r="137" spans="2:3" ht="15.75" customHeight="1" x14ac:dyDescent="0.25">
      <c r="B137" s="67" t="e">
        <f t="shared" si="19"/>
        <v>#REF!</v>
      </c>
      <c r="C137" s="76" t="e">
        <f t="shared" si="20"/>
        <v>#REF!</v>
      </c>
    </row>
    <row r="138" spans="2:3" ht="15.75" customHeight="1" x14ac:dyDescent="0.25">
      <c r="B138" s="67" t="e">
        <f t="shared" si="19"/>
        <v>#REF!</v>
      </c>
      <c r="C138" s="76" t="e">
        <f t="shared" si="20"/>
        <v>#REF!</v>
      </c>
    </row>
    <row r="139" spans="2:3" ht="15.75" customHeight="1" x14ac:dyDescent="0.25">
      <c r="B139" s="67" t="e">
        <f t="shared" si="19"/>
        <v>#REF!</v>
      </c>
      <c r="C139" s="76" t="e">
        <f t="shared" si="20"/>
        <v>#REF!</v>
      </c>
    </row>
    <row r="140" spans="2:3" ht="15.75" customHeight="1" x14ac:dyDescent="0.25">
      <c r="B140" s="67" t="e">
        <f t="shared" si="19"/>
        <v>#REF!</v>
      </c>
      <c r="C140" s="76" t="e">
        <f t="shared" si="20"/>
        <v>#REF!</v>
      </c>
    </row>
    <row r="141" spans="2:3" ht="15.75" customHeight="1" x14ac:dyDescent="0.25">
      <c r="B141" s="67" t="e">
        <f t="shared" si="19"/>
        <v>#REF!</v>
      </c>
      <c r="C141" s="76" t="e">
        <f t="shared" si="20"/>
        <v>#REF!</v>
      </c>
    </row>
    <row r="142" spans="2:3" ht="15.75" customHeight="1" x14ac:dyDescent="0.25">
      <c r="B142" s="67" t="e">
        <f t="shared" si="19"/>
        <v>#REF!</v>
      </c>
      <c r="C142" s="76" t="e">
        <f t="shared" si="20"/>
        <v>#REF!</v>
      </c>
    </row>
    <row r="143" spans="2:3" ht="15.75" customHeight="1" x14ac:dyDescent="0.25">
      <c r="B143" s="67" t="e">
        <f t="shared" si="19"/>
        <v>#REF!</v>
      </c>
      <c r="C143" s="76" t="e">
        <f t="shared" si="20"/>
        <v>#REF!</v>
      </c>
    </row>
    <row r="144" spans="2:3" ht="15.75" customHeight="1" x14ac:dyDescent="0.25">
      <c r="B144" s="67" t="e">
        <f t="shared" si="19"/>
        <v>#REF!</v>
      </c>
      <c r="C144" s="76" t="e">
        <f t="shared" si="20"/>
        <v>#REF!</v>
      </c>
    </row>
    <row r="145" spans="2:3" ht="15.75" customHeight="1" x14ac:dyDescent="0.25">
      <c r="B145" s="67" t="e">
        <f t="shared" si="19"/>
        <v>#REF!</v>
      </c>
      <c r="C145" s="76" t="e">
        <f t="shared" si="20"/>
        <v>#REF!</v>
      </c>
    </row>
    <row r="146" spans="2:3" ht="15.75" customHeight="1" x14ac:dyDescent="0.25">
      <c r="B146" s="67" t="e">
        <f t="shared" si="19"/>
        <v>#REF!</v>
      </c>
      <c r="C146" s="76" t="e">
        <f t="shared" si="20"/>
        <v>#REF!</v>
      </c>
    </row>
    <row r="147" spans="2:3" ht="15.75" customHeight="1" x14ac:dyDescent="0.25">
      <c r="B147" s="67" t="e">
        <f t="shared" si="19"/>
        <v>#REF!</v>
      </c>
      <c r="C147" s="76" t="e">
        <f t="shared" si="20"/>
        <v>#REF!</v>
      </c>
    </row>
    <row r="148" spans="2:3" ht="15.75" customHeight="1" x14ac:dyDescent="0.25">
      <c r="B148" s="67" t="e">
        <f t="shared" si="19"/>
        <v>#REF!</v>
      </c>
      <c r="C148" s="76" t="e">
        <f t="shared" si="20"/>
        <v>#REF!</v>
      </c>
    </row>
    <row r="149" spans="2:3" ht="15.75" customHeight="1" x14ac:dyDescent="0.25">
      <c r="B149" s="67" t="e">
        <f t="shared" si="19"/>
        <v>#REF!</v>
      </c>
      <c r="C149" s="76" t="e">
        <f t="shared" si="20"/>
        <v>#REF!</v>
      </c>
    </row>
    <row r="150" spans="2:3" ht="15.75" customHeight="1" x14ac:dyDescent="0.25">
      <c r="B150" s="67" t="e">
        <f t="shared" si="19"/>
        <v>#REF!</v>
      </c>
      <c r="C150" s="76" t="e">
        <f t="shared" si="20"/>
        <v>#REF!</v>
      </c>
    </row>
    <row r="151" spans="2:3" ht="15.75" customHeight="1" x14ac:dyDescent="0.25">
      <c r="B151" s="67" t="e">
        <f t="shared" si="19"/>
        <v>#REF!</v>
      </c>
      <c r="C151" s="76" t="e">
        <f t="shared" si="20"/>
        <v>#REF!</v>
      </c>
    </row>
    <row r="152" spans="2:3" ht="15.75" customHeight="1" x14ac:dyDescent="0.25">
      <c r="B152" s="67" t="e">
        <f t="shared" si="19"/>
        <v>#REF!</v>
      </c>
      <c r="C152" s="76" t="e">
        <f t="shared" si="20"/>
        <v>#REF!</v>
      </c>
    </row>
    <row r="153" spans="2:3" ht="15.75" customHeight="1" x14ac:dyDescent="0.25">
      <c r="B153" s="67" t="e">
        <f t="shared" si="19"/>
        <v>#REF!</v>
      </c>
      <c r="C153" s="76" t="e">
        <f t="shared" si="20"/>
        <v>#REF!</v>
      </c>
    </row>
    <row r="154" spans="2:3" ht="15.75" customHeight="1" x14ac:dyDescent="0.25">
      <c r="B154" s="67" t="e">
        <f t="shared" si="19"/>
        <v>#REF!</v>
      </c>
      <c r="C154" s="76" t="e">
        <f t="shared" si="20"/>
        <v>#REF!</v>
      </c>
    </row>
    <row r="155" spans="2:3" ht="15.75" customHeight="1" x14ac:dyDescent="0.25">
      <c r="B155" s="67" t="e">
        <f t="shared" si="19"/>
        <v>#REF!</v>
      </c>
      <c r="C155" s="76" t="e">
        <f t="shared" si="20"/>
        <v>#REF!</v>
      </c>
    </row>
    <row r="156" spans="2:3" ht="15.75" customHeight="1" x14ac:dyDescent="0.25">
      <c r="B156" s="67" t="e">
        <f t="shared" si="19"/>
        <v>#REF!</v>
      </c>
      <c r="C156" s="76" t="e">
        <f t="shared" si="20"/>
        <v>#REF!</v>
      </c>
    </row>
    <row r="157" spans="2:3" ht="15.75" customHeight="1" x14ac:dyDescent="0.25">
      <c r="B157" s="67" t="e">
        <f t="shared" si="19"/>
        <v>#REF!</v>
      </c>
      <c r="C157" s="76" t="e">
        <f t="shared" si="20"/>
        <v>#REF!</v>
      </c>
    </row>
    <row r="158" spans="2:3" ht="15.75" customHeight="1" x14ac:dyDescent="0.25">
      <c r="B158" s="67" t="e">
        <f t="shared" ref="B158:B221" si="21">IF(B157="","",IF(B157+$C$10&lt;=$C$6,B157+$C$10,""))</f>
        <v>#REF!</v>
      </c>
      <c r="C158" s="76" t="e">
        <f t="shared" ref="C158:C221" si="22">IF(B158&lt;&gt;"",C157-$C$2/COUNT($B$18:$B$511),"")</f>
        <v>#REF!</v>
      </c>
    </row>
    <row r="159" spans="2:3" ht="15.75" customHeight="1" x14ac:dyDescent="0.25">
      <c r="B159" s="67" t="e">
        <f t="shared" si="21"/>
        <v>#REF!</v>
      </c>
      <c r="C159" s="76" t="e">
        <f t="shared" si="22"/>
        <v>#REF!</v>
      </c>
    </row>
    <row r="160" spans="2:3" ht="15.75" customHeight="1" x14ac:dyDescent="0.25">
      <c r="B160" s="67" t="e">
        <f t="shared" si="21"/>
        <v>#REF!</v>
      </c>
      <c r="C160" s="76" t="e">
        <f t="shared" si="22"/>
        <v>#REF!</v>
      </c>
    </row>
    <row r="161" spans="2:3" ht="15.75" customHeight="1" x14ac:dyDescent="0.25">
      <c r="B161" s="67" t="e">
        <f t="shared" si="21"/>
        <v>#REF!</v>
      </c>
      <c r="C161" s="76" t="e">
        <f t="shared" si="22"/>
        <v>#REF!</v>
      </c>
    </row>
    <row r="162" spans="2:3" ht="15.75" customHeight="1" x14ac:dyDescent="0.25">
      <c r="B162" s="67" t="e">
        <f t="shared" si="21"/>
        <v>#REF!</v>
      </c>
      <c r="C162" s="76" t="e">
        <f t="shared" si="22"/>
        <v>#REF!</v>
      </c>
    </row>
    <row r="163" spans="2:3" ht="15.75" customHeight="1" x14ac:dyDescent="0.25">
      <c r="B163" s="67" t="e">
        <f t="shared" si="21"/>
        <v>#REF!</v>
      </c>
      <c r="C163" s="76" t="e">
        <f t="shared" si="22"/>
        <v>#REF!</v>
      </c>
    </row>
    <row r="164" spans="2:3" ht="15.75" customHeight="1" x14ac:dyDescent="0.25">
      <c r="B164" s="67" t="e">
        <f t="shared" si="21"/>
        <v>#REF!</v>
      </c>
      <c r="C164" s="76" t="e">
        <f t="shared" si="22"/>
        <v>#REF!</v>
      </c>
    </row>
    <row r="165" spans="2:3" ht="15.75" customHeight="1" x14ac:dyDescent="0.25">
      <c r="B165" s="67" t="e">
        <f t="shared" si="21"/>
        <v>#REF!</v>
      </c>
      <c r="C165" s="76" t="e">
        <f t="shared" si="22"/>
        <v>#REF!</v>
      </c>
    </row>
    <row r="166" spans="2:3" ht="15.75" customHeight="1" x14ac:dyDescent="0.25">
      <c r="B166" s="67" t="e">
        <f t="shared" si="21"/>
        <v>#REF!</v>
      </c>
      <c r="C166" s="76" t="e">
        <f t="shared" si="22"/>
        <v>#REF!</v>
      </c>
    </row>
    <row r="167" spans="2:3" ht="15.75" customHeight="1" x14ac:dyDescent="0.25">
      <c r="B167" s="67" t="e">
        <f t="shared" si="21"/>
        <v>#REF!</v>
      </c>
      <c r="C167" s="76" t="e">
        <f t="shared" si="22"/>
        <v>#REF!</v>
      </c>
    </row>
    <row r="168" spans="2:3" ht="15.75" customHeight="1" x14ac:dyDescent="0.25">
      <c r="B168" s="67" t="e">
        <f t="shared" si="21"/>
        <v>#REF!</v>
      </c>
      <c r="C168" s="76" t="e">
        <f t="shared" si="22"/>
        <v>#REF!</v>
      </c>
    </row>
    <row r="169" spans="2:3" ht="15.75" customHeight="1" x14ac:dyDescent="0.25">
      <c r="B169" s="67" t="e">
        <f t="shared" si="21"/>
        <v>#REF!</v>
      </c>
      <c r="C169" s="76" t="e">
        <f t="shared" si="22"/>
        <v>#REF!</v>
      </c>
    </row>
    <row r="170" spans="2:3" ht="15.75" customHeight="1" x14ac:dyDescent="0.25">
      <c r="B170" s="67" t="e">
        <f t="shared" si="21"/>
        <v>#REF!</v>
      </c>
      <c r="C170" s="76" t="e">
        <f t="shared" si="22"/>
        <v>#REF!</v>
      </c>
    </row>
    <row r="171" spans="2:3" ht="15.75" customHeight="1" x14ac:dyDescent="0.25">
      <c r="B171" s="67" t="e">
        <f t="shared" si="21"/>
        <v>#REF!</v>
      </c>
      <c r="C171" s="76" t="e">
        <f t="shared" si="22"/>
        <v>#REF!</v>
      </c>
    </row>
    <row r="172" spans="2:3" ht="15.75" customHeight="1" x14ac:dyDescent="0.25">
      <c r="B172" s="67" t="e">
        <f t="shared" si="21"/>
        <v>#REF!</v>
      </c>
      <c r="C172" s="76" t="e">
        <f t="shared" si="22"/>
        <v>#REF!</v>
      </c>
    </row>
    <row r="173" spans="2:3" ht="15.75" customHeight="1" x14ac:dyDescent="0.25">
      <c r="B173" s="67" t="e">
        <f t="shared" si="21"/>
        <v>#REF!</v>
      </c>
      <c r="C173" s="76" t="e">
        <f t="shared" si="22"/>
        <v>#REF!</v>
      </c>
    </row>
    <row r="174" spans="2:3" ht="15.75" customHeight="1" x14ac:dyDescent="0.25">
      <c r="B174" s="67" t="e">
        <f t="shared" si="21"/>
        <v>#REF!</v>
      </c>
      <c r="C174" s="76" t="e">
        <f t="shared" si="22"/>
        <v>#REF!</v>
      </c>
    </row>
    <row r="175" spans="2:3" ht="15.75" customHeight="1" x14ac:dyDescent="0.25">
      <c r="B175" s="67" t="e">
        <f t="shared" si="21"/>
        <v>#REF!</v>
      </c>
      <c r="C175" s="76" t="e">
        <f t="shared" si="22"/>
        <v>#REF!</v>
      </c>
    </row>
    <row r="176" spans="2:3" ht="15.75" customHeight="1" x14ac:dyDescent="0.25">
      <c r="B176" s="67" t="e">
        <f t="shared" si="21"/>
        <v>#REF!</v>
      </c>
      <c r="C176" s="76" t="e">
        <f t="shared" si="22"/>
        <v>#REF!</v>
      </c>
    </row>
    <row r="177" spans="2:3" ht="15.75" customHeight="1" x14ac:dyDescent="0.25">
      <c r="B177" s="67" t="e">
        <f t="shared" si="21"/>
        <v>#REF!</v>
      </c>
      <c r="C177" s="76" t="e">
        <f t="shared" si="22"/>
        <v>#REF!</v>
      </c>
    </row>
    <row r="178" spans="2:3" ht="15.75" customHeight="1" x14ac:dyDescent="0.25">
      <c r="B178" s="67" t="e">
        <f t="shared" si="21"/>
        <v>#REF!</v>
      </c>
      <c r="C178" s="76" t="e">
        <f t="shared" si="22"/>
        <v>#REF!</v>
      </c>
    </row>
    <row r="179" spans="2:3" ht="15.75" customHeight="1" x14ac:dyDescent="0.25">
      <c r="B179" s="67" t="e">
        <f t="shared" si="21"/>
        <v>#REF!</v>
      </c>
      <c r="C179" s="76" t="e">
        <f t="shared" si="22"/>
        <v>#REF!</v>
      </c>
    </row>
    <row r="180" spans="2:3" ht="15.75" customHeight="1" x14ac:dyDescent="0.25">
      <c r="B180" s="67" t="e">
        <f t="shared" si="21"/>
        <v>#REF!</v>
      </c>
      <c r="C180" s="76" t="e">
        <f t="shared" si="22"/>
        <v>#REF!</v>
      </c>
    </row>
    <row r="181" spans="2:3" ht="15.75" customHeight="1" x14ac:dyDescent="0.25">
      <c r="B181" s="67" t="e">
        <f t="shared" si="21"/>
        <v>#REF!</v>
      </c>
      <c r="C181" s="76" t="e">
        <f t="shared" si="22"/>
        <v>#REF!</v>
      </c>
    </row>
    <row r="182" spans="2:3" ht="15.75" customHeight="1" x14ac:dyDescent="0.25">
      <c r="B182" s="67" t="e">
        <f t="shared" si="21"/>
        <v>#REF!</v>
      </c>
      <c r="C182" s="76" t="e">
        <f t="shared" si="22"/>
        <v>#REF!</v>
      </c>
    </row>
    <row r="183" spans="2:3" ht="15.75" customHeight="1" x14ac:dyDescent="0.25">
      <c r="B183" s="67" t="e">
        <f t="shared" si="21"/>
        <v>#REF!</v>
      </c>
      <c r="C183" s="76" t="e">
        <f t="shared" si="22"/>
        <v>#REF!</v>
      </c>
    </row>
    <row r="184" spans="2:3" ht="15.75" customHeight="1" x14ac:dyDescent="0.25">
      <c r="B184" s="67" t="e">
        <f t="shared" si="21"/>
        <v>#REF!</v>
      </c>
      <c r="C184" s="76" t="e">
        <f t="shared" si="22"/>
        <v>#REF!</v>
      </c>
    </row>
    <row r="185" spans="2:3" ht="15.75" customHeight="1" x14ac:dyDescent="0.25">
      <c r="B185" s="67" t="e">
        <f t="shared" si="21"/>
        <v>#REF!</v>
      </c>
      <c r="C185" s="76" t="e">
        <f t="shared" si="22"/>
        <v>#REF!</v>
      </c>
    </row>
    <row r="186" spans="2:3" ht="15.75" customHeight="1" x14ac:dyDescent="0.25">
      <c r="B186" s="67" t="e">
        <f t="shared" si="21"/>
        <v>#REF!</v>
      </c>
      <c r="C186" s="76" t="e">
        <f t="shared" si="22"/>
        <v>#REF!</v>
      </c>
    </row>
    <row r="187" spans="2:3" ht="15.75" customHeight="1" x14ac:dyDescent="0.25">
      <c r="B187" s="67" t="e">
        <f t="shared" si="21"/>
        <v>#REF!</v>
      </c>
      <c r="C187" s="76" t="e">
        <f t="shared" si="22"/>
        <v>#REF!</v>
      </c>
    </row>
    <row r="188" spans="2:3" ht="15.75" customHeight="1" x14ac:dyDescent="0.25">
      <c r="B188" s="67" t="e">
        <f t="shared" si="21"/>
        <v>#REF!</v>
      </c>
      <c r="C188" s="76" t="e">
        <f t="shared" si="22"/>
        <v>#REF!</v>
      </c>
    </row>
    <row r="189" spans="2:3" ht="15.75" customHeight="1" x14ac:dyDescent="0.25">
      <c r="B189" s="67" t="e">
        <f t="shared" si="21"/>
        <v>#REF!</v>
      </c>
      <c r="C189" s="76" t="e">
        <f t="shared" si="22"/>
        <v>#REF!</v>
      </c>
    </row>
    <row r="190" spans="2:3" ht="15.75" customHeight="1" x14ac:dyDescent="0.25">
      <c r="B190" s="67" t="e">
        <f t="shared" si="21"/>
        <v>#REF!</v>
      </c>
      <c r="C190" s="76" t="e">
        <f t="shared" si="22"/>
        <v>#REF!</v>
      </c>
    </row>
    <row r="191" spans="2:3" ht="15.75" customHeight="1" x14ac:dyDescent="0.25">
      <c r="B191" s="67" t="e">
        <f t="shared" si="21"/>
        <v>#REF!</v>
      </c>
      <c r="C191" s="76" t="e">
        <f t="shared" si="22"/>
        <v>#REF!</v>
      </c>
    </row>
    <row r="192" spans="2:3" ht="15.75" customHeight="1" x14ac:dyDescent="0.25">
      <c r="B192" s="67" t="e">
        <f t="shared" si="21"/>
        <v>#REF!</v>
      </c>
      <c r="C192" s="76" t="e">
        <f t="shared" si="22"/>
        <v>#REF!</v>
      </c>
    </row>
    <row r="193" spans="2:3" ht="15.75" customHeight="1" x14ac:dyDescent="0.25">
      <c r="B193" s="67" t="e">
        <f t="shared" si="21"/>
        <v>#REF!</v>
      </c>
      <c r="C193" s="76" t="e">
        <f t="shared" si="22"/>
        <v>#REF!</v>
      </c>
    </row>
    <row r="194" spans="2:3" ht="15.75" customHeight="1" x14ac:dyDescent="0.25">
      <c r="B194" s="67" t="e">
        <f t="shared" si="21"/>
        <v>#REF!</v>
      </c>
      <c r="C194" s="76" t="e">
        <f t="shared" si="22"/>
        <v>#REF!</v>
      </c>
    </row>
    <row r="195" spans="2:3" ht="15.75" customHeight="1" x14ac:dyDescent="0.25">
      <c r="B195" s="67" t="e">
        <f t="shared" si="21"/>
        <v>#REF!</v>
      </c>
      <c r="C195" s="76" t="e">
        <f t="shared" si="22"/>
        <v>#REF!</v>
      </c>
    </row>
    <row r="196" spans="2:3" ht="15.75" customHeight="1" x14ac:dyDescent="0.25">
      <c r="B196" s="67" t="e">
        <f t="shared" si="21"/>
        <v>#REF!</v>
      </c>
      <c r="C196" s="76" t="e">
        <f t="shared" si="22"/>
        <v>#REF!</v>
      </c>
    </row>
    <row r="197" spans="2:3" ht="15.75" customHeight="1" x14ac:dyDescent="0.25">
      <c r="B197" s="67" t="e">
        <f t="shared" si="21"/>
        <v>#REF!</v>
      </c>
      <c r="C197" s="76" t="e">
        <f t="shared" si="22"/>
        <v>#REF!</v>
      </c>
    </row>
    <row r="198" spans="2:3" ht="15.75" customHeight="1" x14ac:dyDescent="0.25">
      <c r="B198" s="67" t="e">
        <f t="shared" si="21"/>
        <v>#REF!</v>
      </c>
      <c r="C198" s="76" t="e">
        <f t="shared" si="22"/>
        <v>#REF!</v>
      </c>
    </row>
    <row r="199" spans="2:3" ht="15.75" customHeight="1" x14ac:dyDescent="0.25">
      <c r="B199" s="67" t="e">
        <f t="shared" si="21"/>
        <v>#REF!</v>
      </c>
      <c r="C199" s="76" t="e">
        <f t="shared" si="22"/>
        <v>#REF!</v>
      </c>
    </row>
    <row r="200" spans="2:3" ht="15.75" customHeight="1" x14ac:dyDescent="0.25">
      <c r="B200" s="67" t="e">
        <f t="shared" si="21"/>
        <v>#REF!</v>
      </c>
      <c r="C200" s="76" t="e">
        <f t="shared" si="22"/>
        <v>#REF!</v>
      </c>
    </row>
    <row r="201" spans="2:3" ht="15.75" customHeight="1" x14ac:dyDescent="0.25">
      <c r="B201" s="67" t="e">
        <f t="shared" si="21"/>
        <v>#REF!</v>
      </c>
      <c r="C201" s="76" t="e">
        <f t="shared" si="22"/>
        <v>#REF!</v>
      </c>
    </row>
    <row r="202" spans="2:3" ht="15.75" customHeight="1" x14ac:dyDescent="0.25">
      <c r="B202" s="67" t="e">
        <f t="shared" si="21"/>
        <v>#REF!</v>
      </c>
      <c r="C202" s="76" t="e">
        <f t="shared" si="22"/>
        <v>#REF!</v>
      </c>
    </row>
    <row r="203" spans="2:3" ht="15.75" customHeight="1" x14ac:dyDescent="0.25">
      <c r="B203" s="67" t="e">
        <f t="shared" si="21"/>
        <v>#REF!</v>
      </c>
      <c r="C203" s="76" t="e">
        <f t="shared" si="22"/>
        <v>#REF!</v>
      </c>
    </row>
    <row r="204" spans="2:3" ht="15.75" customHeight="1" x14ac:dyDescent="0.25">
      <c r="B204" s="67" t="e">
        <f t="shared" si="21"/>
        <v>#REF!</v>
      </c>
      <c r="C204" s="76" t="e">
        <f t="shared" si="22"/>
        <v>#REF!</v>
      </c>
    </row>
    <row r="205" spans="2:3" ht="15.75" customHeight="1" x14ac:dyDescent="0.25">
      <c r="B205" s="67" t="e">
        <f t="shared" si="21"/>
        <v>#REF!</v>
      </c>
      <c r="C205" s="76" t="e">
        <f t="shared" si="22"/>
        <v>#REF!</v>
      </c>
    </row>
    <row r="206" spans="2:3" ht="15.75" customHeight="1" x14ac:dyDescent="0.25">
      <c r="B206" s="67" t="e">
        <f t="shared" si="21"/>
        <v>#REF!</v>
      </c>
      <c r="C206" s="76" t="e">
        <f t="shared" si="22"/>
        <v>#REF!</v>
      </c>
    </row>
    <row r="207" spans="2:3" ht="15.75" customHeight="1" x14ac:dyDescent="0.25">
      <c r="B207" s="67" t="e">
        <f t="shared" si="21"/>
        <v>#REF!</v>
      </c>
      <c r="C207" s="76" t="e">
        <f t="shared" si="22"/>
        <v>#REF!</v>
      </c>
    </row>
    <row r="208" spans="2:3" ht="15.75" customHeight="1" x14ac:dyDescent="0.25">
      <c r="B208" s="67" t="e">
        <f t="shared" si="21"/>
        <v>#REF!</v>
      </c>
      <c r="C208" s="76" t="e">
        <f t="shared" si="22"/>
        <v>#REF!</v>
      </c>
    </row>
    <row r="209" spans="2:3" ht="15.75" customHeight="1" x14ac:dyDescent="0.25">
      <c r="B209" s="67" t="e">
        <f t="shared" si="21"/>
        <v>#REF!</v>
      </c>
      <c r="C209" s="76" t="e">
        <f t="shared" si="22"/>
        <v>#REF!</v>
      </c>
    </row>
    <row r="210" spans="2:3" ht="15.75" customHeight="1" x14ac:dyDescent="0.25">
      <c r="B210" s="67" t="e">
        <f t="shared" si="21"/>
        <v>#REF!</v>
      </c>
      <c r="C210" s="76" t="e">
        <f t="shared" si="22"/>
        <v>#REF!</v>
      </c>
    </row>
    <row r="211" spans="2:3" ht="15.75" customHeight="1" x14ac:dyDescent="0.25">
      <c r="B211" s="67" t="e">
        <f t="shared" si="21"/>
        <v>#REF!</v>
      </c>
      <c r="C211" s="76" t="e">
        <f t="shared" si="22"/>
        <v>#REF!</v>
      </c>
    </row>
    <row r="212" spans="2:3" ht="15.75" customHeight="1" x14ac:dyDescent="0.25">
      <c r="B212" s="67" t="e">
        <f t="shared" si="21"/>
        <v>#REF!</v>
      </c>
      <c r="C212" s="76" t="e">
        <f t="shared" si="22"/>
        <v>#REF!</v>
      </c>
    </row>
    <row r="213" spans="2:3" ht="15.75" customHeight="1" x14ac:dyDescent="0.25">
      <c r="B213" s="67" t="e">
        <f t="shared" si="21"/>
        <v>#REF!</v>
      </c>
      <c r="C213" s="76" t="e">
        <f t="shared" si="22"/>
        <v>#REF!</v>
      </c>
    </row>
    <row r="214" spans="2:3" ht="15.75" customHeight="1" x14ac:dyDescent="0.25">
      <c r="B214" s="67" t="e">
        <f t="shared" si="21"/>
        <v>#REF!</v>
      </c>
      <c r="C214" s="76" t="e">
        <f t="shared" si="22"/>
        <v>#REF!</v>
      </c>
    </row>
    <row r="215" spans="2:3" ht="15.75" customHeight="1" x14ac:dyDescent="0.25">
      <c r="B215" s="67" t="e">
        <f t="shared" si="21"/>
        <v>#REF!</v>
      </c>
      <c r="C215" s="76" t="e">
        <f t="shared" si="22"/>
        <v>#REF!</v>
      </c>
    </row>
    <row r="216" spans="2:3" ht="15.75" customHeight="1" x14ac:dyDescent="0.25">
      <c r="B216" s="67" t="e">
        <f t="shared" si="21"/>
        <v>#REF!</v>
      </c>
      <c r="C216" s="76" t="e">
        <f t="shared" si="22"/>
        <v>#REF!</v>
      </c>
    </row>
    <row r="217" spans="2:3" ht="15.75" customHeight="1" x14ac:dyDescent="0.25">
      <c r="B217" s="67" t="e">
        <f t="shared" si="21"/>
        <v>#REF!</v>
      </c>
      <c r="C217" s="76" t="e">
        <f t="shared" si="22"/>
        <v>#REF!</v>
      </c>
    </row>
    <row r="218" spans="2:3" ht="15.75" customHeight="1" x14ac:dyDescent="0.25">
      <c r="B218" s="67" t="e">
        <f t="shared" si="21"/>
        <v>#REF!</v>
      </c>
      <c r="C218" s="76" t="e">
        <f t="shared" si="22"/>
        <v>#REF!</v>
      </c>
    </row>
    <row r="219" spans="2:3" ht="15.75" customHeight="1" x14ac:dyDescent="0.25">
      <c r="B219" s="67" t="e">
        <f t="shared" si="21"/>
        <v>#REF!</v>
      </c>
      <c r="C219" s="76" t="e">
        <f t="shared" si="22"/>
        <v>#REF!</v>
      </c>
    </row>
    <row r="220" spans="2:3" ht="15.75" customHeight="1" x14ac:dyDescent="0.25">
      <c r="B220" s="67" t="e">
        <f t="shared" si="21"/>
        <v>#REF!</v>
      </c>
      <c r="C220" s="76" t="e">
        <f t="shared" si="22"/>
        <v>#REF!</v>
      </c>
    </row>
    <row r="221" spans="2:3" ht="15.75" customHeight="1" x14ac:dyDescent="0.25">
      <c r="B221" s="67" t="e">
        <f t="shared" si="21"/>
        <v>#REF!</v>
      </c>
      <c r="C221" s="76" t="e">
        <f t="shared" si="22"/>
        <v>#REF!</v>
      </c>
    </row>
    <row r="222" spans="2:3" ht="15.75" customHeight="1" x14ac:dyDescent="0.25">
      <c r="B222" s="67" t="e">
        <f t="shared" ref="B222:B285" si="23">IF(B221="","",IF(B221+$C$10&lt;=$C$6,B221+$C$10,""))</f>
        <v>#REF!</v>
      </c>
      <c r="C222" s="76" t="e">
        <f t="shared" ref="C222:C285" si="24">IF(B222&lt;&gt;"",C221-$C$2/COUNT($B$18:$B$511),"")</f>
        <v>#REF!</v>
      </c>
    </row>
    <row r="223" spans="2:3" ht="15.75" customHeight="1" x14ac:dyDescent="0.25">
      <c r="B223" s="67" t="e">
        <f t="shared" si="23"/>
        <v>#REF!</v>
      </c>
      <c r="C223" s="76" t="e">
        <f t="shared" si="24"/>
        <v>#REF!</v>
      </c>
    </row>
    <row r="224" spans="2:3" ht="15.75" customHeight="1" x14ac:dyDescent="0.25">
      <c r="B224" s="67" t="e">
        <f t="shared" si="23"/>
        <v>#REF!</v>
      </c>
      <c r="C224" s="76" t="e">
        <f t="shared" si="24"/>
        <v>#REF!</v>
      </c>
    </row>
    <row r="225" spans="2:3" ht="15.75" customHeight="1" x14ac:dyDescent="0.25">
      <c r="B225" s="67" t="e">
        <f t="shared" si="23"/>
        <v>#REF!</v>
      </c>
      <c r="C225" s="76" t="e">
        <f t="shared" si="24"/>
        <v>#REF!</v>
      </c>
    </row>
    <row r="226" spans="2:3" ht="15.75" customHeight="1" x14ac:dyDescent="0.25">
      <c r="B226" s="67" t="e">
        <f t="shared" si="23"/>
        <v>#REF!</v>
      </c>
      <c r="C226" s="76" t="e">
        <f t="shared" si="24"/>
        <v>#REF!</v>
      </c>
    </row>
    <row r="227" spans="2:3" ht="15.75" customHeight="1" x14ac:dyDescent="0.25">
      <c r="B227" s="67" t="e">
        <f t="shared" si="23"/>
        <v>#REF!</v>
      </c>
      <c r="C227" s="76" t="e">
        <f t="shared" si="24"/>
        <v>#REF!</v>
      </c>
    </row>
    <row r="228" spans="2:3" ht="15.75" customHeight="1" x14ac:dyDescent="0.25">
      <c r="B228" s="67" t="e">
        <f t="shared" si="23"/>
        <v>#REF!</v>
      </c>
      <c r="C228" s="76" t="e">
        <f t="shared" si="24"/>
        <v>#REF!</v>
      </c>
    </row>
    <row r="229" spans="2:3" ht="15.75" customHeight="1" x14ac:dyDescent="0.25">
      <c r="B229" s="67" t="e">
        <f t="shared" si="23"/>
        <v>#REF!</v>
      </c>
      <c r="C229" s="76" t="e">
        <f t="shared" si="24"/>
        <v>#REF!</v>
      </c>
    </row>
    <row r="230" spans="2:3" ht="15.75" customHeight="1" x14ac:dyDescent="0.25">
      <c r="B230" s="67" t="e">
        <f t="shared" si="23"/>
        <v>#REF!</v>
      </c>
      <c r="C230" s="76" t="e">
        <f t="shared" si="24"/>
        <v>#REF!</v>
      </c>
    </row>
    <row r="231" spans="2:3" ht="15.75" customHeight="1" x14ac:dyDescent="0.25">
      <c r="B231" s="67" t="e">
        <f t="shared" si="23"/>
        <v>#REF!</v>
      </c>
      <c r="C231" s="76" t="e">
        <f t="shared" si="24"/>
        <v>#REF!</v>
      </c>
    </row>
    <row r="232" spans="2:3" ht="15.75" customHeight="1" x14ac:dyDescent="0.25">
      <c r="B232" s="67" t="e">
        <f t="shared" si="23"/>
        <v>#REF!</v>
      </c>
      <c r="C232" s="76" t="e">
        <f t="shared" si="24"/>
        <v>#REF!</v>
      </c>
    </row>
    <row r="233" spans="2:3" ht="15.75" customHeight="1" x14ac:dyDescent="0.25">
      <c r="B233" s="67" t="e">
        <f t="shared" si="23"/>
        <v>#REF!</v>
      </c>
      <c r="C233" s="76" t="e">
        <f t="shared" si="24"/>
        <v>#REF!</v>
      </c>
    </row>
    <row r="234" spans="2:3" ht="15.75" customHeight="1" x14ac:dyDescent="0.25">
      <c r="B234" s="67" t="e">
        <f t="shared" si="23"/>
        <v>#REF!</v>
      </c>
      <c r="C234" s="76" t="e">
        <f t="shared" si="24"/>
        <v>#REF!</v>
      </c>
    </row>
    <row r="235" spans="2:3" ht="15.75" customHeight="1" x14ac:dyDescent="0.25">
      <c r="B235" s="67" t="e">
        <f t="shared" si="23"/>
        <v>#REF!</v>
      </c>
      <c r="C235" s="76" t="e">
        <f t="shared" si="24"/>
        <v>#REF!</v>
      </c>
    </row>
    <row r="236" spans="2:3" ht="15.75" customHeight="1" x14ac:dyDescent="0.25">
      <c r="B236" s="67" t="e">
        <f t="shared" si="23"/>
        <v>#REF!</v>
      </c>
      <c r="C236" s="76" t="e">
        <f t="shared" si="24"/>
        <v>#REF!</v>
      </c>
    </row>
    <row r="237" spans="2:3" ht="15.75" customHeight="1" x14ac:dyDescent="0.25">
      <c r="B237" s="67" t="e">
        <f t="shared" si="23"/>
        <v>#REF!</v>
      </c>
      <c r="C237" s="76" t="e">
        <f t="shared" si="24"/>
        <v>#REF!</v>
      </c>
    </row>
    <row r="238" spans="2:3" ht="15.75" customHeight="1" x14ac:dyDescent="0.25">
      <c r="B238" s="67" t="e">
        <f t="shared" si="23"/>
        <v>#REF!</v>
      </c>
      <c r="C238" s="76" t="e">
        <f t="shared" si="24"/>
        <v>#REF!</v>
      </c>
    </row>
    <row r="239" spans="2:3" ht="15.75" customHeight="1" x14ac:dyDescent="0.25">
      <c r="B239" s="67" t="e">
        <f t="shared" si="23"/>
        <v>#REF!</v>
      </c>
      <c r="C239" s="76" t="e">
        <f t="shared" si="24"/>
        <v>#REF!</v>
      </c>
    </row>
    <row r="240" spans="2:3" ht="15.75" customHeight="1" x14ac:dyDescent="0.25">
      <c r="B240" s="67" t="e">
        <f t="shared" si="23"/>
        <v>#REF!</v>
      </c>
      <c r="C240" s="76" t="e">
        <f t="shared" si="24"/>
        <v>#REF!</v>
      </c>
    </row>
    <row r="241" spans="2:3" ht="15.75" customHeight="1" x14ac:dyDescent="0.25">
      <c r="B241" s="67" t="e">
        <f t="shared" si="23"/>
        <v>#REF!</v>
      </c>
      <c r="C241" s="76" t="e">
        <f t="shared" si="24"/>
        <v>#REF!</v>
      </c>
    </row>
    <row r="242" spans="2:3" ht="15.75" customHeight="1" x14ac:dyDescent="0.25">
      <c r="B242" s="67" t="e">
        <f t="shared" si="23"/>
        <v>#REF!</v>
      </c>
      <c r="C242" s="76" t="e">
        <f t="shared" si="24"/>
        <v>#REF!</v>
      </c>
    </row>
    <row r="243" spans="2:3" ht="15.75" customHeight="1" x14ac:dyDescent="0.25">
      <c r="B243" s="67" t="e">
        <f t="shared" si="23"/>
        <v>#REF!</v>
      </c>
      <c r="C243" s="76" t="e">
        <f t="shared" si="24"/>
        <v>#REF!</v>
      </c>
    </row>
    <row r="244" spans="2:3" ht="15.75" customHeight="1" x14ac:dyDescent="0.25">
      <c r="B244" s="67" t="e">
        <f t="shared" si="23"/>
        <v>#REF!</v>
      </c>
      <c r="C244" s="76" t="e">
        <f t="shared" si="24"/>
        <v>#REF!</v>
      </c>
    </row>
    <row r="245" spans="2:3" ht="15.75" customHeight="1" x14ac:dyDescent="0.25">
      <c r="B245" s="67" t="e">
        <f t="shared" si="23"/>
        <v>#REF!</v>
      </c>
      <c r="C245" s="76" t="e">
        <f t="shared" si="24"/>
        <v>#REF!</v>
      </c>
    </row>
    <row r="246" spans="2:3" ht="15.75" customHeight="1" x14ac:dyDescent="0.25">
      <c r="B246" s="67" t="e">
        <f t="shared" si="23"/>
        <v>#REF!</v>
      </c>
      <c r="C246" s="76" t="e">
        <f t="shared" si="24"/>
        <v>#REF!</v>
      </c>
    </row>
    <row r="247" spans="2:3" ht="15.75" customHeight="1" x14ac:dyDescent="0.25">
      <c r="B247" s="67" t="e">
        <f t="shared" si="23"/>
        <v>#REF!</v>
      </c>
      <c r="C247" s="76" t="e">
        <f t="shared" si="24"/>
        <v>#REF!</v>
      </c>
    </row>
    <row r="248" spans="2:3" ht="15.75" customHeight="1" x14ac:dyDescent="0.25">
      <c r="B248" s="67" t="e">
        <f t="shared" si="23"/>
        <v>#REF!</v>
      </c>
      <c r="C248" s="76" t="e">
        <f t="shared" si="24"/>
        <v>#REF!</v>
      </c>
    </row>
    <row r="249" spans="2:3" ht="15.75" customHeight="1" x14ac:dyDescent="0.25">
      <c r="B249" s="67" t="e">
        <f t="shared" si="23"/>
        <v>#REF!</v>
      </c>
      <c r="C249" s="76" t="e">
        <f t="shared" si="24"/>
        <v>#REF!</v>
      </c>
    </row>
    <row r="250" spans="2:3" ht="15.75" customHeight="1" x14ac:dyDescent="0.25">
      <c r="B250" s="67" t="e">
        <f t="shared" si="23"/>
        <v>#REF!</v>
      </c>
      <c r="C250" s="76" t="e">
        <f t="shared" si="24"/>
        <v>#REF!</v>
      </c>
    </row>
    <row r="251" spans="2:3" ht="15.75" customHeight="1" x14ac:dyDescent="0.25">
      <c r="B251" s="67" t="e">
        <f t="shared" si="23"/>
        <v>#REF!</v>
      </c>
      <c r="C251" s="76" t="e">
        <f t="shared" si="24"/>
        <v>#REF!</v>
      </c>
    </row>
    <row r="252" spans="2:3" ht="15.75" customHeight="1" x14ac:dyDescent="0.25">
      <c r="B252" s="67" t="e">
        <f t="shared" si="23"/>
        <v>#REF!</v>
      </c>
      <c r="C252" s="76" t="e">
        <f t="shared" si="24"/>
        <v>#REF!</v>
      </c>
    </row>
    <row r="253" spans="2:3" ht="15.75" customHeight="1" x14ac:dyDescent="0.25">
      <c r="B253" s="67" t="e">
        <f t="shared" si="23"/>
        <v>#REF!</v>
      </c>
      <c r="C253" s="76" t="e">
        <f t="shared" si="24"/>
        <v>#REF!</v>
      </c>
    </row>
    <row r="254" spans="2:3" ht="15.75" customHeight="1" x14ac:dyDescent="0.25">
      <c r="B254" s="67" t="e">
        <f t="shared" si="23"/>
        <v>#REF!</v>
      </c>
      <c r="C254" s="76" t="e">
        <f t="shared" si="24"/>
        <v>#REF!</v>
      </c>
    </row>
    <row r="255" spans="2:3" ht="15.75" customHeight="1" x14ac:dyDescent="0.25">
      <c r="B255" s="67" t="e">
        <f t="shared" si="23"/>
        <v>#REF!</v>
      </c>
      <c r="C255" s="76" t="e">
        <f t="shared" si="24"/>
        <v>#REF!</v>
      </c>
    </row>
    <row r="256" spans="2:3" ht="15.75" customHeight="1" x14ac:dyDescent="0.25">
      <c r="B256" s="67" t="e">
        <f t="shared" si="23"/>
        <v>#REF!</v>
      </c>
      <c r="C256" s="76" t="e">
        <f t="shared" si="24"/>
        <v>#REF!</v>
      </c>
    </row>
    <row r="257" spans="2:3" ht="15.75" customHeight="1" x14ac:dyDescent="0.25">
      <c r="B257" s="67" t="e">
        <f t="shared" si="23"/>
        <v>#REF!</v>
      </c>
      <c r="C257" s="76" t="e">
        <f t="shared" si="24"/>
        <v>#REF!</v>
      </c>
    </row>
    <row r="258" spans="2:3" ht="15.75" customHeight="1" x14ac:dyDescent="0.25">
      <c r="B258" s="67" t="e">
        <f t="shared" si="23"/>
        <v>#REF!</v>
      </c>
      <c r="C258" s="76" t="e">
        <f t="shared" si="24"/>
        <v>#REF!</v>
      </c>
    </row>
    <row r="259" spans="2:3" ht="15.75" customHeight="1" x14ac:dyDescent="0.25">
      <c r="B259" s="67" t="e">
        <f t="shared" si="23"/>
        <v>#REF!</v>
      </c>
      <c r="C259" s="76" t="e">
        <f t="shared" si="24"/>
        <v>#REF!</v>
      </c>
    </row>
    <row r="260" spans="2:3" ht="15.75" customHeight="1" x14ac:dyDescent="0.25">
      <c r="B260" s="67" t="e">
        <f t="shared" si="23"/>
        <v>#REF!</v>
      </c>
      <c r="C260" s="76" t="e">
        <f t="shared" si="24"/>
        <v>#REF!</v>
      </c>
    </row>
    <row r="261" spans="2:3" ht="15.75" customHeight="1" x14ac:dyDescent="0.25">
      <c r="B261" s="67" t="e">
        <f t="shared" si="23"/>
        <v>#REF!</v>
      </c>
      <c r="C261" s="76" t="e">
        <f t="shared" si="24"/>
        <v>#REF!</v>
      </c>
    </row>
    <row r="262" spans="2:3" ht="15.75" customHeight="1" x14ac:dyDescent="0.25">
      <c r="B262" s="67" t="e">
        <f t="shared" si="23"/>
        <v>#REF!</v>
      </c>
      <c r="C262" s="76" t="e">
        <f t="shared" si="24"/>
        <v>#REF!</v>
      </c>
    </row>
    <row r="263" spans="2:3" ht="15.75" customHeight="1" x14ac:dyDescent="0.25">
      <c r="B263" s="67" t="e">
        <f t="shared" si="23"/>
        <v>#REF!</v>
      </c>
      <c r="C263" s="76" t="e">
        <f t="shared" si="24"/>
        <v>#REF!</v>
      </c>
    </row>
    <row r="264" spans="2:3" ht="15.75" customHeight="1" x14ac:dyDescent="0.25">
      <c r="B264" s="67" t="e">
        <f t="shared" si="23"/>
        <v>#REF!</v>
      </c>
      <c r="C264" s="76" t="e">
        <f t="shared" si="24"/>
        <v>#REF!</v>
      </c>
    </row>
    <row r="265" spans="2:3" ht="15.75" customHeight="1" x14ac:dyDescent="0.25">
      <c r="B265" s="67" t="e">
        <f t="shared" si="23"/>
        <v>#REF!</v>
      </c>
      <c r="C265" s="76" t="e">
        <f t="shared" si="24"/>
        <v>#REF!</v>
      </c>
    </row>
    <row r="266" spans="2:3" ht="15.75" customHeight="1" x14ac:dyDescent="0.25">
      <c r="B266" s="67" t="e">
        <f t="shared" si="23"/>
        <v>#REF!</v>
      </c>
      <c r="C266" s="76" t="e">
        <f t="shared" si="24"/>
        <v>#REF!</v>
      </c>
    </row>
    <row r="267" spans="2:3" ht="15.75" customHeight="1" x14ac:dyDescent="0.25">
      <c r="B267" s="67" t="e">
        <f t="shared" si="23"/>
        <v>#REF!</v>
      </c>
      <c r="C267" s="76" t="e">
        <f t="shared" si="24"/>
        <v>#REF!</v>
      </c>
    </row>
    <row r="268" spans="2:3" ht="15.75" customHeight="1" x14ac:dyDescent="0.25">
      <c r="B268" s="67" t="e">
        <f t="shared" si="23"/>
        <v>#REF!</v>
      </c>
      <c r="C268" s="76" t="e">
        <f t="shared" si="24"/>
        <v>#REF!</v>
      </c>
    </row>
    <row r="269" spans="2:3" ht="15.75" customHeight="1" x14ac:dyDescent="0.25">
      <c r="B269" s="67" t="e">
        <f t="shared" si="23"/>
        <v>#REF!</v>
      </c>
      <c r="C269" s="76" t="e">
        <f t="shared" si="24"/>
        <v>#REF!</v>
      </c>
    </row>
    <row r="270" spans="2:3" ht="15.75" customHeight="1" x14ac:dyDescent="0.25">
      <c r="B270" s="67" t="e">
        <f t="shared" si="23"/>
        <v>#REF!</v>
      </c>
      <c r="C270" s="76" t="e">
        <f t="shared" si="24"/>
        <v>#REF!</v>
      </c>
    </row>
    <row r="271" spans="2:3" ht="15.75" customHeight="1" x14ac:dyDescent="0.25">
      <c r="B271" s="67" t="e">
        <f t="shared" si="23"/>
        <v>#REF!</v>
      </c>
      <c r="C271" s="76" t="e">
        <f t="shared" si="24"/>
        <v>#REF!</v>
      </c>
    </row>
    <row r="272" spans="2:3" ht="15.75" customHeight="1" x14ac:dyDescent="0.25">
      <c r="B272" s="67" t="e">
        <f t="shared" si="23"/>
        <v>#REF!</v>
      </c>
      <c r="C272" s="76" t="e">
        <f t="shared" si="24"/>
        <v>#REF!</v>
      </c>
    </row>
    <row r="273" spans="2:3" ht="15.75" customHeight="1" x14ac:dyDescent="0.25">
      <c r="B273" s="67" t="e">
        <f t="shared" si="23"/>
        <v>#REF!</v>
      </c>
      <c r="C273" s="76" t="e">
        <f t="shared" si="24"/>
        <v>#REF!</v>
      </c>
    </row>
    <row r="274" spans="2:3" ht="15.75" customHeight="1" x14ac:dyDescent="0.25">
      <c r="B274" s="67" t="e">
        <f t="shared" si="23"/>
        <v>#REF!</v>
      </c>
      <c r="C274" s="76" t="e">
        <f t="shared" si="24"/>
        <v>#REF!</v>
      </c>
    </row>
    <row r="275" spans="2:3" ht="15.75" customHeight="1" x14ac:dyDescent="0.25">
      <c r="B275" s="67" t="e">
        <f t="shared" si="23"/>
        <v>#REF!</v>
      </c>
      <c r="C275" s="76" t="e">
        <f t="shared" si="24"/>
        <v>#REF!</v>
      </c>
    </row>
    <row r="276" spans="2:3" ht="15.75" customHeight="1" x14ac:dyDescent="0.25">
      <c r="B276" s="67" t="e">
        <f t="shared" si="23"/>
        <v>#REF!</v>
      </c>
      <c r="C276" s="76" t="e">
        <f t="shared" si="24"/>
        <v>#REF!</v>
      </c>
    </row>
    <row r="277" spans="2:3" ht="15.75" customHeight="1" x14ac:dyDescent="0.25">
      <c r="B277" s="67" t="e">
        <f t="shared" si="23"/>
        <v>#REF!</v>
      </c>
      <c r="C277" s="76" t="e">
        <f t="shared" si="24"/>
        <v>#REF!</v>
      </c>
    </row>
    <row r="278" spans="2:3" ht="15.75" customHeight="1" x14ac:dyDescent="0.25">
      <c r="B278" s="67" t="e">
        <f t="shared" si="23"/>
        <v>#REF!</v>
      </c>
      <c r="C278" s="76" t="e">
        <f t="shared" si="24"/>
        <v>#REF!</v>
      </c>
    </row>
    <row r="279" spans="2:3" ht="15.75" customHeight="1" x14ac:dyDescent="0.25">
      <c r="B279" s="67" t="e">
        <f t="shared" si="23"/>
        <v>#REF!</v>
      </c>
      <c r="C279" s="76" t="e">
        <f t="shared" si="24"/>
        <v>#REF!</v>
      </c>
    </row>
    <row r="280" spans="2:3" ht="15.75" customHeight="1" x14ac:dyDescent="0.25">
      <c r="B280" s="67" t="e">
        <f t="shared" si="23"/>
        <v>#REF!</v>
      </c>
      <c r="C280" s="76" t="e">
        <f t="shared" si="24"/>
        <v>#REF!</v>
      </c>
    </row>
    <row r="281" spans="2:3" ht="15.75" customHeight="1" x14ac:dyDescent="0.25">
      <c r="B281" s="67" t="e">
        <f t="shared" si="23"/>
        <v>#REF!</v>
      </c>
      <c r="C281" s="76" t="e">
        <f t="shared" si="24"/>
        <v>#REF!</v>
      </c>
    </row>
    <row r="282" spans="2:3" ht="15.75" customHeight="1" x14ac:dyDescent="0.25">
      <c r="B282" s="67" t="e">
        <f t="shared" si="23"/>
        <v>#REF!</v>
      </c>
      <c r="C282" s="76" t="e">
        <f t="shared" si="24"/>
        <v>#REF!</v>
      </c>
    </row>
    <row r="283" spans="2:3" ht="15.75" customHeight="1" x14ac:dyDescent="0.25">
      <c r="B283" s="67" t="e">
        <f t="shared" si="23"/>
        <v>#REF!</v>
      </c>
      <c r="C283" s="76" t="e">
        <f t="shared" si="24"/>
        <v>#REF!</v>
      </c>
    </row>
    <row r="284" spans="2:3" ht="15.75" customHeight="1" x14ac:dyDescent="0.25">
      <c r="B284" s="67" t="e">
        <f t="shared" si="23"/>
        <v>#REF!</v>
      </c>
      <c r="C284" s="76" t="e">
        <f t="shared" si="24"/>
        <v>#REF!</v>
      </c>
    </row>
    <row r="285" spans="2:3" ht="15.75" customHeight="1" x14ac:dyDescent="0.25">
      <c r="B285" s="67" t="e">
        <f t="shared" si="23"/>
        <v>#REF!</v>
      </c>
      <c r="C285" s="76" t="e">
        <f t="shared" si="24"/>
        <v>#REF!</v>
      </c>
    </row>
    <row r="286" spans="2:3" ht="15.75" customHeight="1" x14ac:dyDescent="0.25">
      <c r="B286" s="67" t="e">
        <f t="shared" ref="B286:B349" si="25">IF(B285="","",IF(B285+$C$10&lt;=$C$6,B285+$C$10,""))</f>
        <v>#REF!</v>
      </c>
      <c r="C286" s="76" t="e">
        <f t="shared" ref="C286:C349" si="26">IF(B286&lt;&gt;"",C285-$C$2/COUNT($B$18:$B$511),"")</f>
        <v>#REF!</v>
      </c>
    </row>
    <row r="287" spans="2:3" ht="15.75" customHeight="1" x14ac:dyDescent="0.25">
      <c r="B287" s="67" t="e">
        <f t="shared" si="25"/>
        <v>#REF!</v>
      </c>
      <c r="C287" s="76" t="e">
        <f t="shared" si="26"/>
        <v>#REF!</v>
      </c>
    </row>
    <row r="288" spans="2:3" ht="15.75" customHeight="1" x14ac:dyDescent="0.25">
      <c r="B288" s="67" t="e">
        <f t="shared" si="25"/>
        <v>#REF!</v>
      </c>
      <c r="C288" s="76" t="e">
        <f t="shared" si="26"/>
        <v>#REF!</v>
      </c>
    </row>
    <row r="289" spans="2:3" ht="15.75" customHeight="1" x14ac:dyDescent="0.25">
      <c r="B289" s="67" t="e">
        <f t="shared" si="25"/>
        <v>#REF!</v>
      </c>
      <c r="C289" s="76" t="e">
        <f t="shared" si="26"/>
        <v>#REF!</v>
      </c>
    </row>
    <row r="290" spans="2:3" ht="15.75" customHeight="1" x14ac:dyDescent="0.25">
      <c r="B290" s="67" t="e">
        <f t="shared" si="25"/>
        <v>#REF!</v>
      </c>
      <c r="C290" s="76" t="e">
        <f t="shared" si="26"/>
        <v>#REF!</v>
      </c>
    </row>
    <row r="291" spans="2:3" ht="15.75" customHeight="1" x14ac:dyDescent="0.25">
      <c r="B291" s="67" t="e">
        <f t="shared" si="25"/>
        <v>#REF!</v>
      </c>
      <c r="C291" s="76" t="e">
        <f t="shared" si="26"/>
        <v>#REF!</v>
      </c>
    </row>
    <row r="292" spans="2:3" ht="15.75" customHeight="1" x14ac:dyDescent="0.25">
      <c r="B292" s="67" t="e">
        <f t="shared" si="25"/>
        <v>#REF!</v>
      </c>
      <c r="C292" s="76" t="e">
        <f t="shared" si="26"/>
        <v>#REF!</v>
      </c>
    </row>
    <row r="293" spans="2:3" ht="15.75" customHeight="1" x14ac:dyDescent="0.25">
      <c r="B293" s="67" t="e">
        <f t="shared" si="25"/>
        <v>#REF!</v>
      </c>
      <c r="C293" s="76" t="e">
        <f t="shared" si="26"/>
        <v>#REF!</v>
      </c>
    </row>
    <row r="294" spans="2:3" ht="15.75" customHeight="1" x14ac:dyDescent="0.25">
      <c r="B294" s="67" t="e">
        <f t="shared" si="25"/>
        <v>#REF!</v>
      </c>
      <c r="C294" s="76" t="e">
        <f t="shared" si="26"/>
        <v>#REF!</v>
      </c>
    </row>
    <row r="295" spans="2:3" ht="15.75" customHeight="1" x14ac:dyDescent="0.25">
      <c r="B295" s="67" t="e">
        <f t="shared" si="25"/>
        <v>#REF!</v>
      </c>
      <c r="C295" s="76" t="e">
        <f t="shared" si="26"/>
        <v>#REF!</v>
      </c>
    </row>
    <row r="296" spans="2:3" ht="15.75" customHeight="1" x14ac:dyDescent="0.25">
      <c r="B296" s="67" t="e">
        <f t="shared" si="25"/>
        <v>#REF!</v>
      </c>
      <c r="C296" s="76" t="e">
        <f t="shared" si="26"/>
        <v>#REF!</v>
      </c>
    </row>
    <row r="297" spans="2:3" ht="15.75" customHeight="1" x14ac:dyDescent="0.25">
      <c r="B297" s="67" t="e">
        <f t="shared" si="25"/>
        <v>#REF!</v>
      </c>
      <c r="C297" s="76" t="e">
        <f t="shared" si="26"/>
        <v>#REF!</v>
      </c>
    </row>
    <row r="298" spans="2:3" ht="15.75" customHeight="1" x14ac:dyDescent="0.25">
      <c r="B298" s="67" t="e">
        <f t="shared" si="25"/>
        <v>#REF!</v>
      </c>
      <c r="C298" s="76" t="e">
        <f t="shared" si="26"/>
        <v>#REF!</v>
      </c>
    </row>
    <row r="299" spans="2:3" ht="15.75" customHeight="1" x14ac:dyDescent="0.25">
      <c r="B299" s="67" t="e">
        <f t="shared" si="25"/>
        <v>#REF!</v>
      </c>
      <c r="C299" s="76" t="e">
        <f t="shared" si="26"/>
        <v>#REF!</v>
      </c>
    </row>
    <row r="300" spans="2:3" ht="15.75" customHeight="1" x14ac:dyDescent="0.25">
      <c r="B300" s="67" t="e">
        <f t="shared" si="25"/>
        <v>#REF!</v>
      </c>
      <c r="C300" s="76" t="e">
        <f t="shared" si="26"/>
        <v>#REF!</v>
      </c>
    </row>
    <row r="301" spans="2:3" ht="15.75" customHeight="1" x14ac:dyDescent="0.25">
      <c r="B301" s="67" t="e">
        <f t="shared" si="25"/>
        <v>#REF!</v>
      </c>
      <c r="C301" s="76" t="e">
        <f t="shared" si="26"/>
        <v>#REF!</v>
      </c>
    </row>
    <row r="302" spans="2:3" ht="15.75" customHeight="1" x14ac:dyDescent="0.25">
      <c r="B302" s="67" t="e">
        <f t="shared" si="25"/>
        <v>#REF!</v>
      </c>
      <c r="C302" s="76" t="e">
        <f t="shared" si="26"/>
        <v>#REF!</v>
      </c>
    </row>
    <row r="303" spans="2:3" ht="15.75" customHeight="1" x14ac:dyDescent="0.25">
      <c r="B303" s="67" t="e">
        <f t="shared" si="25"/>
        <v>#REF!</v>
      </c>
      <c r="C303" s="76" t="e">
        <f t="shared" si="26"/>
        <v>#REF!</v>
      </c>
    </row>
    <row r="304" spans="2:3" ht="15.75" customHeight="1" x14ac:dyDescent="0.25">
      <c r="B304" s="67" t="e">
        <f t="shared" si="25"/>
        <v>#REF!</v>
      </c>
      <c r="C304" s="76" t="e">
        <f t="shared" si="26"/>
        <v>#REF!</v>
      </c>
    </row>
    <row r="305" spans="2:3" ht="15.75" customHeight="1" x14ac:dyDescent="0.25">
      <c r="B305" s="67" t="e">
        <f t="shared" si="25"/>
        <v>#REF!</v>
      </c>
      <c r="C305" s="76" t="e">
        <f t="shared" si="26"/>
        <v>#REF!</v>
      </c>
    </row>
    <row r="306" spans="2:3" ht="15.75" customHeight="1" x14ac:dyDescent="0.25">
      <c r="B306" s="67" t="e">
        <f t="shared" si="25"/>
        <v>#REF!</v>
      </c>
      <c r="C306" s="76" t="e">
        <f t="shared" si="26"/>
        <v>#REF!</v>
      </c>
    </row>
    <row r="307" spans="2:3" ht="15.75" customHeight="1" x14ac:dyDescent="0.25">
      <c r="B307" s="67" t="e">
        <f t="shared" si="25"/>
        <v>#REF!</v>
      </c>
      <c r="C307" s="76" t="e">
        <f t="shared" si="26"/>
        <v>#REF!</v>
      </c>
    </row>
    <row r="308" spans="2:3" ht="15.75" customHeight="1" x14ac:dyDescent="0.25">
      <c r="B308" s="67" t="e">
        <f t="shared" si="25"/>
        <v>#REF!</v>
      </c>
      <c r="C308" s="76" t="e">
        <f t="shared" si="26"/>
        <v>#REF!</v>
      </c>
    </row>
    <row r="309" spans="2:3" ht="15.75" customHeight="1" x14ac:dyDescent="0.25">
      <c r="B309" s="67" t="e">
        <f t="shared" si="25"/>
        <v>#REF!</v>
      </c>
      <c r="C309" s="76" t="e">
        <f t="shared" si="26"/>
        <v>#REF!</v>
      </c>
    </row>
    <row r="310" spans="2:3" ht="15.75" customHeight="1" x14ac:dyDescent="0.25">
      <c r="B310" s="67" t="e">
        <f t="shared" si="25"/>
        <v>#REF!</v>
      </c>
      <c r="C310" s="76" t="e">
        <f t="shared" si="26"/>
        <v>#REF!</v>
      </c>
    </row>
    <row r="311" spans="2:3" ht="15.75" customHeight="1" x14ac:dyDescent="0.25">
      <c r="B311" s="67" t="e">
        <f t="shared" si="25"/>
        <v>#REF!</v>
      </c>
      <c r="C311" s="76" t="e">
        <f t="shared" si="26"/>
        <v>#REF!</v>
      </c>
    </row>
    <row r="312" spans="2:3" ht="15.75" customHeight="1" x14ac:dyDescent="0.25">
      <c r="B312" s="67" t="e">
        <f t="shared" si="25"/>
        <v>#REF!</v>
      </c>
      <c r="C312" s="76" t="e">
        <f t="shared" si="26"/>
        <v>#REF!</v>
      </c>
    </row>
    <row r="313" spans="2:3" ht="15.75" customHeight="1" x14ac:dyDescent="0.25">
      <c r="B313" s="67" t="e">
        <f t="shared" si="25"/>
        <v>#REF!</v>
      </c>
      <c r="C313" s="76" t="e">
        <f t="shared" si="26"/>
        <v>#REF!</v>
      </c>
    </row>
    <row r="314" spans="2:3" ht="15.75" customHeight="1" x14ac:dyDescent="0.25">
      <c r="B314" s="67" t="e">
        <f t="shared" si="25"/>
        <v>#REF!</v>
      </c>
      <c r="C314" s="76" t="e">
        <f t="shared" si="26"/>
        <v>#REF!</v>
      </c>
    </row>
    <row r="315" spans="2:3" ht="15.75" customHeight="1" x14ac:dyDescent="0.25">
      <c r="B315" s="67" t="e">
        <f t="shared" si="25"/>
        <v>#REF!</v>
      </c>
      <c r="C315" s="76" t="e">
        <f t="shared" si="26"/>
        <v>#REF!</v>
      </c>
    </row>
    <row r="316" spans="2:3" ht="15.75" customHeight="1" x14ac:dyDescent="0.25">
      <c r="B316" s="67" t="e">
        <f t="shared" si="25"/>
        <v>#REF!</v>
      </c>
      <c r="C316" s="76" t="e">
        <f t="shared" si="26"/>
        <v>#REF!</v>
      </c>
    </row>
    <row r="317" spans="2:3" ht="15.75" customHeight="1" x14ac:dyDescent="0.25">
      <c r="B317" s="67" t="e">
        <f t="shared" si="25"/>
        <v>#REF!</v>
      </c>
      <c r="C317" s="76" t="e">
        <f t="shared" si="26"/>
        <v>#REF!</v>
      </c>
    </row>
    <row r="318" spans="2:3" ht="15.75" customHeight="1" x14ac:dyDescent="0.25">
      <c r="B318" s="67" t="e">
        <f t="shared" si="25"/>
        <v>#REF!</v>
      </c>
      <c r="C318" s="76" t="e">
        <f t="shared" si="26"/>
        <v>#REF!</v>
      </c>
    </row>
    <row r="319" spans="2:3" ht="15.75" customHeight="1" x14ac:dyDescent="0.25">
      <c r="B319" s="67" t="e">
        <f t="shared" si="25"/>
        <v>#REF!</v>
      </c>
      <c r="C319" s="76" t="e">
        <f t="shared" si="26"/>
        <v>#REF!</v>
      </c>
    </row>
    <row r="320" spans="2:3" ht="15.75" customHeight="1" x14ac:dyDescent="0.25">
      <c r="B320" s="67" t="e">
        <f t="shared" si="25"/>
        <v>#REF!</v>
      </c>
      <c r="C320" s="76" t="e">
        <f t="shared" si="26"/>
        <v>#REF!</v>
      </c>
    </row>
    <row r="321" spans="2:3" ht="15.75" customHeight="1" x14ac:dyDescent="0.25">
      <c r="B321" s="67" t="e">
        <f t="shared" si="25"/>
        <v>#REF!</v>
      </c>
      <c r="C321" s="76" t="e">
        <f t="shared" si="26"/>
        <v>#REF!</v>
      </c>
    </row>
    <row r="322" spans="2:3" ht="15.75" customHeight="1" x14ac:dyDescent="0.25">
      <c r="B322" s="67" t="e">
        <f t="shared" si="25"/>
        <v>#REF!</v>
      </c>
      <c r="C322" s="76" t="e">
        <f t="shared" si="26"/>
        <v>#REF!</v>
      </c>
    </row>
    <row r="323" spans="2:3" ht="15.75" customHeight="1" x14ac:dyDescent="0.25">
      <c r="B323" s="67" t="e">
        <f t="shared" si="25"/>
        <v>#REF!</v>
      </c>
      <c r="C323" s="76" t="e">
        <f t="shared" si="26"/>
        <v>#REF!</v>
      </c>
    </row>
    <row r="324" spans="2:3" ht="15.75" customHeight="1" x14ac:dyDescent="0.25">
      <c r="B324" s="67" t="e">
        <f t="shared" si="25"/>
        <v>#REF!</v>
      </c>
      <c r="C324" s="76" t="e">
        <f t="shared" si="26"/>
        <v>#REF!</v>
      </c>
    </row>
    <row r="325" spans="2:3" ht="15.75" customHeight="1" x14ac:dyDescent="0.25">
      <c r="B325" s="67" t="e">
        <f t="shared" si="25"/>
        <v>#REF!</v>
      </c>
      <c r="C325" s="76" t="e">
        <f t="shared" si="26"/>
        <v>#REF!</v>
      </c>
    </row>
    <row r="326" spans="2:3" ht="15.75" customHeight="1" x14ac:dyDescent="0.25">
      <c r="B326" s="67" t="e">
        <f t="shared" si="25"/>
        <v>#REF!</v>
      </c>
      <c r="C326" s="76" t="e">
        <f t="shared" si="26"/>
        <v>#REF!</v>
      </c>
    </row>
    <row r="327" spans="2:3" ht="15.75" customHeight="1" x14ac:dyDescent="0.25">
      <c r="B327" s="67" t="e">
        <f t="shared" si="25"/>
        <v>#REF!</v>
      </c>
      <c r="C327" s="76" t="e">
        <f t="shared" si="26"/>
        <v>#REF!</v>
      </c>
    </row>
    <row r="328" spans="2:3" ht="15.75" customHeight="1" x14ac:dyDescent="0.25">
      <c r="B328" s="67" t="e">
        <f t="shared" si="25"/>
        <v>#REF!</v>
      </c>
      <c r="C328" s="76" t="e">
        <f t="shared" si="26"/>
        <v>#REF!</v>
      </c>
    </row>
    <row r="329" spans="2:3" ht="15.75" customHeight="1" x14ac:dyDescent="0.25">
      <c r="B329" s="67" t="e">
        <f t="shared" si="25"/>
        <v>#REF!</v>
      </c>
      <c r="C329" s="76" t="e">
        <f t="shared" si="26"/>
        <v>#REF!</v>
      </c>
    </row>
    <row r="330" spans="2:3" ht="15.75" customHeight="1" x14ac:dyDescent="0.25">
      <c r="B330" s="67" t="e">
        <f t="shared" si="25"/>
        <v>#REF!</v>
      </c>
      <c r="C330" s="76" t="e">
        <f t="shared" si="26"/>
        <v>#REF!</v>
      </c>
    </row>
    <row r="331" spans="2:3" ht="15.75" customHeight="1" x14ac:dyDescent="0.25">
      <c r="B331" s="67" t="e">
        <f t="shared" si="25"/>
        <v>#REF!</v>
      </c>
      <c r="C331" s="76" t="e">
        <f t="shared" si="26"/>
        <v>#REF!</v>
      </c>
    </row>
    <row r="332" spans="2:3" ht="15.75" customHeight="1" x14ac:dyDescent="0.25">
      <c r="B332" s="67" t="e">
        <f t="shared" si="25"/>
        <v>#REF!</v>
      </c>
      <c r="C332" s="76" t="e">
        <f t="shared" si="26"/>
        <v>#REF!</v>
      </c>
    </row>
    <row r="333" spans="2:3" ht="15.75" customHeight="1" x14ac:dyDescent="0.25">
      <c r="B333" s="67" t="e">
        <f t="shared" si="25"/>
        <v>#REF!</v>
      </c>
      <c r="C333" s="76" t="e">
        <f t="shared" si="26"/>
        <v>#REF!</v>
      </c>
    </row>
    <row r="334" spans="2:3" ht="15.75" customHeight="1" x14ac:dyDescent="0.25">
      <c r="B334" s="67" t="e">
        <f t="shared" si="25"/>
        <v>#REF!</v>
      </c>
      <c r="C334" s="76" t="e">
        <f t="shared" si="26"/>
        <v>#REF!</v>
      </c>
    </row>
    <row r="335" spans="2:3" ht="15.75" customHeight="1" x14ac:dyDescent="0.25">
      <c r="B335" s="67" t="e">
        <f t="shared" si="25"/>
        <v>#REF!</v>
      </c>
      <c r="C335" s="76" t="e">
        <f t="shared" si="26"/>
        <v>#REF!</v>
      </c>
    </row>
    <row r="336" spans="2:3" ht="15.75" customHeight="1" x14ac:dyDescent="0.25">
      <c r="B336" s="67" t="e">
        <f t="shared" si="25"/>
        <v>#REF!</v>
      </c>
      <c r="C336" s="76" t="e">
        <f t="shared" si="26"/>
        <v>#REF!</v>
      </c>
    </row>
    <row r="337" spans="2:3" ht="15.75" customHeight="1" x14ac:dyDescent="0.25">
      <c r="B337" s="67" t="e">
        <f t="shared" si="25"/>
        <v>#REF!</v>
      </c>
      <c r="C337" s="76" t="e">
        <f t="shared" si="26"/>
        <v>#REF!</v>
      </c>
    </row>
    <row r="338" spans="2:3" ht="15.75" customHeight="1" x14ac:dyDescent="0.25">
      <c r="B338" s="67" t="e">
        <f t="shared" si="25"/>
        <v>#REF!</v>
      </c>
      <c r="C338" s="76" t="e">
        <f t="shared" si="26"/>
        <v>#REF!</v>
      </c>
    </row>
    <row r="339" spans="2:3" ht="15.75" customHeight="1" x14ac:dyDescent="0.25">
      <c r="B339" s="67" t="e">
        <f t="shared" si="25"/>
        <v>#REF!</v>
      </c>
      <c r="C339" s="76" t="e">
        <f t="shared" si="26"/>
        <v>#REF!</v>
      </c>
    </row>
    <row r="340" spans="2:3" ht="15.75" customHeight="1" x14ac:dyDescent="0.25">
      <c r="B340" s="67" t="e">
        <f t="shared" si="25"/>
        <v>#REF!</v>
      </c>
      <c r="C340" s="76" t="e">
        <f t="shared" si="26"/>
        <v>#REF!</v>
      </c>
    </row>
    <row r="341" spans="2:3" ht="15.75" customHeight="1" x14ac:dyDescent="0.25">
      <c r="B341" s="67" t="e">
        <f t="shared" si="25"/>
        <v>#REF!</v>
      </c>
      <c r="C341" s="76" t="e">
        <f t="shared" si="26"/>
        <v>#REF!</v>
      </c>
    </row>
    <row r="342" spans="2:3" ht="15.75" customHeight="1" x14ac:dyDescent="0.25">
      <c r="B342" s="67" t="e">
        <f t="shared" si="25"/>
        <v>#REF!</v>
      </c>
      <c r="C342" s="76" t="e">
        <f t="shared" si="26"/>
        <v>#REF!</v>
      </c>
    </row>
    <row r="343" spans="2:3" ht="15.75" customHeight="1" x14ac:dyDescent="0.25">
      <c r="B343" s="67" t="e">
        <f t="shared" si="25"/>
        <v>#REF!</v>
      </c>
      <c r="C343" s="76" t="e">
        <f t="shared" si="26"/>
        <v>#REF!</v>
      </c>
    </row>
    <row r="344" spans="2:3" ht="15.75" customHeight="1" x14ac:dyDescent="0.25">
      <c r="B344" s="67" t="e">
        <f t="shared" si="25"/>
        <v>#REF!</v>
      </c>
      <c r="C344" s="76" t="e">
        <f t="shared" si="26"/>
        <v>#REF!</v>
      </c>
    </row>
    <row r="345" spans="2:3" ht="15.75" customHeight="1" x14ac:dyDescent="0.25">
      <c r="B345" s="67" t="e">
        <f t="shared" si="25"/>
        <v>#REF!</v>
      </c>
      <c r="C345" s="76" t="e">
        <f t="shared" si="26"/>
        <v>#REF!</v>
      </c>
    </row>
    <row r="346" spans="2:3" ht="15.75" customHeight="1" x14ac:dyDescent="0.25">
      <c r="B346" s="67" t="e">
        <f t="shared" si="25"/>
        <v>#REF!</v>
      </c>
      <c r="C346" s="76" t="e">
        <f t="shared" si="26"/>
        <v>#REF!</v>
      </c>
    </row>
    <row r="347" spans="2:3" ht="15.75" customHeight="1" x14ac:dyDescent="0.25">
      <c r="B347" s="67" t="e">
        <f t="shared" si="25"/>
        <v>#REF!</v>
      </c>
      <c r="C347" s="76" t="e">
        <f t="shared" si="26"/>
        <v>#REF!</v>
      </c>
    </row>
    <row r="348" spans="2:3" ht="15.75" customHeight="1" x14ac:dyDescent="0.25">
      <c r="B348" s="67" t="e">
        <f t="shared" si="25"/>
        <v>#REF!</v>
      </c>
      <c r="C348" s="76" t="e">
        <f t="shared" si="26"/>
        <v>#REF!</v>
      </c>
    </row>
    <row r="349" spans="2:3" ht="15.75" customHeight="1" x14ac:dyDescent="0.25">
      <c r="B349" s="67" t="e">
        <f t="shared" si="25"/>
        <v>#REF!</v>
      </c>
      <c r="C349" s="76" t="e">
        <f t="shared" si="26"/>
        <v>#REF!</v>
      </c>
    </row>
    <row r="350" spans="2:3" ht="15.75" customHeight="1" x14ac:dyDescent="0.25">
      <c r="B350" s="67" t="e">
        <f t="shared" ref="B350:B413" si="27">IF(B349="","",IF(B349+$C$10&lt;=$C$6,B349+$C$10,""))</f>
        <v>#REF!</v>
      </c>
      <c r="C350" s="76" t="e">
        <f t="shared" ref="C350:C413" si="28">IF(B350&lt;&gt;"",C349-$C$2/COUNT($B$18:$B$511),"")</f>
        <v>#REF!</v>
      </c>
    </row>
    <row r="351" spans="2:3" ht="15.75" customHeight="1" x14ac:dyDescent="0.25">
      <c r="B351" s="67" t="e">
        <f t="shared" si="27"/>
        <v>#REF!</v>
      </c>
      <c r="C351" s="76" t="e">
        <f t="shared" si="28"/>
        <v>#REF!</v>
      </c>
    </row>
    <row r="352" spans="2:3" ht="15.75" customHeight="1" x14ac:dyDescent="0.25">
      <c r="B352" s="67" t="e">
        <f t="shared" si="27"/>
        <v>#REF!</v>
      </c>
      <c r="C352" s="76" t="e">
        <f t="shared" si="28"/>
        <v>#REF!</v>
      </c>
    </row>
    <row r="353" spans="2:3" ht="15.75" customHeight="1" x14ac:dyDescent="0.25">
      <c r="B353" s="67" t="e">
        <f t="shared" si="27"/>
        <v>#REF!</v>
      </c>
      <c r="C353" s="76" t="e">
        <f t="shared" si="28"/>
        <v>#REF!</v>
      </c>
    </row>
    <row r="354" spans="2:3" ht="15.75" customHeight="1" x14ac:dyDescent="0.25">
      <c r="B354" s="67" t="e">
        <f t="shared" si="27"/>
        <v>#REF!</v>
      </c>
      <c r="C354" s="76" t="e">
        <f t="shared" si="28"/>
        <v>#REF!</v>
      </c>
    </row>
    <row r="355" spans="2:3" ht="15.75" customHeight="1" x14ac:dyDescent="0.25">
      <c r="B355" s="67" t="e">
        <f t="shared" si="27"/>
        <v>#REF!</v>
      </c>
      <c r="C355" s="76" t="e">
        <f t="shared" si="28"/>
        <v>#REF!</v>
      </c>
    </row>
    <row r="356" spans="2:3" ht="15.75" customHeight="1" x14ac:dyDescent="0.25">
      <c r="B356" s="67" t="e">
        <f t="shared" si="27"/>
        <v>#REF!</v>
      </c>
      <c r="C356" s="76" t="e">
        <f t="shared" si="28"/>
        <v>#REF!</v>
      </c>
    </row>
    <row r="357" spans="2:3" ht="15.75" customHeight="1" x14ac:dyDescent="0.25">
      <c r="B357" s="67" t="e">
        <f t="shared" si="27"/>
        <v>#REF!</v>
      </c>
      <c r="C357" s="76" t="e">
        <f t="shared" si="28"/>
        <v>#REF!</v>
      </c>
    </row>
    <row r="358" spans="2:3" ht="15.75" customHeight="1" x14ac:dyDescent="0.25">
      <c r="B358" s="67" t="e">
        <f t="shared" si="27"/>
        <v>#REF!</v>
      </c>
      <c r="C358" s="76" t="e">
        <f t="shared" si="28"/>
        <v>#REF!</v>
      </c>
    </row>
    <row r="359" spans="2:3" ht="15.75" customHeight="1" x14ac:dyDescent="0.25">
      <c r="B359" s="67" t="e">
        <f t="shared" si="27"/>
        <v>#REF!</v>
      </c>
      <c r="C359" s="76" t="e">
        <f t="shared" si="28"/>
        <v>#REF!</v>
      </c>
    </row>
    <row r="360" spans="2:3" ht="15.75" customHeight="1" x14ac:dyDescent="0.25">
      <c r="B360" s="67" t="e">
        <f t="shared" si="27"/>
        <v>#REF!</v>
      </c>
      <c r="C360" s="76" t="e">
        <f t="shared" si="28"/>
        <v>#REF!</v>
      </c>
    </row>
    <row r="361" spans="2:3" ht="15.75" customHeight="1" x14ac:dyDescent="0.25">
      <c r="B361" s="67" t="e">
        <f t="shared" si="27"/>
        <v>#REF!</v>
      </c>
      <c r="C361" s="76" t="e">
        <f t="shared" si="28"/>
        <v>#REF!</v>
      </c>
    </row>
    <row r="362" spans="2:3" ht="15.75" customHeight="1" x14ac:dyDescent="0.25">
      <c r="B362" s="67" t="e">
        <f t="shared" si="27"/>
        <v>#REF!</v>
      </c>
      <c r="C362" s="76" t="e">
        <f t="shared" si="28"/>
        <v>#REF!</v>
      </c>
    </row>
    <row r="363" spans="2:3" ht="15.75" customHeight="1" x14ac:dyDescent="0.25">
      <c r="B363" s="67" t="e">
        <f t="shared" si="27"/>
        <v>#REF!</v>
      </c>
      <c r="C363" s="76" t="e">
        <f t="shared" si="28"/>
        <v>#REF!</v>
      </c>
    </row>
    <row r="364" spans="2:3" ht="15.75" customHeight="1" x14ac:dyDescent="0.25">
      <c r="B364" s="67" t="e">
        <f t="shared" si="27"/>
        <v>#REF!</v>
      </c>
      <c r="C364" s="76" t="e">
        <f t="shared" si="28"/>
        <v>#REF!</v>
      </c>
    </row>
    <row r="365" spans="2:3" ht="15.75" customHeight="1" x14ac:dyDescent="0.25">
      <c r="B365" s="67" t="e">
        <f t="shared" si="27"/>
        <v>#REF!</v>
      </c>
      <c r="C365" s="76" t="e">
        <f t="shared" si="28"/>
        <v>#REF!</v>
      </c>
    </row>
    <row r="366" spans="2:3" ht="15.75" customHeight="1" x14ac:dyDescent="0.25">
      <c r="B366" s="67" t="e">
        <f t="shared" si="27"/>
        <v>#REF!</v>
      </c>
      <c r="C366" s="76" t="e">
        <f t="shared" si="28"/>
        <v>#REF!</v>
      </c>
    </row>
    <row r="367" spans="2:3" ht="15.75" customHeight="1" x14ac:dyDescent="0.25">
      <c r="B367" s="67" t="e">
        <f t="shared" si="27"/>
        <v>#REF!</v>
      </c>
      <c r="C367" s="76" t="e">
        <f t="shared" si="28"/>
        <v>#REF!</v>
      </c>
    </row>
    <row r="368" spans="2:3" ht="15.75" customHeight="1" x14ac:dyDescent="0.25">
      <c r="B368" s="67" t="e">
        <f t="shared" si="27"/>
        <v>#REF!</v>
      </c>
      <c r="C368" s="76" t="e">
        <f t="shared" si="28"/>
        <v>#REF!</v>
      </c>
    </row>
    <row r="369" spans="2:3" ht="15.75" customHeight="1" x14ac:dyDescent="0.25">
      <c r="B369" s="67" t="e">
        <f t="shared" si="27"/>
        <v>#REF!</v>
      </c>
      <c r="C369" s="76" t="e">
        <f t="shared" si="28"/>
        <v>#REF!</v>
      </c>
    </row>
    <row r="370" spans="2:3" ht="15.75" customHeight="1" x14ac:dyDescent="0.25">
      <c r="B370" s="67" t="e">
        <f t="shared" si="27"/>
        <v>#REF!</v>
      </c>
      <c r="C370" s="76" t="e">
        <f t="shared" si="28"/>
        <v>#REF!</v>
      </c>
    </row>
    <row r="371" spans="2:3" ht="15.75" customHeight="1" x14ac:dyDescent="0.25">
      <c r="B371" s="67" t="e">
        <f t="shared" si="27"/>
        <v>#REF!</v>
      </c>
      <c r="C371" s="76" t="e">
        <f t="shared" si="28"/>
        <v>#REF!</v>
      </c>
    </row>
    <row r="372" spans="2:3" ht="15.75" customHeight="1" x14ac:dyDescent="0.25">
      <c r="B372" s="67" t="e">
        <f t="shared" si="27"/>
        <v>#REF!</v>
      </c>
      <c r="C372" s="76" t="e">
        <f t="shared" si="28"/>
        <v>#REF!</v>
      </c>
    </row>
    <row r="373" spans="2:3" ht="15.75" customHeight="1" x14ac:dyDescent="0.25">
      <c r="B373" s="67" t="e">
        <f t="shared" si="27"/>
        <v>#REF!</v>
      </c>
      <c r="C373" s="76" t="e">
        <f t="shared" si="28"/>
        <v>#REF!</v>
      </c>
    </row>
    <row r="374" spans="2:3" ht="15.75" customHeight="1" x14ac:dyDescent="0.25">
      <c r="B374" s="67" t="e">
        <f t="shared" si="27"/>
        <v>#REF!</v>
      </c>
      <c r="C374" s="76" t="e">
        <f t="shared" si="28"/>
        <v>#REF!</v>
      </c>
    </row>
    <row r="375" spans="2:3" ht="15.75" customHeight="1" x14ac:dyDescent="0.25">
      <c r="B375" s="67" t="e">
        <f t="shared" si="27"/>
        <v>#REF!</v>
      </c>
      <c r="C375" s="76" t="e">
        <f t="shared" si="28"/>
        <v>#REF!</v>
      </c>
    </row>
    <row r="376" spans="2:3" ht="15.75" customHeight="1" x14ac:dyDescent="0.25">
      <c r="B376" s="67" t="e">
        <f t="shared" si="27"/>
        <v>#REF!</v>
      </c>
      <c r="C376" s="76" t="e">
        <f t="shared" si="28"/>
        <v>#REF!</v>
      </c>
    </row>
    <row r="377" spans="2:3" ht="15.75" customHeight="1" x14ac:dyDescent="0.25">
      <c r="B377" s="67" t="e">
        <f t="shared" si="27"/>
        <v>#REF!</v>
      </c>
      <c r="C377" s="76" t="e">
        <f t="shared" si="28"/>
        <v>#REF!</v>
      </c>
    </row>
    <row r="378" spans="2:3" ht="15.75" customHeight="1" x14ac:dyDescent="0.25">
      <c r="B378" s="67" t="e">
        <f t="shared" si="27"/>
        <v>#REF!</v>
      </c>
      <c r="C378" s="76" t="e">
        <f t="shared" si="28"/>
        <v>#REF!</v>
      </c>
    </row>
    <row r="379" spans="2:3" ht="15.75" customHeight="1" x14ac:dyDescent="0.25">
      <c r="B379" s="67" t="e">
        <f t="shared" si="27"/>
        <v>#REF!</v>
      </c>
      <c r="C379" s="76" t="e">
        <f t="shared" si="28"/>
        <v>#REF!</v>
      </c>
    </row>
    <row r="380" spans="2:3" ht="15.75" customHeight="1" x14ac:dyDescent="0.25">
      <c r="B380" s="67" t="e">
        <f t="shared" si="27"/>
        <v>#REF!</v>
      </c>
      <c r="C380" s="76" t="e">
        <f t="shared" si="28"/>
        <v>#REF!</v>
      </c>
    </row>
    <row r="381" spans="2:3" ht="15.75" customHeight="1" x14ac:dyDescent="0.25">
      <c r="B381" s="67" t="e">
        <f t="shared" si="27"/>
        <v>#REF!</v>
      </c>
      <c r="C381" s="76" t="e">
        <f t="shared" si="28"/>
        <v>#REF!</v>
      </c>
    </row>
    <row r="382" spans="2:3" ht="15.75" customHeight="1" x14ac:dyDescent="0.25">
      <c r="B382" s="67" t="e">
        <f t="shared" si="27"/>
        <v>#REF!</v>
      </c>
      <c r="C382" s="76" t="e">
        <f t="shared" si="28"/>
        <v>#REF!</v>
      </c>
    </row>
    <row r="383" spans="2:3" ht="15.75" customHeight="1" x14ac:dyDescent="0.25">
      <c r="B383" s="67" t="e">
        <f t="shared" si="27"/>
        <v>#REF!</v>
      </c>
      <c r="C383" s="76" t="e">
        <f t="shared" si="28"/>
        <v>#REF!</v>
      </c>
    </row>
    <row r="384" spans="2:3" ht="15.75" customHeight="1" x14ac:dyDescent="0.25">
      <c r="B384" s="67" t="e">
        <f t="shared" si="27"/>
        <v>#REF!</v>
      </c>
      <c r="C384" s="76" t="e">
        <f t="shared" si="28"/>
        <v>#REF!</v>
      </c>
    </row>
    <row r="385" spans="2:3" ht="15.75" customHeight="1" x14ac:dyDescent="0.25">
      <c r="B385" s="67" t="e">
        <f t="shared" si="27"/>
        <v>#REF!</v>
      </c>
      <c r="C385" s="76" t="e">
        <f t="shared" si="28"/>
        <v>#REF!</v>
      </c>
    </row>
    <row r="386" spans="2:3" ht="15.75" customHeight="1" x14ac:dyDescent="0.25">
      <c r="B386" s="67" t="e">
        <f t="shared" si="27"/>
        <v>#REF!</v>
      </c>
      <c r="C386" s="76" t="e">
        <f t="shared" si="28"/>
        <v>#REF!</v>
      </c>
    </row>
    <row r="387" spans="2:3" ht="15.75" customHeight="1" x14ac:dyDescent="0.25">
      <c r="B387" s="67" t="e">
        <f t="shared" si="27"/>
        <v>#REF!</v>
      </c>
      <c r="C387" s="76" t="e">
        <f t="shared" si="28"/>
        <v>#REF!</v>
      </c>
    </row>
    <row r="388" spans="2:3" ht="15.75" customHeight="1" x14ac:dyDescent="0.25">
      <c r="B388" s="67" t="e">
        <f t="shared" si="27"/>
        <v>#REF!</v>
      </c>
      <c r="C388" s="76" t="e">
        <f t="shared" si="28"/>
        <v>#REF!</v>
      </c>
    </row>
    <row r="389" spans="2:3" ht="15.75" customHeight="1" x14ac:dyDescent="0.25">
      <c r="B389" s="67" t="e">
        <f t="shared" si="27"/>
        <v>#REF!</v>
      </c>
      <c r="C389" s="76" t="e">
        <f t="shared" si="28"/>
        <v>#REF!</v>
      </c>
    </row>
    <row r="390" spans="2:3" ht="15.75" customHeight="1" x14ac:dyDescent="0.25">
      <c r="B390" s="67" t="e">
        <f t="shared" si="27"/>
        <v>#REF!</v>
      </c>
      <c r="C390" s="76" t="e">
        <f t="shared" si="28"/>
        <v>#REF!</v>
      </c>
    </row>
    <row r="391" spans="2:3" ht="15.75" customHeight="1" x14ac:dyDescent="0.25">
      <c r="B391" s="67" t="e">
        <f t="shared" si="27"/>
        <v>#REF!</v>
      </c>
      <c r="C391" s="76" t="e">
        <f t="shared" si="28"/>
        <v>#REF!</v>
      </c>
    </row>
    <row r="392" spans="2:3" ht="15.75" customHeight="1" x14ac:dyDescent="0.25">
      <c r="B392" s="67" t="e">
        <f t="shared" si="27"/>
        <v>#REF!</v>
      </c>
      <c r="C392" s="76" t="e">
        <f t="shared" si="28"/>
        <v>#REF!</v>
      </c>
    </row>
    <row r="393" spans="2:3" ht="15.75" customHeight="1" x14ac:dyDescent="0.25">
      <c r="B393" s="67" t="e">
        <f t="shared" si="27"/>
        <v>#REF!</v>
      </c>
      <c r="C393" s="76" t="e">
        <f t="shared" si="28"/>
        <v>#REF!</v>
      </c>
    </row>
    <row r="394" spans="2:3" ht="15.75" customHeight="1" x14ac:dyDescent="0.25">
      <c r="B394" s="67" t="e">
        <f t="shared" si="27"/>
        <v>#REF!</v>
      </c>
      <c r="C394" s="76" t="e">
        <f t="shared" si="28"/>
        <v>#REF!</v>
      </c>
    </row>
    <row r="395" spans="2:3" ht="15.75" customHeight="1" x14ac:dyDescent="0.25">
      <c r="B395" s="67" t="e">
        <f t="shared" si="27"/>
        <v>#REF!</v>
      </c>
      <c r="C395" s="76" t="e">
        <f t="shared" si="28"/>
        <v>#REF!</v>
      </c>
    </row>
    <row r="396" spans="2:3" ht="15.75" customHeight="1" x14ac:dyDescent="0.25">
      <c r="B396" s="67" t="e">
        <f t="shared" si="27"/>
        <v>#REF!</v>
      </c>
      <c r="C396" s="76" t="e">
        <f t="shared" si="28"/>
        <v>#REF!</v>
      </c>
    </row>
    <row r="397" spans="2:3" ht="15.75" customHeight="1" x14ac:dyDescent="0.25">
      <c r="B397" s="67" t="e">
        <f t="shared" si="27"/>
        <v>#REF!</v>
      </c>
      <c r="C397" s="76" t="e">
        <f t="shared" si="28"/>
        <v>#REF!</v>
      </c>
    </row>
    <row r="398" spans="2:3" ht="15.75" customHeight="1" x14ac:dyDescent="0.25">
      <c r="B398" s="67" t="e">
        <f t="shared" si="27"/>
        <v>#REF!</v>
      </c>
      <c r="C398" s="76" t="e">
        <f t="shared" si="28"/>
        <v>#REF!</v>
      </c>
    </row>
    <row r="399" spans="2:3" ht="15.75" customHeight="1" x14ac:dyDescent="0.25">
      <c r="B399" s="67" t="e">
        <f t="shared" si="27"/>
        <v>#REF!</v>
      </c>
      <c r="C399" s="76" t="e">
        <f t="shared" si="28"/>
        <v>#REF!</v>
      </c>
    </row>
    <row r="400" spans="2:3" ht="15.75" customHeight="1" x14ac:dyDescent="0.25">
      <c r="B400" s="67" t="e">
        <f t="shared" si="27"/>
        <v>#REF!</v>
      </c>
      <c r="C400" s="76" t="e">
        <f t="shared" si="28"/>
        <v>#REF!</v>
      </c>
    </row>
    <row r="401" spans="2:3" ht="15.75" customHeight="1" x14ac:dyDescent="0.25">
      <c r="B401" s="67" t="e">
        <f t="shared" si="27"/>
        <v>#REF!</v>
      </c>
      <c r="C401" s="76" t="e">
        <f t="shared" si="28"/>
        <v>#REF!</v>
      </c>
    </row>
    <row r="402" spans="2:3" ht="15.75" customHeight="1" x14ac:dyDescent="0.25">
      <c r="B402" s="67" t="e">
        <f t="shared" si="27"/>
        <v>#REF!</v>
      </c>
      <c r="C402" s="76" t="e">
        <f t="shared" si="28"/>
        <v>#REF!</v>
      </c>
    </row>
    <row r="403" spans="2:3" ht="15.75" customHeight="1" x14ac:dyDescent="0.25">
      <c r="B403" s="67" t="e">
        <f t="shared" si="27"/>
        <v>#REF!</v>
      </c>
      <c r="C403" s="76" t="e">
        <f t="shared" si="28"/>
        <v>#REF!</v>
      </c>
    </row>
    <row r="404" spans="2:3" ht="15.75" customHeight="1" x14ac:dyDescent="0.25">
      <c r="B404" s="67" t="e">
        <f t="shared" si="27"/>
        <v>#REF!</v>
      </c>
      <c r="C404" s="76" t="e">
        <f t="shared" si="28"/>
        <v>#REF!</v>
      </c>
    </row>
    <row r="405" spans="2:3" ht="15.75" customHeight="1" x14ac:dyDescent="0.25">
      <c r="B405" s="67" t="e">
        <f t="shared" si="27"/>
        <v>#REF!</v>
      </c>
      <c r="C405" s="76" t="e">
        <f t="shared" si="28"/>
        <v>#REF!</v>
      </c>
    </row>
    <row r="406" spans="2:3" ht="15.75" customHeight="1" x14ac:dyDescent="0.25">
      <c r="B406" s="67" t="e">
        <f t="shared" si="27"/>
        <v>#REF!</v>
      </c>
      <c r="C406" s="76" t="e">
        <f t="shared" si="28"/>
        <v>#REF!</v>
      </c>
    </row>
    <row r="407" spans="2:3" ht="15.75" customHeight="1" x14ac:dyDescent="0.25">
      <c r="B407" s="67" t="e">
        <f t="shared" si="27"/>
        <v>#REF!</v>
      </c>
      <c r="C407" s="76" t="e">
        <f t="shared" si="28"/>
        <v>#REF!</v>
      </c>
    </row>
    <row r="408" spans="2:3" ht="15.75" customHeight="1" x14ac:dyDescent="0.25">
      <c r="B408" s="67" t="e">
        <f t="shared" si="27"/>
        <v>#REF!</v>
      </c>
      <c r="C408" s="76" t="e">
        <f t="shared" si="28"/>
        <v>#REF!</v>
      </c>
    </row>
    <row r="409" spans="2:3" ht="15.75" customHeight="1" x14ac:dyDescent="0.25">
      <c r="B409" s="67" t="e">
        <f t="shared" si="27"/>
        <v>#REF!</v>
      </c>
      <c r="C409" s="76" t="e">
        <f t="shared" si="28"/>
        <v>#REF!</v>
      </c>
    </row>
    <row r="410" spans="2:3" ht="15.75" customHeight="1" x14ac:dyDescent="0.25">
      <c r="B410" s="67" t="e">
        <f t="shared" si="27"/>
        <v>#REF!</v>
      </c>
      <c r="C410" s="76" t="e">
        <f t="shared" si="28"/>
        <v>#REF!</v>
      </c>
    </row>
    <row r="411" spans="2:3" ht="15.75" customHeight="1" x14ac:dyDescent="0.25">
      <c r="B411" s="67" t="e">
        <f t="shared" si="27"/>
        <v>#REF!</v>
      </c>
      <c r="C411" s="76" t="e">
        <f t="shared" si="28"/>
        <v>#REF!</v>
      </c>
    </row>
    <row r="412" spans="2:3" ht="15.75" customHeight="1" x14ac:dyDescent="0.25">
      <c r="B412" s="67" t="e">
        <f t="shared" si="27"/>
        <v>#REF!</v>
      </c>
      <c r="C412" s="76" t="e">
        <f t="shared" si="28"/>
        <v>#REF!</v>
      </c>
    </row>
    <row r="413" spans="2:3" ht="15.75" customHeight="1" x14ac:dyDescent="0.25">
      <c r="B413" s="67" t="e">
        <f t="shared" si="27"/>
        <v>#REF!</v>
      </c>
      <c r="C413" s="76" t="e">
        <f t="shared" si="28"/>
        <v>#REF!</v>
      </c>
    </row>
    <row r="414" spans="2:3" ht="15.75" customHeight="1" x14ac:dyDescent="0.25">
      <c r="B414" s="67" t="e">
        <f t="shared" ref="B414:B477" si="29">IF(B413="","",IF(B413+$C$10&lt;=$C$6,B413+$C$10,""))</f>
        <v>#REF!</v>
      </c>
      <c r="C414" s="76" t="e">
        <f t="shared" ref="C414:C477" si="30">IF(B414&lt;&gt;"",C413-$C$2/COUNT($B$18:$B$511),"")</f>
        <v>#REF!</v>
      </c>
    </row>
    <row r="415" spans="2:3" ht="15.75" customHeight="1" x14ac:dyDescent="0.25">
      <c r="B415" s="67" t="e">
        <f t="shared" si="29"/>
        <v>#REF!</v>
      </c>
      <c r="C415" s="76" t="e">
        <f t="shared" si="30"/>
        <v>#REF!</v>
      </c>
    </row>
    <row r="416" spans="2:3" ht="15.75" customHeight="1" x14ac:dyDescent="0.25">
      <c r="B416" s="67" t="e">
        <f t="shared" si="29"/>
        <v>#REF!</v>
      </c>
      <c r="C416" s="76" t="e">
        <f t="shared" si="30"/>
        <v>#REF!</v>
      </c>
    </row>
    <row r="417" spans="2:3" ht="15.75" customHeight="1" x14ac:dyDescent="0.25">
      <c r="B417" s="67" t="e">
        <f t="shared" si="29"/>
        <v>#REF!</v>
      </c>
      <c r="C417" s="76" t="e">
        <f t="shared" si="30"/>
        <v>#REF!</v>
      </c>
    </row>
    <row r="418" spans="2:3" ht="15.75" customHeight="1" x14ac:dyDescent="0.25">
      <c r="B418" s="67" t="e">
        <f t="shared" si="29"/>
        <v>#REF!</v>
      </c>
      <c r="C418" s="76" t="e">
        <f t="shared" si="30"/>
        <v>#REF!</v>
      </c>
    </row>
    <row r="419" spans="2:3" ht="15.75" customHeight="1" x14ac:dyDescent="0.25">
      <c r="B419" s="67" t="e">
        <f t="shared" si="29"/>
        <v>#REF!</v>
      </c>
      <c r="C419" s="76" t="e">
        <f t="shared" si="30"/>
        <v>#REF!</v>
      </c>
    </row>
    <row r="420" spans="2:3" ht="15.75" customHeight="1" x14ac:dyDescent="0.25">
      <c r="B420" s="67" t="e">
        <f t="shared" si="29"/>
        <v>#REF!</v>
      </c>
      <c r="C420" s="76" t="e">
        <f t="shared" si="30"/>
        <v>#REF!</v>
      </c>
    </row>
    <row r="421" spans="2:3" ht="15.75" customHeight="1" x14ac:dyDescent="0.25">
      <c r="B421" s="67" t="e">
        <f t="shared" si="29"/>
        <v>#REF!</v>
      </c>
      <c r="C421" s="76" t="e">
        <f t="shared" si="30"/>
        <v>#REF!</v>
      </c>
    </row>
    <row r="422" spans="2:3" ht="15.75" customHeight="1" x14ac:dyDescent="0.25">
      <c r="B422" s="67" t="e">
        <f t="shared" si="29"/>
        <v>#REF!</v>
      </c>
      <c r="C422" s="76" t="e">
        <f t="shared" si="30"/>
        <v>#REF!</v>
      </c>
    </row>
    <row r="423" spans="2:3" ht="15.75" customHeight="1" x14ac:dyDescent="0.25">
      <c r="B423" s="67" t="e">
        <f t="shared" si="29"/>
        <v>#REF!</v>
      </c>
      <c r="C423" s="76" t="e">
        <f t="shared" si="30"/>
        <v>#REF!</v>
      </c>
    </row>
    <row r="424" spans="2:3" ht="15.75" customHeight="1" x14ac:dyDescent="0.25">
      <c r="B424" s="67" t="e">
        <f t="shared" si="29"/>
        <v>#REF!</v>
      </c>
      <c r="C424" s="76" t="e">
        <f t="shared" si="30"/>
        <v>#REF!</v>
      </c>
    </row>
    <row r="425" spans="2:3" ht="15.75" customHeight="1" x14ac:dyDescent="0.25">
      <c r="B425" s="67" t="e">
        <f t="shared" si="29"/>
        <v>#REF!</v>
      </c>
      <c r="C425" s="76" t="e">
        <f t="shared" si="30"/>
        <v>#REF!</v>
      </c>
    </row>
    <row r="426" spans="2:3" ht="15.75" customHeight="1" x14ac:dyDescent="0.25">
      <c r="B426" s="67" t="e">
        <f t="shared" si="29"/>
        <v>#REF!</v>
      </c>
      <c r="C426" s="76" t="e">
        <f t="shared" si="30"/>
        <v>#REF!</v>
      </c>
    </row>
    <row r="427" spans="2:3" ht="15.75" customHeight="1" x14ac:dyDescent="0.25">
      <c r="B427" s="67" t="e">
        <f t="shared" si="29"/>
        <v>#REF!</v>
      </c>
      <c r="C427" s="76" t="e">
        <f t="shared" si="30"/>
        <v>#REF!</v>
      </c>
    </row>
    <row r="428" spans="2:3" ht="15.75" customHeight="1" x14ac:dyDescent="0.25">
      <c r="B428" s="67" t="e">
        <f t="shared" si="29"/>
        <v>#REF!</v>
      </c>
      <c r="C428" s="76" t="e">
        <f t="shared" si="30"/>
        <v>#REF!</v>
      </c>
    </row>
    <row r="429" spans="2:3" ht="15.75" customHeight="1" x14ac:dyDescent="0.25">
      <c r="B429" s="67" t="e">
        <f t="shared" si="29"/>
        <v>#REF!</v>
      </c>
      <c r="C429" s="76" t="e">
        <f t="shared" si="30"/>
        <v>#REF!</v>
      </c>
    </row>
    <row r="430" spans="2:3" ht="15.75" customHeight="1" x14ac:dyDescent="0.25">
      <c r="B430" s="67" t="e">
        <f t="shared" si="29"/>
        <v>#REF!</v>
      </c>
      <c r="C430" s="76" t="e">
        <f t="shared" si="30"/>
        <v>#REF!</v>
      </c>
    </row>
    <row r="431" spans="2:3" ht="15.75" customHeight="1" x14ac:dyDescent="0.25">
      <c r="B431" s="67" t="e">
        <f t="shared" si="29"/>
        <v>#REF!</v>
      </c>
      <c r="C431" s="76" t="e">
        <f t="shared" si="30"/>
        <v>#REF!</v>
      </c>
    </row>
    <row r="432" spans="2:3" ht="15.75" customHeight="1" x14ac:dyDescent="0.25">
      <c r="B432" s="67" t="e">
        <f t="shared" si="29"/>
        <v>#REF!</v>
      </c>
      <c r="C432" s="76" t="e">
        <f t="shared" si="30"/>
        <v>#REF!</v>
      </c>
    </row>
    <row r="433" spans="2:3" ht="15.75" customHeight="1" x14ac:dyDescent="0.25">
      <c r="B433" s="67" t="e">
        <f t="shared" si="29"/>
        <v>#REF!</v>
      </c>
      <c r="C433" s="76" t="e">
        <f t="shared" si="30"/>
        <v>#REF!</v>
      </c>
    </row>
    <row r="434" spans="2:3" ht="15.75" customHeight="1" x14ac:dyDescent="0.25">
      <c r="B434" s="67" t="e">
        <f t="shared" si="29"/>
        <v>#REF!</v>
      </c>
      <c r="C434" s="76" t="e">
        <f t="shared" si="30"/>
        <v>#REF!</v>
      </c>
    </row>
    <row r="435" spans="2:3" ht="15.75" customHeight="1" x14ac:dyDescent="0.25">
      <c r="B435" s="67" t="e">
        <f t="shared" si="29"/>
        <v>#REF!</v>
      </c>
      <c r="C435" s="76" t="e">
        <f t="shared" si="30"/>
        <v>#REF!</v>
      </c>
    </row>
    <row r="436" spans="2:3" ht="15.75" customHeight="1" x14ac:dyDescent="0.25">
      <c r="B436" s="67" t="e">
        <f t="shared" si="29"/>
        <v>#REF!</v>
      </c>
      <c r="C436" s="76" t="e">
        <f t="shared" si="30"/>
        <v>#REF!</v>
      </c>
    </row>
    <row r="437" spans="2:3" ht="15.75" customHeight="1" x14ac:dyDescent="0.25">
      <c r="B437" s="67" t="e">
        <f t="shared" si="29"/>
        <v>#REF!</v>
      </c>
      <c r="C437" s="76" t="e">
        <f t="shared" si="30"/>
        <v>#REF!</v>
      </c>
    </row>
    <row r="438" spans="2:3" ht="15.75" customHeight="1" x14ac:dyDescent="0.25">
      <c r="B438" s="67" t="e">
        <f t="shared" si="29"/>
        <v>#REF!</v>
      </c>
      <c r="C438" s="76" t="e">
        <f t="shared" si="30"/>
        <v>#REF!</v>
      </c>
    </row>
    <row r="439" spans="2:3" ht="15.75" customHeight="1" x14ac:dyDescent="0.25">
      <c r="B439" s="67" t="e">
        <f t="shared" si="29"/>
        <v>#REF!</v>
      </c>
      <c r="C439" s="76" t="e">
        <f t="shared" si="30"/>
        <v>#REF!</v>
      </c>
    </row>
    <row r="440" spans="2:3" ht="15.75" customHeight="1" x14ac:dyDescent="0.25">
      <c r="B440" s="67" t="e">
        <f t="shared" si="29"/>
        <v>#REF!</v>
      </c>
      <c r="C440" s="76" t="e">
        <f t="shared" si="30"/>
        <v>#REF!</v>
      </c>
    </row>
    <row r="441" spans="2:3" ht="15.75" customHeight="1" x14ac:dyDescent="0.25">
      <c r="B441" s="67" t="e">
        <f t="shared" si="29"/>
        <v>#REF!</v>
      </c>
      <c r="C441" s="76" t="e">
        <f t="shared" si="30"/>
        <v>#REF!</v>
      </c>
    </row>
    <row r="442" spans="2:3" ht="15.75" customHeight="1" x14ac:dyDescent="0.25">
      <c r="B442" s="67" t="e">
        <f t="shared" si="29"/>
        <v>#REF!</v>
      </c>
      <c r="C442" s="76" t="e">
        <f t="shared" si="30"/>
        <v>#REF!</v>
      </c>
    </row>
    <row r="443" spans="2:3" ht="15.75" customHeight="1" x14ac:dyDescent="0.25">
      <c r="B443" s="67" t="e">
        <f t="shared" si="29"/>
        <v>#REF!</v>
      </c>
      <c r="C443" s="76" t="e">
        <f t="shared" si="30"/>
        <v>#REF!</v>
      </c>
    </row>
    <row r="444" spans="2:3" ht="15.75" customHeight="1" x14ac:dyDescent="0.25">
      <c r="B444" s="67" t="e">
        <f t="shared" si="29"/>
        <v>#REF!</v>
      </c>
      <c r="C444" s="76" t="e">
        <f t="shared" si="30"/>
        <v>#REF!</v>
      </c>
    </row>
    <row r="445" spans="2:3" ht="15.75" customHeight="1" x14ac:dyDescent="0.25">
      <c r="B445" s="67" t="e">
        <f t="shared" si="29"/>
        <v>#REF!</v>
      </c>
      <c r="C445" s="76" t="e">
        <f t="shared" si="30"/>
        <v>#REF!</v>
      </c>
    </row>
    <row r="446" spans="2:3" ht="15.75" customHeight="1" x14ac:dyDescent="0.25">
      <c r="B446" s="67" t="e">
        <f t="shared" si="29"/>
        <v>#REF!</v>
      </c>
      <c r="C446" s="76" t="e">
        <f t="shared" si="30"/>
        <v>#REF!</v>
      </c>
    </row>
    <row r="447" spans="2:3" ht="15.75" customHeight="1" x14ac:dyDescent="0.25">
      <c r="B447" s="67" t="e">
        <f t="shared" si="29"/>
        <v>#REF!</v>
      </c>
      <c r="C447" s="76" t="e">
        <f t="shared" si="30"/>
        <v>#REF!</v>
      </c>
    </row>
    <row r="448" spans="2:3" ht="15.75" customHeight="1" x14ac:dyDescent="0.25">
      <c r="B448" s="67" t="e">
        <f t="shared" si="29"/>
        <v>#REF!</v>
      </c>
      <c r="C448" s="76" t="e">
        <f t="shared" si="30"/>
        <v>#REF!</v>
      </c>
    </row>
    <row r="449" spans="2:3" ht="15.75" customHeight="1" x14ac:dyDescent="0.25">
      <c r="B449" s="67" t="e">
        <f t="shared" si="29"/>
        <v>#REF!</v>
      </c>
      <c r="C449" s="76" t="e">
        <f t="shared" si="30"/>
        <v>#REF!</v>
      </c>
    </row>
    <row r="450" spans="2:3" ht="15.75" customHeight="1" x14ac:dyDescent="0.25">
      <c r="B450" s="67" t="e">
        <f t="shared" si="29"/>
        <v>#REF!</v>
      </c>
      <c r="C450" s="76" t="e">
        <f t="shared" si="30"/>
        <v>#REF!</v>
      </c>
    </row>
    <row r="451" spans="2:3" ht="15.75" customHeight="1" x14ac:dyDescent="0.25">
      <c r="B451" s="67" t="e">
        <f t="shared" si="29"/>
        <v>#REF!</v>
      </c>
      <c r="C451" s="76" t="e">
        <f t="shared" si="30"/>
        <v>#REF!</v>
      </c>
    </row>
    <row r="452" spans="2:3" ht="15.75" customHeight="1" x14ac:dyDescent="0.25">
      <c r="B452" s="67" t="e">
        <f t="shared" si="29"/>
        <v>#REF!</v>
      </c>
      <c r="C452" s="76" t="e">
        <f t="shared" si="30"/>
        <v>#REF!</v>
      </c>
    </row>
    <row r="453" spans="2:3" ht="15.75" customHeight="1" x14ac:dyDescent="0.25">
      <c r="B453" s="67" t="e">
        <f t="shared" si="29"/>
        <v>#REF!</v>
      </c>
      <c r="C453" s="76" t="e">
        <f t="shared" si="30"/>
        <v>#REF!</v>
      </c>
    </row>
    <row r="454" spans="2:3" ht="15.75" customHeight="1" x14ac:dyDescent="0.25">
      <c r="B454" s="67" t="e">
        <f t="shared" si="29"/>
        <v>#REF!</v>
      </c>
      <c r="C454" s="76" t="e">
        <f t="shared" si="30"/>
        <v>#REF!</v>
      </c>
    </row>
    <row r="455" spans="2:3" ht="15.75" customHeight="1" x14ac:dyDescent="0.25">
      <c r="B455" s="67" t="e">
        <f t="shared" si="29"/>
        <v>#REF!</v>
      </c>
      <c r="C455" s="76" t="e">
        <f t="shared" si="30"/>
        <v>#REF!</v>
      </c>
    </row>
    <row r="456" spans="2:3" ht="15.75" customHeight="1" x14ac:dyDescent="0.25">
      <c r="B456" s="67" t="e">
        <f t="shared" si="29"/>
        <v>#REF!</v>
      </c>
      <c r="C456" s="76" t="e">
        <f t="shared" si="30"/>
        <v>#REF!</v>
      </c>
    </row>
    <row r="457" spans="2:3" ht="15.75" customHeight="1" x14ac:dyDescent="0.25">
      <c r="B457" s="67" t="e">
        <f t="shared" si="29"/>
        <v>#REF!</v>
      </c>
      <c r="C457" s="76" t="e">
        <f t="shared" si="30"/>
        <v>#REF!</v>
      </c>
    </row>
    <row r="458" spans="2:3" ht="15.75" customHeight="1" x14ac:dyDescent="0.25">
      <c r="B458" s="67" t="e">
        <f t="shared" si="29"/>
        <v>#REF!</v>
      </c>
      <c r="C458" s="76" t="e">
        <f t="shared" si="30"/>
        <v>#REF!</v>
      </c>
    </row>
    <row r="459" spans="2:3" ht="15.75" customHeight="1" x14ac:dyDescent="0.25">
      <c r="B459" s="67" t="e">
        <f t="shared" si="29"/>
        <v>#REF!</v>
      </c>
      <c r="C459" s="76" t="e">
        <f t="shared" si="30"/>
        <v>#REF!</v>
      </c>
    </row>
    <row r="460" spans="2:3" ht="15.75" customHeight="1" x14ac:dyDescent="0.25">
      <c r="B460" s="67" t="e">
        <f t="shared" si="29"/>
        <v>#REF!</v>
      </c>
      <c r="C460" s="76" t="e">
        <f t="shared" si="30"/>
        <v>#REF!</v>
      </c>
    </row>
    <row r="461" spans="2:3" ht="15.75" customHeight="1" x14ac:dyDescent="0.25">
      <c r="B461" s="67" t="e">
        <f t="shared" si="29"/>
        <v>#REF!</v>
      </c>
      <c r="C461" s="76" t="e">
        <f t="shared" si="30"/>
        <v>#REF!</v>
      </c>
    </row>
    <row r="462" spans="2:3" ht="15.75" customHeight="1" x14ac:dyDescent="0.25">
      <c r="B462" s="67" t="e">
        <f t="shared" si="29"/>
        <v>#REF!</v>
      </c>
      <c r="C462" s="76" t="e">
        <f t="shared" si="30"/>
        <v>#REF!</v>
      </c>
    </row>
    <row r="463" spans="2:3" ht="15.75" customHeight="1" x14ac:dyDescent="0.25">
      <c r="B463" s="67" t="e">
        <f t="shared" si="29"/>
        <v>#REF!</v>
      </c>
      <c r="C463" s="76" t="e">
        <f t="shared" si="30"/>
        <v>#REF!</v>
      </c>
    </row>
    <row r="464" spans="2:3" ht="15.75" customHeight="1" x14ac:dyDescent="0.25">
      <c r="B464" s="67" t="e">
        <f t="shared" si="29"/>
        <v>#REF!</v>
      </c>
      <c r="C464" s="76" t="e">
        <f t="shared" si="30"/>
        <v>#REF!</v>
      </c>
    </row>
    <row r="465" spans="2:3" ht="15.75" customHeight="1" x14ac:dyDescent="0.25">
      <c r="B465" s="67" t="e">
        <f t="shared" si="29"/>
        <v>#REF!</v>
      </c>
      <c r="C465" s="76" t="e">
        <f t="shared" si="30"/>
        <v>#REF!</v>
      </c>
    </row>
    <row r="466" spans="2:3" ht="15.75" customHeight="1" x14ac:dyDescent="0.25">
      <c r="B466" s="67" t="e">
        <f t="shared" si="29"/>
        <v>#REF!</v>
      </c>
      <c r="C466" s="76" t="e">
        <f t="shared" si="30"/>
        <v>#REF!</v>
      </c>
    </row>
    <row r="467" spans="2:3" ht="15.75" customHeight="1" x14ac:dyDescent="0.25">
      <c r="B467" s="67" t="e">
        <f t="shared" si="29"/>
        <v>#REF!</v>
      </c>
      <c r="C467" s="76" t="e">
        <f t="shared" si="30"/>
        <v>#REF!</v>
      </c>
    </row>
    <row r="468" spans="2:3" ht="15.75" customHeight="1" x14ac:dyDescent="0.25">
      <c r="B468" s="67" t="e">
        <f t="shared" si="29"/>
        <v>#REF!</v>
      </c>
      <c r="C468" s="76" t="e">
        <f t="shared" si="30"/>
        <v>#REF!</v>
      </c>
    </row>
    <row r="469" spans="2:3" ht="15.75" customHeight="1" x14ac:dyDescent="0.25">
      <c r="B469" s="67" t="e">
        <f t="shared" si="29"/>
        <v>#REF!</v>
      </c>
      <c r="C469" s="76" t="e">
        <f t="shared" si="30"/>
        <v>#REF!</v>
      </c>
    </row>
    <row r="470" spans="2:3" ht="15.75" customHeight="1" x14ac:dyDescent="0.25">
      <c r="B470" s="67" t="e">
        <f t="shared" si="29"/>
        <v>#REF!</v>
      </c>
      <c r="C470" s="76" t="e">
        <f t="shared" si="30"/>
        <v>#REF!</v>
      </c>
    </row>
    <row r="471" spans="2:3" ht="15.75" customHeight="1" x14ac:dyDescent="0.25">
      <c r="B471" s="67" t="e">
        <f t="shared" si="29"/>
        <v>#REF!</v>
      </c>
      <c r="C471" s="76" t="e">
        <f t="shared" si="30"/>
        <v>#REF!</v>
      </c>
    </row>
    <row r="472" spans="2:3" ht="15.75" customHeight="1" x14ac:dyDescent="0.25">
      <c r="B472" s="67" t="e">
        <f t="shared" si="29"/>
        <v>#REF!</v>
      </c>
      <c r="C472" s="76" t="e">
        <f t="shared" si="30"/>
        <v>#REF!</v>
      </c>
    </row>
    <row r="473" spans="2:3" ht="15.75" customHeight="1" x14ac:dyDescent="0.25">
      <c r="B473" s="67" t="e">
        <f t="shared" si="29"/>
        <v>#REF!</v>
      </c>
      <c r="C473" s="76" t="e">
        <f t="shared" si="30"/>
        <v>#REF!</v>
      </c>
    </row>
    <row r="474" spans="2:3" ht="15.75" customHeight="1" x14ac:dyDescent="0.25">
      <c r="B474" s="67" t="e">
        <f t="shared" si="29"/>
        <v>#REF!</v>
      </c>
      <c r="C474" s="76" t="e">
        <f t="shared" si="30"/>
        <v>#REF!</v>
      </c>
    </row>
    <row r="475" spans="2:3" ht="15.75" customHeight="1" x14ac:dyDescent="0.25">
      <c r="B475" s="67" t="e">
        <f t="shared" si="29"/>
        <v>#REF!</v>
      </c>
      <c r="C475" s="76" t="e">
        <f t="shared" si="30"/>
        <v>#REF!</v>
      </c>
    </row>
    <row r="476" spans="2:3" ht="15.75" customHeight="1" x14ac:dyDescent="0.25">
      <c r="B476" s="67" t="e">
        <f t="shared" si="29"/>
        <v>#REF!</v>
      </c>
      <c r="C476" s="76" t="e">
        <f t="shared" si="30"/>
        <v>#REF!</v>
      </c>
    </row>
    <row r="477" spans="2:3" ht="15.75" customHeight="1" x14ac:dyDescent="0.25">
      <c r="B477" s="67" t="e">
        <f t="shared" si="29"/>
        <v>#REF!</v>
      </c>
      <c r="C477" s="76" t="e">
        <f t="shared" si="30"/>
        <v>#REF!</v>
      </c>
    </row>
    <row r="478" spans="2:3" ht="15.75" customHeight="1" x14ac:dyDescent="0.25">
      <c r="B478" s="67" t="e">
        <f t="shared" ref="B478:B512" si="31">IF(B477="","",IF(B477+$C$10&lt;=$C$6,B477+$C$10,""))</f>
        <v>#REF!</v>
      </c>
      <c r="C478" s="76" t="e">
        <f t="shared" ref="C478:C512" si="32">IF(B478&lt;&gt;"",C477-$C$2/COUNT($B$18:$B$511),"")</f>
        <v>#REF!</v>
      </c>
    </row>
    <row r="479" spans="2:3" ht="15.75" customHeight="1" x14ac:dyDescent="0.25">
      <c r="B479" s="67" t="e">
        <f t="shared" si="31"/>
        <v>#REF!</v>
      </c>
      <c r="C479" s="76" t="e">
        <f t="shared" si="32"/>
        <v>#REF!</v>
      </c>
    </row>
    <row r="480" spans="2:3" ht="15.75" customHeight="1" x14ac:dyDescent="0.25">
      <c r="B480" s="67" t="e">
        <f t="shared" si="31"/>
        <v>#REF!</v>
      </c>
      <c r="C480" s="76" t="e">
        <f t="shared" si="32"/>
        <v>#REF!</v>
      </c>
    </row>
    <row r="481" spans="2:3" ht="15.75" customHeight="1" x14ac:dyDescent="0.25">
      <c r="B481" s="67" t="e">
        <f t="shared" si="31"/>
        <v>#REF!</v>
      </c>
      <c r="C481" s="76" t="e">
        <f t="shared" si="32"/>
        <v>#REF!</v>
      </c>
    </row>
    <row r="482" spans="2:3" ht="15.75" customHeight="1" x14ac:dyDescent="0.25">
      <c r="B482" s="67" t="e">
        <f t="shared" si="31"/>
        <v>#REF!</v>
      </c>
      <c r="C482" s="76" t="e">
        <f t="shared" si="32"/>
        <v>#REF!</v>
      </c>
    </row>
    <row r="483" spans="2:3" ht="15.75" customHeight="1" x14ac:dyDescent="0.25">
      <c r="B483" s="67" t="e">
        <f t="shared" si="31"/>
        <v>#REF!</v>
      </c>
      <c r="C483" s="76" t="e">
        <f t="shared" si="32"/>
        <v>#REF!</v>
      </c>
    </row>
    <row r="484" spans="2:3" ht="15.75" customHeight="1" x14ac:dyDescent="0.25">
      <c r="B484" s="67" t="e">
        <f t="shared" si="31"/>
        <v>#REF!</v>
      </c>
      <c r="C484" s="76" t="e">
        <f t="shared" si="32"/>
        <v>#REF!</v>
      </c>
    </row>
    <row r="485" spans="2:3" ht="15.75" customHeight="1" x14ac:dyDescent="0.25">
      <c r="B485" s="67" t="e">
        <f t="shared" si="31"/>
        <v>#REF!</v>
      </c>
      <c r="C485" s="76" t="e">
        <f t="shared" si="32"/>
        <v>#REF!</v>
      </c>
    </row>
    <row r="486" spans="2:3" ht="15.75" customHeight="1" x14ac:dyDescent="0.25">
      <c r="B486" s="67" t="e">
        <f t="shared" si="31"/>
        <v>#REF!</v>
      </c>
      <c r="C486" s="76" t="e">
        <f t="shared" si="32"/>
        <v>#REF!</v>
      </c>
    </row>
    <row r="487" spans="2:3" ht="15.75" customHeight="1" x14ac:dyDescent="0.25">
      <c r="B487" s="67" t="e">
        <f t="shared" si="31"/>
        <v>#REF!</v>
      </c>
      <c r="C487" s="76" t="e">
        <f t="shared" si="32"/>
        <v>#REF!</v>
      </c>
    </row>
    <row r="488" spans="2:3" ht="15.75" customHeight="1" x14ac:dyDescent="0.25">
      <c r="B488" s="67" t="e">
        <f t="shared" si="31"/>
        <v>#REF!</v>
      </c>
      <c r="C488" s="76" t="e">
        <f t="shared" si="32"/>
        <v>#REF!</v>
      </c>
    </row>
    <row r="489" spans="2:3" ht="15.75" customHeight="1" x14ac:dyDescent="0.25">
      <c r="B489" s="67" t="e">
        <f t="shared" si="31"/>
        <v>#REF!</v>
      </c>
      <c r="C489" s="76" t="e">
        <f t="shared" si="32"/>
        <v>#REF!</v>
      </c>
    </row>
    <row r="490" spans="2:3" ht="15.75" customHeight="1" x14ac:dyDescent="0.25">
      <c r="B490" s="67" t="e">
        <f t="shared" si="31"/>
        <v>#REF!</v>
      </c>
      <c r="C490" s="76" t="e">
        <f t="shared" si="32"/>
        <v>#REF!</v>
      </c>
    </row>
    <row r="491" spans="2:3" ht="15.75" customHeight="1" x14ac:dyDescent="0.25">
      <c r="B491" s="67" t="e">
        <f t="shared" si="31"/>
        <v>#REF!</v>
      </c>
      <c r="C491" s="76" t="e">
        <f t="shared" si="32"/>
        <v>#REF!</v>
      </c>
    </row>
    <row r="492" spans="2:3" ht="15.75" customHeight="1" x14ac:dyDescent="0.25">
      <c r="B492" s="67" t="e">
        <f t="shared" si="31"/>
        <v>#REF!</v>
      </c>
      <c r="C492" s="76" t="e">
        <f t="shared" si="32"/>
        <v>#REF!</v>
      </c>
    </row>
    <row r="493" spans="2:3" ht="15.75" customHeight="1" x14ac:dyDescent="0.25">
      <c r="B493" s="67" t="e">
        <f t="shared" si="31"/>
        <v>#REF!</v>
      </c>
      <c r="C493" s="76" t="e">
        <f t="shared" si="32"/>
        <v>#REF!</v>
      </c>
    </row>
    <row r="494" spans="2:3" ht="15.75" customHeight="1" x14ac:dyDescent="0.25">
      <c r="B494" s="67" t="e">
        <f t="shared" si="31"/>
        <v>#REF!</v>
      </c>
      <c r="C494" s="76" t="e">
        <f t="shared" si="32"/>
        <v>#REF!</v>
      </c>
    </row>
    <row r="495" spans="2:3" ht="15.75" customHeight="1" x14ac:dyDescent="0.25">
      <c r="B495" s="67" t="e">
        <f t="shared" si="31"/>
        <v>#REF!</v>
      </c>
      <c r="C495" s="76" t="e">
        <f t="shared" si="32"/>
        <v>#REF!</v>
      </c>
    </row>
    <row r="496" spans="2:3" ht="15.75" customHeight="1" x14ac:dyDescent="0.25">
      <c r="B496" s="67" t="e">
        <f t="shared" si="31"/>
        <v>#REF!</v>
      </c>
      <c r="C496" s="76" t="e">
        <f t="shared" si="32"/>
        <v>#REF!</v>
      </c>
    </row>
    <row r="497" spans="2:3" ht="15.75" customHeight="1" x14ac:dyDescent="0.25">
      <c r="B497" s="67" t="e">
        <f t="shared" si="31"/>
        <v>#REF!</v>
      </c>
      <c r="C497" s="76" t="e">
        <f t="shared" si="32"/>
        <v>#REF!</v>
      </c>
    </row>
    <row r="498" spans="2:3" ht="15.75" customHeight="1" x14ac:dyDescent="0.25">
      <c r="B498" s="67" t="e">
        <f t="shared" si="31"/>
        <v>#REF!</v>
      </c>
      <c r="C498" s="76" t="e">
        <f t="shared" si="32"/>
        <v>#REF!</v>
      </c>
    </row>
    <row r="499" spans="2:3" ht="15.75" customHeight="1" x14ac:dyDescent="0.25">
      <c r="B499" s="67" t="e">
        <f t="shared" si="31"/>
        <v>#REF!</v>
      </c>
      <c r="C499" s="76" t="e">
        <f t="shared" si="32"/>
        <v>#REF!</v>
      </c>
    </row>
    <row r="500" spans="2:3" ht="15.75" customHeight="1" x14ac:dyDescent="0.25">
      <c r="B500" s="67" t="e">
        <f t="shared" si="31"/>
        <v>#REF!</v>
      </c>
      <c r="C500" s="76" t="e">
        <f t="shared" si="32"/>
        <v>#REF!</v>
      </c>
    </row>
    <row r="501" spans="2:3" ht="15.75" customHeight="1" x14ac:dyDescent="0.25">
      <c r="B501" s="67" t="e">
        <f t="shared" si="31"/>
        <v>#REF!</v>
      </c>
      <c r="C501" s="76" t="e">
        <f t="shared" si="32"/>
        <v>#REF!</v>
      </c>
    </row>
    <row r="502" spans="2:3" ht="15.75" customHeight="1" x14ac:dyDescent="0.25">
      <c r="B502" s="67" t="e">
        <f t="shared" si="31"/>
        <v>#REF!</v>
      </c>
      <c r="C502" s="76" t="e">
        <f t="shared" si="32"/>
        <v>#REF!</v>
      </c>
    </row>
    <row r="503" spans="2:3" ht="15.75" customHeight="1" x14ac:dyDescent="0.25">
      <c r="B503" s="67" t="e">
        <f t="shared" si="31"/>
        <v>#REF!</v>
      </c>
      <c r="C503" s="76" t="e">
        <f t="shared" si="32"/>
        <v>#REF!</v>
      </c>
    </row>
    <row r="504" spans="2:3" ht="15.75" customHeight="1" x14ac:dyDescent="0.25">
      <c r="B504" s="67" t="e">
        <f t="shared" si="31"/>
        <v>#REF!</v>
      </c>
      <c r="C504" s="76" t="e">
        <f t="shared" si="32"/>
        <v>#REF!</v>
      </c>
    </row>
    <row r="505" spans="2:3" ht="15.75" customHeight="1" x14ac:dyDescent="0.25">
      <c r="B505" s="67" t="e">
        <f t="shared" si="31"/>
        <v>#REF!</v>
      </c>
      <c r="C505" s="76" t="e">
        <f t="shared" si="32"/>
        <v>#REF!</v>
      </c>
    </row>
    <row r="506" spans="2:3" ht="15.75" customHeight="1" x14ac:dyDescent="0.25">
      <c r="B506" s="67" t="e">
        <f t="shared" si="31"/>
        <v>#REF!</v>
      </c>
      <c r="C506" s="76" t="e">
        <f t="shared" si="32"/>
        <v>#REF!</v>
      </c>
    </row>
    <row r="507" spans="2:3" ht="15.75" customHeight="1" x14ac:dyDescent="0.25">
      <c r="B507" s="67" t="e">
        <f t="shared" si="31"/>
        <v>#REF!</v>
      </c>
      <c r="C507" s="76" t="e">
        <f t="shared" si="32"/>
        <v>#REF!</v>
      </c>
    </row>
    <row r="508" spans="2:3" ht="15.75" customHeight="1" x14ac:dyDescent="0.25">
      <c r="B508" s="67" t="e">
        <f t="shared" si="31"/>
        <v>#REF!</v>
      </c>
      <c r="C508" s="76" t="e">
        <f t="shared" si="32"/>
        <v>#REF!</v>
      </c>
    </row>
    <row r="509" spans="2:3" ht="15.75" customHeight="1" x14ac:dyDescent="0.25">
      <c r="B509" s="67" t="e">
        <f t="shared" si="31"/>
        <v>#REF!</v>
      </c>
      <c r="C509" s="76" t="e">
        <f t="shared" si="32"/>
        <v>#REF!</v>
      </c>
    </row>
    <row r="510" spans="2:3" ht="15.75" customHeight="1" x14ac:dyDescent="0.25">
      <c r="B510" s="67" t="e">
        <f t="shared" si="31"/>
        <v>#REF!</v>
      </c>
      <c r="C510" s="76" t="e">
        <f t="shared" si="32"/>
        <v>#REF!</v>
      </c>
    </row>
    <row r="511" spans="2:3" ht="15.75" customHeight="1" x14ac:dyDescent="0.25">
      <c r="B511" s="67" t="e">
        <f t="shared" si="31"/>
        <v>#REF!</v>
      </c>
      <c r="C511" s="76" t="e">
        <f t="shared" si="32"/>
        <v>#REF!</v>
      </c>
    </row>
    <row r="512" spans="2:3" ht="15.75" customHeight="1" x14ac:dyDescent="0.25">
      <c r="B512" s="67" t="e">
        <f t="shared" si="31"/>
        <v>#REF!</v>
      </c>
      <c r="C512" s="76" t="e">
        <f t="shared" si="32"/>
        <v>#REF!</v>
      </c>
    </row>
  </sheetData>
  <mergeCells count="3">
    <mergeCell ref="A1:K1"/>
    <mergeCell ref="B13:F13"/>
    <mergeCell ref="G13:L13"/>
  </mergeCells>
  <conditionalFormatting sqref="A15:F15 L15 H15:H42 A16:A40">
    <cfRule type="expression" dxfId="16" priority="8">
      <formula>AND(TODAY()&gt;=$B$15,TODAY()&lt;$B$16)</formula>
    </cfRule>
  </conditionalFormatting>
  <conditionalFormatting sqref="B15:B21 B23:B68">
    <cfRule type="cellIs" dxfId="15" priority="5" operator="greaterThan">
      <formula>$C$6</formula>
    </cfRule>
  </conditionalFormatting>
  <conditionalFormatting sqref="B17:B21 B23:B40 A41:C47 A48:L68 G43:L43 F44:L45 E46:L47">
    <cfRule type="expression" dxfId="14" priority="6">
      <formula>AND(TODAY()&gt;=$B17,TODAY()&lt;$B18)</formula>
    </cfRule>
  </conditionalFormatting>
  <conditionalFormatting sqref="B16:F16 G15:G42 I15:I42 C17:C40 E17:E45 D17:D47">
    <cfRule type="expression" dxfId="13" priority="7">
      <formula>AND(TODAY()&gt;=$B15,TODAY()&lt;$B16)</formula>
    </cfRule>
  </conditionalFormatting>
  <conditionalFormatting sqref="C2:C3">
    <cfRule type="expression" dxfId="12" priority="2">
      <formula>AND(TODAY()&gt;=$B$15,TODAY()&lt;$B$16)</formula>
    </cfRule>
  </conditionalFormatting>
  <conditionalFormatting sqref="J15:K42">
    <cfRule type="expression" dxfId="11" priority="1">
      <formula>AND(TODAY()&gt;=$B$15,TODAY()&lt;$B$16)</formula>
    </cfRule>
  </conditionalFormatting>
  <conditionalFormatting sqref="L16:L21 F17:F43 L23:L42">
    <cfRule type="expression" dxfId="10" priority="4">
      <formula>AND(TODAY()&gt;=$B16,TODAY()&lt;$B17)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B5B8F05-B129-48F6-BB7E-066AF9843553}">
          <x14:formula1>
            <xm:f>'LEIA-ME'!$C$2:$C$6</xm:f>
          </x14:formula1>
          <xm:sqref>C3</xm:sqref>
        </x14:dataValidation>
        <x14:dataValidation type="list" allowBlank="1" showInputMessage="1" showErrorMessage="1" xr:uid="{86656076-2AB4-4756-961C-A5ECDD966294}">
          <x14:formula1>
            <xm:f>'LEIA-ME'!$A$2:$A$14</xm:f>
          </x14:formula1>
          <xm:sqref>C2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B31A-4240-48C8-A17B-347CA9BC677A}">
  <sheetPr>
    <tabColor theme="9" tint="-0.499984740745262"/>
  </sheetPr>
  <dimension ref="A1:L512"/>
  <sheetViews>
    <sheetView topLeftCell="B31" workbookViewId="0">
      <selection activeCell="F37" sqref="F37:F40"/>
    </sheetView>
  </sheetViews>
  <sheetFormatPr defaultColWidth="12.625" defaultRowHeight="15" customHeight="1" x14ac:dyDescent="0.25"/>
  <cols>
    <col min="1" max="1" width="16" style="59" bestFit="1" customWidth="1"/>
    <col min="2" max="2" width="20.625" style="59" customWidth="1"/>
    <col min="3" max="3" width="15" style="59" customWidth="1"/>
    <col min="4" max="4" width="23.875" style="59" customWidth="1"/>
    <col min="5" max="5" width="17.125" style="59" customWidth="1"/>
    <col min="6" max="6" width="12.625" style="59" customWidth="1"/>
    <col min="7" max="11" width="13.875" style="59" customWidth="1"/>
    <col min="12" max="12" width="22.25" style="59" customWidth="1"/>
    <col min="13" max="13" width="34.375" style="59" customWidth="1"/>
    <col min="14" max="16384" width="12.625" style="59"/>
  </cols>
  <sheetData>
    <row r="1" spans="1:12" ht="19.5" x14ac:dyDescent="0.25">
      <c r="A1" s="154" t="s">
        <v>20</v>
      </c>
      <c r="B1" s="167"/>
      <c r="C1" s="167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25">
      <c r="A2" s="68"/>
      <c r="B2" s="119" t="s">
        <v>2542</v>
      </c>
      <c r="C2" s="120" t="s">
        <v>67</v>
      </c>
      <c r="D2" s="70" t="s">
        <v>22</v>
      </c>
      <c r="E2" s="71" t="s">
        <v>23</v>
      </c>
      <c r="F2" s="71"/>
      <c r="G2" s="65"/>
      <c r="H2" s="65"/>
      <c r="I2" s="65"/>
      <c r="J2" s="65"/>
      <c r="K2" s="65"/>
      <c r="L2" s="65"/>
    </row>
    <row r="3" spans="1:12" ht="15.75" customHeight="1" x14ac:dyDescent="0.25">
      <c r="A3" s="68"/>
      <c r="B3" s="119" t="s">
        <v>66</v>
      </c>
      <c r="C3" s="120" t="s">
        <v>69</v>
      </c>
      <c r="D3" s="70"/>
      <c r="E3" s="71"/>
      <c r="F3" s="71"/>
      <c r="G3" s="65"/>
      <c r="H3" s="65"/>
      <c r="I3" s="65"/>
      <c r="J3" s="65"/>
      <c r="K3" s="65"/>
      <c r="L3" s="65"/>
    </row>
    <row r="4" spans="1:12" ht="15" customHeight="1" x14ac:dyDescent="0.25">
      <c r="B4" s="121" t="s">
        <v>2494</v>
      </c>
      <c r="C4" s="125">
        <f>COUNTIFS(time, C2,
    release, "*" &amp; C3 &amp; "*")</f>
        <v>39</v>
      </c>
      <c r="D4" s="70" t="s">
        <v>25</v>
      </c>
      <c r="E4" s="71" t="s">
        <v>26</v>
      </c>
      <c r="F4" s="71"/>
      <c r="G4" s="65"/>
      <c r="H4" s="65"/>
      <c r="I4" s="65"/>
      <c r="J4" s="65"/>
      <c r="K4" s="65"/>
      <c r="L4" s="65"/>
    </row>
    <row r="5" spans="1:12" ht="15.75" customHeight="1" x14ac:dyDescent="0.25">
      <c r="B5" s="122" t="s">
        <v>27</v>
      </c>
      <c r="C5" s="107">
        <v>45936</v>
      </c>
      <c r="D5" s="70" t="s">
        <v>28</v>
      </c>
      <c r="E5" s="65"/>
      <c r="F5" s="65"/>
      <c r="G5" s="65"/>
      <c r="H5" s="65"/>
      <c r="I5" s="65"/>
      <c r="J5" s="65"/>
      <c r="K5" s="65"/>
      <c r="L5" s="65"/>
    </row>
    <row r="6" spans="1:12" ht="15.75" customHeight="1" x14ac:dyDescent="0.25">
      <c r="B6" s="122" t="s">
        <v>29</v>
      </c>
      <c r="C6" s="107">
        <v>46113</v>
      </c>
      <c r="D6" s="70" t="s">
        <v>30</v>
      </c>
      <c r="E6" s="65"/>
      <c r="F6" s="65"/>
      <c r="G6" s="65"/>
      <c r="H6" s="65"/>
      <c r="I6" s="65"/>
      <c r="J6" s="65"/>
      <c r="K6" s="65"/>
      <c r="L6" s="65"/>
    </row>
    <row r="7" spans="1:12" ht="15.75" customHeight="1" x14ac:dyDescent="0.25">
      <c r="B7" s="119" t="s">
        <v>31</v>
      </c>
      <c r="C7" s="106" cm="1">
        <f t="array" ref="C7">IF(MAX(INDEX(J:J, LARGE(IF(J:J&lt;&gt;"", ROW(J:J)), {1;2;3;4;5;6;7;8})))=0,
  1,
  MAX(INDEX(J:J, LARGE(IF(J:J&lt;&gt;"", ROW(J:J)), {1;2;3;4;5;6;7;8}))))</f>
        <v>3</v>
      </c>
      <c r="D7" s="70" t="s">
        <v>32</v>
      </c>
      <c r="E7" s="71" t="s">
        <v>33</v>
      </c>
      <c r="F7" s="71"/>
      <c r="G7" s="65"/>
      <c r="H7" s="65"/>
      <c r="I7" s="65"/>
      <c r="J7" s="65"/>
      <c r="K7" s="65"/>
      <c r="L7" s="65"/>
    </row>
    <row r="8" spans="1:12" ht="15.75" customHeight="1" x14ac:dyDescent="0.25">
      <c r="B8" s="119" t="s">
        <v>34</v>
      </c>
      <c r="C8" s="106" cm="1">
        <f t="array" ref="C8">IF(MIN(INDEX(J:J, LARGE(IF(J:J&lt;&gt;"", ROW(J:J)), {1;2;3;4;5;6;7;8})))=0,
  1,
  MIN(INDEX(J:J, LARGE(IF(J:J&lt;&gt;"", ROW(J:J)), {1;2;3;4;5;6;7;8}))))</f>
        <v>1</v>
      </c>
      <c r="D8" s="70" t="s">
        <v>32</v>
      </c>
      <c r="E8" s="71" t="s">
        <v>33</v>
      </c>
      <c r="F8" s="71"/>
      <c r="G8" s="65"/>
      <c r="H8" s="65"/>
      <c r="I8" s="65"/>
      <c r="J8" s="65"/>
      <c r="K8" s="65"/>
      <c r="L8" s="65"/>
    </row>
    <row r="9" spans="1:12" ht="15.75" customHeight="1" x14ac:dyDescent="0.25">
      <c r="B9" s="122" t="s">
        <v>35</v>
      </c>
      <c r="C9" s="108">
        <v>8</v>
      </c>
      <c r="D9" s="70" t="s">
        <v>32</v>
      </c>
      <c r="E9" s="65"/>
      <c r="F9" s="65"/>
      <c r="G9" s="65"/>
      <c r="H9" s="65"/>
      <c r="I9" s="65"/>
      <c r="J9" s="65"/>
      <c r="K9" s="65"/>
      <c r="L9" s="65"/>
    </row>
    <row r="10" spans="1:12" ht="15.75" customHeight="1" x14ac:dyDescent="0.25">
      <c r="B10" s="122" t="s">
        <v>36</v>
      </c>
      <c r="C10" s="109">
        <v>7</v>
      </c>
      <c r="D10" s="70" t="s">
        <v>37</v>
      </c>
      <c r="E10" s="65"/>
      <c r="F10" s="65"/>
      <c r="G10" s="65"/>
      <c r="H10" s="65"/>
      <c r="I10" s="65"/>
      <c r="J10" s="65"/>
      <c r="K10" s="65"/>
      <c r="L10" s="65"/>
    </row>
    <row r="11" spans="1:12" ht="15.75" hidden="1" customHeight="1" x14ac:dyDescent="0.25">
      <c r="B11" s="112"/>
      <c r="C11" s="65"/>
      <c r="D11" s="113"/>
      <c r="E11" s="65"/>
      <c r="F11" s="65"/>
      <c r="G11" s="65"/>
      <c r="H11" s="65"/>
      <c r="I11" s="65"/>
      <c r="J11" s="65"/>
      <c r="K11" s="65"/>
      <c r="L11" s="65"/>
    </row>
    <row r="12" spans="1:12" s="39" customFormat="1" ht="40.5" customHeight="1" x14ac:dyDescent="0.45">
      <c r="A12" s="103"/>
      <c r="B12" s="61" t="s">
        <v>38</v>
      </c>
      <c r="C12" s="60" t="s">
        <v>39</v>
      </c>
      <c r="D12" s="60" t="s">
        <v>40</v>
      </c>
      <c r="E12" s="60" t="s">
        <v>41</v>
      </c>
      <c r="F12" s="60" t="s">
        <v>42</v>
      </c>
      <c r="G12" s="60" t="s">
        <v>43</v>
      </c>
      <c r="H12" s="60" t="s">
        <v>44</v>
      </c>
      <c r="I12" s="60" t="s">
        <v>45</v>
      </c>
      <c r="J12" s="60" t="s">
        <v>46</v>
      </c>
      <c r="K12" s="60" t="s">
        <v>47</v>
      </c>
      <c r="L12" s="60" t="s">
        <v>48</v>
      </c>
    </row>
    <row r="13" spans="1:12" ht="19.5" customHeight="1" x14ac:dyDescent="0.25">
      <c r="A13" s="91"/>
      <c r="B13" s="162" t="s">
        <v>49</v>
      </c>
      <c r="C13" s="163"/>
      <c r="D13" s="163"/>
      <c r="E13" s="163"/>
      <c r="F13" s="164"/>
      <c r="G13" s="165" t="s">
        <v>50</v>
      </c>
      <c r="H13" s="166"/>
      <c r="I13" s="166"/>
      <c r="J13" s="166"/>
      <c r="K13" s="166"/>
      <c r="L13" s="166"/>
    </row>
    <row r="14" spans="1:12" ht="31.5" customHeight="1" x14ac:dyDescent="0.25">
      <c r="A14" s="44" t="s">
        <v>51</v>
      </c>
      <c r="B14" s="45" t="s">
        <v>52</v>
      </c>
      <c r="C14" s="46" t="s">
        <v>2495</v>
      </c>
      <c r="D14" s="46" t="s">
        <v>2496</v>
      </c>
      <c r="E14" s="46" t="s">
        <v>55</v>
      </c>
      <c r="F14" s="58" t="s">
        <v>56</v>
      </c>
      <c r="G14" s="47" t="s">
        <v>57</v>
      </c>
      <c r="H14" s="47" t="s">
        <v>58</v>
      </c>
      <c r="I14" s="48" t="s">
        <v>2561</v>
      </c>
      <c r="J14" s="54" t="s">
        <v>60</v>
      </c>
      <c r="K14" s="87" t="s">
        <v>2562</v>
      </c>
      <c r="L14" s="77" t="s">
        <v>62</v>
      </c>
    </row>
    <row r="15" spans="1:12" ht="17.25" customHeight="1" x14ac:dyDescent="0.25">
      <c r="A15" s="73" t="s">
        <v>2543</v>
      </c>
      <c r="B15" s="66">
        <f>C5</f>
        <v>45936</v>
      </c>
      <c r="C15" s="79">
        <f>$C$4</f>
        <v>39</v>
      </c>
      <c r="D15" s="79">
        <f>$C$4</f>
        <v>39</v>
      </c>
      <c r="E15" s="79">
        <f>$C$4</f>
        <v>39</v>
      </c>
      <c r="F15" s="80"/>
      <c r="G15" s="118">
        <f t="shared" ref="G15" si="0">COUNTIFS(dtc, "&gt;=" &amp; INT(B15),
  dtc, "&lt;"  &amp; INT(B15)+1,
  time, $C$2,release, "*" &amp; $C$3 &amp; "*",
  Item, "&lt;&gt;BUG")</f>
        <v>0</v>
      </c>
      <c r="H15" s="118">
        <f t="shared" ref="H15:H39" si="1">COUNTIFS(dtc, "&gt;=" &amp;(INT(B15)+1),dtc,
 "&lt;"  &amp;(INT(B15)+7),time,
 $C$2,release, "*" &amp; $C$3 &amp; "*",Item,
 "&lt;&gt;BUG")</f>
        <v>0</v>
      </c>
      <c r="I15" s="82">
        <f t="shared" ref="I15:I39" si="2">COUNTIFS(time, $C$2,release, "*" &amp; $C$3 &amp; "*",Item,
 "BUG",dtc,
 "&gt;=" &amp; INT(B15),dtc,
 "&lt;"  &amp; INT(B15)+7)</f>
        <v>0</v>
      </c>
      <c r="J15" s="126">
        <f t="shared" ref="J15:J39" si="3">IF(COUNTIFS(time, $C$2, release, "*" &amp; $C$3 &amp; "*", resolvido, "&lt;&gt;" &amp; "", resolvido, "&gt;=" &amp; INT(B15), resolvido, "&lt;" &amp; INT(B15)+7)+K15 &lt; 0,
   0,
   COUNTIFS(time, $C$2, release, "*" &amp; $C$3 &amp; "*", resolvido, "&lt;&gt;" &amp; "", resolvido, "&gt;=" &amp; INT(B15), resolvido, "&lt;" &amp; INT(B15)+7)+K15)</f>
        <v>0</v>
      </c>
      <c r="K15" s="84">
        <f>-COUNTIFS(resolvido, "&gt;=" &amp; INT(B15),resolvido, "&lt;"  &amp; INT(B15)+7,status, "Descartado",time, $C$2,release, "*" &amp; $C$3 &amp; "*")</f>
        <v>0</v>
      </c>
      <c r="L15" s="86"/>
    </row>
    <row r="16" spans="1:12" ht="17.25" customHeight="1" x14ac:dyDescent="0.25">
      <c r="A16" s="73" t="s">
        <v>2544</v>
      </c>
      <c r="B16" s="66">
        <f t="shared" ref="B16:B68" si="4">B15+$C$10</f>
        <v>45943</v>
      </c>
      <c r="C16" s="79">
        <f>IF(OR(C15="",C15=0),"",IF(ISBLANK($J15),IF(C15+$K15-$C$7&lt;=0,IF(AND(C15&gt;0,C15&lt;&gt;""),0,""),C15+$K15-$C$7),IF((C15-$J15)+$K15&lt;=0,IF(AND(C15&gt;0,C15&lt;&gt;""),0,""),(C15-$J15)+$K15)))</f>
        <v>39</v>
      </c>
      <c r="D16" s="79">
        <f>IF(OR(D15="",D15=0),"",IF(ISBLANK($J15),IF(D15+$K15-$C$8&lt;=0,IF(AND(D15&gt;0,D15&lt;&gt;""),0,""),D15+$K15-$C$8),IF((D15-$J15)+$K15&lt;=0,IF(AND(D15&gt;0,D15&lt;&gt;""),0,""),(D15-$J15)+$K15)))</f>
        <v>39</v>
      </c>
      <c r="E16" s="79">
        <f>IF(OR(E15="",E15=0),"",IF(ISBLANK($J15),IF(E15+$K15-$C$9&lt;=0,IF(AND(E15&gt;0,E15&lt;&gt;""),0,""),E15+$K15-$C$9),IF((E15-$J15)+$K15&lt;=0,IF(AND(E15&gt;0,E15&lt;&gt;""),0,""),(E15-$J15)+$K15)))</f>
        <v>39</v>
      </c>
      <c r="F16" s="80">
        <f>IF(J15="","",IF(G15+F15+H15+I15+K15-J15&lt;0,0,G15+F15+H15+I15+K15-J15))</f>
        <v>0</v>
      </c>
      <c r="G16" s="118">
        <f t="shared" ref="G16:G39" si="5">COUNTIFS(dtc, "&gt;=" &amp; INT(B16),
  dtc, "&lt;"  &amp; INT(B16)+1,
  time, $C$2,release, "*" &amp; $C$3 &amp; "*",
  Item, "&lt;&gt;BUG")-COUNTIFS(dtc, "&gt;=" &amp; INT(B16),dtc, "&lt;"  &amp; INT(B16)+7,resolvido, "&gt;=" &amp; INT(B16),resolvido, "&lt;"  &amp; INT(B16)+7,status, "Descartado",time, $C$2,release, "*" &amp; $C$3 &amp; "*")</f>
        <v>0</v>
      </c>
      <c r="H16" s="118">
        <f t="shared" si="1"/>
        <v>0</v>
      </c>
      <c r="I16" s="82">
        <f t="shared" si="2"/>
        <v>0</v>
      </c>
      <c r="J16" s="126">
        <f t="shared" si="3"/>
        <v>0</v>
      </c>
      <c r="K16" s="84">
        <f>COUNTIFS(resolvido, "&gt;=" &amp; INT(B16),resolvido, "&lt;"  &amp; INT(B16)+7,status, "Descartado",time, $C$2,release, "*" &amp; $C$3 &amp; "*")</f>
        <v>0</v>
      </c>
      <c r="L16" s="86"/>
    </row>
    <row r="17" spans="1:12" ht="17.25" customHeight="1" x14ac:dyDescent="0.25">
      <c r="A17" s="73" t="s">
        <v>2545</v>
      </c>
      <c r="B17" s="66">
        <f t="shared" si="4"/>
        <v>45950</v>
      </c>
      <c r="C17" s="79">
        <f t="shared" ref="C17:C40" si="6">IF(OR(C16="",C16=0),"",IF(ISBLANK($J16),IF(C16+$K16-$C$7&lt;=0,IF(AND(C16&gt;0,C16&lt;&gt;""),0,""),C16+$K16-$C$7),IF((C16-$J16)+$K16&lt;=0,IF(AND(C16&gt;0,C16&lt;&gt;""),0,""),(C16-$J16)+$K16)))</f>
        <v>39</v>
      </c>
      <c r="D17" s="79">
        <f t="shared" ref="D17:D47" si="7">IF(OR(D16="",D16=0),"",IF(ISBLANK($J16),IF(D16+$K16-$C$8&lt;=0,IF(AND(D16&gt;0,D16&lt;&gt;""),0,""),D16+$K16-$C$8),IF((D16-$J16)+$K16&lt;=0,IF(AND(D16&gt;0,D16&lt;&gt;""),0,""),(D16-$J16)+$K16)))</f>
        <v>39</v>
      </c>
      <c r="E17" s="79">
        <f t="shared" ref="E17" si="8">IF(OR(E16="",E16=0),"",IF(ISBLANK($J16),IF(E16+$K16-$C$9&lt;=0,IF(AND(E16&gt;0,E16&lt;&gt;""),0,""),E16+$K16-$C$9),IF((E16-$J16)+$K16&lt;=0,IF(AND(E16&gt;0,E16&lt;&gt;""),0,""),(E16-$J16)+$K16)))</f>
        <v>39</v>
      </c>
      <c r="F17" s="80">
        <f t="shared" ref="F17:F28" si="9">IF(J16="","",IF(G16+F16+H16+I16+K16-J16&lt;0,0,G16+F16+H16+I16+K16-J16))</f>
        <v>0</v>
      </c>
      <c r="G17" s="118">
        <f t="shared" si="5"/>
        <v>0</v>
      </c>
      <c r="H17" s="118">
        <f t="shared" si="1"/>
        <v>0</v>
      </c>
      <c r="I17" s="82">
        <f t="shared" si="2"/>
        <v>0</v>
      </c>
      <c r="J17" s="126">
        <f t="shared" si="3"/>
        <v>0</v>
      </c>
      <c r="K17" s="84">
        <f t="shared" ref="K17:K39" si="10">-COUNTIFS(resolvido, "&gt;=" &amp; INT(B17),resolvido, "&lt;"  &amp; INT(B17)+7,status, "Descartado",time, $C$2,release, "*" &amp; $C$3 &amp; "*")</f>
        <v>0</v>
      </c>
      <c r="L17" s="86"/>
    </row>
    <row r="18" spans="1:12" ht="17.25" customHeight="1" x14ac:dyDescent="0.25">
      <c r="A18" s="73" t="s">
        <v>2546</v>
      </c>
      <c r="B18" s="66">
        <f t="shared" si="4"/>
        <v>45957</v>
      </c>
      <c r="C18" s="79">
        <f t="shared" si="6"/>
        <v>39</v>
      </c>
      <c r="D18" s="79">
        <f t="shared" si="7"/>
        <v>39</v>
      </c>
      <c r="E18" s="79">
        <f>IF(OR(E17="",E17=0),"",IF(ISBLANK($J17),IF(E17+$K17-$C$9&lt;=0,IF(AND(E17&gt;0,E17&lt;&gt;""),0,""),E17+$K17-$C$9),IF((E17-$J17)+$K17&lt;=0,IF(AND(E17&gt;0,E17&lt;&gt;""),0,""),(E17-$J17)+$K17)))</f>
        <v>39</v>
      </c>
      <c r="F18" s="80">
        <f t="shared" si="9"/>
        <v>0</v>
      </c>
      <c r="G18" s="118">
        <f t="shared" si="5"/>
        <v>0</v>
      </c>
      <c r="H18" s="118">
        <f t="shared" si="1"/>
        <v>0</v>
      </c>
      <c r="I18" s="82">
        <f t="shared" si="2"/>
        <v>0</v>
      </c>
      <c r="J18" s="126">
        <f t="shared" si="3"/>
        <v>0</v>
      </c>
      <c r="K18" s="84">
        <f t="shared" si="10"/>
        <v>0</v>
      </c>
      <c r="L18" s="111"/>
    </row>
    <row r="19" spans="1:12" ht="17.25" customHeight="1" x14ac:dyDescent="0.25">
      <c r="A19" s="73" t="s">
        <v>2547</v>
      </c>
      <c r="B19" s="66">
        <f t="shared" si="4"/>
        <v>45964</v>
      </c>
      <c r="C19" s="79">
        <f t="shared" si="6"/>
        <v>39</v>
      </c>
      <c r="D19" s="79">
        <f t="shared" si="7"/>
        <v>39</v>
      </c>
      <c r="E19" s="79">
        <f t="shared" ref="E19:E42" si="11">IF(OR(E18="",E18=0),"",IF(ISBLANK($J18),IF(E18+$K18-$C$9&lt;=0,IF(AND(E18&gt;0,E18&lt;&gt;""),0,""),E18+$K18-$C$9),IF((E18-$J18)+$K18&lt;=0,IF(AND(E18&gt;0,E18&lt;&gt;""),0,""),(E18-$J18)+$K18)))</f>
        <v>39</v>
      </c>
      <c r="F19" s="80">
        <f t="shared" si="9"/>
        <v>0</v>
      </c>
      <c r="G19" s="118">
        <f t="shared" si="5"/>
        <v>1</v>
      </c>
      <c r="H19" s="118">
        <f t="shared" si="1"/>
        <v>1</v>
      </c>
      <c r="I19" s="82">
        <f t="shared" si="2"/>
        <v>0</v>
      </c>
      <c r="J19" s="126">
        <f t="shared" si="3"/>
        <v>1</v>
      </c>
      <c r="K19" s="84">
        <f t="shared" si="10"/>
        <v>0</v>
      </c>
      <c r="L19" s="86"/>
    </row>
    <row r="20" spans="1:12" ht="17.25" customHeight="1" x14ac:dyDescent="0.25">
      <c r="A20" s="73" t="s">
        <v>2548</v>
      </c>
      <c r="B20" s="66">
        <f t="shared" si="4"/>
        <v>45971</v>
      </c>
      <c r="C20" s="79">
        <f t="shared" si="6"/>
        <v>38</v>
      </c>
      <c r="D20" s="79">
        <f t="shared" si="7"/>
        <v>38</v>
      </c>
      <c r="E20" s="79">
        <f t="shared" si="11"/>
        <v>38</v>
      </c>
      <c r="F20" s="80">
        <f t="shared" si="9"/>
        <v>1</v>
      </c>
      <c r="G20" s="118">
        <f t="shared" si="5"/>
        <v>1</v>
      </c>
      <c r="H20" s="118">
        <f t="shared" si="1"/>
        <v>1</v>
      </c>
      <c r="I20" s="82">
        <f t="shared" si="2"/>
        <v>0</v>
      </c>
      <c r="J20" s="126">
        <f t="shared" si="3"/>
        <v>1</v>
      </c>
      <c r="K20" s="84">
        <f t="shared" si="10"/>
        <v>0</v>
      </c>
      <c r="L20" s="86"/>
    </row>
    <row r="21" spans="1:12" ht="15.75" customHeight="1" x14ac:dyDescent="0.25">
      <c r="A21" s="73" t="s">
        <v>2549</v>
      </c>
      <c r="B21" s="66">
        <f t="shared" si="4"/>
        <v>45978</v>
      </c>
      <c r="C21" s="79">
        <f t="shared" si="6"/>
        <v>37</v>
      </c>
      <c r="D21" s="79">
        <f t="shared" si="7"/>
        <v>37</v>
      </c>
      <c r="E21" s="79">
        <f t="shared" si="11"/>
        <v>37</v>
      </c>
      <c r="F21" s="80">
        <f t="shared" si="9"/>
        <v>2</v>
      </c>
      <c r="G21" s="118">
        <f t="shared" si="5"/>
        <v>6</v>
      </c>
      <c r="H21" s="118">
        <f t="shared" si="1"/>
        <v>2</v>
      </c>
      <c r="I21" s="82">
        <f t="shared" si="2"/>
        <v>0</v>
      </c>
      <c r="J21" s="126">
        <f t="shared" si="3"/>
        <v>2</v>
      </c>
      <c r="K21" s="84">
        <f t="shared" si="10"/>
        <v>0</v>
      </c>
      <c r="L21" s="86"/>
    </row>
    <row r="22" spans="1:12" ht="15.75" customHeight="1" x14ac:dyDescent="0.25">
      <c r="A22" s="73" t="s">
        <v>2550</v>
      </c>
      <c r="B22" s="66">
        <f t="shared" si="4"/>
        <v>45985</v>
      </c>
      <c r="C22" s="79">
        <f t="shared" si="6"/>
        <v>35</v>
      </c>
      <c r="D22" s="79">
        <f t="shared" si="7"/>
        <v>35</v>
      </c>
      <c r="E22" s="79">
        <f t="shared" si="11"/>
        <v>35</v>
      </c>
      <c r="F22" s="80">
        <f t="shared" si="9"/>
        <v>8</v>
      </c>
      <c r="G22" s="118">
        <f t="shared" si="5"/>
        <v>3</v>
      </c>
      <c r="H22" s="118">
        <f t="shared" si="1"/>
        <v>1</v>
      </c>
      <c r="I22" s="82">
        <f t="shared" si="2"/>
        <v>0</v>
      </c>
      <c r="J22" s="126">
        <f t="shared" si="3"/>
        <v>10</v>
      </c>
      <c r="K22" s="84">
        <f t="shared" si="10"/>
        <v>0</v>
      </c>
      <c r="L22" s="86"/>
    </row>
    <row r="23" spans="1:12" ht="15.75" customHeight="1" x14ac:dyDescent="0.25">
      <c r="A23" s="73" t="s">
        <v>2551</v>
      </c>
      <c r="B23" s="66">
        <f t="shared" si="4"/>
        <v>45992</v>
      </c>
      <c r="C23" s="79">
        <f t="shared" si="6"/>
        <v>25</v>
      </c>
      <c r="D23" s="79">
        <f t="shared" si="7"/>
        <v>25</v>
      </c>
      <c r="E23" s="79">
        <f t="shared" si="11"/>
        <v>25</v>
      </c>
      <c r="F23" s="80">
        <f t="shared" si="9"/>
        <v>2</v>
      </c>
      <c r="G23" s="118">
        <f t="shared" si="5"/>
        <v>2</v>
      </c>
      <c r="H23" s="118">
        <f t="shared" si="1"/>
        <v>1</v>
      </c>
      <c r="I23" s="82">
        <f t="shared" si="2"/>
        <v>0</v>
      </c>
      <c r="J23" s="126">
        <f t="shared" si="3"/>
        <v>0</v>
      </c>
      <c r="K23" s="84">
        <f t="shared" si="10"/>
        <v>0</v>
      </c>
      <c r="L23" s="86"/>
    </row>
    <row r="24" spans="1:12" ht="15.75" customHeight="1" x14ac:dyDescent="0.25">
      <c r="A24" s="73" t="s">
        <v>2552</v>
      </c>
      <c r="B24" s="66">
        <f t="shared" si="4"/>
        <v>45999</v>
      </c>
      <c r="C24" s="79">
        <f t="shared" si="6"/>
        <v>25</v>
      </c>
      <c r="D24" s="79">
        <f t="shared" si="7"/>
        <v>25</v>
      </c>
      <c r="E24" s="79">
        <f t="shared" si="11"/>
        <v>25</v>
      </c>
      <c r="F24" s="80">
        <f t="shared" si="9"/>
        <v>5</v>
      </c>
      <c r="G24" s="118">
        <f t="shared" si="5"/>
        <v>2</v>
      </c>
      <c r="H24" s="118">
        <f t="shared" si="1"/>
        <v>2</v>
      </c>
      <c r="I24" s="82">
        <f t="shared" si="2"/>
        <v>0</v>
      </c>
      <c r="J24" s="126">
        <f t="shared" si="3"/>
        <v>5</v>
      </c>
      <c r="K24" s="84">
        <f t="shared" si="10"/>
        <v>0</v>
      </c>
      <c r="L24" s="86"/>
    </row>
    <row r="25" spans="1:12" ht="15.75" customHeight="1" x14ac:dyDescent="0.25">
      <c r="A25" s="73" t="s">
        <v>2553</v>
      </c>
      <c r="B25" s="66">
        <f t="shared" si="4"/>
        <v>46006</v>
      </c>
      <c r="C25" s="79">
        <f t="shared" si="6"/>
        <v>20</v>
      </c>
      <c r="D25" s="79">
        <f t="shared" si="7"/>
        <v>20</v>
      </c>
      <c r="E25" s="79">
        <f t="shared" si="11"/>
        <v>20</v>
      </c>
      <c r="F25" s="80">
        <f t="shared" si="9"/>
        <v>4</v>
      </c>
      <c r="G25" s="118">
        <f t="shared" si="5"/>
        <v>3</v>
      </c>
      <c r="H25" s="118">
        <f t="shared" si="1"/>
        <v>0</v>
      </c>
      <c r="I25" s="82">
        <f t="shared" si="2"/>
        <v>0</v>
      </c>
      <c r="J25" s="126">
        <f t="shared" si="3"/>
        <v>3</v>
      </c>
      <c r="K25" s="84">
        <f t="shared" si="10"/>
        <v>0</v>
      </c>
      <c r="L25" s="86"/>
    </row>
    <row r="26" spans="1:12" ht="15.75" customHeight="1" x14ac:dyDescent="0.25">
      <c r="A26" s="73" t="s">
        <v>2554</v>
      </c>
      <c r="B26" s="66">
        <f t="shared" si="4"/>
        <v>46013</v>
      </c>
      <c r="C26" s="79">
        <f t="shared" si="6"/>
        <v>17</v>
      </c>
      <c r="D26" s="79">
        <f t="shared" si="7"/>
        <v>17</v>
      </c>
      <c r="E26" s="79">
        <f t="shared" si="11"/>
        <v>17</v>
      </c>
      <c r="F26" s="80">
        <f t="shared" si="9"/>
        <v>4</v>
      </c>
      <c r="G26" s="118">
        <f t="shared" si="5"/>
        <v>0</v>
      </c>
      <c r="H26" s="118">
        <f t="shared" si="1"/>
        <v>1</v>
      </c>
      <c r="I26" s="82">
        <f t="shared" si="2"/>
        <v>0</v>
      </c>
      <c r="J26" s="126">
        <f t="shared" si="3"/>
        <v>1</v>
      </c>
      <c r="K26" s="84">
        <f t="shared" si="10"/>
        <v>0</v>
      </c>
      <c r="L26" s="86"/>
    </row>
    <row r="27" spans="1:12" ht="15.75" customHeight="1" x14ac:dyDescent="0.25">
      <c r="A27" s="73" t="s">
        <v>2555</v>
      </c>
      <c r="B27" s="66">
        <f t="shared" si="4"/>
        <v>46020</v>
      </c>
      <c r="C27" s="79">
        <f t="shared" si="6"/>
        <v>16</v>
      </c>
      <c r="D27" s="79">
        <f t="shared" si="7"/>
        <v>16</v>
      </c>
      <c r="E27" s="79">
        <f t="shared" si="11"/>
        <v>16</v>
      </c>
      <c r="F27" s="80">
        <f t="shared" si="9"/>
        <v>4</v>
      </c>
      <c r="G27" s="118">
        <f t="shared" si="5"/>
        <v>2</v>
      </c>
      <c r="H27" s="118">
        <f t="shared" si="1"/>
        <v>0</v>
      </c>
      <c r="I27" s="82">
        <f t="shared" si="2"/>
        <v>0</v>
      </c>
      <c r="J27" s="126">
        <f t="shared" si="3"/>
        <v>2</v>
      </c>
      <c r="K27" s="84">
        <f t="shared" si="10"/>
        <v>0</v>
      </c>
      <c r="L27" s="86"/>
    </row>
    <row r="28" spans="1:12" ht="15.75" customHeight="1" x14ac:dyDescent="0.25">
      <c r="A28" s="73" t="s">
        <v>2556</v>
      </c>
      <c r="B28" s="66">
        <f t="shared" si="4"/>
        <v>46027</v>
      </c>
      <c r="C28" s="79">
        <f t="shared" si="6"/>
        <v>14</v>
      </c>
      <c r="D28" s="79">
        <f t="shared" si="7"/>
        <v>14</v>
      </c>
      <c r="E28" s="79">
        <f t="shared" si="11"/>
        <v>14</v>
      </c>
      <c r="F28" s="80">
        <f t="shared" si="9"/>
        <v>4</v>
      </c>
      <c r="G28" s="118">
        <f t="shared" si="5"/>
        <v>0</v>
      </c>
      <c r="H28" s="118">
        <f t="shared" si="1"/>
        <v>1</v>
      </c>
      <c r="I28" s="82">
        <f t="shared" si="2"/>
        <v>0</v>
      </c>
      <c r="J28" s="126">
        <f t="shared" si="3"/>
        <v>5</v>
      </c>
      <c r="K28" s="84">
        <f t="shared" si="10"/>
        <v>0</v>
      </c>
      <c r="L28" s="86"/>
    </row>
    <row r="29" spans="1:12" ht="15.75" customHeight="1" x14ac:dyDescent="0.25">
      <c r="A29" s="73" t="s">
        <v>2557</v>
      </c>
      <c r="B29" s="66">
        <f t="shared" si="4"/>
        <v>46034</v>
      </c>
      <c r="C29" s="79">
        <f>IF(OR(C28="",C28=0),"",IF(ISBLANK($J28),IF(C28+$K28-$C$7&lt;=0,IF(AND(C28&gt;0,C28&lt;&gt;""),0,""),C28+$K28-$C$7),IF((C28-$J28)+$K28&lt;=0,IF(AND(C28&gt;0,C28&lt;&gt;""),0,""),(C28-$J28)+$K28)))</f>
        <v>9</v>
      </c>
      <c r="D29" s="79">
        <f t="shared" si="7"/>
        <v>9</v>
      </c>
      <c r="E29" s="79">
        <f t="shared" si="11"/>
        <v>9</v>
      </c>
      <c r="F29" s="80">
        <f t="shared" ref="F29:F68" si="12">IF(J28="","",IF(G28+F28+H28+I28-J28&lt;0,0,G28+F28+H28+I28-J28))</f>
        <v>0</v>
      </c>
      <c r="G29" s="118">
        <f t="shared" si="5"/>
        <v>0</v>
      </c>
      <c r="H29" s="118">
        <f t="shared" si="1"/>
        <v>0</v>
      </c>
      <c r="I29" s="82">
        <f t="shared" si="2"/>
        <v>0</v>
      </c>
      <c r="J29" s="126">
        <f t="shared" si="3"/>
        <v>0</v>
      </c>
      <c r="K29" s="84">
        <f t="shared" si="10"/>
        <v>0</v>
      </c>
      <c r="L29" s="86"/>
    </row>
    <row r="30" spans="1:12" ht="15.75" customHeight="1" x14ac:dyDescent="0.25">
      <c r="A30" s="73" t="s">
        <v>2558</v>
      </c>
      <c r="B30" s="66">
        <f t="shared" si="4"/>
        <v>46041</v>
      </c>
      <c r="C30" s="79">
        <f t="shared" si="6"/>
        <v>9</v>
      </c>
      <c r="D30" s="79">
        <f t="shared" si="7"/>
        <v>9</v>
      </c>
      <c r="E30" s="79">
        <f t="shared" si="11"/>
        <v>9</v>
      </c>
      <c r="F30" s="80">
        <f t="shared" si="12"/>
        <v>0</v>
      </c>
      <c r="G30" s="118">
        <f t="shared" si="5"/>
        <v>0</v>
      </c>
      <c r="H30" s="118">
        <f t="shared" si="1"/>
        <v>1</v>
      </c>
      <c r="I30" s="82">
        <f t="shared" si="2"/>
        <v>0</v>
      </c>
      <c r="J30" s="126">
        <f t="shared" si="3"/>
        <v>0</v>
      </c>
      <c r="K30" s="84">
        <f t="shared" si="10"/>
        <v>0</v>
      </c>
      <c r="L30" s="86"/>
    </row>
    <row r="31" spans="1:12" ht="15.75" customHeight="1" x14ac:dyDescent="0.25">
      <c r="A31" s="73" t="s">
        <v>2559</v>
      </c>
      <c r="B31" s="66">
        <f t="shared" si="4"/>
        <v>46048</v>
      </c>
      <c r="C31" s="79">
        <f t="shared" si="6"/>
        <v>9</v>
      </c>
      <c r="D31" s="79">
        <f t="shared" si="7"/>
        <v>9</v>
      </c>
      <c r="E31" s="79">
        <f>IF(OR(E30="",E30=0),"",IF(ISBLANK($J30),IF(E30+$K30-$C$9&lt;=0,IF(AND(E30&gt;0,E30&lt;&gt;""),0,""),E30+$K30-$C$9),IF((E30-$J30)+$K30&lt;=0,IF(AND(E30&gt;0,E30&lt;&gt;""),0,""),(E30-$J30)+$K30)))</f>
        <v>9</v>
      </c>
      <c r="F31" s="80">
        <f t="shared" si="12"/>
        <v>1</v>
      </c>
      <c r="G31" s="118">
        <f t="shared" si="5"/>
        <v>0</v>
      </c>
      <c r="H31" s="118">
        <f t="shared" si="1"/>
        <v>2</v>
      </c>
      <c r="I31" s="82">
        <f t="shared" si="2"/>
        <v>0</v>
      </c>
      <c r="J31" s="126">
        <f t="shared" si="3"/>
        <v>0</v>
      </c>
      <c r="K31" s="84">
        <f t="shared" si="10"/>
        <v>0</v>
      </c>
      <c r="L31" s="86"/>
    </row>
    <row r="32" spans="1:12" ht="15.75" customHeight="1" x14ac:dyDescent="0.25">
      <c r="A32" s="73" t="s">
        <v>2560</v>
      </c>
      <c r="B32" s="66">
        <f t="shared" si="4"/>
        <v>46055</v>
      </c>
      <c r="C32" s="79">
        <f t="shared" si="6"/>
        <v>9</v>
      </c>
      <c r="D32" s="79">
        <f>IF(OR(D31="",D31=0),"",IF(ISBLANK($J31),IF(D31+$K31-$C$8&lt;=0,IF(AND(D31&gt;0,D31&lt;&gt;""),0,""),D31+$K31-$C$8),IF((D31-$J31)+$K31&lt;=0,IF(AND(D31&gt;0,D31&lt;&gt;""),0,""),(D31-$J31)+$K31)))</f>
        <v>9</v>
      </c>
      <c r="E32" s="79">
        <f t="shared" si="11"/>
        <v>9</v>
      </c>
      <c r="F32" s="80">
        <f t="shared" si="12"/>
        <v>3</v>
      </c>
      <c r="G32" s="118">
        <f t="shared" si="5"/>
        <v>1</v>
      </c>
      <c r="H32" s="118">
        <f t="shared" si="1"/>
        <v>0</v>
      </c>
      <c r="I32" s="82">
        <f t="shared" si="2"/>
        <v>0</v>
      </c>
      <c r="J32" s="126">
        <f t="shared" si="3"/>
        <v>1</v>
      </c>
      <c r="K32" s="84">
        <f t="shared" si="10"/>
        <v>0</v>
      </c>
      <c r="L32" s="86"/>
    </row>
    <row r="33" spans="1:12" ht="15.75" customHeight="1" x14ac:dyDescent="0.25">
      <c r="A33" s="73" t="s">
        <v>2563</v>
      </c>
      <c r="B33" s="66">
        <f t="shared" si="4"/>
        <v>46062</v>
      </c>
      <c r="C33" s="79">
        <f t="shared" si="6"/>
        <v>8</v>
      </c>
      <c r="D33" s="79">
        <f t="shared" si="7"/>
        <v>8</v>
      </c>
      <c r="E33" s="79">
        <f t="shared" si="11"/>
        <v>8</v>
      </c>
      <c r="F33" s="80">
        <f t="shared" si="12"/>
        <v>3</v>
      </c>
      <c r="G33" s="118">
        <f t="shared" si="5"/>
        <v>0</v>
      </c>
      <c r="H33" s="118">
        <f t="shared" si="1"/>
        <v>2</v>
      </c>
      <c r="I33" s="82">
        <f t="shared" si="2"/>
        <v>0</v>
      </c>
      <c r="J33" s="126">
        <f t="shared" si="3"/>
        <v>1</v>
      </c>
      <c r="K33" s="84">
        <f t="shared" si="10"/>
        <v>0</v>
      </c>
      <c r="L33" s="86"/>
    </row>
    <row r="34" spans="1:12" ht="15.75" customHeight="1" x14ac:dyDescent="0.25">
      <c r="A34" s="73" t="s">
        <v>2564</v>
      </c>
      <c r="B34" s="66">
        <f t="shared" si="4"/>
        <v>46069</v>
      </c>
      <c r="C34" s="79">
        <f t="shared" si="6"/>
        <v>7</v>
      </c>
      <c r="D34" s="79">
        <f t="shared" si="7"/>
        <v>7</v>
      </c>
      <c r="E34" s="79">
        <f t="shared" si="11"/>
        <v>7</v>
      </c>
      <c r="F34" s="80">
        <f t="shared" si="12"/>
        <v>4</v>
      </c>
      <c r="G34" s="118">
        <f t="shared" si="5"/>
        <v>0</v>
      </c>
      <c r="H34" s="118">
        <f t="shared" si="1"/>
        <v>1</v>
      </c>
      <c r="I34" s="82">
        <f t="shared" si="2"/>
        <v>0</v>
      </c>
      <c r="J34" s="126">
        <f t="shared" si="3"/>
        <v>1</v>
      </c>
      <c r="K34" s="84">
        <f t="shared" si="10"/>
        <v>0</v>
      </c>
      <c r="L34" s="86"/>
    </row>
    <row r="35" spans="1:12" ht="15.75" customHeight="1" x14ac:dyDescent="0.25">
      <c r="A35" s="73" t="s">
        <v>2565</v>
      </c>
      <c r="B35" s="66">
        <f t="shared" si="4"/>
        <v>46076</v>
      </c>
      <c r="C35" s="79">
        <f t="shared" si="6"/>
        <v>6</v>
      </c>
      <c r="D35" s="79">
        <f t="shared" si="7"/>
        <v>6</v>
      </c>
      <c r="E35" s="79">
        <f t="shared" si="11"/>
        <v>6</v>
      </c>
      <c r="F35" s="80">
        <f t="shared" si="12"/>
        <v>4</v>
      </c>
      <c r="G35" s="118">
        <f t="shared" si="5"/>
        <v>1</v>
      </c>
      <c r="H35" s="118">
        <f t="shared" si="1"/>
        <v>0</v>
      </c>
      <c r="I35" s="82">
        <f t="shared" si="2"/>
        <v>0</v>
      </c>
      <c r="J35" s="126">
        <f t="shared" si="3"/>
        <v>3</v>
      </c>
      <c r="K35" s="84">
        <f t="shared" si="10"/>
        <v>0</v>
      </c>
      <c r="L35" s="86"/>
    </row>
    <row r="36" spans="1:12" ht="15.75" customHeight="1" x14ac:dyDescent="0.25">
      <c r="A36" s="73" t="s">
        <v>2566</v>
      </c>
      <c r="B36" s="66">
        <f t="shared" si="4"/>
        <v>46083</v>
      </c>
      <c r="C36" s="79">
        <f t="shared" si="6"/>
        <v>3</v>
      </c>
      <c r="D36" s="79">
        <f t="shared" si="7"/>
        <v>3</v>
      </c>
      <c r="E36" s="79">
        <f t="shared" si="11"/>
        <v>3</v>
      </c>
      <c r="F36" s="80">
        <f t="shared" si="12"/>
        <v>2</v>
      </c>
      <c r="G36" s="118">
        <f t="shared" si="5"/>
        <v>0</v>
      </c>
      <c r="H36" s="118">
        <f t="shared" si="1"/>
        <v>0</v>
      </c>
      <c r="I36" s="82">
        <f t="shared" si="2"/>
        <v>0</v>
      </c>
      <c r="J36" s="126">
        <f t="shared" si="3"/>
        <v>1</v>
      </c>
      <c r="K36" s="84">
        <f t="shared" si="10"/>
        <v>0</v>
      </c>
      <c r="L36" s="86"/>
    </row>
    <row r="37" spans="1:12" ht="15.75" customHeight="1" x14ac:dyDescent="0.25">
      <c r="A37" s="73" t="s">
        <v>2567</v>
      </c>
      <c r="B37" s="66">
        <f t="shared" si="4"/>
        <v>46090</v>
      </c>
      <c r="C37" s="79">
        <f t="shared" si="6"/>
        <v>2</v>
      </c>
      <c r="D37" s="79">
        <f t="shared" si="7"/>
        <v>2</v>
      </c>
      <c r="E37" s="79">
        <f t="shared" si="11"/>
        <v>2</v>
      </c>
      <c r="F37" s="80">
        <f t="shared" si="12"/>
        <v>1</v>
      </c>
      <c r="G37" s="118">
        <f t="shared" si="5"/>
        <v>1</v>
      </c>
      <c r="H37" s="118">
        <f t="shared" si="1"/>
        <v>0</v>
      </c>
      <c r="I37" s="82">
        <f t="shared" si="2"/>
        <v>0</v>
      </c>
      <c r="J37" s="126">
        <f t="shared" si="3"/>
        <v>1</v>
      </c>
      <c r="K37" s="84">
        <f t="shared" si="10"/>
        <v>0</v>
      </c>
      <c r="L37" s="86"/>
    </row>
    <row r="38" spans="1:12" ht="15.75" customHeight="1" x14ac:dyDescent="0.25">
      <c r="A38" s="73" t="s">
        <v>2568</v>
      </c>
      <c r="B38" s="66">
        <f t="shared" si="4"/>
        <v>46097</v>
      </c>
      <c r="C38" s="79">
        <f t="shared" si="6"/>
        <v>1</v>
      </c>
      <c r="D38" s="79">
        <f t="shared" si="7"/>
        <v>1</v>
      </c>
      <c r="E38" s="79">
        <f t="shared" si="11"/>
        <v>1</v>
      </c>
      <c r="F38" s="80">
        <f t="shared" si="12"/>
        <v>1</v>
      </c>
      <c r="G38" s="118">
        <f t="shared" si="5"/>
        <v>0</v>
      </c>
      <c r="H38" s="118">
        <f t="shared" si="1"/>
        <v>0</v>
      </c>
      <c r="I38" s="82">
        <f t="shared" si="2"/>
        <v>0</v>
      </c>
      <c r="J38" s="126">
        <f t="shared" si="3"/>
        <v>0</v>
      </c>
      <c r="K38" s="84">
        <f t="shared" si="10"/>
        <v>0</v>
      </c>
      <c r="L38" s="86"/>
    </row>
    <row r="39" spans="1:12" ht="15.75" customHeight="1" x14ac:dyDescent="0.25">
      <c r="A39" s="73" t="s">
        <v>2569</v>
      </c>
      <c r="B39" s="66">
        <f t="shared" si="4"/>
        <v>46104</v>
      </c>
      <c r="C39" s="79">
        <f t="shared" si="6"/>
        <v>1</v>
      </c>
      <c r="D39" s="79">
        <f t="shared" si="7"/>
        <v>1</v>
      </c>
      <c r="E39" s="79">
        <f t="shared" si="11"/>
        <v>1</v>
      </c>
      <c r="F39" s="80">
        <f t="shared" si="12"/>
        <v>1</v>
      </c>
      <c r="G39" s="118">
        <f t="shared" si="5"/>
        <v>0</v>
      </c>
      <c r="H39" s="118">
        <f t="shared" si="1"/>
        <v>0</v>
      </c>
      <c r="I39" s="82">
        <f t="shared" si="2"/>
        <v>0</v>
      </c>
      <c r="J39" s="126">
        <f t="shared" si="3"/>
        <v>1</v>
      </c>
      <c r="K39" s="84">
        <f t="shared" si="10"/>
        <v>0</v>
      </c>
      <c r="L39" s="86"/>
    </row>
    <row r="40" spans="1:12" ht="15.75" customHeight="1" x14ac:dyDescent="0.25">
      <c r="A40" s="73" t="s">
        <v>2570</v>
      </c>
      <c r="B40" s="66">
        <f t="shared" si="4"/>
        <v>46111</v>
      </c>
      <c r="C40" s="79">
        <f t="shared" si="6"/>
        <v>0</v>
      </c>
      <c r="D40" s="79">
        <f t="shared" si="7"/>
        <v>0</v>
      </c>
      <c r="E40" s="79">
        <f t="shared" si="11"/>
        <v>0</v>
      </c>
      <c r="F40" s="80">
        <f t="shared" si="12"/>
        <v>0</v>
      </c>
      <c r="G40" s="118"/>
      <c r="H40" s="118"/>
      <c r="I40" s="82"/>
      <c r="J40" s="126"/>
      <c r="K40" s="84"/>
      <c r="L40" s="86"/>
    </row>
    <row r="41" spans="1:12" ht="15.75" customHeight="1" x14ac:dyDescent="0.25">
      <c r="A41" s="73"/>
      <c r="B41" s="66">
        <f t="shared" si="4"/>
        <v>46118</v>
      </c>
      <c r="C41" s="85" t="str">
        <f>IF(OR(C40="",C40=0),"",IF(ISBLANK(J40),IF(C40+K40+I40-$C$7&lt;=0,IF(AND(C40&gt;0,C40&lt;&gt;""),0,""),C40+K40+I40-$C$7),IF((C40-J40)+K40+I40&lt;=0,IF(AND(C40&gt;0,C40&lt;&gt;""),0,""),(C40-J40)+K40+I40)))</f>
        <v/>
      </c>
      <c r="D41" s="79" t="str">
        <f t="shared" si="7"/>
        <v/>
      </c>
      <c r="E41" s="79" t="str">
        <f t="shared" si="11"/>
        <v/>
      </c>
      <c r="F41" s="80" t="str">
        <f t="shared" ref="F41:F43" ca="1" si="13">IF(TODAY() &lt;B40," ",IF(J40="","",IF(G40+F40+H40+I40-J40&lt;0,0,G40+F40+H40+I40-J40)))</f>
        <v/>
      </c>
      <c r="G41" s="118"/>
      <c r="H41" s="118"/>
      <c r="I41" s="82"/>
      <c r="J41" s="126"/>
      <c r="K41" s="84"/>
      <c r="L41" s="86"/>
    </row>
    <row r="42" spans="1:12" ht="15.75" customHeight="1" x14ac:dyDescent="0.25">
      <c r="A42" s="73"/>
      <c r="B42" s="66">
        <f t="shared" si="4"/>
        <v>46125</v>
      </c>
      <c r="C42" s="85" t="str">
        <f t="shared" ref="C42:C68" si="14">IF(OR(C41="",C41=0),"",IF(ISBLANK(J41),IF(C41+K41+I41-$C$7&lt;=0,IF(AND(C41&gt;0,C41&lt;&gt;""),0,""),C41+K41+I41-$C$7),IF((C41-J41)+K41+I41&lt;=0,IF(AND(C41&gt;0,C41&lt;&gt;""),0,""),(C41-J41)+K41+I41)))</f>
        <v/>
      </c>
      <c r="D42" s="79" t="str">
        <f t="shared" si="7"/>
        <v/>
      </c>
      <c r="E42" s="79" t="str">
        <f t="shared" si="11"/>
        <v/>
      </c>
      <c r="F42" s="80" t="str">
        <f t="shared" ca="1" si="13"/>
        <v xml:space="preserve"> </v>
      </c>
      <c r="G42" s="118"/>
      <c r="H42" s="118"/>
      <c r="I42" s="82"/>
      <c r="J42" s="126"/>
      <c r="K42" s="84"/>
      <c r="L42" s="86"/>
    </row>
    <row r="43" spans="1:12" ht="15.75" customHeight="1" x14ac:dyDescent="0.25">
      <c r="A43" s="73"/>
      <c r="B43" s="66">
        <f t="shared" si="4"/>
        <v>46132</v>
      </c>
      <c r="C43" s="85" t="str">
        <f t="shared" si="14"/>
        <v/>
      </c>
      <c r="D43" s="79" t="str">
        <f t="shared" si="7"/>
        <v/>
      </c>
      <c r="E43" s="79" t="str">
        <f t="shared" ref="E43:E45" si="15">IF(OR(E42="",E42=0),"",IF(ISBLANK($J42),IF(E42-$K42+$I42-$C$9&lt;=0,IF(AND(E42&gt;0,E42&lt;&gt;""),0,""),E42-$K42+$I42-$C$9),IF((E42-$J42)-$K42+$I42&lt;=0,IF(AND(E42&gt;0,E42&lt;&gt;""),0,""),(E42-$J42)-$K42+$I42)))</f>
        <v/>
      </c>
      <c r="F43" s="80" t="str">
        <f t="shared" ca="1" si="13"/>
        <v xml:space="preserve"> </v>
      </c>
      <c r="G43" s="81"/>
      <c r="H43" s="81"/>
      <c r="I43" s="82"/>
      <c r="J43" s="83"/>
      <c r="K43" s="84"/>
      <c r="L43" s="86"/>
    </row>
    <row r="44" spans="1:12" ht="15.75" customHeight="1" x14ac:dyDescent="0.25">
      <c r="A44" s="73"/>
      <c r="B44" s="66">
        <f t="shared" si="4"/>
        <v>46139</v>
      </c>
      <c r="C44" s="85" t="str">
        <f t="shared" si="14"/>
        <v/>
      </c>
      <c r="D44" s="79" t="str">
        <f t="shared" si="7"/>
        <v/>
      </c>
      <c r="E44" s="79" t="str">
        <f t="shared" si="15"/>
        <v/>
      </c>
      <c r="F44" s="80" t="str">
        <f t="shared" si="12"/>
        <v/>
      </c>
      <c r="G44" s="81"/>
      <c r="H44" s="81"/>
      <c r="I44" s="82"/>
      <c r="J44" s="83"/>
      <c r="K44" s="84"/>
      <c r="L44" s="86"/>
    </row>
    <row r="45" spans="1:12" ht="15.75" customHeight="1" x14ac:dyDescent="0.25">
      <c r="A45" s="73"/>
      <c r="B45" s="66">
        <f t="shared" si="4"/>
        <v>46146</v>
      </c>
      <c r="C45" s="85" t="str">
        <f t="shared" si="14"/>
        <v/>
      </c>
      <c r="D45" s="79" t="str">
        <f t="shared" si="7"/>
        <v/>
      </c>
      <c r="E45" s="79" t="str">
        <f t="shared" si="15"/>
        <v/>
      </c>
      <c r="F45" s="80" t="str">
        <f t="shared" si="12"/>
        <v/>
      </c>
      <c r="G45" s="81"/>
      <c r="H45" s="81"/>
      <c r="I45" s="82"/>
      <c r="J45" s="83"/>
      <c r="K45" s="84"/>
      <c r="L45" s="86"/>
    </row>
    <row r="46" spans="1:12" ht="15.75" customHeight="1" x14ac:dyDescent="0.25">
      <c r="A46" s="73"/>
      <c r="B46" s="66">
        <f t="shared" si="4"/>
        <v>46153</v>
      </c>
      <c r="C46" s="85" t="str">
        <f t="shared" si="14"/>
        <v/>
      </c>
      <c r="D46" s="79" t="str">
        <f t="shared" si="7"/>
        <v/>
      </c>
      <c r="E46" s="85" t="str">
        <f t="shared" ref="E46:E68" si="16">IF(OR(E45="",E45=0),"",IF(ISBLANK($J45),IF(E45+$K45+$I45-$C$9&lt;=0,IF(AND(E45&gt;0,E45&lt;&gt;""),0,""),E45+$K45+$I45-$C$9),IF((E45-$J45)+$K45+$I45&lt;=0,IF(AND(E45&gt;0,E45&lt;&gt;""),0,""),(E45-$J45)+$K45+$I45)))</f>
        <v/>
      </c>
      <c r="F46" s="80" t="str">
        <f t="shared" si="12"/>
        <v/>
      </c>
      <c r="G46" s="81"/>
      <c r="H46" s="81"/>
      <c r="I46" s="82"/>
      <c r="J46" s="83"/>
      <c r="K46" s="84"/>
      <c r="L46" s="86"/>
    </row>
    <row r="47" spans="1:12" ht="15.75" customHeight="1" x14ac:dyDescent="0.25">
      <c r="A47" s="73"/>
      <c r="B47" s="66">
        <f t="shared" si="4"/>
        <v>46160</v>
      </c>
      <c r="C47" s="85" t="str">
        <f t="shared" si="14"/>
        <v/>
      </c>
      <c r="D47" s="79" t="str">
        <f t="shared" si="7"/>
        <v/>
      </c>
      <c r="E47" s="85" t="str">
        <f t="shared" si="16"/>
        <v/>
      </c>
      <c r="F47" s="80" t="str">
        <f t="shared" si="12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/>
      <c r="B48" s="66">
        <f t="shared" si="4"/>
        <v>46167</v>
      </c>
      <c r="C48" s="85" t="str">
        <f t="shared" si="14"/>
        <v/>
      </c>
      <c r="D48" s="85" t="str">
        <f t="shared" ref="D48:D68" si="17">IF(OR(D47="",D47=0),"",IF(ISBLANK($J47),IF(D47+$K47+$I47-$C$8&lt;=0,IF(AND(D47&gt;0,D47&lt;&gt;""),0,""),D47+$K47+$I47-$C$8),IF((D47-$J47)+$K47+$I47&lt;=0,IF(AND(D47&gt;0,D47&lt;&gt;""),0,""),(D47-$J47)+$K47+$I47)))</f>
        <v/>
      </c>
      <c r="E48" s="85" t="str">
        <f t="shared" si="16"/>
        <v/>
      </c>
      <c r="F48" s="80" t="str">
        <f t="shared" si="12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4"/>
        <v>46174</v>
      </c>
      <c r="C49" s="85" t="str">
        <f t="shared" si="14"/>
        <v/>
      </c>
      <c r="D49" s="85" t="str">
        <f t="shared" si="17"/>
        <v/>
      </c>
      <c r="E49" s="85" t="str">
        <f t="shared" si="16"/>
        <v/>
      </c>
      <c r="F49" s="80" t="str">
        <f t="shared" si="12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4"/>
        <v>46181</v>
      </c>
      <c r="C50" s="85" t="str">
        <f t="shared" si="14"/>
        <v/>
      </c>
      <c r="D50" s="85" t="str">
        <f t="shared" si="17"/>
        <v/>
      </c>
      <c r="E50" s="85" t="str">
        <f t="shared" si="16"/>
        <v/>
      </c>
      <c r="F50" s="80" t="str">
        <f t="shared" si="12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4"/>
        <v>46188</v>
      </c>
      <c r="C51" s="85" t="str">
        <f t="shared" si="14"/>
        <v/>
      </c>
      <c r="D51" s="85" t="str">
        <f t="shared" si="17"/>
        <v/>
      </c>
      <c r="E51" s="85" t="str">
        <f t="shared" si="16"/>
        <v/>
      </c>
      <c r="F51" s="80" t="str">
        <f t="shared" si="12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4"/>
        <v>46195</v>
      </c>
      <c r="C52" s="85" t="str">
        <f t="shared" si="14"/>
        <v/>
      </c>
      <c r="D52" s="85" t="str">
        <f t="shared" si="17"/>
        <v/>
      </c>
      <c r="E52" s="85" t="str">
        <f t="shared" si="16"/>
        <v/>
      </c>
      <c r="F52" s="80" t="str">
        <f t="shared" si="12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4"/>
        <v>46202</v>
      </c>
      <c r="C53" s="85" t="str">
        <f t="shared" si="14"/>
        <v/>
      </c>
      <c r="D53" s="85" t="str">
        <f t="shared" si="17"/>
        <v/>
      </c>
      <c r="E53" s="85" t="str">
        <f t="shared" si="16"/>
        <v/>
      </c>
      <c r="F53" s="80" t="str">
        <f t="shared" si="12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4"/>
        <v>46209</v>
      </c>
      <c r="C54" s="85" t="str">
        <f t="shared" si="14"/>
        <v/>
      </c>
      <c r="D54" s="85" t="str">
        <f t="shared" si="17"/>
        <v/>
      </c>
      <c r="E54" s="85" t="str">
        <f t="shared" si="16"/>
        <v/>
      </c>
      <c r="F54" s="80" t="str">
        <f t="shared" si="12"/>
        <v/>
      </c>
      <c r="G54" s="81"/>
      <c r="H54" s="81"/>
      <c r="I54" s="82"/>
      <c r="J54" s="83"/>
      <c r="K54" s="84"/>
      <c r="L54" s="86"/>
    </row>
    <row r="55" spans="1:12" ht="15.75" customHeight="1" x14ac:dyDescent="0.25">
      <c r="A55" s="73"/>
      <c r="B55" s="66">
        <f t="shared" si="4"/>
        <v>46216</v>
      </c>
      <c r="C55" s="85" t="str">
        <f t="shared" si="14"/>
        <v/>
      </c>
      <c r="D55" s="85" t="str">
        <f t="shared" si="17"/>
        <v/>
      </c>
      <c r="E55" s="85" t="str">
        <f t="shared" si="16"/>
        <v/>
      </c>
      <c r="F55" s="80" t="str">
        <f t="shared" si="12"/>
        <v/>
      </c>
      <c r="G55" s="81"/>
      <c r="H55" s="81"/>
      <c r="I55" s="82"/>
      <c r="J55" s="83"/>
      <c r="K55" s="84"/>
      <c r="L55" s="86"/>
    </row>
    <row r="56" spans="1:12" ht="15" customHeight="1" x14ac:dyDescent="0.25">
      <c r="A56" s="73"/>
      <c r="B56" s="66">
        <f t="shared" si="4"/>
        <v>46223</v>
      </c>
      <c r="C56" s="85" t="str">
        <f t="shared" si="14"/>
        <v/>
      </c>
      <c r="D56" s="85" t="str">
        <f t="shared" si="17"/>
        <v/>
      </c>
      <c r="E56" s="85" t="str">
        <f t="shared" si="16"/>
        <v/>
      </c>
      <c r="F56" s="80" t="str">
        <f t="shared" si="12"/>
        <v/>
      </c>
      <c r="G56" s="81"/>
      <c r="H56" s="81"/>
      <c r="I56" s="82"/>
      <c r="J56" s="83"/>
      <c r="K56" s="84"/>
      <c r="L56" s="86"/>
    </row>
    <row r="57" spans="1:12" ht="15" customHeight="1" x14ac:dyDescent="0.25">
      <c r="A57" s="73"/>
      <c r="B57" s="66">
        <f t="shared" si="4"/>
        <v>46230</v>
      </c>
      <c r="C57" s="85" t="str">
        <f t="shared" si="14"/>
        <v/>
      </c>
      <c r="D57" s="85" t="str">
        <f t="shared" si="17"/>
        <v/>
      </c>
      <c r="E57" s="85" t="str">
        <f t="shared" si="16"/>
        <v/>
      </c>
      <c r="F57" s="80" t="str">
        <f t="shared" si="12"/>
        <v/>
      </c>
      <c r="G57" s="81"/>
      <c r="H57" s="81"/>
      <c r="I57" s="82"/>
      <c r="J57" s="83"/>
      <c r="K57" s="84"/>
      <c r="L57" s="86"/>
    </row>
    <row r="58" spans="1:12" ht="15" customHeight="1" x14ac:dyDescent="0.25">
      <c r="A58" s="73"/>
      <c r="B58" s="66">
        <f t="shared" si="4"/>
        <v>46237</v>
      </c>
      <c r="C58" s="85" t="str">
        <f t="shared" si="14"/>
        <v/>
      </c>
      <c r="D58" s="85" t="str">
        <f t="shared" si="17"/>
        <v/>
      </c>
      <c r="E58" s="85" t="str">
        <f t="shared" si="16"/>
        <v/>
      </c>
      <c r="F58" s="80" t="str">
        <f t="shared" si="12"/>
        <v/>
      </c>
      <c r="G58" s="81"/>
      <c r="H58" s="81"/>
      <c r="I58" s="82"/>
      <c r="J58" s="83"/>
      <c r="K58" s="84"/>
      <c r="L58" s="86"/>
    </row>
    <row r="59" spans="1:12" ht="15" customHeight="1" x14ac:dyDescent="0.25">
      <c r="A59" s="73"/>
      <c r="B59" s="66">
        <f t="shared" si="4"/>
        <v>46244</v>
      </c>
      <c r="C59" s="85" t="str">
        <f t="shared" si="14"/>
        <v/>
      </c>
      <c r="D59" s="85" t="str">
        <f t="shared" si="17"/>
        <v/>
      </c>
      <c r="E59" s="85" t="str">
        <f t="shared" si="16"/>
        <v/>
      </c>
      <c r="F59" s="80" t="str">
        <f t="shared" si="12"/>
        <v/>
      </c>
      <c r="G59" s="81"/>
      <c r="H59" s="81"/>
      <c r="I59" s="82"/>
      <c r="J59" s="83"/>
      <c r="K59" s="84"/>
      <c r="L59" s="86"/>
    </row>
    <row r="60" spans="1:12" ht="15" customHeight="1" x14ac:dyDescent="0.25">
      <c r="A60" s="73"/>
      <c r="B60" s="66">
        <f t="shared" si="4"/>
        <v>46251</v>
      </c>
      <c r="C60" s="85" t="str">
        <f t="shared" si="14"/>
        <v/>
      </c>
      <c r="D60" s="85" t="str">
        <f t="shared" si="17"/>
        <v/>
      </c>
      <c r="E60" s="85" t="str">
        <f t="shared" si="16"/>
        <v/>
      </c>
      <c r="F60" s="80" t="str">
        <f t="shared" si="12"/>
        <v/>
      </c>
      <c r="G60" s="81"/>
      <c r="H60" s="81"/>
      <c r="I60" s="82"/>
      <c r="J60" s="83"/>
      <c r="K60" s="84"/>
      <c r="L60" s="86"/>
    </row>
    <row r="61" spans="1:12" ht="15" customHeight="1" x14ac:dyDescent="0.25">
      <c r="A61" s="73"/>
      <c r="B61" s="66">
        <f t="shared" si="4"/>
        <v>46258</v>
      </c>
      <c r="C61" s="85" t="str">
        <f t="shared" si="14"/>
        <v/>
      </c>
      <c r="D61" s="85" t="str">
        <f t="shared" si="17"/>
        <v/>
      </c>
      <c r="E61" s="85" t="str">
        <f t="shared" si="16"/>
        <v/>
      </c>
      <c r="F61" s="80" t="str">
        <f t="shared" si="12"/>
        <v/>
      </c>
      <c r="G61" s="81"/>
      <c r="H61" s="81"/>
      <c r="I61" s="82"/>
      <c r="J61" s="83"/>
      <c r="K61" s="84"/>
      <c r="L61" s="86"/>
    </row>
    <row r="62" spans="1:12" ht="15" customHeight="1" x14ac:dyDescent="0.25">
      <c r="A62" s="73"/>
      <c r="B62" s="66">
        <f t="shared" si="4"/>
        <v>46265</v>
      </c>
      <c r="C62" s="85" t="str">
        <f t="shared" si="14"/>
        <v/>
      </c>
      <c r="D62" s="85" t="str">
        <f t="shared" si="17"/>
        <v/>
      </c>
      <c r="E62" s="85" t="str">
        <f t="shared" si="16"/>
        <v/>
      </c>
      <c r="F62" s="80" t="str">
        <f t="shared" si="12"/>
        <v/>
      </c>
      <c r="G62" s="81"/>
      <c r="H62" s="81"/>
      <c r="I62" s="82"/>
      <c r="J62" s="83"/>
      <c r="K62" s="84"/>
      <c r="L62" s="86"/>
    </row>
    <row r="63" spans="1:12" ht="15" customHeight="1" x14ac:dyDescent="0.25">
      <c r="A63" s="73"/>
      <c r="B63" s="66">
        <f t="shared" si="4"/>
        <v>46272</v>
      </c>
      <c r="C63" s="85" t="str">
        <f t="shared" si="14"/>
        <v/>
      </c>
      <c r="D63" s="85" t="str">
        <f t="shared" si="17"/>
        <v/>
      </c>
      <c r="E63" s="85" t="str">
        <f t="shared" si="16"/>
        <v/>
      </c>
      <c r="F63" s="80" t="str">
        <f t="shared" si="12"/>
        <v/>
      </c>
      <c r="G63" s="81"/>
      <c r="H63" s="81"/>
      <c r="I63" s="82"/>
      <c r="J63" s="83"/>
      <c r="K63" s="84"/>
      <c r="L63" s="86"/>
    </row>
    <row r="64" spans="1:12" ht="15" customHeight="1" x14ac:dyDescent="0.25">
      <c r="A64" s="73"/>
      <c r="B64" s="66">
        <f t="shared" si="4"/>
        <v>46279</v>
      </c>
      <c r="C64" s="85" t="str">
        <f t="shared" si="14"/>
        <v/>
      </c>
      <c r="D64" s="85" t="str">
        <f t="shared" si="17"/>
        <v/>
      </c>
      <c r="E64" s="85" t="str">
        <f t="shared" si="16"/>
        <v/>
      </c>
      <c r="F64" s="80" t="str">
        <f t="shared" si="12"/>
        <v/>
      </c>
      <c r="G64" s="81"/>
      <c r="H64" s="81"/>
      <c r="I64" s="82"/>
      <c r="J64" s="83"/>
      <c r="K64" s="84"/>
      <c r="L64" s="86"/>
    </row>
    <row r="65" spans="1:12" ht="15" customHeight="1" x14ac:dyDescent="0.25">
      <c r="A65" s="73"/>
      <c r="B65" s="66">
        <f t="shared" si="4"/>
        <v>46286</v>
      </c>
      <c r="C65" s="85" t="str">
        <f t="shared" si="14"/>
        <v/>
      </c>
      <c r="D65" s="85" t="str">
        <f t="shared" si="17"/>
        <v/>
      </c>
      <c r="E65" s="85" t="str">
        <f t="shared" si="16"/>
        <v/>
      </c>
      <c r="F65" s="80" t="str">
        <f t="shared" si="12"/>
        <v/>
      </c>
      <c r="G65" s="81"/>
      <c r="H65" s="81"/>
      <c r="I65" s="82"/>
      <c r="J65" s="83"/>
      <c r="K65" s="84"/>
      <c r="L65" s="86"/>
    </row>
    <row r="66" spans="1:12" ht="15" customHeight="1" x14ac:dyDescent="0.25">
      <c r="A66" s="73"/>
      <c r="B66" s="66">
        <f t="shared" si="4"/>
        <v>46293</v>
      </c>
      <c r="C66" s="85" t="str">
        <f t="shared" si="14"/>
        <v/>
      </c>
      <c r="D66" s="85" t="str">
        <f t="shared" si="17"/>
        <v/>
      </c>
      <c r="E66" s="85" t="str">
        <f t="shared" si="16"/>
        <v/>
      </c>
      <c r="F66" s="80" t="str">
        <f t="shared" si="12"/>
        <v/>
      </c>
      <c r="G66" s="81"/>
      <c r="H66" s="81"/>
      <c r="I66" s="82"/>
      <c r="J66" s="83"/>
      <c r="K66" s="84"/>
      <c r="L66" s="86"/>
    </row>
    <row r="67" spans="1:12" ht="15" customHeight="1" x14ac:dyDescent="0.25">
      <c r="A67" s="73"/>
      <c r="B67" s="66">
        <f t="shared" si="4"/>
        <v>46300</v>
      </c>
      <c r="C67" s="85" t="str">
        <f t="shared" si="14"/>
        <v/>
      </c>
      <c r="D67" s="85" t="str">
        <f t="shared" si="17"/>
        <v/>
      </c>
      <c r="E67" s="85" t="str">
        <f t="shared" si="16"/>
        <v/>
      </c>
      <c r="F67" s="80" t="str">
        <f t="shared" si="12"/>
        <v/>
      </c>
      <c r="G67" s="81"/>
      <c r="H67" s="81"/>
      <c r="I67" s="82"/>
      <c r="J67" s="83"/>
      <c r="K67" s="84"/>
      <c r="L67" s="86"/>
    </row>
    <row r="68" spans="1:12" ht="15" customHeight="1" x14ac:dyDescent="0.25">
      <c r="A68" s="73"/>
      <c r="B68" s="66">
        <f t="shared" si="4"/>
        <v>46307</v>
      </c>
      <c r="C68" s="85" t="str">
        <f t="shared" si="14"/>
        <v/>
      </c>
      <c r="D68" s="85" t="str">
        <f t="shared" si="17"/>
        <v/>
      </c>
      <c r="E68" s="85" t="str">
        <f t="shared" si="16"/>
        <v/>
      </c>
      <c r="F68" s="80" t="str">
        <f t="shared" si="12"/>
        <v/>
      </c>
      <c r="G68" s="81"/>
      <c r="H68" s="81"/>
      <c r="I68" s="82"/>
      <c r="J68" s="83"/>
      <c r="K68" s="84"/>
      <c r="L68" s="86"/>
    </row>
    <row r="93" spans="2:3" ht="15.75" customHeight="1" x14ac:dyDescent="0.25">
      <c r="B93" s="67" t="e">
        <f>IF(#REF!="","",IF(#REF!+$C$10&lt;=$C$6,#REF!+$C$10,""))</f>
        <v>#REF!</v>
      </c>
      <c r="C93" s="76" t="e">
        <f>IF(B93&lt;&gt;"",#REF!-$C$2/COUNT($B$18:$B$511),"")</f>
        <v>#REF!</v>
      </c>
    </row>
    <row r="94" spans="2:3" ht="15.75" customHeight="1" x14ac:dyDescent="0.25">
      <c r="B94" s="67" t="e">
        <f t="shared" ref="B94:B157" si="18">IF(B93="","",IF(B93+$C$10&lt;=$C$6,B93+$C$10,""))</f>
        <v>#REF!</v>
      </c>
      <c r="C94" s="76" t="e">
        <f t="shared" ref="C94:C157" si="19">IF(B94&lt;&gt;"",C93-$C$2/COUNT($B$18:$B$511),"")</f>
        <v>#REF!</v>
      </c>
    </row>
    <row r="95" spans="2:3" ht="15.75" customHeight="1" x14ac:dyDescent="0.25">
      <c r="B95" s="67" t="e">
        <f t="shared" si="18"/>
        <v>#REF!</v>
      </c>
      <c r="C95" s="76" t="e">
        <f t="shared" si="19"/>
        <v>#REF!</v>
      </c>
    </row>
    <row r="96" spans="2:3" ht="15.75" customHeight="1" x14ac:dyDescent="0.25">
      <c r="B96" s="67" t="e">
        <f t="shared" si="18"/>
        <v>#REF!</v>
      </c>
      <c r="C96" s="76" t="e">
        <f t="shared" si="19"/>
        <v>#REF!</v>
      </c>
    </row>
    <row r="97" spans="2:3" ht="15.75" customHeight="1" x14ac:dyDescent="0.25">
      <c r="B97" s="67" t="e">
        <f t="shared" si="18"/>
        <v>#REF!</v>
      </c>
      <c r="C97" s="76" t="e">
        <f t="shared" si="19"/>
        <v>#REF!</v>
      </c>
    </row>
    <row r="98" spans="2:3" ht="15.75" customHeight="1" x14ac:dyDescent="0.25">
      <c r="B98" s="67" t="e">
        <f t="shared" si="18"/>
        <v>#REF!</v>
      </c>
      <c r="C98" s="76" t="e">
        <f t="shared" si="19"/>
        <v>#REF!</v>
      </c>
    </row>
    <row r="99" spans="2:3" ht="15.75" customHeight="1" x14ac:dyDescent="0.25">
      <c r="B99" s="67" t="e">
        <f t="shared" si="18"/>
        <v>#REF!</v>
      </c>
      <c r="C99" s="76" t="e">
        <f t="shared" si="19"/>
        <v>#REF!</v>
      </c>
    </row>
    <row r="100" spans="2:3" ht="15.75" customHeight="1" x14ac:dyDescent="0.25">
      <c r="B100" s="67" t="e">
        <f t="shared" si="18"/>
        <v>#REF!</v>
      </c>
      <c r="C100" s="76" t="e">
        <f t="shared" si="19"/>
        <v>#REF!</v>
      </c>
    </row>
    <row r="101" spans="2:3" ht="15.75" customHeight="1" x14ac:dyDescent="0.25">
      <c r="B101" s="67" t="e">
        <f t="shared" si="18"/>
        <v>#REF!</v>
      </c>
      <c r="C101" s="76" t="e">
        <f t="shared" si="19"/>
        <v>#REF!</v>
      </c>
    </row>
    <row r="102" spans="2:3" ht="15.75" customHeight="1" x14ac:dyDescent="0.25">
      <c r="B102" s="67" t="e">
        <f t="shared" si="18"/>
        <v>#REF!</v>
      </c>
      <c r="C102" s="76" t="e">
        <f t="shared" si="19"/>
        <v>#REF!</v>
      </c>
    </row>
    <row r="103" spans="2:3" ht="15.75" customHeight="1" x14ac:dyDescent="0.25">
      <c r="B103" s="67" t="e">
        <f t="shared" si="18"/>
        <v>#REF!</v>
      </c>
      <c r="C103" s="76" t="e">
        <f t="shared" si="19"/>
        <v>#REF!</v>
      </c>
    </row>
    <row r="104" spans="2:3" ht="15.75" customHeight="1" x14ac:dyDescent="0.25">
      <c r="B104" s="67" t="e">
        <f t="shared" si="18"/>
        <v>#REF!</v>
      </c>
      <c r="C104" s="76" t="e">
        <f t="shared" si="19"/>
        <v>#REF!</v>
      </c>
    </row>
    <row r="105" spans="2:3" ht="15.75" customHeight="1" x14ac:dyDescent="0.25">
      <c r="B105" s="67" t="e">
        <f t="shared" si="18"/>
        <v>#REF!</v>
      </c>
      <c r="C105" s="76" t="e">
        <f t="shared" si="19"/>
        <v>#REF!</v>
      </c>
    </row>
    <row r="106" spans="2:3" ht="15.75" customHeight="1" x14ac:dyDescent="0.25">
      <c r="B106" s="67" t="e">
        <f t="shared" si="18"/>
        <v>#REF!</v>
      </c>
      <c r="C106" s="76" t="e">
        <f t="shared" si="19"/>
        <v>#REF!</v>
      </c>
    </row>
    <row r="107" spans="2:3" ht="15.75" customHeight="1" x14ac:dyDescent="0.25">
      <c r="B107" s="67" t="e">
        <f t="shared" si="18"/>
        <v>#REF!</v>
      </c>
      <c r="C107" s="76" t="e">
        <f t="shared" si="19"/>
        <v>#REF!</v>
      </c>
    </row>
    <row r="108" spans="2:3" ht="15.75" customHeight="1" x14ac:dyDescent="0.25">
      <c r="B108" s="67" t="e">
        <f t="shared" si="18"/>
        <v>#REF!</v>
      </c>
      <c r="C108" s="76" t="e">
        <f t="shared" si="19"/>
        <v>#REF!</v>
      </c>
    </row>
    <row r="109" spans="2:3" ht="15.75" customHeight="1" x14ac:dyDescent="0.25">
      <c r="B109" s="67" t="e">
        <f t="shared" si="18"/>
        <v>#REF!</v>
      </c>
      <c r="C109" s="76" t="e">
        <f t="shared" si="19"/>
        <v>#REF!</v>
      </c>
    </row>
    <row r="110" spans="2:3" ht="15.75" customHeight="1" x14ac:dyDescent="0.25">
      <c r="B110" s="67" t="e">
        <f t="shared" si="18"/>
        <v>#REF!</v>
      </c>
      <c r="C110" s="76" t="e">
        <f t="shared" si="19"/>
        <v>#REF!</v>
      </c>
    </row>
    <row r="111" spans="2:3" ht="15.75" customHeight="1" x14ac:dyDescent="0.25">
      <c r="B111" s="67" t="e">
        <f t="shared" si="18"/>
        <v>#REF!</v>
      </c>
      <c r="C111" s="76" t="e">
        <f t="shared" si="19"/>
        <v>#REF!</v>
      </c>
    </row>
    <row r="112" spans="2:3" ht="15.75" customHeight="1" x14ac:dyDescent="0.25">
      <c r="B112" s="67" t="e">
        <f t="shared" si="18"/>
        <v>#REF!</v>
      </c>
      <c r="C112" s="76" t="e">
        <f t="shared" si="19"/>
        <v>#REF!</v>
      </c>
    </row>
    <row r="113" spans="2:3" ht="15.75" customHeight="1" x14ac:dyDescent="0.25">
      <c r="B113" s="67" t="e">
        <f t="shared" si="18"/>
        <v>#REF!</v>
      </c>
      <c r="C113" s="76" t="e">
        <f t="shared" si="19"/>
        <v>#REF!</v>
      </c>
    </row>
    <row r="114" spans="2:3" ht="15.75" customHeight="1" x14ac:dyDescent="0.25">
      <c r="B114" s="67" t="e">
        <f t="shared" si="18"/>
        <v>#REF!</v>
      </c>
      <c r="C114" s="76" t="e">
        <f t="shared" si="19"/>
        <v>#REF!</v>
      </c>
    </row>
    <row r="115" spans="2:3" ht="15.75" customHeight="1" x14ac:dyDescent="0.25">
      <c r="B115" s="67" t="e">
        <f t="shared" si="18"/>
        <v>#REF!</v>
      </c>
      <c r="C115" s="76" t="e">
        <f t="shared" si="19"/>
        <v>#REF!</v>
      </c>
    </row>
    <row r="116" spans="2:3" ht="15.75" customHeight="1" x14ac:dyDescent="0.25">
      <c r="B116" s="67" t="e">
        <f t="shared" si="18"/>
        <v>#REF!</v>
      </c>
      <c r="C116" s="76" t="e">
        <f t="shared" si="19"/>
        <v>#REF!</v>
      </c>
    </row>
    <row r="117" spans="2:3" ht="15.75" customHeight="1" x14ac:dyDescent="0.25">
      <c r="B117" s="67" t="e">
        <f t="shared" si="18"/>
        <v>#REF!</v>
      </c>
      <c r="C117" s="76" t="e">
        <f t="shared" si="19"/>
        <v>#REF!</v>
      </c>
    </row>
    <row r="118" spans="2:3" ht="15.75" customHeight="1" x14ac:dyDescent="0.25">
      <c r="B118" s="67" t="e">
        <f t="shared" si="18"/>
        <v>#REF!</v>
      </c>
      <c r="C118" s="76" t="e">
        <f t="shared" si="19"/>
        <v>#REF!</v>
      </c>
    </row>
    <row r="119" spans="2:3" ht="15.75" customHeight="1" x14ac:dyDescent="0.25">
      <c r="B119" s="67" t="e">
        <f t="shared" si="18"/>
        <v>#REF!</v>
      </c>
      <c r="C119" s="76" t="e">
        <f t="shared" si="19"/>
        <v>#REF!</v>
      </c>
    </row>
    <row r="120" spans="2:3" ht="15.75" customHeight="1" x14ac:dyDescent="0.25">
      <c r="B120" s="67" t="e">
        <f t="shared" si="18"/>
        <v>#REF!</v>
      </c>
      <c r="C120" s="76" t="e">
        <f t="shared" si="19"/>
        <v>#REF!</v>
      </c>
    </row>
    <row r="121" spans="2:3" ht="15.75" customHeight="1" x14ac:dyDescent="0.25">
      <c r="B121" s="67" t="e">
        <f t="shared" si="18"/>
        <v>#REF!</v>
      </c>
      <c r="C121" s="76" t="e">
        <f t="shared" si="19"/>
        <v>#REF!</v>
      </c>
    </row>
    <row r="122" spans="2:3" ht="15.75" customHeight="1" x14ac:dyDescent="0.25">
      <c r="B122" s="67" t="e">
        <f t="shared" si="18"/>
        <v>#REF!</v>
      </c>
      <c r="C122" s="76" t="e">
        <f t="shared" si="19"/>
        <v>#REF!</v>
      </c>
    </row>
    <row r="123" spans="2:3" ht="15.75" customHeight="1" x14ac:dyDescent="0.25">
      <c r="B123" s="67" t="e">
        <f t="shared" si="18"/>
        <v>#REF!</v>
      </c>
      <c r="C123" s="76" t="e">
        <f t="shared" si="19"/>
        <v>#REF!</v>
      </c>
    </row>
    <row r="124" spans="2:3" ht="15.75" customHeight="1" x14ac:dyDescent="0.25">
      <c r="B124" s="67" t="e">
        <f t="shared" si="18"/>
        <v>#REF!</v>
      </c>
      <c r="C124" s="76" t="e">
        <f t="shared" si="19"/>
        <v>#REF!</v>
      </c>
    </row>
    <row r="125" spans="2:3" ht="15.75" customHeight="1" x14ac:dyDescent="0.25">
      <c r="B125" s="67" t="e">
        <f t="shared" si="18"/>
        <v>#REF!</v>
      </c>
      <c r="C125" s="76" t="e">
        <f t="shared" si="19"/>
        <v>#REF!</v>
      </c>
    </row>
    <row r="126" spans="2:3" ht="15.75" customHeight="1" x14ac:dyDescent="0.25">
      <c r="B126" s="67" t="e">
        <f t="shared" si="18"/>
        <v>#REF!</v>
      </c>
      <c r="C126" s="76" t="e">
        <f t="shared" si="19"/>
        <v>#REF!</v>
      </c>
    </row>
    <row r="127" spans="2:3" ht="15.75" customHeight="1" x14ac:dyDescent="0.25">
      <c r="B127" s="67" t="e">
        <f t="shared" si="18"/>
        <v>#REF!</v>
      </c>
      <c r="C127" s="76" t="e">
        <f t="shared" si="19"/>
        <v>#REF!</v>
      </c>
    </row>
    <row r="128" spans="2:3" ht="15.75" customHeight="1" x14ac:dyDescent="0.25">
      <c r="B128" s="67" t="e">
        <f t="shared" si="18"/>
        <v>#REF!</v>
      </c>
      <c r="C128" s="76" t="e">
        <f t="shared" si="19"/>
        <v>#REF!</v>
      </c>
    </row>
    <row r="129" spans="2:3" ht="15.75" customHeight="1" x14ac:dyDescent="0.25">
      <c r="B129" s="67" t="e">
        <f t="shared" si="18"/>
        <v>#REF!</v>
      </c>
      <c r="C129" s="76" t="e">
        <f t="shared" si="19"/>
        <v>#REF!</v>
      </c>
    </row>
    <row r="130" spans="2:3" ht="15.75" customHeight="1" x14ac:dyDescent="0.25">
      <c r="B130" s="67" t="e">
        <f t="shared" si="18"/>
        <v>#REF!</v>
      </c>
      <c r="C130" s="76" t="e">
        <f t="shared" si="19"/>
        <v>#REF!</v>
      </c>
    </row>
    <row r="131" spans="2:3" ht="15.75" customHeight="1" x14ac:dyDescent="0.25">
      <c r="B131" s="67" t="e">
        <f t="shared" si="18"/>
        <v>#REF!</v>
      </c>
      <c r="C131" s="76" t="e">
        <f t="shared" si="19"/>
        <v>#REF!</v>
      </c>
    </row>
    <row r="132" spans="2:3" ht="15.75" customHeight="1" x14ac:dyDescent="0.25">
      <c r="B132" s="67" t="e">
        <f t="shared" si="18"/>
        <v>#REF!</v>
      </c>
      <c r="C132" s="76" t="e">
        <f t="shared" si="19"/>
        <v>#REF!</v>
      </c>
    </row>
    <row r="133" spans="2:3" ht="15.75" customHeight="1" x14ac:dyDescent="0.25">
      <c r="B133" s="67" t="e">
        <f t="shared" si="18"/>
        <v>#REF!</v>
      </c>
      <c r="C133" s="76" t="e">
        <f t="shared" si="19"/>
        <v>#REF!</v>
      </c>
    </row>
    <row r="134" spans="2:3" ht="15.75" customHeight="1" x14ac:dyDescent="0.25">
      <c r="B134" s="67" t="e">
        <f t="shared" si="18"/>
        <v>#REF!</v>
      </c>
      <c r="C134" s="76" t="e">
        <f t="shared" si="19"/>
        <v>#REF!</v>
      </c>
    </row>
    <row r="135" spans="2:3" ht="15.75" customHeight="1" x14ac:dyDescent="0.25">
      <c r="B135" s="67" t="e">
        <f t="shared" si="18"/>
        <v>#REF!</v>
      </c>
      <c r="C135" s="76" t="e">
        <f t="shared" si="19"/>
        <v>#REF!</v>
      </c>
    </row>
    <row r="136" spans="2:3" ht="15.75" customHeight="1" x14ac:dyDescent="0.25">
      <c r="B136" s="67" t="e">
        <f t="shared" si="18"/>
        <v>#REF!</v>
      </c>
      <c r="C136" s="76" t="e">
        <f t="shared" si="19"/>
        <v>#REF!</v>
      </c>
    </row>
    <row r="137" spans="2:3" ht="15.75" customHeight="1" x14ac:dyDescent="0.25">
      <c r="B137" s="67" t="e">
        <f t="shared" si="18"/>
        <v>#REF!</v>
      </c>
      <c r="C137" s="76" t="e">
        <f t="shared" si="19"/>
        <v>#REF!</v>
      </c>
    </row>
    <row r="138" spans="2:3" ht="15.75" customHeight="1" x14ac:dyDescent="0.25">
      <c r="B138" s="67" t="e">
        <f t="shared" si="18"/>
        <v>#REF!</v>
      </c>
      <c r="C138" s="76" t="e">
        <f t="shared" si="19"/>
        <v>#REF!</v>
      </c>
    </row>
    <row r="139" spans="2:3" ht="15.75" customHeight="1" x14ac:dyDescent="0.25">
      <c r="B139" s="67" t="e">
        <f t="shared" si="18"/>
        <v>#REF!</v>
      </c>
      <c r="C139" s="76" t="e">
        <f t="shared" si="19"/>
        <v>#REF!</v>
      </c>
    </row>
    <row r="140" spans="2:3" ht="15.75" customHeight="1" x14ac:dyDescent="0.25">
      <c r="B140" s="67" t="e">
        <f t="shared" si="18"/>
        <v>#REF!</v>
      </c>
      <c r="C140" s="76" t="e">
        <f t="shared" si="19"/>
        <v>#REF!</v>
      </c>
    </row>
    <row r="141" spans="2:3" ht="15.75" customHeight="1" x14ac:dyDescent="0.25">
      <c r="B141" s="67" t="e">
        <f t="shared" si="18"/>
        <v>#REF!</v>
      </c>
      <c r="C141" s="76" t="e">
        <f t="shared" si="19"/>
        <v>#REF!</v>
      </c>
    </row>
    <row r="142" spans="2:3" ht="15.75" customHeight="1" x14ac:dyDescent="0.25">
      <c r="B142" s="67" t="e">
        <f t="shared" si="18"/>
        <v>#REF!</v>
      </c>
      <c r="C142" s="76" t="e">
        <f t="shared" si="19"/>
        <v>#REF!</v>
      </c>
    </row>
    <row r="143" spans="2:3" ht="15.75" customHeight="1" x14ac:dyDescent="0.25">
      <c r="B143" s="67" t="e">
        <f t="shared" si="18"/>
        <v>#REF!</v>
      </c>
      <c r="C143" s="76" t="e">
        <f t="shared" si="19"/>
        <v>#REF!</v>
      </c>
    </row>
    <row r="144" spans="2:3" ht="15.75" customHeight="1" x14ac:dyDescent="0.25">
      <c r="B144" s="67" t="e">
        <f t="shared" si="18"/>
        <v>#REF!</v>
      </c>
      <c r="C144" s="76" t="e">
        <f t="shared" si="19"/>
        <v>#REF!</v>
      </c>
    </row>
    <row r="145" spans="2:3" ht="15.75" customHeight="1" x14ac:dyDescent="0.25">
      <c r="B145" s="67" t="e">
        <f t="shared" si="18"/>
        <v>#REF!</v>
      </c>
      <c r="C145" s="76" t="e">
        <f t="shared" si="19"/>
        <v>#REF!</v>
      </c>
    </row>
    <row r="146" spans="2:3" ht="15.75" customHeight="1" x14ac:dyDescent="0.25">
      <c r="B146" s="67" t="e">
        <f t="shared" si="18"/>
        <v>#REF!</v>
      </c>
      <c r="C146" s="76" t="e">
        <f t="shared" si="19"/>
        <v>#REF!</v>
      </c>
    </row>
    <row r="147" spans="2:3" ht="15.75" customHeight="1" x14ac:dyDescent="0.25">
      <c r="B147" s="67" t="e">
        <f t="shared" si="18"/>
        <v>#REF!</v>
      </c>
      <c r="C147" s="76" t="e">
        <f t="shared" si="19"/>
        <v>#REF!</v>
      </c>
    </row>
    <row r="148" spans="2:3" ht="15.75" customHeight="1" x14ac:dyDescent="0.25">
      <c r="B148" s="67" t="e">
        <f t="shared" si="18"/>
        <v>#REF!</v>
      </c>
      <c r="C148" s="76" t="e">
        <f t="shared" si="19"/>
        <v>#REF!</v>
      </c>
    </row>
    <row r="149" spans="2:3" ht="15.75" customHeight="1" x14ac:dyDescent="0.25">
      <c r="B149" s="67" t="e">
        <f t="shared" si="18"/>
        <v>#REF!</v>
      </c>
      <c r="C149" s="76" t="e">
        <f t="shared" si="19"/>
        <v>#REF!</v>
      </c>
    </row>
    <row r="150" spans="2:3" ht="15.75" customHeight="1" x14ac:dyDescent="0.25">
      <c r="B150" s="67" t="e">
        <f t="shared" si="18"/>
        <v>#REF!</v>
      </c>
      <c r="C150" s="76" t="e">
        <f t="shared" si="19"/>
        <v>#REF!</v>
      </c>
    </row>
    <row r="151" spans="2:3" ht="15.75" customHeight="1" x14ac:dyDescent="0.25">
      <c r="B151" s="67" t="e">
        <f t="shared" si="18"/>
        <v>#REF!</v>
      </c>
      <c r="C151" s="76" t="e">
        <f t="shared" si="19"/>
        <v>#REF!</v>
      </c>
    </row>
    <row r="152" spans="2:3" ht="15.75" customHeight="1" x14ac:dyDescent="0.25">
      <c r="B152" s="67" t="e">
        <f t="shared" si="18"/>
        <v>#REF!</v>
      </c>
      <c r="C152" s="76" t="e">
        <f t="shared" si="19"/>
        <v>#REF!</v>
      </c>
    </row>
    <row r="153" spans="2:3" ht="15.75" customHeight="1" x14ac:dyDescent="0.25">
      <c r="B153" s="67" t="e">
        <f t="shared" si="18"/>
        <v>#REF!</v>
      </c>
      <c r="C153" s="76" t="e">
        <f t="shared" si="19"/>
        <v>#REF!</v>
      </c>
    </row>
    <row r="154" spans="2:3" ht="15.75" customHeight="1" x14ac:dyDescent="0.25">
      <c r="B154" s="67" t="e">
        <f t="shared" si="18"/>
        <v>#REF!</v>
      </c>
      <c r="C154" s="76" t="e">
        <f t="shared" si="19"/>
        <v>#REF!</v>
      </c>
    </row>
    <row r="155" spans="2:3" ht="15.75" customHeight="1" x14ac:dyDescent="0.25">
      <c r="B155" s="67" t="e">
        <f t="shared" si="18"/>
        <v>#REF!</v>
      </c>
      <c r="C155" s="76" t="e">
        <f t="shared" si="19"/>
        <v>#REF!</v>
      </c>
    </row>
    <row r="156" spans="2:3" ht="15.75" customHeight="1" x14ac:dyDescent="0.25">
      <c r="B156" s="67" t="e">
        <f t="shared" si="18"/>
        <v>#REF!</v>
      </c>
      <c r="C156" s="76" t="e">
        <f t="shared" si="19"/>
        <v>#REF!</v>
      </c>
    </row>
    <row r="157" spans="2:3" ht="15.75" customHeight="1" x14ac:dyDescent="0.25">
      <c r="B157" s="67" t="e">
        <f t="shared" si="18"/>
        <v>#REF!</v>
      </c>
      <c r="C157" s="76" t="e">
        <f t="shared" si="19"/>
        <v>#REF!</v>
      </c>
    </row>
    <row r="158" spans="2:3" ht="15.75" customHeight="1" x14ac:dyDescent="0.25">
      <c r="B158" s="67" t="e">
        <f t="shared" ref="B158:B221" si="20">IF(B157="","",IF(B157+$C$10&lt;=$C$6,B157+$C$10,""))</f>
        <v>#REF!</v>
      </c>
      <c r="C158" s="76" t="e">
        <f t="shared" ref="C158:C221" si="21">IF(B158&lt;&gt;"",C157-$C$2/COUNT($B$18:$B$511),"")</f>
        <v>#REF!</v>
      </c>
    </row>
    <row r="159" spans="2:3" ht="15.75" customHeight="1" x14ac:dyDescent="0.25">
      <c r="B159" s="67" t="e">
        <f t="shared" si="20"/>
        <v>#REF!</v>
      </c>
      <c r="C159" s="76" t="e">
        <f t="shared" si="21"/>
        <v>#REF!</v>
      </c>
    </row>
    <row r="160" spans="2:3" ht="15.75" customHeight="1" x14ac:dyDescent="0.25">
      <c r="B160" s="67" t="e">
        <f t="shared" si="20"/>
        <v>#REF!</v>
      </c>
      <c r="C160" s="76" t="e">
        <f t="shared" si="21"/>
        <v>#REF!</v>
      </c>
    </row>
    <row r="161" spans="2:3" ht="15.75" customHeight="1" x14ac:dyDescent="0.25">
      <c r="B161" s="67" t="e">
        <f t="shared" si="20"/>
        <v>#REF!</v>
      </c>
      <c r="C161" s="76" t="e">
        <f t="shared" si="21"/>
        <v>#REF!</v>
      </c>
    </row>
    <row r="162" spans="2:3" ht="15.75" customHeight="1" x14ac:dyDescent="0.25">
      <c r="B162" s="67" t="e">
        <f t="shared" si="20"/>
        <v>#REF!</v>
      </c>
      <c r="C162" s="76" t="e">
        <f t="shared" si="21"/>
        <v>#REF!</v>
      </c>
    </row>
    <row r="163" spans="2:3" ht="15.75" customHeight="1" x14ac:dyDescent="0.25">
      <c r="B163" s="67" t="e">
        <f t="shared" si="20"/>
        <v>#REF!</v>
      </c>
      <c r="C163" s="76" t="e">
        <f t="shared" si="21"/>
        <v>#REF!</v>
      </c>
    </row>
    <row r="164" spans="2:3" ht="15.75" customHeight="1" x14ac:dyDescent="0.25">
      <c r="B164" s="67" t="e">
        <f t="shared" si="20"/>
        <v>#REF!</v>
      </c>
      <c r="C164" s="76" t="e">
        <f t="shared" si="21"/>
        <v>#REF!</v>
      </c>
    </row>
    <row r="165" spans="2:3" ht="15.75" customHeight="1" x14ac:dyDescent="0.25">
      <c r="B165" s="67" t="e">
        <f t="shared" si="20"/>
        <v>#REF!</v>
      </c>
      <c r="C165" s="76" t="e">
        <f t="shared" si="21"/>
        <v>#REF!</v>
      </c>
    </row>
    <row r="166" spans="2:3" ht="15.75" customHeight="1" x14ac:dyDescent="0.25">
      <c r="B166" s="67" t="e">
        <f t="shared" si="20"/>
        <v>#REF!</v>
      </c>
      <c r="C166" s="76" t="e">
        <f t="shared" si="21"/>
        <v>#REF!</v>
      </c>
    </row>
    <row r="167" spans="2:3" ht="15.75" customHeight="1" x14ac:dyDescent="0.25">
      <c r="B167" s="67" t="e">
        <f t="shared" si="20"/>
        <v>#REF!</v>
      </c>
      <c r="C167" s="76" t="e">
        <f t="shared" si="21"/>
        <v>#REF!</v>
      </c>
    </row>
    <row r="168" spans="2:3" ht="15.75" customHeight="1" x14ac:dyDescent="0.25">
      <c r="B168" s="67" t="e">
        <f t="shared" si="20"/>
        <v>#REF!</v>
      </c>
      <c r="C168" s="76" t="e">
        <f t="shared" si="21"/>
        <v>#REF!</v>
      </c>
    </row>
    <row r="169" spans="2:3" ht="15.75" customHeight="1" x14ac:dyDescent="0.25">
      <c r="B169" s="67" t="e">
        <f t="shared" si="20"/>
        <v>#REF!</v>
      </c>
      <c r="C169" s="76" t="e">
        <f t="shared" si="21"/>
        <v>#REF!</v>
      </c>
    </row>
    <row r="170" spans="2:3" ht="15.75" customHeight="1" x14ac:dyDescent="0.25">
      <c r="B170" s="67" t="e">
        <f t="shared" si="20"/>
        <v>#REF!</v>
      </c>
      <c r="C170" s="76" t="e">
        <f t="shared" si="21"/>
        <v>#REF!</v>
      </c>
    </row>
    <row r="171" spans="2:3" ht="15.75" customHeight="1" x14ac:dyDescent="0.25">
      <c r="B171" s="67" t="e">
        <f t="shared" si="20"/>
        <v>#REF!</v>
      </c>
      <c r="C171" s="76" t="e">
        <f t="shared" si="21"/>
        <v>#REF!</v>
      </c>
    </row>
    <row r="172" spans="2:3" ht="15.75" customHeight="1" x14ac:dyDescent="0.25">
      <c r="B172" s="67" t="e">
        <f t="shared" si="20"/>
        <v>#REF!</v>
      </c>
      <c r="C172" s="76" t="e">
        <f t="shared" si="21"/>
        <v>#REF!</v>
      </c>
    </row>
    <row r="173" spans="2:3" ht="15.75" customHeight="1" x14ac:dyDescent="0.25">
      <c r="B173" s="67" t="e">
        <f t="shared" si="20"/>
        <v>#REF!</v>
      </c>
      <c r="C173" s="76" t="e">
        <f t="shared" si="21"/>
        <v>#REF!</v>
      </c>
    </row>
    <row r="174" spans="2:3" ht="15.75" customHeight="1" x14ac:dyDescent="0.25">
      <c r="B174" s="67" t="e">
        <f t="shared" si="20"/>
        <v>#REF!</v>
      </c>
      <c r="C174" s="76" t="e">
        <f t="shared" si="21"/>
        <v>#REF!</v>
      </c>
    </row>
    <row r="175" spans="2:3" ht="15.75" customHeight="1" x14ac:dyDescent="0.25">
      <c r="B175" s="67" t="e">
        <f t="shared" si="20"/>
        <v>#REF!</v>
      </c>
      <c r="C175" s="76" t="e">
        <f t="shared" si="21"/>
        <v>#REF!</v>
      </c>
    </row>
    <row r="176" spans="2:3" ht="15.75" customHeight="1" x14ac:dyDescent="0.25">
      <c r="B176" s="67" t="e">
        <f t="shared" si="20"/>
        <v>#REF!</v>
      </c>
      <c r="C176" s="76" t="e">
        <f t="shared" si="21"/>
        <v>#REF!</v>
      </c>
    </row>
    <row r="177" spans="2:3" ht="15.75" customHeight="1" x14ac:dyDescent="0.25">
      <c r="B177" s="67" t="e">
        <f t="shared" si="20"/>
        <v>#REF!</v>
      </c>
      <c r="C177" s="76" t="e">
        <f t="shared" si="21"/>
        <v>#REF!</v>
      </c>
    </row>
    <row r="178" spans="2:3" ht="15.75" customHeight="1" x14ac:dyDescent="0.25">
      <c r="B178" s="67" t="e">
        <f t="shared" si="20"/>
        <v>#REF!</v>
      </c>
      <c r="C178" s="76" t="e">
        <f t="shared" si="21"/>
        <v>#REF!</v>
      </c>
    </row>
    <row r="179" spans="2:3" ht="15.75" customHeight="1" x14ac:dyDescent="0.25">
      <c r="B179" s="67" t="e">
        <f t="shared" si="20"/>
        <v>#REF!</v>
      </c>
      <c r="C179" s="76" t="e">
        <f t="shared" si="21"/>
        <v>#REF!</v>
      </c>
    </row>
    <row r="180" spans="2:3" ht="15.75" customHeight="1" x14ac:dyDescent="0.25">
      <c r="B180" s="67" t="e">
        <f t="shared" si="20"/>
        <v>#REF!</v>
      </c>
      <c r="C180" s="76" t="e">
        <f t="shared" si="21"/>
        <v>#REF!</v>
      </c>
    </row>
    <row r="181" spans="2:3" ht="15.75" customHeight="1" x14ac:dyDescent="0.25">
      <c r="B181" s="67" t="e">
        <f t="shared" si="20"/>
        <v>#REF!</v>
      </c>
      <c r="C181" s="76" t="e">
        <f t="shared" si="21"/>
        <v>#REF!</v>
      </c>
    </row>
    <row r="182" spans="2:3" ht="15.75" customHeight="1" x14ac:dyDescent="0.25">
      <c r="B182" s="67" t="e">
        <f t="shared" si="20"/>
        <v>#REF!</v>
      </c>
      <c r="C182" s="76" t="e">
        <f t="shared" si="21"/>
        <v>#REF!</v>
      </c>
    </row>
    <row r="183" spans="2:3" ht="15.75" customHeight="1" x14ac:dyDescent="0.25">
      <c r="B183" s="67" t="e">
        <f t="shared" si="20"/>
        <v>#REF!</v>
      </c>
      <c r="C183" s="76" t="e">
        <f t="shared" si="21"/>
        <v>#REF!</v>
      </c>
    </row>
    <row r="184" spans="2:3" ht="15.75" customHeight="1" x14ac:dyDescent="0.25">
      <c r="B184" s="67" t="e">
        <f t="shared" si="20"/>
        <v>#REF!</v>
      </c>
      <c r="C184" s="76" t="e">
        <f t="shared" si="21"/>
        <v>#REF!</v>
      </c>
    </row>
    <row r="185" spans="2:3" ht="15.75" customHeight="1" x14ac:dyDescent="0.25">
      <c r="B185" s="67" t="e">
        <f t="shared" si="20"/>
        <v>#REF!</v>
      </c>
      <c r="C185" s="76" t="e">
        <f t="shared" si="21"/>
        <v>#REF!</v>
      </c>
    </row>
    <row r="186" spans="2:3" ht="15.75" customHeight="1" x14ac:dyDescent="0.25">
      <c r="B186" s="67" t="e">
        <f t="shared" si="20"/>
        <v>#REF!</v>
      </c>
      <c r="C186" s="76" t="e">
        <f t="shared" si="21"/>
        <v>#REF!</v>
      </c>
    </row>
    <row r="187" spans="2:3" ht="15.75" customHeight="1" x14ac:dyDescent="0.25">
      <c r="B187" s="67" t="e">
        <f t="shared" si="20"/>
        <v>#REF!</v>
      </c>
      <c r="C187" s="76" t="e">
        <f t="shared" si="21"/>
        <v>#REF!</v>
      </c>
    </row>
    <row r="188" spans="2:3" ht="15.75" customHeight="1" x14ac:dyDescent="0.25">
      <c r="B188" s="67" t="e">
        <f t="shared" si="20"/>
        <v>#REF!</v>
      </c>
      <c r="C188" s="76" t="e">
        <f t="shared" si="21"/>
        <v>#REF!</v>
      </c>
    </row>
    <row r="189" spans="2:3" ht="15.75" customHeight="1" x14ac:dyDescent="0.25">
      <c r="B189" s="67" t="e">
        <f t="shared" si="20"/>
        <v>#REF!</v>
      </c>
      <c r="C189" s="76" t="e">
        <f t="shared" si="21"/>
        <v>#REF!</v>
      </c>
    </row>
    <row r="190" spans="2:3" ht="15.75" customHeight="1" x14ac:dyDescent="0.25">
      <c r="B190" s="67" t="e">
        <f t="shared" si="20"/>
        <v>#REF!</v>
      </c>
      <c r="C190" s="76" t="e">
        <f t="shared" si="21"/>
        <v>#REF!</v>
      </c>
    </row>
    <row r="191" spans="2:3" ht="15.75" customHeight="1" x14ac:dyDescent="0.25">
      <c r="B191" s="67" t="e">
        <f t="shared" si="20"/>
        <v>#REF!</v>
      </c>
      <c r="C191" s="76" t="e">
        <f t="shared" si="21"/>
        <v>#REF!</v>
      </c>
    </row>
    <row r="192" spans="2:3" ht="15.75" customHeight="1" x14ac:dyDescent="0.25">
      <c r="B192" s="67" t="e">
        <f t="shared" si="20"/>
        <v>#REF!</v>
      </c>
      <c r="C192" s="76" t="e">
        <f t="shared" si="21"/>
        <v>#REF!</v>
      </c>
    </row>
    <row r="193" spans="2:3" ht="15.75" customHeight="1" x14ac:dyDescent="0.25">
      <c r="B193" s="67" t="e">
        <f t="shared" si="20"/>
        <v>#REF!</v>
      </c>
      <c r="C193" s="76" t="e">
        <f t="shared" si="21"/>
        <v>#REF!</v>
      </c>
    </row>
    <row r="194" spans="2:3" ht="15.75" customHeight="1" x14ac:dyDescent="0.25">
      <c r="B194" s="67" t="e">
        <f t="shared" si="20"/>
        <v>#REF!</v>
      </c>
      <c r="C194" s="76" t="e">
        <f t="shared" si="21"/>
        <v>#REF!</v>
      </c>
    </row>
    <row r="195" spans="2:3" ht="15.75" customHeight="1" x14ac:dyDescent="0.25">
      <c r="B195" s="67" t="e">
        <f t="shared" si="20"/>
        <v>#REF!</v>
      </c>
      <c r="C195" s="76" t="e">
        <f t="shared" si="21"/>
        <v>#REF!</v>
      </c>
    </row>
    <row r="196" spans="2:3" ht="15.75" customHeight="1" x14ac:dyDescent="0.25">
      <c r="B196" s="67" t="e">
        <f t="shared" si="20"/>
        <v>#REF!</v>
      </c>
      <c r="C196" s="76" t="e">
        <f t="shared" si="21"/>
        <v>#REF!</v>
      </c>
    </row>
    <row r="197" spans="2:3" ht="15.75" customHeight="1" x14ac:dyDescent="0.25">
      <c r="B197" s="67" t="e">
        <f t="shared" si="20"/>
        <v>#REF!</v>
      </c>
      <c r="C197" s="76" t="e">
        <f t="shared" si="21"/>
        <v>#REF!</v>
      </c>
    </row>
    <row r="198" spans="2:3" ht="15.75" customHeight="1" x14ac:dyDescent="0.25">
      <c r="B198" s="67" t="e">
        <f t="shared" si="20"/>
        <v>#REF!</v>
      </c>
      <c r="C198" s="76" t="e">
        <f t="shared" si="21"/>
        <v>#REF!</v>
      </c>
    </row>
    <row r="199" spans="2:3" ht="15.75" customHeight="1" x14ac:dyDescent="0.25">
      <c r="B199" s="67" t="e">
        <f t="shared" si="20"/>
        <v>#REF!</v>
      </c>
      <c r="C199" s="76" t="e">
        <f t="shared" si="21"/>
        <v>#REF!</v>
      </c>
    </row>
    <row r="200" spans="2:3" ht="15.75" customHeight="1" x14ac:dyDescent="0.25">
      <c r="B200" s="67" t="e">
        <f t="shared" si="20"/>
        <v>#REF!</v>
      </c>
      <c r="C200" s="76" t="e">
        <f t="shared" si="21"/>
        <v>#REF!</v>
      </c>
    </row>
    <row r="201" spans="2:3" ht="15.75" customHeight="1" x14ac:dyDescent="0.25">
      <c r="B201" s="67" t="e">
        <f t="shared" si="20"/>
        <v>#REF!</v>
      </c>
      <c r="C201" s="76" t="e">
        <f t="shared" si="21"/>
        <v>#REF!</v>
      </c>
    </row>
    <row r="202" spans="2:3" ht="15.75" customHeight="1" x14ac:dyDescent="0.25">
      <c r="B202" s="67" t="e">
        <f t="shared" si="20"/>
        <v>#REF!</v>
      </c>
      <c r="C202" s="76" t="e">
        <f t="shared" si="21"/>
        <v>#REF!</v>
      </c>
    </row>
    <row r="203" spans="2:3" ht="15.75" customHeight="1" x14ac:dyDescent="0.25">
      <c r="B203" s="67" t="e">
        <f t="shared" si="20"/>
        <v>#REF!</v>
      </c>
      <c r="C203" s="76" t="e">
        <f t="shared" si="21"/>
        <v>#REF!</v>
      </c>
    </row>
    <row r="204" spans="2:3" ht="15.75" customHeight="1" x14ac:dyDescent="0.25">
      <c r="B204" s="67" t="e">
        <f t="shared" si="20"/>
        <v>#REF!</v>
      </c>
      <c r="C204" s="76" t="e">
        <f t="shared" si="21"/>
        <v>#REF!</v>
      </c>
    </row>
    <row r="205" spans="2:3" ht="15.75" customHeight="1" x14ac:dyDescent="0.25">
      <c r="B205" s="67" t="e">
        <f t="shared" si="20"/>
        <v>#REF!</v>
      </c>
      <c r="C205" s="76" t="e">
        <f t="shared" si="21"/>
        <v>#REF!</v>
      </c>
    </row>
    <row r="206" spans="2:3" ht="15.75" customHeight="1" x14ac:dyDescent="0.25">
      <c r="B206" s="67" t="e">
        <f t="shared" si="20"/>
        <v>#REF!</v>
      </c>
      <c r="C206" s="76" t="e">
        <f t="shared" si="21"/>
        <v>#REF!</v>
      </c>
    </row>
    <row r="207" spans="2:3" ht="15.75" customHeight="1" x14ac:dyDescent="0.25">
      <c r="B207" s="67" t="e">
        <f t="shared" si="20"/>
        <v>#REF!</v>
      </c>
      <c r="C207" s="76" t="e">
        <f t="shared" si="21"/>
        <v>#REF!</v>
      </c>
    </row>
    <row r="208" spans="2:3" ht="15.75" customHeight="1" x14ac:dyDescent="0.25">
      <c r="B208" s="67" t="e">
        <f t="shared" si="20"/>
        <v>#REF!</v>
      </c>
      <c r="C208" s="76" t="e">
        <f t="shared" si="21"/>
        <v>#REF!</v>
      </c>
    </row>
    <row r="209" spans="2:3" ht="15.75" customHeight="1" x14ac:dyDescent="0.25">
      <c r="B209" s="67" t="e">
        <f t="shared" si="20"/>
        <v>#REF!</v>
      </c>
      <c r="C209" s="76" t="e">
        <f t="shared" si="21"/>
        <v>#REF!</v>
      </c>
    </row>
    <row r="210" spans="2:3" ht="15.75" customHeight="1" x14ac:dyDescent="0.25">
      <c r="B210" s="67" t="e">
        <f t="shared" si="20"/>
        <v>#REF!</v>
      </c>
      <c r="C210" s="76" t="e">
        <f t="shared" si="21"/>
        <v>#REF!</v>
      </c>
    </row>
    <row r="211" spans="2:3" ht="15.75" customHeight="1" x14ac:dyDescent="0.25">
      <c r="B211" s="67" t="e">
        <f t="shared" si="20"/>
        <v>#REF!</v>
      </c>
      <c r="C211" s="76" t="e">
        <f t="shared" si="21"/>
        <v>#REF!</v>
      </c>
    </row>
    <row r="212" spans="2:3" ht="15.75" customHeight="1" x14ac:dyDescent="0.25">
      <c r="B212" s="67" t="e">
        <f t="shared" si="20"/>
        <v>#REF!</v>
      </c>
      <c r="C212" s="76" t="e">
        <f t="shared" si="21"/>
        <v>#REF!</v>
      </c>
    </row>
    <row r="213" spans="2:3" ht="15.75" customHeight="1" x14ac:dyDescent="0.25">
      <c r="B213" s="67" t="e">
        <f t="shared" si="20"/>
        <v>#REF!</v>
      </c>
      <c r="C213" s="76" t="e">
        <f t="shared" si="21"/>
        <v>#REF!</v>
      </c>
    </row>
    <row r="214" spans="2:3" ht="15.75" customHeight="1" x14ac:dyDescent="0.25">
      <c r="B214" s="67" t="e">
        <f t="shared" si="20"/>
        <v>#REF!</v>
      </c>
      <c r="C214" s="76" t="e">
        <f t="shared" si="21"/>
        <v>#REF!</v>
      </c>
    </row>
    <row r="215" spans="2:3" ht="15.75" customHeight="1" x14ac:dyDescent="0.25">
      <c r="B215" s="67" t="e">
        <f t="shared" si="20"/>
        <v>#REF!</v>
      </c>
      <c r="C215" s="76" t="e">
        <f t="shared" si="21"/>
        <v>#REF!</v>
      </c>
    </row>
    <row r="216" spans="2:3" ht="15.75" customHeight="1" x14ac:dyDescent="0.25">
      <c r="B216" s="67" t="e">
        <f t="shared" si="20"/>
        <v>#REF!</v>
      </c>
      <c r="C216" s="76" t="e">
        <f t="shared" si="21"/>
        <v>#REF!</v>
      </c>
    </row>
    <row r="217" spans="2:3" ht="15.75" customHeight="1" x14ac:dyDescent="0.25">
      <c r="B217" s="67" t="e">
        <f t="shared" si="20"/>
        <v>#REF!</v>
      </c>
      <c r="C217" s="76" t="e">
        <f t="shared" si="21"/>
        <v>#REF!</v>
      </c>
    </row>
    <row r="218" spans="2:3" ht="15.75" customHeight="1" x14ac:dyDescent="0.25">
      <c r="B218" s="67" t="e">
        <f t="shared" si="20"/>
        <v>#REF!</v>
      </c>
      <c r="C218" s="76" t="e">
        <f t="shared" si="21"/>
        <v>#REF!</v>
      </c>
    </row>
    <row r="219" spans="2:3" ht="15.75" customHeight="1" x14ac:dyDescent="0.25">
      <c r="B219" s="67" t="e">
        <f t="shared" si="20"/>
        <v>#REF!</v>
      </c>
      <c r="C219" s="76" t="e">
        <f t="shared" si="21"/>
        <v>#REF!</v>
      </c>
    </row>
    <row r="220" spans="2:3" ht="15.75" customHeight="1" x14ac:dyDescent="0.25">
      <c r="B220" s="67" t="e">
        <f t="shared" si="20"/>
        <v>#REF!</v>
      </c>
      <c r="C220" s="76" t="e">
        <f t="shared" si="21"/>
        <v>#REF!</v>
      </c>
    </row>
    <row r="221" spans="2:3" ht="15.75" customHeight="1" x14ac:dyDescent="0.25">
      <c r="B221" s="67" t="e">
        <f t="shared" si="20"/>
        <v>#REF!</v>
      </c>
      <c r="C221" s="76" t="e">
        <f t="shared" si="21"/>
        <v>#REF!</v>
      </c>
    </row>
    <row r="222" spans="2:3" ht="15.75" customHeight="1" x14ac:dyDescent="0.25">
      <c r="B222" s="67" t="e">
        <f t="shared" ref="B222:B285" si="22">IF(B221="","",IF(B221+$C$10&lt;=$C$6,B221+$C$10,""))</f>
        <v>#REF!</v>
      </c>
      <c r="C222" s="76" t="e">
        <f t="shared" ref="C222:C285" si="23">IF(B222&lt;&gt;"",C221-$C$2/COUNT($B$18:$B$511),"")</f>
        <v>#REF!</v>
      </c>
    </row>
    <row r="223" spans="2:3" ht="15.75" customHeight="1" x14ac:dyDescent="0.25">
      <c r="B223" s="67" t="e">
        <f t="shared" si="22"/>
        <v>#REF!</v>
      </c>
      <c r="C223" s="76" t="e">
        <f t="shared" si="23"/>
        <v>#REF!</v>
      </c>
    </row>
    <row r="224" spans="2:3" ht="15.75" customHeight="1" x14ac:dyDescent="0.25">
      <c r="B224" s="67" t="e">
        <f t="shared" si="22"/>
        <v>#REF!</v>
      </c>
      <c r="C224" s="76" t="e">
        <f t="shared" si="23"/>
        <v>#REF!</v>
      </c>
    </row>
    <row r="225" spans="2:3" ht="15.75" customHeight="1" x14ac:dyDescent="0.25">
      <c r="B225" s="67" t="e">
        <f t="shared" si="22"/>
        <v>#REF!</v>
      </c>
      <c r="C225" s="76" t="e">
        <f t="shared" si="23"/>
        <v>#REF!</v>
      </c>
    </row>
    <row r="226" spans="2:3" ht="15.75" customHeight="1" x14ac:dyDescent="0.25">
      <c r="B226" s="67" t="e">
        <f t="shared" si="22"/>
        <v>#REF!</v>
      </c>
      <c r="C226" s="76" t="e">
        <f t="shared" si="23"/>
        <v>#REF!</v>
      </c>
    </row>
    <row r="227" spans="2:3" ht="15.75" customHeight="1" x14ac:dyDescent="0.25">
      <c r="B227" s="67" t="e">
        <f t="shared" si="22"/>
        <v>#REF!</v>
      </c>
      <c r="C227" s="76" t="e">
        <f t="shared" si="23"/>
        <v>#REF!</v>
      </c>
    </row>
    <row r="228" spans="2:3" ht="15.75" customHeight="1" x14ac:dyDescent="0.25">
      <c r="B228" s="67" t="e">
        <f t="shared" si="22"/>
        <v>#REF!</v>
      </c>
      <c r="C228" s="76" t="e">
        <f t="shared" si="23"/>
        <v>#REF!</v>
      </c>
    </row>
    <row r="229" spans="2:3" ht="15.75" customHeight="1" x14ac:dyDescent="0.25">
      <c r="B229" s="67" t="e">
        <f t="shared" si="22"/>
        <v>#REF!</v>
      </c>
      <c r="C229" s="76" t="e">
        <f t="shared" si="23"/>
        <v>#REF!</v>
      </c>
    </row>
    <row r="230" spans="2:3" ht="15.75" customHeight="1" x14ac:dyDescent="0.25">
      <c r="B230" s="67" t="e">
        <f t="shared" si="22"/>
        <v>#REF!</v>
      </c>
      <c r="C230" s="76" t="e">
        <f t="shared" si="23"/>
        <v>#REF!</v>
      </c>
    </row>
    <row r="231" spans="2:3" ht="15.75" customHeight="1" x14ac:dyDescent="0.25">
      <c r="B231" s="67" t="e">
        <f t="shared" si="22"/>
        <v>#REF!</v>
      </c>
      <c r="C231" s="76" t="e">
        <f t="shared" si="23"/>
        <v>#REF!</v>
      </c>
    </row>
    <row r="232" spans="2:3" ht="15.75" customHeight="1" x14ac:dyDescent="0.25">
      <c r="B232" s="67" t="e">
        <f t="shared" si="22"/>
        <v>#REF!</v>
      </c>
      <c r="C232" s="76" t="e">
        <f t="shared" si="23"/>
        <v>#REF!</v>
      </c>
    </row>
    <row r="233" spans="2:3" ht="15.75" customHeight="1" x14ac:dyDescent="0.25">
      <c r="B233" s="67" t="e">
        <f t="shared" si="22"/>
        <v>#REF!</v>
      </c>
      <c r="C233" s="76" t="e">
        <f t="shared" si="23"/>
        <v>#REF!</v>
      </c>
    </row>
    <row r="234" spans="2:3" ht="15.75" customHeight="1" x14ac:dyDescent="0.25">
      <c r="B234" s="67" t="e">
        <f t="shared" si="22"/>
        <v>#REF!</v>
      </c>
      <c r="C234" s="76" t="e">
        <f t="shared" si="23"/>
        <v>#REF!</v>
      </c>
    </row>
    <row r="235" spans="2:3" ht="15.75" customHeight="1" x14ac:dyDescent="0.25">
      <c r="B235" s="67" t="e">
        <f t="shared" si="22"/>
        <v>#REF!</v>
      </c>
      <c r="C235" s="76" t="e">
        <f t="shared" si="23"/>
        <v>#REF!</v>
      </c>
    </row>
    <row r="236" spans="2:3" ht="15.75" customHeight="1" x14ac:dyDescent="0.25">
      <c r="B236" s="67" t="e">
        <f t="shared" si="22"/>
        <v>#REF!</v>
      </c>
      <c r="C236" s="76" t="e">
        <f t="shared" si="23"/>
        <v>#REF!</v>
      </c>
    </row>
    <row r="237" spans="2:3" ht="15.75" customHeight="1" x14ac:dyDescent="0.25">
      <c r="B237" s="67" t="e">
        <f t="shared" si="22"/>
        <v>#REF!</v>
      </c>
      <c r="C237" s="76" t="e">
        <f t="shared" si="23"/>
        <v>#REF!</v>
      </c>
    </row>
    <row r="238" spans="2:3" ht="15.75" customHeight="1" x14ac:dyDescent="0.25">
      <c r="B238" s="67" t="e">
        <f t="shared" si="22"/>
        <v>#REF!</v>
      </c>
      <c r="C238" s="76" t="e">
        <f t="shared" si="23"/>
        <v>#REF!</v>
      </c>
    </row>
    <row r="239" spans="2:3" ht="15.75" customHeight="1" x14ac:dyDescent="0.25">
      <c r="B239" s="67" t="e">
        <f t="shared" si="22"/>
        <v>#REF!</v>
      </c>
      <c r="C239" s="76" t="e">
        <f t="shared" si="23"/>
        <v>#REF!</v>
      </c>
    </row>
    <row r="240" spans="2:3" ht="15.75" customHeight="1" x14ac:dyDescent="0.25">
      <c r="B240" s="67" t="e">
        <f t="shared" si="22"/>
        <v>#REF!</v>
      </c>
      <c r="C240" s="76" t="e">
        <f t="shared" si="23"/>
        <v>#REF!</v>
      </c>
    </row>
    <row r="241" spans="2:3" ht="15.75" customHeight="1" x14ac:dyDescent="0.25">
      <c r="B241" s="67" t="e">
        <f t="shared" si="22"/>
        <v>#REF!</v>
      </c>
      <c r="C241" s="76" t="e">
        <f t="shared" si="23"/>
        <v>#REF!</v>
      </c>
    </row>
    <row r="242" spans="2:3" ht="15.75" customHeight="1" x14ac:dyDescent="0.25">
      <c r="B242" s="67" t="e">
        <f t="shared" si="22"/>
        <v>#REF!</v>
      </c>
      <c r="C242" s="76" t="e">
        <f t="shared" si="23"/>
        <v>#REF!</v>
      </c>
    </row>
    <row r="243" spans="2:3" ht="15.75" customHeight="1" x14ac:dyDescent="0.25">
      <c r="B243" s="67" t="e">
        <f t="shared" si="22"/>
        <v>#REF!</v>
      </c>
      <c r="C243" s="76" t="e">
        <f t="shared" si="23"/>
        <v>#REF!</v>
      </c>
    </row>
    <row r="244" spans="2:3" ht="15.75" customHeight="1" x14ac:dyDescent="0.25">
      <c r="B244" s="67" t="e">
        <f t="shared" si="22"/>
        <v>#REF!</v>
      </c>
      <c r="C244" s="76" t="e">
        <f t="shared" si="23"/>
        <v>#REF!</v>
      </c>
    </row>
    <row r="245" spans="2:3" ht="15.75" customHeight="1" x14ac:dyDescent="0.25">
      <c r="B245" s="67" t="e">
        <f t="shared" si="22"/>
        <v>#REF!</v>
      </c>
      <c r="C245" s="76" t="e">
        <f t="shared" si="23"/>
        <v>#REF!</v>
      </c>
    </row>
    <row r="246" spans="2:3" ht="15.75" customHeight="1" x14ac:dyDescent="0.25">
      <c r="B246" s="67" t="e">
        <f t="shared" si="22"/>
        <v>#REF!</v>
      </c>
      <c r="C246" s="76" t="e">
        <f t="shared" si="23"/>
        <v>#REF!</v>
      </c>
    </row>
    <row r="247" spans="2:3" ht="15.75" customHeight="1" x14ac:dyDescent="0.25">
      <c r="B247" s="67" t="e">
        <f t="shared" si="22"/>
        <v>#REF!</v>
      </c>
      <c r="C247" s="76" t="e">
        <f t="shared" si="23"/>
        <v>#REF!</v>
      </c>
    </row>
    <row r="248" spans="2:3" ht="15.75" customHeight="1" x14ac:dyDescent="0.25">
      <c r="B248" s="67" t="e">
        <f t="shared" si="22"/>
        <v>#REF!</v>
      </c>
      <c r="C248" s="76" t="e">
        <f t="shared" si="23"/>
        <v>#REF!</v>
      </c>
    </row>
    <row r="249" spans="2:3" ht="15.75" customHeight="1" x14ac:dyDescent="0.25">
      <c r="B249" s="67" t="e">
        <f t="shared" si="22"/>
        <v>#REF!</v>
      </c>
      <c r="C249" s="76" t="e">
        <f t="shared" si="23"/>
        <v>#REF!</v>
      </c>
    </row>
    <row r="250" spans="2:3" ht="15.75" customHeight="1" x14ac:dyDescent="0.25">
      <c r="B250" s="67" t="e">
        <f t="shared" si="22"/>
        <v>#REF!</v>
      </c>
      <c r="C250" s="76" t="e">
        <f t="shared" si="23"/>
        <v>#REF!</v>
      </c>
    </row>
    <row r="251" spans="2:3" ht="15.75" customHeight="1" x14ac:dyDescent="0.25">
      <c r="B251" s="67" t="e">
        <f t="shared" si="22"/>
        <v>#REF!</v>
      </c>
      <c r="C251" s="76" t="e">
        <f t="shared" si="23"/>
        <v>#REF!</v>
      </c>
    </row>
    <row r="252" spans="2:3" ht="15.75" customHeight="1" x14ac:dyDescent="0.25">
      <c r="B252" s="67" t="e">
        <f t="shared" si="22"/>
        <v>#REF!</v>
      </c>
      <c r="C252" s="76" t="e">
        <f t="shared" si="23"/>
        <v>#REF!</v>
      </c>
    </row>
    <row r="253" spans="2:3" ht="15.75" customHeight="1" x14ac:dyDescent="0.25">
      <c r="B253" s="67" t="e">
        <f t="shared" si="22"/>
        <v>#REF!</v>
      </c>
      <c r="C253" s="76" t="e">
        <f t="shared" si="23"/>
        <v>#REF!</v>
      </c>
    </row>
    <row r="254" spans="2:3" ht="15.75" customHeight="1" x14ac:dyDescent="0.25">
      <c r="B254" s="67" t="e">
        <f t="shared" si="22"/>
        <v>#REF!</v>
      </c>
      <c r="C254" s="76" t="e">
        <f t="shared" si="23"/>
        <v>#REF!</v>
      </c>
    </row>
    <row r="255" spans="2:3" ht="15.75" customHeight="1" x14ac:dyDescent="0.25">
      <c r="B255" s="67" t="e">
        <f t="shared" si="22"/>
        <v>#REF!</v>
      </c>
      <c r="C255" s="76" t="e">
        <f t="shared" si="23"/>
        <v>#REF!</v>
      </c>
    </row>
    <row r="256" spans="2:3" ht="15.75" customHeight="1" x14ac:dyDescent="0.25">
      <c r="B256" s="67" t="e">
        <f t="shared" si="22"/>
        <v>#REF!</v>
      </c>
      <c r="C256" s="76" t="e">
        <f t="shared" si="23"/>
        <v>#REF!</v>
      </c>
    </row>
    <row r="257" spans="2:3" ht="15.75" customHeight="1" x14ac:dyDescent="0.25">
      <c r="B257" s="67" t="e">
        <f t="shared" si="22"/>
        <v>#REF!</v>
      </c>
      <c r="C257" s="76" t="e">
        <f t="shared" si="23"/>
        <v>#REF!</v>
      </c>
    </row>
    <row r="258" spans="2:3" ht="15.75" customHeight="1" x14ac:dyDescent="0.25">
      <c r="B258" s="67" t="e">
        <f t="shared" si="22"/>
        <v>#REF!</v>
      </c>
      <c r="C258" s="76" t="e">
        <f t="shared" si="23"/>
        <v>#REF!</v>
      </c>
    </row>
    <row r="259" spans="2:3" ht="15.75" customHeight="1" x14ac:dyDescent="0.25">
      <c r="B259" s="67" t="e">
        <f t="shared" si="22"/>
        <v>#REF!</v>
      </c>
      <c r="C259" s="76" t="e">
        <f t="shared" si="23"/>
        <v>#REF!</v>
      </c>
    </row>
    <row r="260" spans="2:3" ht="15.75" customHeight="1" x14ac:dyDescent="0.25">
      <c r="B260" s="67" t="e">
        <f t="shared" si="22"/>
        <v>#REF!</v>
      </c>
      <c r="C260" s="76" t="e">
        <f t="shared" si="23"/>
        <v>#REF!</v>
      </c>
    </row>
    <row r="261" spans="2:3" ht="15.75" customHeight="1" x14ac:dyDescent="0.25">
      <c r="B261" s="67" t="e">
        <f t="shared" si="22"/>
        <v>#REF!</v>
      </c>
      <c r="C261" s="76" t="e">
        <f t="shared" si="23"/>
        <v>#REF!</v>
      </c>
    </row>
    <row r="262" spans="2:3" ht="15.75" customHeight="1" x14ac:dyDescent="0.25">
      <c r="B262" s="67" t="e">
        <f t="shared" si="22"/>
        <v>#REF!</v>
      </c>
      <c r="C262" s="76" t="e">
        <f t="shared" si="23"/>
        <v>#REF!</v>
      </c>
    </row>
    <row r="263" spans="2:3" ht="15.75" customHeight="1" x14ac:dyDescent="0.25">
      <c r="B263" s="67" t="e">
        <f t="shared" si="22"/>
        <v>#REF!</v>
      </c>
      <c r="C263" s="76" t="e">
        <f t="shared" si="23"/>
        <v>#REF!</v>
      </c>
    </row>
    <row r="264" spans="2:3" ht="15.75" customHeight="1" x14ac:dyDescent="0.25">
      <c r="B264" s="67" t="e">
        <f t="shared" si="22"/>
        <v>#REF!</v>
      </c>
      <c r="C264" s="76" t="e">
        <f t="shared" si="23"/>
        <v>#REF!</v>
      </c>
    </row>
    <row r="265" spans="2:3" ht="15.75" customHeight="1" x14ac:dyDescent="0.25">
      <c r="B265" s="67" t="e">
        <f t="shared" si="22"/>
        <v>#REF!</v>
      </c>
      <c r="C265" s="76" t="e">
        <f t="shared" si="23"/>
        <v>#REF!</v>
      </c>
    </row>
    <row r="266" spans="2:3" ht="15.75" customHeight="1" x14ac:dyDescent="0.25">
      <c r="B266" s="67" t="e">
        <f t="shared" si="22"/>
        <v>#REF!</v>
      </c>
      <c r="C266" s="76" t="e">
        <f t="shared" si="23"/>
        <v>#REF!</v>
      </c>
    </row>
    <row r="267" spans="2:3" ht="15.75" customHeight="1" x14ac:dyDescent="0.25">
      <c r="B267" s="67" t="e">
        <f t="shared" si="22"/>
        <v>#REF!</v>
      </c>
      <c r="C267" s="76" t="e">
        <f t="shared" si="23"/>
        <v>#REF!</v>
      </c>
    </row>
    <row r="268" spans="2:3" ht="15.75" customHeight="1" x14ac:dyDescent="0.25">
      <c r="B268" s="67" t="e">
        <f t="shared" si="22"/>
        <v>#REF!</v>
      </c>
      <c r="C268" s="76" t="e">
        <f t="shared" si="23"/>
        <v>#REF!</v>
      </c>
    </row>
    <row r="269" spans="2:3" ht="15.75" customHeight="1" x14ac:dyDescent="0.25">
      <c r="B269" s="67" t="e">
        <f t="shared" si="22"/>
        <v>#REF!</v>
      </c>
      <c r="C269" s="76" t="e">
        <f t="shared" si="23"/>
        <v>#REF!</v>
      </c>
    </row>
    <row r="270" spans="2:3" ht="15.75" customHeight="1" x14ac:dyDescent="0.25">
      <c r="B270" s="67" t="e">
        <f t="shared" si="22"/>
        <v>#REF!</v>
      </c>
      <c r="C270" s="76" t="e">
        <f t="shared" si="23"/>
        <v>#REF!</v>
      </c>
    </row>
    <row r="271" spans="2:3" ht="15.75" customHeight="1" x14ac:dyDescent="0.25">
      <c r="B271" s="67" t="e">
        <f t="shared" si="22"/>
        <v>#REF!</v>
      </c>
      <c r="C271" s="76" t="e">
        <f t="shared" si="23"/>
        <v>#REF!</v>
      </c>
    </row>
    <row r="272" spans="2:3" ht="15.75" customHeight="1" x14ac:dyDescent="0.25">
      <c r="B272" s="67" t="e">
        <f t="shared" si="22"/>
        <v>#REF!</v>
      </c>
      <c r="C272" s="76" t="e">
        <f t="shared" si="23"/>
        <v>#REF!</v>
      </c>
    </row>
    <row r="273" spans="2:3" ht="15.75" customHeight="1" x14ac:dyDescent="0.25">
      <c r="B273" s="67" t="e">
        <f t="shared" si="22"/>
        <v>#REF!</v>
      </c>
      <c r="C273" s="76" t="e">
        <f t="shared" si="23"/>
        <v>#REF!</v>
      </c>
    </row>
    <row r="274" spans="2:3" ht="15.75" customHeight="1" x14ac:dyDescent="0.25">
      <c r="B274" s="67" t="e">
        <f t="shared" si="22"/>
        <v>#REF!</v>
      </c>
      <c r="C274" s="76" t="e">
        <f t="shared" si="23"/>
        <v>#REF!</v>
      </c>
    </row>
    <row r="275" spans="2:3" ht="15.75" customHeight="1" x14ac:dyDescent="0.25">
      <c r="B275" s="67" t="e">
        <f t="shared" si="22"/>
        <v>#REF!</v>
      </c>
      <c r="C275" s="76" t="e">
        <f t="shared" si="23"/>
        <v>#REF!</v>
      </c>
    </row>
    <row r="276" spans="2:3" ht="15.75" customHeight="1" x14ac:dyDescent="0.25">
      <c r="B276" s="67" t="e">
        <f t="shared" si="22"/>
        <v>#REF!</v>
      </c>
      <c r="C276" s="76" t="e">
        <f t="shared" si="23"/>
        <v>#REF!</v>
      </c>
    </row>
    <row r="277" spans="2:3" ht="15.75" customHeight="1" x14ac:dyDescent="0.25">
      <c r="B277" s="67" t="e">
        <f t="shared" si="22"/>
        <v>#REF!</v>
      </c>
      <c r="C277" s="76" t="e">
        <f t="shared" si="23"/>
        <v>#REF!</v>
      </c>
    </row>
    <row r="278" spans="2:3" ht="15.75" customHeight="1" x14ac:dyDescent="0.25">
      <c r="B278" s="67" t="e">
        <f t="shared" si="22"/>
        <v>#REF!</v>
      </c>
      <c r="C278" s="76" t="e">
        <f t="shared" si="23"/>
        <v>#REF!</v>
      </c>
    </row>
    <row r="279" spans="2:3" ht="15.75" customHeight="1" x14ac:dyDescent="0.25">
      <c r="B279" s="67" t="e">
        <f t="shared" si="22"/>
        <v>#REF!</v>
      </c>
      <c r="C279" s="76" t="e">
        <f t="shared" si="23"/>
        <v>#REF!</v>
      </c>
    </row>
    <row r="280" spans="2:3" ht="15.75" customHeight="1" x14ac:dyDescent="0.25">
      <c r="B280" s="67" t="e">
        <f t="shared" si="22"/>
        <v>#REF!</v>
      </c>
      <c r="C280" s="76" t="e">
        <f t="shared" si="23"/>
        <v>#REF!</v>
      </c>
    </row>
    <row r="281" spans="2:3" ht="15.75" customHeight="1" x14ac:dyDescent="0.25">
      <c r="B281" s="67" t="e">
        <f t="shared" si="22"/>
        <v>#REF!</v>
      </c>
      <c r="C281" s="76" t="e">
        <f t="shared" si="23"/>
        <v>#REF!</v>
      </c>
    </row>
    <row r="282" spans="2:3" ht="15.75" customHeight="1" x14ac:dyDescent="0.25">
      <c r="B282" s="67" t="e">
        <f t="shared" si="22"/>
        <v>#REF!</v>
      </c>
      <c r="C282" s="76" t="e">
        <f t="shared" si="23"/>
        <v>#REF!</v>
      </c>
    </row>
    <row r="283" spans="2:3" ht="15.75" customHeight="1" x14ac:dyDescent="0.25">
      <c r="B283" s="67" t="e">
        <f t="shared" si="22"/>
        <v>#REF!</v>
      </c>
      <c r="C283" s="76" t="e">
        <f t="shared" si="23"/>
        <v>#REF!</v>
      </c>
    </row>
    <row r="284" spans="2:3" ht="15.75" customHeight="1" x14ac:dyDescent="0.25">
      <c r="B284" s="67" t="e">
        <f t="shared" si="22"/>
        <v>#REF!</v>
      </c>
      <c r="C284" s="76" t="e">
        <f t="shared" si="23"/>
        <v>#REF!</v>
      </c>
    </row>
    <row r="285" spans="2:3" ht="15.75" customHeight="1" x14ac:dyDescent="0.25">
      <c r="B285" s="67" t="e">
        <f t="shared" si="22"/>
        <v>#REF!</v>
      </c>
      <c r="C285" s="76" t="e">
        <f t="shared" si="23"/>
        <v>#REF!</v>
      </c>
    </row>
    <row r="286" spans="2:3" ht="15.75" customHeight="1" x14ac:dyDescent="0.25">
      <c r="B286" s="67" t="e">
        <f t="shared" ref="B286:B349" si="24">IF(B285="","",IF(B285+$C$10&lt;=$C$6,B285+$C$10,""))</f>
        <v>#REF!</v>
      </c>
      <c r="C286" s="76" t="e">
        <f t="shared" ref="C286:C349" si="25">IF(B286&lt;&gt;"",C285-$C$2/COUNT($B$18:$B$511),"")</f>
        <v>#REF!</v>
      </c>
    </row>
    <row r="287" spans="2:3" ht="15.75" customHeight="1" x14ac:dyDescent="0.25">
      <c r="B287" s="67" t="e">
        <f t="shared" si="24"/>
        <v>#REF!</v>
      </c>
      <c r="C287" s="76" t="e">
        <f t="shared" si="25"/>
        <v>#REF!</v>
      </c>
    </row>
    <row r="288" spans="2:3" ht="15.75" customHeight="1" x14ac:dyDescent="0.25">
      <c r="B288" s="67" t="e">
        <f t="shared" si="24"/>
        <v>#REF!</v>
      </c>
      <c r="C288" s="76" t="e">
        <f t="shared" si="25"/>
        <v>#REF!</v>
      </c>
    </row>
    <row r="289" spans="2:3" ht="15.75" customHeight="1" x14ac:dyDescent="0.25">
      <c r="B289" s="67" t="e">
        <f t="shared" si="24"/>
        <v>#REF!</v>
      </c>
      <c r="C289" s="76" t="e">
        <f t="shared" si="25"/>
        <v>#REF!</v>
      </c>
    </row>
    <row r="290" spans="2:3" ht="15.75" customHeight="1" x14ac:dyDescent="0.25">
      <c r="B290" s="67" t="e">
        <f t="shared" si="24"/>
        <v>#REF!</v>
      </c>
      <c r="C290" s="76" t="e">
        <f t="shared" si="25"/>
        <v>#REF!</v>
      </c>
    </row>
    <row r="291" spans="2:3" ht="15.75" customHeight="1" x14ac:dyDescent="0.25">
      <c r="B291" s="67" t="e">
        <f t="shared" si="24"/>
        <v>#REF!</v>
      </c>
      <c r="C291" s="76" t="e">
        <f t="shared" si="25"/>
        <v>#REF!</v>
      </c>
    </row>
    <row r="292" spans="2:3" ht="15.75" customHeight="1" x14ac:dyDescent="0.25">
      <c r="B292" s="67" t="e">
        <f t="shared" si="24"/>
        <v>#REF!</v>
      </c>
      <c r="C292" s="76" t="e">
        <f t="shared" si="25"/>
        <v>#REF!</v>
      </c>
    </row>
    <row r="293" spans="2:3" ht="15.75" customHeight="1" x14ac:dyDescent="0.25">
      <c r="B293" s="67" t="e">
        <f t="shared" si="24"/>
        <v>#REF!</v>
      </c>
      <c r="C293" s="76" t="e">
        <f t="shared" si="25"/>
        <v>#REF!</v>
      </c>
    </row>
    <row r="294" spans="2:3" ht="15.75" customHeight="1" x14ac:dyDescent="0.25">
      <c r="B294" s="67" t="e">
        <f t="shared" si="24"/>
        <v>#REF!</v>
      </c>
      <c r="C294" s="76" t="e">
        <f t="shared" si="25"/>
        <v>#REF!</v>
      </c>
    </row>
    <row r="295" spans="2:3" ht="15.75" customHeight="1" x14ac:dyDescent="0.25">
      <c r="B295" s="67" t="e">
        <f t="shared" si="24"/>
        <v>#REF!</v>
      </c>
      <c r="C295" s="76" t="e">
        <f t="shared" si="25"/>
        <v>#REF!</v>
      </c>
    </row>
    <row r="296" spans="2:3" ht="15.75" customHeight="1" x14ac:dyDescent="0.25">
      <c r="B296" s="67" t="e">
        <f t="shared" si="24"/>
        <v>#REF!</v>
      </c>
      <c r="C296" s="76" t="e">
        <f t="shared" si="25"/>
        <v>#REF!</v>
      </c>
    </row>
    <row r="297" spans="2:3" ht="15.75" customHeight="1" x14ac:dyDescent="0.25">
      <c r="B297" s="67" t="e">
        <f t="shared" si="24"/>
        <v>#REF!</v>
      </c>
      <c r="C297" s="76" t="e">
        <f t="shared" si="25"/>
        <v>#REF!</v>
      </c>
    </row>
    <row r="298" spans="2:3" ht="15.75" customHeight="1" x14ac:dyDescent="0.25">
      <c r="B298" s="67" t="e">
        <f t="shared" si="24"/>
        <v>#REF!</v>
      </c>
      <c r="C298" s="76" t="e">
        <f t="shared" si="25"/>
        <v>#REF!</v>
      </c>
    </row>
    <row r="299" spans="2:3" ht="15.75" customHeight="1" x14ac:dyDescent="0.25">
      <c r="B299" s="67" t="e">
        <f t="shared" si="24"/>
        <v>#REF!</v>
      </c>
      <c r="C299" s="76" t="e">
        <f t="shared" si="25"/>
        <v>#REF!</v>
      </c>
    </row>
    <row r="300" spans="2:3" ht="15.75" customHeight="1" x14ac:dyDescent="0.25">
      <c r="B300" s="67" t="e">
        <f t="shared" si="24"/>
        <v>#REF!</v>
      </c>
      <c r="C300" s="76" t="e">
        <f t="shared" si="25"/>
        <v>#REF!</v>
      </c>
    </row>
    <row r="301" spans="2:3" ht="15.75" customHeight="1" x14ac:dyDescent="0.25">
      <c r="B301" s="67" t="e">
        <f t="shared" si="24"/>
        <v>#REF!</v>
      </c>
      <c r="C301" s="76" t="e">
        <f t="shared" si="25"/>
        <v>#REF!</v>
      </c>
    </row>
    <row r="302" spans="2:3" ht="15.75" customHeight="1" x14ac:dyDescent="0.25">
      <c r="B302" s="67" t="e">
        <f t="shared" si="24"/>
        <v>#REF!</v>
      </c>
      <c r="C302" s="76" t="e">
        <f t="shared" si="25"/>
        <v>#REF!</v>
      </c>
    </row>
    <row r="303" spans="2:3" ht="15.75" customHeight="1" x14ac:dyDescent="0.25">
      <c r="B303" s="67" t="e">
        <f t="shared" si="24"/>
        <v>#REF!</v>
      </c>
      <c r="C303" s="76" t="e">
        <f t="shared" si="25"/>
        <v>#REF!</v>
      </c>
    </row>
    <row r="304" spans="2:3" ht="15.75" customHeight="1" x14ac:dyDescent="0.25">
      <c r="B304" s="67" t="e">
        <f t="shared" si="24"/>
        <v>#REF!</v>
      </c>
      <c r="C304" s="76" t="e">
        <f t="shared" si="25"/>
        <v>#REF!</v>
      </c>
    </row>
    <row r="305" spans="2:3" ht="15.75" customHeight="1" x14ac:dyDescent="0.25">
      <c r="B305" s="67" t="e">
        <f t="shared" si="24"/>
        <v>#REF!</v>
      </c>
      <c r="C305" s="76" t="e">
        <f t="shared" si="25"/>
        <v>#REF!</v>
      </c>
    </row>
    <row r="306" spans="2:3" ht="15.75" customHeight="1" x14ac:dyDescent="0.25">
      <c r="B306" s="67" t="e">
        <f t="shared" si="24"/>
        <v>#REF!</v>
      </c>
      <c r="C306" s="76" t="e">
        <f t="shared" si="25"/>
        <v>#REF!</v>
      </c>
    </row>
    <row r="307" spans="2:3" ht="15.75" customHeight="1" x14ac:dyDescent="0.25">
      <c r="B307" s="67" t="e">
        <f t="shared" si="24"/>
        <v>#REF!</v>
      </c>
      <c r="C307" s="76" t="e">
        <f t="shared" si="25"/>
        <v>#REF!</v>
      </c>
    </row>
    <row r="308" spans="2:3" ht="15.75" customHeight="1" x14ac:dyDescent="0.25">
      <c r="B308" s="67" t="e">
        <f t="shared" si="24"/>
        <v>#REF!</v>
      </c>
      <c r="C308" s="76" t="e">
        <f t="shared" si="25"/>
        <v>#REF!</v>
      </c>
    </row>
    <row r="309" spans="2:3" ht="15.75" customHeight="1" x14ac:dyDescent="0.25">
      <c r="B309" s="67" t="e">
        <f t="shared" si="24"/>
        <v>#REF!</v>
      </c>
      <c r="C309" s="76" t="e">
        <f t="shared" si="25"/>
        <v>#REF!</v>
      </c>
    </row>
    <row r="310" spans="2:3" ht="15.75" customHeight="1" x14ac:dyDescent="0.25">
      <c r="B310" s="67" t="e">
        <f t="shared" si="24"/>
        <v>#REF!</v>
      </c>
      <c r="C310" s="76" t="e">
        <f t="shared" si="25"/>
        <v>#REF!</v>
      </c>
    </row>
    <row r="311" spans="2:3" ht="15.75" customHeight="1" x14ac:dyDescent="0.25">
      <c r="B311" s="67" t="e">
        <f t="shared" si="24"/>
        <v>#REF!</v>
      </c>
      <c r="C311" s="76" t="e">
        <f t="shared" si="25"/>
        <v>#REF!</v>
      </c>
    </row>
    <row r="312" spans="2:3" ht="15.75" customHeight="1" x14ac:dyDescent="0.25">
      <c r="B312" s="67" t="e">
        <f t="shared" si="24"/>
        <v>#REF!</v>
      </c>
      <c r="C312" s="76" t="e">
        <f t="shared" si="25"/>
        <v>#REF!</v>
      </c>
    </row>
    <row r="313" spans="2:3" ht="15.75" customHeight="1" x14ac:dyDescent="0.25">
      <c r="B313" s="67" t="e">
        <f t="shared" si="24"/>
        <v>#REF!</v>
      </c>
      <c r="C313" s="76" t="e">
        <f t="shared" si="25"/>
        <v>#REF!</v>
      </c>
    </row>
    <row r="314" spans="2:3" ht="15.75" customHeight="1" x14ac:dyDescent="0.25">
      <c r="B314" s="67" t="e">
        <f t="shared" si="24"/>
        <v>#REF!</v>
      </c>
      <c r="C314" s="76" t="e">
        <f t="shared" si="25"/>
        <v>#REF!</v>
      </c>
    </row>
    <row r="315" spans="2:3" ht="15.75" customHeight="1" x14ac:dyDescent="0.25">
      <c r="B315" s="67" t="e">
        <f t="shared" si="24"/>
        <v>#REF!</v>
      </c>
      <c r="C315" s="76" t="e">
        <f t="shared" si="25"/>
        <v>#REF!</v>
      </c>
    </row>
    <row r="316" spans="2:3" ht="15.75" customHeight="1" x14ac:dyDescent="0.25">
      <c r="B316" s="67" t="e">
        <f t="shared" si="24"/>
        <v>#REF!</v>
      </c>
      <c r="C316" s="76" t="e">
        <f t="shared" si="25"/>
        <v>#REF!</v>
      </c>
    </row>
    <row r="317" spans="2:3" ht="15.75" customHeight="1" x14ac:dyDescent="0.25">
      <c r="B317" s="67" t="e">
        <f t="shared" si="24"/>
        <v>#REF!</v>
      </c>
      <c r="C317" s="76" t="e">
        <f t="shared" si="25"/>
        <v>#REF!</v>
      </c>
    </row>
    <row r="318" spans="2:3" ht="15.75" customHeight="1" x14ac:dyDescent="0.25">
      <c r="B318" s="67" t="e">
        <f t="shared" si="24"/>
        <v>#REF!</v>
      </c>
      <c r="C318" s="76" t="e">
        <f t="shared" si="25"/>
        <v>#REF!</v>
      </c>
    </row>
    <row r="319" spans="2:3" ht="15.75" customHeight="1" x14ac:dyDescent="0.25">
      <c r="B319" s="67" t="e">
        <f t="shared" si="24"/>
        <v>#REF!</v>
      </c>
      <c r="C319" s="76" t="e">
        <f t="shared" si="25"/>
        <v>#REF!</v>
      </c>
    </row>
    <row r="320" spans="2:3" ht="15.75" customHeight="1" x14ac:dyDescent="0.25">
      <c r="B320" s="67" t="e">
        <f t="shared" si="24"/>
        <v>#REF!</v>
      </c>
      <c r="C320" s="76" t="e">
        <f t="shared" si="25"/>
        <v>#REF!</v>
      </c>
    </row>
    <row r="321" spans="2:3" ht="15.75" customHeight="1" x14ac:dyDescent="0.25">
      <c r="B321" s="67" t="e">
        <f t="shared" si="24"/>
        <v>#REF!</v>
      </c>
      <c r="C321" s="76" t="e">
        <f t="shared" si="25"/>
        <v>#REF!</v>
      </c>
    </row>
    <row r="322" spans="2:3" ht="15.75" customHeight="1" x14ac:dyDescent="0.25">
      <c r="B322" s="67" t="e">
        <f t="shared" si="24"/>
        <v>#REF!</v>
      </c>
      <c r="C322" s="76" t="e">
        <f t="shared" si="25"/>
        <v>#REF!</v>
      </c>
    </row>
    <row r="323" spans="2:3" ht="15.75" customHeight="1" x14ac:dyDescent="0.25">
      <c r="B323" s="67" t="e">
        <f t="shared" si="24"/>
        <v>#REF!</v>
      </c>
      <c r="C323" s="76" t="e">
        <f t="shared" si="25"/>
        <v>#REF!</v>
      </c>
    </row>
    <row r="324" spans="2:3" ht="15.75" customHeight="1" x14ac:dyDescent="0.25">
      <c r="B324" s="67" t="e">
        <f t="shared" si="24"/>
        <v>#REF!</v>
      </c>
      <c r="C324" s="76" t="e">
        <f t="shared" si="25"/>
        <v>#REF!</v>
      </c>
    </row>
    <row r="325" spans="2:3" ht="15.75" customHeight="1" x14ac:dyDescent="0.25">
      <c r="B325" s="67" t="e">
        <f t="shared" si="24"/>
        <v>#REF!</v>
      </c>
      <c r="C325" s="76" t="e">
        <f t="shared" si="25"/>
        <v>#REF!</v>
      </c>
    </row>
    <row r="326" spans="2:3" ht="15.75" customHeight="1" x14ac:dyDescent="0.25">
      <c r="B326" s="67" t="e">
        <f t="shared" si="24"/>
        <v>#REF!</v>
      </c>
      <c r="C326" s="76" t="e">
        <f t="shared" si="25"/>
        <v>#REF!</v>
      </c>
    </row>
    <row r="327" spans="2:3" ht="15.75" customHeight="1" x14ac:dyDescent="0.25">
      <c r="B327" s="67" t="e">
        <f t="shared" si="24"/>
        <v>#REF!</v>
      </c>
      <c r="C327" s="76" t="e">
        <f t="shared" si="25"/>
        <v>#REF!</v>
      </c>
    </row>
    <row r="328" spans="2:3" ht="15.75" customHeight="1" x14ac:dyDescent="0.25">
      <c r="B328" s="67" t="e">
        <f t="shared" si="24"/>
        <v>#REF!</v>
      </c>
      <c r="C328" s="76" t="e">
        <f t="shared" si="25"/>
        <v>#REF!</v>
      </c>
    </row>
    <row r="329" spans="2:3" ht="15.75" customHeight="1" x14ac:dyDescent="0.25">
      <c r="B329" s="67" t="e">
        <f t="shared" si="24"/>
        <v>#REF!</v>
      </c>
      <c r="C329" s="76" t="e">
        <f t="shared" si="25"/>
        <v>#REF!</v>
      </c>
    </row>
    <row r="330" spans="2:3" ht="15.75" customHeight="1" x14ac:dyDescent="0.25">
      <c r="B330" s="67" t="e">
        <f t="shared" si="24"/>
        <v>#REF!</v>
      </c>
      <c r="C330" s="76" t="e">
        <f t="shared" si="25"/>
        <v>#REF!</v>
      </c>
    </row>
    <row r="331" spans="2:3" ht="15.75" customHeight="1" x14ac:dyDescent="0.25">
      <c r="B331" s="67" t="e">
        <f t="shared" si="24"/>
        <v>#REF!</v>
      </c>
      <c r="C331" s="76" t="e">
        <f t="shared" si="25"/>
        <v>#REF!</v>
      </c>
    </row>
    <row r="332" spans="2:3" ht="15.75" customHeight="1" x14ac:dyDescent="0.25">
      <c r="B332" s="67" t="e">
        <f t="shared" si="24"/>
        <v>#REF!</v>
      </c>
      <c r="C332" s="76" t="e">
        <f t="shared" si="25"/>
        <v>#REF!</v>
      </c>
    </row>
    <row r="333" spans="2:3" ht="15.75" customHeight="1" x14ac:dyDescent="0.25">
      <c r="B333" s="67" t="e">
        <f t="shared" si="24"/>
        <v>#REF!</v>
      </c>
      <c r="C333" s="76" t="e">
        <f t="shared" si="25"/>
        <v>#REF!</v>
      </c>
    </row>
    <row r="334" spans="2:3" ht="15.75" customHeight="1" x14ac:dyDescent="0.25">
      <c r="B334" s="67" t="e">
        <f t="shared" si="24"/>
        <v>#REF!</v>
      </c>
      <c r="C334" s="76" t="e">
        <f t="shared" si="25"/>
        <v>#REF!</v>
      </c>
    </row>
    <row r="335" spans="2:3" ht="15.75" customHeight="1" x14ac:dyDescent="0.25">
      <c r="B335" s="67" t="e">
        <f t="shared" si="24"/>
        <v>#REF!</v>
      </c>
      <c r="C335" s="76" t="e">
        <f t="shared" si="25"/>
        <v>#REF!</v>
      </c>
    </row>
    <row r="336" spans="2:3" ht="15.75" customHeight="1" x14ac:dyDescent="0.25">
      <c r="B336" s="67" t="e">
        <f t="shared" si="24"/>
        <v>#REF!</v>
      </c>
      <c r="C336" s="76" t="e">
        <f t="shared" si="25"/>
        <v>#REF!</v>
      </c>
    </row>
    <row r="337" spans="2:3" ht="15.75" customHeight="1" x14ac:dyDescent="0.25">
      <c r="B337" s="67" t="e">
        <f t="shared" si="24"/>
        <v>#REF!</v>
      </c>
      <c r="C337" s="76" t="e">
        <f t="shared" si="25"/>
        <v>#REF!</v>
      </c>
    </row>
    <row r="338" spans="2:3" ht="15.75" customHeight="1" x14ac:dyDescent="0.25">
      <c r="B338" s="67" t="e">
        <f t="shared" si="24"/>
        <v>#REF!</v>
      </c>
      <c r="C338" s="76" t="e">
        <f t="shared" si="25"/>
        <v>#REF!</v>
      </c>
    </row>
    <row r="339" spans="2:3" ht="15.75" customHeight="1" x14ac:dyDescent="0.25">
      <c r="B339" s="67" t="e">
        <f t="shared" si="24"/>
        <v>#REF!</v>
      </c>
      <c r="C339" s="76" t="e">
        <f t="shared" si="25"/>
        <v>#REF!</v>
      </c>
    </row>
    <row r="340" spans="2:3" ht="15.75" customHeight="1" x14ac:dyDescent="0.25">
      <c r="B340" s="67" t="e">
        <f t="shared" si="24"/>
        <v>#REF!</v>
      </c>
      <c r="C340" s="76" t="e">
        <f t="shared" si="25"/>
        <v>#REF!</v>
      </c>
    </row>
    <row r="341" spans="2:3" ht="15.75" customHeight="1" x14ac:dyDescent="0.25">
      <c r="B341" s="67" t="e">
        <f t="shared" si="24"/>
        <v>#REF!</v>
      </c>
      <c r="C341" s="76" t="e">
        <f t="shared" si="25"/>
        <v>#REF!</v>
      </c>
    </row>
    <row r="342" spans="2:3" ht="15.75" customHeight="1" x14ac:dyDescent="0.25">
      <c r="B342" s="67" t="e">
        <f t="shared" si="24"/>
        <v>#REF!</v>
      </c>
      <c r="C342" s="76" t="e">
        <f t="shared" si="25"/>
        <v>#REF!</v>
      </c>
    </row>
    <row r="343" spans="2:3" ht="15.75" customHeight="1" x14ac:dyDescent="0.25">
      <c r="B343" s="67" t="e">
        <f t="shared" si="24"/>
        <v>#REF!</v>
      </c>
      <c r="C343" s="76" t="e">
        <f t="shared" si="25"/>
        <v>#REF!</v>
      </c>
    </row>
    <row r="344" spans="2:3" ht="15.75" customHeight="1" x14ac:dyDescent="0.25">
      <c r="B344" s="67" t="e">
        <f t="shared" si="24"/>
        <v>#REF!</v>
      </c>
      <c r="C344" s="76" t="e">
        <f t="shared" si="25"/>
        <v>#REF!</v>
      </c>
    </row>
    <row r="345" spans="2:3" ht="15.75" customHeight="1" x14ac:dyDescent="0.25">
      <c r="B345" s="67" t="e">
        <f t="shared" si="24"/>
        <v>#REF!</v>
      </c>
      <c r="C345" s="76" t="e">
        <f t="shared" si="25"/>
        <v>#REF!</v>
      </c>
    </row>
    <row r="346" spans="2:3" ht="15.75" customHeight="1" x14ac:dyDescent="0.25">
      <c r="B346" s="67" t="e">
        <f t="shared" si="24"/>
        <v>#REF!</v>
      </c>
      <c r="C346" s="76" t="e">
        <f t="shared" si="25"/>
        <v>#REF!</v>
      </c>
    </row>
    <row r="347" spans="2:3" ht="15.75" customHeight="1" x14ac:dyDescent="0.25">
      <c r="B347" s="67" t="e">
        <f t="shared" si="24"/>
        <v>#REF!</v>
      </c>
      <c r="C347" s="76" t="e">
        <f t="shared" si="25"/>
        <v>#REF!</v>
      </c>
    </row>
    <row r="348" spans="2:3" ht="15.75" customHeight="1" x14ac:dyDescent="0.25">
      <c r="B348" s="67" t="e">
        <f t="shared" si="24"/>
        <v>#REF!</v>
      </c>
      <c r="C348" s="76" t="e">
        <f t="shared" si="25"/>
        <v>#REF!</v>
      </c>
    </row>
    <row r="349" spans="2:3" ht="15.75" customHeight="1" x14ac:dyDescent="0.25">
      <c r="B349" s="67" t="e">
        <f t="shared" si="24"/>
        <v>#REF!</v>
      </c>
      <c r="C349" s="76" t="e">
        <f t="shared" si="25"/>
        <v>#REF!</v>
      </c>
    </row>
    <row r="350" spans="2:3" ht="15.75" customHeight="1" x14ac:dyDescent="0.25">
      <c r="B350" s="67" t="e">
        <f t="shared" ref="B350:B413" si="26">IF(B349="","",IF(B349+$C$10&lt;=$C$6,B349+$C$10,""))</f>
        <v>#REF!</v>
      </c>
      <c r="C350" s="76" t="e">
        <f t="shared" ref="C350:C413" si="27">IF(B350&lt;&gt;"",C349-$C$2/COUNT($B$18:$B$511),"")</f>
        <v>#REF!</v>
      </c>
    </row>
    <row r="351" spans="2:3" ht="15.75" customHeight="1" x14ac:dyDescent="0.25">
      <c r="B351" s="67" t="e">
        <f t="shared" si="26"/>
        <v>#REF!</v>
      </c>
      <c r="C351" s="76" t="e">
        <f t="shared" si="27"/>
        <v>#REF!</v>
      </c>
    </row>
    <row r="352" spans="2:3" ht="15.75" customHeight="1" x14ac:dyDescent="0.25">
      <c r="B352" s="67" t="e">
        <f t="shared" si="26"/>
        <v>#REF!</v>
      </c>
      <c r="C352" s="76" t="e">
        <f t="shared" si="27"/>
        <v>#REF!</v>
      </c>
    </row>
    <row r="353" spans="2:3" ht="15.75" customHeight="1" x14ac:dyDescent="0.25">
      <c r="B353" s="67" t="e">
        <f t="shared" si="26"/>
        <v>#REF!</v>
      </c>
      <c r="C353" s="76" t="e">
        <f t="shared" si="27"/>
        <v>#REF!</v>
      </c>
    </row>
    <row r="354" spans="2:3" ht="15.75" customHeight="1" x14ac:dyDescent="0.25">
      <c r="B354" s="67" t="e">
        <f t="shared" si="26"/>
        <v>#REF!</v>
      </c>
      <c r="C354" s="76" t="e">
        <f t="shared" si="27"/>
        <v>#REF!</v>
      </c>
    </row>
    <row r="355" spans="2:3" ht="15.75" customHeight="1" x14ac:dyDescent="0.25">
      <c r="B355" s="67" t="e">
        <f t="shared" si="26"/>
        <v>#REF!</v>
      </c>
      <c r="C355" s="76" t="e">
        <f t="shared" si="27"/>
        <v>#REF!</v>
      </c>
    </row>
    <row r="356" spans="2:3" ht="15.75" customHeight="1" x14ac:dyDescent="0.25">
      <c r="B356" s="67" t="e">
        <f t="shared" si="26"/>
        <v>#REF!</v>
      </c>
      <c r="C356" s="76" t="e">
        <f t="shared" si="27"/>
        <v>#REF!</v>
      </c>
    </row>
    <row r="357" spans="2:3" ht="15.75" customHeight="1" x14ac:dyDescent="0.25">
      <c r="B357" s="67" t="e">
        <f t="shared" si="26"/>
        <v>#REF!</v>
      </c>
      <c r="C357" s="76" t="e">
        <f t="shared" si="27"/>
        <v>#REF!</v>
      </c>
    </row>
    <row r="358" spans="2:3" ht="15.75" customHeight="1" x14ac:dyDescent="0.25">
      <c r="B358" s="67" t="e">
        <f t="shared" si="26"/>
        <v>#REF!</v>
      </c>
      <c r="C358" s="76" t="e">
        <f t="shared" si="27"/>
        <v>#REF!</v>
      </c>
    </row>
    <row r="359" spans="2:3" ht="15.75" customHeight="1" x14ac:dyDescent="0.25">
      <c r="B359" s="67" t="e">
        <f t="shared" si="26"/>
        <v>#REF!</v>
      </c>
      <c r="C359" s="76" t="e">
        <f t="shared" si="27"/>
        <v>#REF!</v>
      </c>
    </row>
    <row r="360" spans="2:3" ht="15.75" customHeight="1" x14ac:dyDescent="0.25">
      <c r="B360" s="67" t="e">
        <f t="shared" si="26"/>
        <v>#REF!</v>
      </c>
      <c r="C360" s="76" t="e">
        <f t="shared" si="27"/>
        <v>#REF!</v>
      </c>
    </row>
    <row r="361" spans="2:3" ht="15.75" customHeight="1" x14ac:dyDescent="0.25">
      <c r="B361" s="67" t="e">
        <f t="shared" si="26"/>
        <v>#REF!</v>
      </c>
      <c r="C361" s="76" t="e">
        <f t="shared" si="27"/>
        <v>#REF!</v>
      </c>
    </row>
    <row r="362" spans="2:3" ht="15.75" customHeight="1" x14ac:dyDescent="0.25">
      <c r="B362" s="67" t="e">
        <f t="shared" si="26"/>
        <v>#REF!</v>
      </c>
      <c r="C362" s="76" t="e">
        <f t="shared" si="27"/>
        <v>#REF!</v>
      </c>
    </row>
    <row r="363" spans="2:3" ht="15.75" customHeight="1" x14ac:dyDescent="0.25">
      <c r="B363" s="67" t="e">
        <f t="shared" si="26"/>
        <v>#REF!</v>
      </c>
      <c r="C363" s="76" t="e">
        <f t="shared" si="27"/>
        <v>#REF!</v>
      </c>
    </row>
    <row r="364" spans="2:3" ht="15.75" customHeight="1" x14ac:dyDescent="0.25">
      <c r="B364" s="67" t="e">
        <f t="shared" si="26"/>
        <v>#REF!</v>
      </c>
      <c r="C364" s="76" t="e">
        <f t="shared" si="27"/>
        <v>#REF!</v>
      </c>
    </row>
    <row r="365" spans="2:3" ht="15.75" customHeight="1" x14ac:dyDescent="0.25">
      <c r="B365" s="67" t="e">
        <f t="shared" si="26"/>
        <v>#REF!</v>
      </c>
      <c r="C365" s="76" t="e">
        <f t="shared" si="27"/>
        <v>#REF!</v>
      </c>
    </row>
    <row r="366" spans="2:3" ht="15.75" customHeight="1" x14ac:dyDescent="0.25">
      <c r="B366" s="67" t="e">
        <f t="shared" si="26"/>
        <v>#REF!</v>
      </c>
      <c r="C366" s="76" t="e">
        <f t="shared" si="27"/>
        <v>#REF!</v>
      </c>
    </row>
    <row r="367" spans="2:3" ht="15.75" customHeight="1" x14ac:dyDescent="0.25">
      <c r="B367" s="67" t="e">
        <f t="shared" si="26"/>
        <v>#REF!</v>
      </c>
      <c r="C367" s="76" t="e">
        <f t="shared" si="27"/>
        <v>#REF!</v>
      </c>
    </row>
    <row r="368" spans="2:3" ht="15.75" customHeight="1" x14ac:dyDescent="0.25">
      <c r="B368" s="67" t="e">
        <f t="shared" si="26"/>
        <v>#REF!</v>
      </c>
      <c r="C368" s="76" t="e">
        <f t="shared" si="27"/>
        <v>#REF!</v>
      </c>
    </row>
    <row r="369" spans="2:3" ht="15.75" customHeight="1" x14ac:dyDescent="0.25">
      <c r="B369" s="67" t="e">
        <f t="shared" si="26"/>
        <v>#REF!</v>
      </c>
      <c r="C369" s="76" t="e">
        <f t="shared" si="27"/>
        <v>#REF!</v>
      </c>
    </row>
    <row r="370" spans="2:3" ht="15.75" customHeight="1" x14ac:dyDescent="0.25">
      <c r="B370" s="67" t="e">
        <f t="shared" si="26"/>
        <v>#REF!</v>
      </c>
      <c r="C370" s="76" t="e">
        <f t="shared" si="27"/>
        <v>#REF!</v>
      </c>
    </row>
    <row r="371" spans="2:3" ht="15.75" customHeight="1" x14ac:dyDescent="0.25">
      <c r="B371" s="67" t="e">
        <f t="shared" si="26"/>
        <v>#REF!</v>
      </c>
      <c r="C371" s="76" t="e">
        <f t="shared" si="27"/>
        <v>#REF!</v>
      </c>
    </row>
    <row r="372" spans="2:3" ht="15.75" customHeight="1" x14ac:dyDescent="0.25">
      <c r="B372" s="67" t="e">
        <f t="shared" si="26"/>
        <v>#REF!</v>
      </c>
      <c r="C372" s="76" t="e">
        <f t="shared" si="27"/>
        <v>#REF!</v>
      </c>
    </row>
    <row r="373" spans="2:3" ht="15.75" customHeight="1" x14ac:dyDescent="0.25">
      <c r="B373" s="67" t="e">
        <f t="shared" si="26"/>
        <v>#REF!</v>
      </c>
      <c r="C373" s="76" t="e">
        <f t="shared" si="27"/>
        <v>#REF!</v>
      </c>
    </row>
    <row r="374" spans="2:3" ht="15.75" customHeight="1" x14ac:dyDescent="0.25">
      <c r="B374" s="67" t="e">
        <f t="shared" si="26"/>
        <v>#REF!</v>
      </c>
      <c r="C374" s="76" t="e">
        <f t="shared" si="27"/>
        <v>#REF!</v>
      </c>
    </row>
    <row r="375" spans="2:3" ht="15.75" customHeight="1" x14ac:dyDescent="0.25">
      <c r="B375" s="67" t="e">
        <f t="shared" si="26"/>
        <v>#REF!</v>
      </c>
      <c r="C375" s="76" t="e">
        <f t="shared" si="27"/>
        <v>#REF!</v>
      </c>
    </row>
    <row r="376" spans="2:3" ht="15.75" customHeight="1" x14ac:dyDescent="0.25">
      <c r="B376" s="67" t="e">
        <f t="shared" si="26"/>
        <v>#REF!</v>
      </c>
      <c r="C376" s="76" t="e">
        <f t="shared" si="27"/>
        <v>#REF!</v>
      </c>
    </row>
    <row r="377" spans="2:3" ht="15.75" customHeight="1" x14ac:dyDescent="0.25">
      <c r="B377" s="67" t="e">
        <f t="shared" si="26"/>
        <v>#REF!</v>
      </c>
      <c r="C377" s="76" t="e">
        <f t="shared" si="27"/>
        <v>#REF!</v>
      </c>
    </row>
    <row r="378" spans="2:3" ht="15.75" customHeight="1" x14ac:dyDescent="0.25">
      <c r="B378" s="67" t="e">
        <f t="shared" si="26"/>
        <v>#REF!</v>
      </c>
      <c r="C378" s="76" t="e">
        <f t="shared" si="27"/>
        <v>#REF!</v>
      </c>
    </row>
    <row r="379" spans="2:3" ht="15.75" customHeight="1" x14ac:dyDescent="0.25">
      <c r="B379" s="67" t="e">
        <f t="shared" si="26"/>
        <v>#REF!</v>
      </c>
      <c r="C379" s="76" t="e">
        <f t="shared" si="27"/>
        <v>#REF!</v>
      </c>
    </row>
    <row r="380" spans="2:3" ht="15.75" customHeight="1" x14ac:dyDescent="0.25">
      <c r="B380" s="67" t="e">
        <f t="shared" si="26"/>
        <v>#REF!</v>
      </c>
      <c r="C380" s="76" t="e">
        <f t="shared" si="27"/>
        <v>#REF!</v>
      </c>
    </row>
    <row r="381" spans="2:3" ht="15.75" customHeight="1" x14ac:dyDescent="0.25">
      <c r="B381" s="67" t="e">
        <f t="shared" si="26"/>
        <v>#REF!</v>
      </c>
      <c r="C381" s="76" t="e">
        <f t="shared" si="27"/>
        <v>#REF!</v>
      </c>
    </row>
    <row r="382" spans="2:3" ht="15.75" customHeight="1" x14ac:dyDescent="0.25">
      <c r="B382" s="67" t="e">
        <f t="shared" si="26"/>
        <v>#REF!</v>
      </c>
      <c r="C382" s="76" t="e">
        <f t="shared" si="27"/>
        <v>#REF!</v>
      </c>
    </row>
    <row r="383" spans="2:3" ht="15.75" customHeight="1" x14ac:dyDescent="0.25">
      <c r="B383" s="67" t="e">
        <f t="shared" si="26"/>
        <v>#REF!</v>
      </c>
      <c r="C383" s="76" t="e">
        <f t="shared" si="27"/>
        <v>#REF!</v>
      </c>
    </row>
    <row r="384" spans="2:3" ht="15.75" customHeight="1" x14ac:dyDescent="0.25">
      <c r="B384" s="67" t="e">
        <f t="shared" si="26"/>
        <v>#REF!</v>
      </c>
      <c r="C384" s="76" t="e">
        <f t="shared" si="27"/>
        <v>#REF!</v>
      </c>
    </row>
    <row r="385" spans="2:3" ht="15.75" customHeight="1" x14ac:dyDescent="0.25">
      <c r="B385" s="67" t="e">
        <f t="shared" si="26"/>
        <v>#REF!</v>
      </c>
      <c r="C385" s="76" t="e">
        <f t="shared" si="27"/>
        <v>#REF!</v>
      </c>
    </row>
    <row r="386" spans="2:3" ht="15.75" customHeight="1" x14ac:dyDescent="0.25">
      <c r="B386" s="67" t="e">
        <f t="shared" si="26"/>
        <v>#REF!</v>
      </c>
      <c r="C386" s="76" t="e">
        <f t="shared" si="27"/>
        <v>#REF!</v>
      </c>
    </row>
    <row r="387" spans="2:3" ht="15.75" customHeight="1" x14ac:dyDescent="0.25">
      <c r="B387" s="67" t="e">
        <f t="shared" si="26"/>
        <v>#REF!</v>
      </c>
      <c r="C387" s="76" t="e">
        <f t="shared" si="27"/>
        <v>#REF!</v>
      </c>
    </row>
    <row r="388" spans="2:3" ht="15.75" customHeight="1" x14ac:dyDescent="0.25">
      <c r="B388" s="67" t="e">
        <f t="shared" si="26"/>
        <v>#REF!</v>
      </c>
      <c r="C388" s="76" t="e">
        <f t="shared" si="27"/>
        <v>#REF!</v>
      </c>
    </row>
    <row r="389" spans="2:3" ht="15.75" customHeight="1" x14ac:dyDescent="0.25">
      <c r="B389" s="67" t="e">
        <f t="shared" si="26"/>
        <v>#REF!</v>
      </c>
      <c r="C389" s="76" t="e">
        <f t="shared" si="27"/>
        <v>#REF!</v>
      </c>
    </row>
    <row r="390" spans="2:3" ht="15.75" customHeight="1" x14ac:dyDescent="0.25">
      <c r="B390" s="67" t="e">
        <f t="shared" si="26"/>
        <v>#REF!</v>
      </c>
      <c r="C390" s="76" t="e">
        <f t="shared" si="27"/>
        <v>#REF!</v>
      </c>
    </row>
    <row r="391" spans="2:3" ht="15.75" customHeight="1" x14ac:dyDescent="0.25">
      <c r="B391" s="67" t="e">
        <f t="shared" si="26"/>
        <v>#REF!</v>
      </c>
      <c r="C391" s="76" t="e">
        <f t="shared" si="27"/>
        <v>#REF!</v>
      </c>
    </row>
    <row r="392" spans="2:3" ht="15.75" customHeight="1" x14ac:dyDescent="0.25">
      <c r="B392" s="67" t="e">
        <f t="shared" si="26"/>
        <v>#REF!</v>
      </c>
      <c r="C392" s="76" t="e">
        <f t="shared" si="27"/>
        <v>#REF!</v>
      </c>
    </row>
    <row r="393" spans="2:3" ht="15.75" customHeight="1" x14ac:dyDescent="0.25">
      <c r="B393" s="67" t="e">
        <f t="shared" si="26"/>
        <v>#REF!</v>
      </c>
      <c r="C393" s="76" t="e">
        <f t="shared" si="27"/>
        <v>#REF!</v>
      </c>
    </row>
    <row r="394" spans="2:3" ht="15.75" customHeight="1" x14ac:dyDescent="0.25">
      <c r="B394" s="67" t="e">
        <f t="shared" si="26"/>
        <v>#REF!</v>
      </c>
      <c r="C394" s="76" t="e">
        <f t="shared" si="27"/>
        <v>#REF!</v>
      </c>
    </row>
    <row r="395" spans="2:3" ht="15.75" customHeight="1" x14ac:dyDescent="0.25">
      <c r="B395" s="67" t="e">
        <f t="shared" si="26"/>
        <v>#REF!</v>
      </c>
      <c r="C395" s="76" t="e">
        <f t="shared" si="27"/>
        <v>#REF!</v>
      </c>
    </row>
    <row r="396" spans="2:3" ht="15.75" customHeight="1" x14ac:dyDescent="0.25">
      <c r="B396" s="67" t="e">
        <f t="shared" si="26"/>
        <v>#REF!</v>
      </c>
      <c r="C396" s="76" t="e">
        <f t="shared" si="27"/>
        <v>#REF!</v>
      </c>
    </row>
    <row r="397" spans="2:3" ht="15.75" customHeight="1" x14ac:dyDescent="0.25">
      <c r="B397" s="67" t="e">
        <f t="shared" si="26"/>
        <v>#REF!</v>
      </c>
      <c r="C397" s="76" t="e">
        <f t="shared" si="27"/>
        <v>#REF!</v>
      </c>
    </row>
    <row r="398" spans="2:3" ht="15.75" customHeight="1" x14ac:dyDescent="0.25">
      <c r="B398" s="67" t="e">
        <f t="shared" si="26"/>
        <v>#REF!</v>
      </c>
      <c r="C398" s="76" t="e">
        <f t="shared" si="27"/>
        <v>#REF!</v>
      </c>
    </row>
    <row r="399" spans="2:3" ht="15.75" customHeight="1" x14ac:dyDescent="0.25">
      <c r="B399" s="67" t="e">
        <f t="shared" si="26"/>
        <v>#REF!</v>
      </c>
      <c r="C399" s="76" t="e">
        <f t="shared" si="27"/>
        <v>#REF!</v>
      </c>
    </row>
    <row r="400" spans="2:3" ht="15.75" customHeight="1" x14ac:dyDescent="0.25">
      <c r="B400" s="67" t="e">
        <f t="shared" si="26"/>
        <v>#REF!</v>
      </c>
      <c r="C400" s="76" t="e">
        <f t="shared" si="27"/>
        <v>#REF!</v>
      </c>
    </row>
    <row r="401" spans="2:3" ht="15.75" customHeight="1" x14ac:dyDescent="0.25">
      <c r="B401" s="67" t="e">
        <f t="shared" si="26"/>
        <v>#REF!</v>
      </c>
      <c r="C401" s="76" t="e">
        <f t="shared" si="27"/>
        <v>#REF!</v>
      </c>
    </row>
    <row r="402" spans="2:3" ht="15.75" customHeight="1" x14ac:dyDescent="0.25">
      <c r="B402" s="67" t="e">
        <f t="shared" si="26"/>
        <v>#REF!</v>
      </c>
      <c r="C402" s="76" t="e">
        <f t="shared" si="27"/>
        <v>#REF!</v>
      </c>
    </row>
    <row r="403" spans="2:3" ht="15.75" customHeight="1" x14ac:dyDescent="0.25">
      <c r="B403" s="67" t="e">
        <f t="shared" si="26"/>
        <v>#REF!</v>
      </c>
      <c r="C403" s="76" t="e">
        <f t="shared" si="27"/>
        <v>#REF!</v>
      </c>
    </row>
    <row r="404" spans="2:3" ht="15.75" customHeight="1" x14ac:dyDescent="0.25">
      <c r="B404" s="67" t="e">
        <f t="shared" si="26"/>
        <v>#REF!</v>
      </c>
      <c r="C404" s="76" t="e">
        <f t="shared" si="27"/>
        <v>#REF!</v>
      </c>
    </row>
    <row r="405" spans="2:3" ht="15.75" customHeight="1" x14ac:dyDescent="0.25">
      <c r="B405" s="67" t="e">
        <f t="shared" si="26"/>
        <v>#REF!</v>
      </c>
      <c r="C405" s="76" t="e">
        <f t="shared" si="27"/>
        <v>#REF!</v>
      </c>
    </row>
    <row r="406" spans="2:3" ht="15.75" customHeight="1" x14ac:dyDescent="0.25">
      <c r="B406" s="67" t="e">
        <f t="shared" si="26"/>
        <v>#REF!</v>
      </c>
      <c r="C406" s="76" t="e">
        <f t="shared" si="27"/>
        <v>#REF!</v>
      </c>
    </row>
    <row r="407" spans="2:3" ht="15.75" customHeight="1" x14ac:dyDescent="0.25">
      <c r="B407" s="67" t="e">
        <f t="shared" si="26"/>
        <v>#REF!</v>
      </c>
      <c r="C407" s="76" t="e">
        <f t="shared" si="27"/>
        <v>#REF!</v>
      </c>
    </row>
    <row r="408" spans="2:3" ht="15.75" customHeight="1" x14ac:dyDescent="0.25">
      <c r="B408" s="67" t="e">
        <f t="shared" si="26"/>
        <v>#REF!</v>
      </c>
      <c r="C408" s="76" t="e">
        <f t="shared" si="27"/>
        <v>#REF!</v>
      </c>
    </row>
    <row r="409" spans="2:3" ht="15.75" customHeight="1" x14ac:dyDescent="0.25">
      <c r="B409" s="67" t="e">
        <f t="shared" si="26"/>
        <v>#REF!</v>
      </c>
      <c r="C409" s="76" t="e">
        <f t="shared" si="27"/>
        <v>#REF!</v>
      </c>
    </row>
    <row r="410" spans="2:3" ht="15.75" customHeight="1" x14ac:dyDescent="0.25">
      <c r="B410" s="67" t="e">
        <f t="shared" si="26"/>
        <v>#REF!</v>
      </c>
      <c r="C410" s="76" t="e">
        <f t="shared" si="27"/>
        <v>#REF!</v>
      </c>
    </row>
    <row r="411" spans="2:3" ht="15.75" customHeight="1" x14ac:dyDescent="0.25">
      <c r="B411" s="67" t="e">
        <f t="shared" si="26"/>
        <v>#REF!</v>
      </c>
      <c r="C411" s="76" t="e">
        <f t="shared" si="27"/>
        <v>#REF!</v>
      </c>
    </row>
    <row r="412" spans="2:3" ht="15.75" customHeight="1" x14ac:dyDescent="0.25">
      <c r="B412" s="67" t="e">
        <f t="shared" si="26"/>
        <v>#REF!</v>
      </c>
      <c r="C412" s="76" t="e">
        <f t="shared" si="27"/>
        <v>#REF!</v>
      </c>
    </row>
    <row r="413" spans="2:3" ht="15.75" customHeight="1" x14ac:dyDescent="0.25">
      <c r="B413" s="67" t="e">
        <f t="shared" si="26"/>
        <v>#REF!</v>
      </c>
      <c r="C413" s="76" t="e">
        <f t="shared" si="27"/>
        <v>#REF!</v>
      </c>
    </row>
    <row r="414" spans="2:3" ht="15.75" customHeight="1" x14ac:dyDescent="0.25">
      <c r="B414" s="67" t="e">
        <f t="shared" ref="B414:B477" si="28">IF(B413="","",IF(B413+$C$10&lt;=$C$6,B413+$C$10,""))</f>
        <v>#REF!</v>
      </c>
      <c r="C414" s="76" t="e">
        <f t="shared" ref="C414:C477" si="29">IF(B414&lt;&gt;"",C413-$C$2/COUNT($B$18:$B$511),"")</f>
        <v>#REF!</v>
      </c>
    </row>
    <row r="415" spans="2:3" ht="15.75" customHeight="1" x14ac:dyDescent="0.25">
      <c r="B415" s="67" t="e">
        <f t="shared" si="28"/>
        <v>#REF!</v>
      </c>
      <c r="C415" s="76" t="e">
        <f t="shared" si="29"/>
        <v>#REF!</v>
      </c>
    </row>
    <row r="416" spans="2:3" ht="15.75" customHeight="1" x14ac:dyDescent="0.25">
      <c r="B416" s="67" t="e">
        <f t="shared" si="28"/>
        <v>#REF!</v>
      </c>
      <c r="C416" s="76" t="e">
        <f t="shared" si="29"/>
        <v>#REF!</v>
      </c>
    </row>
    <row r="417" spans="2:3" ht="15.75" customHeight="1" x14ac:dyDescent="0.25">
      <c r="B417" s="67" t="e">
        <f t="shared" si="28"/>
        <v>#REF!</v>
      </c>
      <c r="C417" s="76" t="e">
        <f t="shared" si="29"/>
        <v>#REF!</v>
      </c>
    </row>
    <row r="418" spans="2:3" ht="15.75" customHeight="1" x14ac:dyDescent="0.25">
      <c r="B418" s="67" t="e">
        <f t="shared" si="28"/>
        <v>#REF!</v>
      </c>
      <c r="C418" s="76" t="e">
        <f t="shared" si="29"/>
        <v>#REF!</v>
      </c>
    </row>
    <row r="419" spans="2:3" ht="15.75" customHeight="1" x14ac:dyDescent="0.25">
      <c r="B419" s="67" t="e">
        <f t="shared" si="28"/>
        <v>#REF!</v>
      </c>
      <c r="C419" s="76" t="e">
        <f t="shared" si="29"/>
        <v>#REF!</v>
      </c>
    </row>
    <row r="420" spans="2:3" ht="15.75" customHeight="1" x14ac:dyDescent="0.25">
      <c r="B420" s="67" t="e">
        <f t="shared" si="28"/>
        <v>#REF!</v>
      </c>
      <c r="C420" s="76" t="e">
        <f t="shared" si="29"/>
        <v>#REF!</v>
      </c>
    </row>
    <row r="421" spans="2:3" ht="15.75" customHeight="1" x14ac:dyDescent="0.25">
      <c r="B421" s="67" t="e">
        <f t="shared" si="28"/>
        <v>#REF!</v>
      </c>
      <c r="C421" s="76" t="e">
        <f t="shared" si="29"/>
        <v>#REF!</v>
      </c>
    </row>
    <row r="422" spans="2:3" ht="15.75" customHeight="1" x14ac:dyDescent="0.25">
      <c r="B422" s="67" t="e">
        <f t="shared" si="28"/>
        <v>#REF!</v>
      </c>
      <c r="C422" s="76" t="e">
        <f t="shared" si="29"/>
        <v>#REF!</v>
      </c>
    </row>
    <row r="423" spans="2:3" ht="15.75" customHeight="1" x14ac:dyDescent="0.25">
      <c r="B423" s="67" t="e">
        <f t="shared" si="28"/>
        <v>#REF!</v>
      </c>
      <c r="C423" s="76" t="e">
        <f t="shared" si="29"/>
        <v>#REF!</v>
      </c>
    </row>
    <row r="424" spans="2:3" ht="15.75" customHeight="1" x14ac:dyDescent="0.25">
      <c r="B424" s="67" t="e">
        <f t="shared" si="28"/>
        <v>#REF!</v>
      </c>
      <c r="C424" s="76" t="e">
        <f t="shared" si="29"/>
        <v>#REF!</v>
      </c>
    </row>
    <row r="425" spans="2:3" ht="15.75" customHeight="1" x14ac:dyDescent="0.25">
      <c r="B425" s="67" t="e">
        <f t="shared" si="28"/>
        <v>#REF!</v>
      </c>
      <c r="C425" s="76" t="e">
        <f t="shared" si="29"/>
        <v>#REF!</v>
      </c>
    </row>
    <row r="426" spans="2:3" ht="15.75" customHeight="1" x14ac:dyDescent="0.25">
      <c r="B426" s="67" t="e">
        <f t="shared" si="28"/>
        <v>#REF!</v>
      </c>
      <c r="C426" s="76" t="e">
        <f t="shared" si="29"/>
        <v>#REF!</v>
      </c>
    </row>
    <row r="427" spans="2:3" ht="15.75" customHeight="1" x14ac:dyDescent="0.25">
      <c r="B427" s="67" t="e">
        <f t="shared" si="28"/>
        <v>#REF!</v>
      </c>
      <c r="C427" s="76" t="e">
        <f t="shared" si="29"/>
        <v>#REF!</v>
      </c>
    </row>
    <row r="428" spans="2:3" ht="15.75" customHeight="1" x14ac:dyDescent="0.25">
      <c r="B428" s="67" t="e">
        <f t="shared" si="28"/>
        <v>#REF!</v>
      </c>
      <c r="C428" s="76" t="e">
        <f t="shared" si="29"/>
        <v>#REF!</v>
      </c>
    </row>
    <row r="429" spans="2:3" ht="15.75" customHeight="1" x14ac:dyDescent="0.25">
      <c r="B429" s="67" t="e">
        <f t="shared" si="28"/>
        <v>#REF!</v>
      </c>
      <c r="C429" s="76" t="e">
        <f t="shared" si="29"/>
        <v>#REF!</v>
      </c>
    </row>
    <row r="430" spans="2:3" ht="15.75" customHeight="1" x14ac:dyDescent="0.25">
      <c r="B430" s="67" t="e">
        <f t="shared" si="28"/>
        <v>#REF!</v>
      </c>
      <c r="C430" s="76" t="e">
        <f t="shared" si="29"/>
        <v>#REF!</v>
      </c>
    </row>
    <row r="431" spans="2:3" ht="15.75" customHeight="1" x14ac:dyDescent="0.25">
      <c r="B431" s="67" t="e">
        <f t="shared" si="28"/>
        <v>#REF!</v>
      </c>
      <c r="C431" s="76" t="e">
        <f t="shared" si="29"/>
        <v>#REF!</v>
      </c>
    </row>
    <row r="432" spans="2:3" ht="15.75" customHeight="1" x14ac:dyDescent="0.25">
      <c r="B432" s="67" t="e">
        <f t="shared" si="28"/>
        <v>#REF!</v>
      </c>
      <c r="C432" s="76" t="e">
        <f t="shared" si="29"/>
        <v>#REF!</v>
      </c>
    </row>
    <row r="433" spans="2:3" ht="15.75" customHeight="1" x14ac:dyDescent="0.25">
      <c r="B433" s="67" t="e">
        <f t="shared" si="28"/>
        <v>#REF!</v>
      </c>
      <c r="C433" s="76" t="e">
        <f t="shared" si="29"/>
        <v>#REF!</v>
      </c>
    </row>
    <row r="434" spans="2:3" ht="15.75" customHeight="1" x14ac:dyDescent="0.25">
      <c r="B434" s="67" t="e">
        <f t="shared" si="28"/>
        <v>#REF!</v>
      </c>
      <c r="C434" s="76" t="e">
        <f t="shared" si="29"/>
        <v>#REF!</v>
      </c>
    </row>
    <row r="435" spans="2:3" ht="15.75" customHeight="1" x14ac:dyDescent="0.25">
      <c r="B435" s="67" t="e">
        <f t="shared" si="28"/>
        <v>#REF!</v>
      </c>
      <c r="C435" s="76" t="e">
        <f t="shared" si="29"/>
        <v>#REF!</v>
      </c>
    </row>
    <row r="436" spans="2:3" ht="15.75" customHeight="1" x14ac:dyDescent="0.25">
      <c r="B436" s="67" t="e">
        <f t="shared" si="28"/>
        <v>#REF!</v>
      </c>
      <c r="C436" s="76" t="e">
        <f t="shared" si="29"/>
        <v>#REF!</v>
      </c>
    </row>
    <row r="437" spans="2:3" ht="15.75" customHeight="1" x14ac:dyDescent="0.25">
      <c r="B437" s="67" t="e">
        <f t="shared" si="28"/>
        <v>#REF!</v>
      </c>
      <c r="C437" s="76" t="e">
        <f t="shared" si="29"/>
        <v>#REF!</v>
      </c>
    </row>
    <row r="438" spans="2:3" ht="15.75" customHeight="1" x14ac:dyDescent="0.25">
      <c r="B438" s="67" t="e">
        <f t="shared" si="28"/>
        <v>#REF!</v>
      </c>
      <c r="C438" s="76" t="e">
        <f t="shared" si="29"/>
        <v>#REF!</v>
      </c>
    </row>
    <row r="439" spans="2:3" ht="15.75" customHeight="1" x14ac:dyDescent="0.25">
      <c r="B439" s="67" t="e">
        <f t="shared" si="28"/>
        <v>#REF!</v>
      </c>
      <c r="C439" s="76" t="e">
        <f t="shared" si="29"/>
        <v>#REF!</v>
      </c>
    </row>
    <row r="440" spans="2:3" ht="15.75" customHeight="1" x14ac:dyDescent="0.25">
      <c r="B440" s="67" t="e">
        <f t="shared" si="28"/>
        <v>#REF!</v>
      </c>
      <c r="C440" s="76" t="e">
        <f t="shared" si="29"/>
        <v>#REF!</v>
      </c>
    </row>
    <row r="441" spans="2:3" ht="15.75" customHeight="1" x14ac:dyDescent="0.25">
      <c r="B441" s="67" t="e">
        <f t="shared" si="28"/>
        <v>#REF!</v>
      </c>
      <c r="C441" s="76" t="e">
        <f t="shared" si="29"/>
        <v>#REF!</v>
      </c>
    </row>
    <row r="442" spans="2:3" ht="15.75" customHeight="1" x14ac:dyDescent="0.25">
      <c r="B442" s="67" t="e">
        <f t="shared" si="28"/>
        <v>#REF!</v>
      </c>
      <c r="C442" s="76" t="e">
        <f t="shared" si="29"/>
        <v>#REF!</v>
      </c>
    </row>
    <row r="443" spans="2:3" ht="15.75" customHeight="1" x14ac:dyDescent="0.25">
      <c r="B443" s="67" t="e">
        <f t="shared" si="28"/>
        <v>#REF!</v>
      </c>
      <c r="C443" s="76" t="e">
        <f t="shared" si="29"/>
        <v>#REF!</v>
      </c>
    </row>
    <row r="444" spans="2:3" ht="15.75" customHeight="1" x14ac:dyDescent="0.25">
      <c r="B444" s="67" t="e">
        <f t="shared" si="28"/>
        <v>#REF!</v>
      </c>
      <c r="C444" s="76" t="e">
        <f t="shared" si="29"/>
        <v>#REF!</v>
      </c>
    </row>
    <row r="445" spans="2:3" ht="15.75" customHeight="1" x14ac:dyDescent="0.25">
      <c r="B445" s="67" t="e">
        <f t="shared" si="28"/>
        <v>#REF!</v>
      </c>
      <c r="C445" s="76" t="e">
        <f t="shared" si="29"/>
        <v>#REF!</v>
      </c>
    </row>
    <row r="446" spans="2:3" ht="15.75" customHeight="1" x14ac:dyDescent="0.25">
      <c r="B446" s="67" t="e">
        <f t="shared" si="28"/>
        <v>#REF!</v>
      </c>
      <c r="C446" s="76" t="e">
        <f t="shared" si="29"/>
        <v>#REF!</v>
      </c>
    </row>
    <row r="447" spans="2:3" ht="15.75" customHeight="1" x14ac:dyDescent="0.25">
      <c r="B447" s="67" t="e">
        <f t="shared" si="28"/>
        <v>#REF!</v>
      </c>
      <c r="C447" s="76" t="e">
        <f t="shared" si="29"/>
        <v>#REF!</v>
      </c>
    </row>
    <row r="448" spans="2:3" ht="15.75" customHeight="1" x14ac:dyDescent="0.25">
      <c r="B448" s="67" t="e">
        <f t="shared" si="28"/>
        <v>#REF!</v>
      </c>
      <c r="C448" s="76" t="e">
        <f t="shared" si="29"/>
        <v>#REF!</v>
      </c>
    </row>
    <row r="449" spans="2:3" ht="15.75" customHeight="1" x14ac:dyDescent="0.25">
      <c r="B449" s="67" t="e">
        <f t="shared" si="28"/>
        <v>#REF!</v>
      </c>
      <c r="C449" s="76" t="e">
        <f t="shared" si="29"/>
        <v>#REF!</v>
      </c>
    </row>
    <row r="450" spans="2:3" ht="15.75" customHeight="1" x14ac:dyDescent="0.25">
      <c r="B450" s="67" t="e">
        <f t="shared" si="28"/>
        <v>#REF!</v>
      </c>
      <c r="C450" s="76" t="e">
        <f t="shared" si="29"/>
        <v>#REF!</v>
      </c>
    </row>
    <row r="451" spans="2:3" ht="15.75" customHeight="1" x14ac:dyDescent="0.25">
      <c r="B451" s="67" t="e">
        <f t="shared" si="28"/>
        <v>#REF!</v>
      </c>
      <c r="C451" s="76" t="e">
        <f t="shared" si="29"/>
        <v>#REF!</v>
      </c>
    </row>
    <row r="452" spans="2:3" ht="15.75" customHeight="1" x14ac:dyDescent="0.25">
      <c r="B452" s="67" t="e">
        <f t="shared" si="28"/>
        <v>#REF!</v>
      </c>
      <c r="C452" s="76" t="e">
        <f t="shared" si="29"/>
        <v>#REF!</v>
      </c>
    </row>
    <row r="453" spans="2:3" ht="15.75" customHeight="1" x14ac:dyDescent="0.25">
      <c r="B453" s="67" t="e">
        <f t="shared" si="28"/>
        <v>#REF!</v>
      </c>
      <c r="C453" s="76" t="e">
        <f t="shared" si="29"/>
        <v>#REF!</v>
      </c>
    </row>
    <row r="454" spans="2:3" ht="15.75" customHeight="1" x14ac:dyDescent="0.25">
      <c r="B454" s="67" t="e">
        <f t="shared" si="28"/>
        <v>#REF!</v>
      </c>
      <c r="C454" s="76" t="e">
        <f t="shared" si="29"/>
        <v>#REF!</v>
      </c>
    </row>
    <row r="455" spans="2:3" ht="15.75" customHeight="1" x14ac:dyDescent="0.25">
      <c r="B455" s="67" t="e">
        <f t="shared" si="28"/>
        <v>#REF!</v>
      </c>
      <c r="C455" s="76" t="e">
        <f t="shared" si="29"/>
        <v>#REF!</v>
      </c>
    </row>
    <row r="456" spans="2:3" ht="15.75" customHeight="1" x14ac:dyDescent="0.25">
      <c r="B456" s="67" t="e">
        <f t="shared" si="28"/>
        <v>#REF!</v>
      </c>
      <c r="C456" s="76" t="e">
        <f t="shared" si="29"/>
        <v>#REF!</v>
      </c>
    </row>
    <row r="457" spans="2:3" ht="15.75" customHeight="1" x14ac:dyDescent="0.25">
      <c r="B457" s="67" t="e">
        <f t="shared" si="28"/>
        <v>#REF!</v>
      </c>
      <c r="C457" s="76" t="e">
        <f t="shared" si="29"/>
        <v>#REF!</v>
      </c>
    </row>
    <row r="458" spans="2:3" ht="15.75" customHeight="1" x14ac:dyDescent="0.25">
      <c r="B458" s="67" t="e">
        <f t="shared" si="28"/>
        <v>#REF!</v>
      </c>
      <c r="C458" s="76" t="e">
        <f t="shared" si="29"/>
        <v>#REF!</v>
      </c>
    </row>
    <row r="459" spans="2:3" ht="15.75" customHeight="1" x14ac:dyDescent="0.25">
      <c r="B459" s="67" t="e">
        <f t="shared" si="28"/>
        <v>#REF!</v>
      </c>
      <c r="C459" s="76" t="e">
        <f t="shared" si="29"/>
        <v>#REF!</v>
      </c>
    </row>
    <row r="460" spans="2:3" ht="15.75" customHeight="1" x14ac:dyDescent="0.25">
      <c r="B460" s="67" t="e">
        <f t="shared" si="28"/>
        <v>#REF!</v>
      </c>
      <c r="C460" s="76" t="e">
        <f t="shared" si="29"/>
        <v>#REF!</v>
      </c>
    </row>
    <row r="461" spans="2:3" ht="15.75" customHeight="1" x14ac:dyDescent="0.25">
      <c r="B461" s="67" t="e">
        <f t="shared" si="28"/>
        <v>#REF!</v>
      </c>
      <c r="C461" s="76" t="e">
        <f t="shared" si="29"/>
        <v>#REF!</v>
      </c>
    </row>
    <row r="462" spans="2:3" ht="15.75" customHeight="1" x14ac:dyDescent="0.25">
      <c r="B462" s="67" t="e">
        <f t="shared" si="28"/>
        <v>#REF!</v>
      </c>
      <c r="C462" s="76" t="e">
        <f t="shared" si="29"/>
        <v>#REF!</v>
      </c>
    </row>
    <row r="463" spans="2:3" ht="15.75" customHeight="1" x14ac:dyDescent="0.25">
      <c r="B463" s="67" t="e">
        <f t="shared" si="28"/>
        <v>#REF!</v>
      </c>
      <c r="C463" s="76" t="e">
        <f t="shared" si="29"/>
        <v>#REF!</v>
      </c>
    </row>
    <row r="464" spans="2:3" ht="15.75" customHeight="1" x14ac:dyDescent="0.25">
      <c r="B464" s="67" t="e">
        <f t="shared" si="28"/>
        <v>#REF!</v>
      </c>
      <c r="C464" s="76" t="e">
        <f t="shared" si="29"/>
        <v>#REF!</v>
      </c>
    </row>
    <row r="465" spans="2:3" ht="15.75" customHeight="1" x14ac:dyDescent="0.25">
      <c r="B465" s="67" t="e">
        <f t="shared" si="28"/>
        <v>#REF!</v>
      </c>
      <c r="C465" s="76" t="e">
        <f t="shared" si="29"/>
        <v>#REF!</v>
      </c>
    </row>
    <row r="466" spans="2:3" ht="15.75" customHeight="1" x14ac:dyDescent="0.25">
      <c r="B466" s="67" t="e">
        <f t="shared" si="28"/>
        <v>#REF!</v>
      </c>
      <c r="C466" s="76" t="e">
        <f t="shared" si="29"/>
        <v>#REF!</v>
      </c>
    </row>
    <row r="467" spans="2:3" ht="15.75" customHeight="1" x14ac:dyDescent="0.25">
      <c r="B467" s="67" t="e">
        <f t="shared" si="28"/>
        <v>#REF!</v>
      </c>
      <c r="C467" s="76" t="e">
        <f t="shared" si="29"/>
        <v>#REF!</v>
      </c>
    </row>
    <row r="468" spans="2:3" ht="15.75" customHeight="1" x14ac:dyDescent="0.25">
      <c r="B468" s="67" t="e">
        <f t="shared" si="28"/>
        <v>#REF!</v>
      </c>
      <c r="C468" s="76" t="e">
        <f t="shared" si="29"/>
        <v>#REF!</v>
      </c>
    </row>
    <row r="469" spans="2:3" ht="15.75" customHeight="1" x14ac:dyDescent="0.25">
      <c r="B469" s="67" t="e">
        <f t="shared" si="28"/>
        <v>#REF!</v>
      </c>
      <c r="C469" s="76" t="e">
        <f t="shared" si="29"/>
        <v>#REF!</v>
      </c>
    </row>
    <row r="470" spans="2:3" ht="15.75" customHeight="1" x14ac:dyDescent="0.25">
      <c r="B470" s="67" t="e">
        <f t="shared" si="28"/>
        <v>#REF!</v>
      </c>
      <c r="C470" s="76" t="e">
        <f t="shared" si="29"/>
        <v>#REF!</v>
      </c>
    </row>
    <row r="471" spans="2:3" ht="15.75" customHeight="1" x14ac:dyDescent="0.25">
      <c r="B471" s="67" t="e">
        <f t="shared" si="28"/>
        <v>#REF!</v>
      </c>
      <c r="C471" s="76" t="e">
        <f t="shared" si="29"/>
        <v>#REF!</v>
      </c>
    </row>
    <row r="472" spans="2:3" ht="15.75" customHeight="1" x14ac:dyDescent="0.25">
      <c r="B472" s="67" t="e">
        <f t="shared" si="28"/>
        <v>#REF!</v>
      </c>
      <c r="C472" s="76" t="e">
        <f t="shared" si="29"/>
        <v>#REF!</v>
      </c>
    </row>
    <row r="473" spans="2:3" ht="15.75" customHeight="1" x14ac:dyDescent="0.25">
      <c r="B473" s="67" t="e">
        <f t="shared" si="28"/>
        <v>#REF!</v>
      </c>
      <c r="C473" s="76" t="e">
        <f t="shared" si="29"/>
        <v>#REF!</v>
      </c>
    </row>
    <row r="474" spans="2:3" ht="15.75" customHeight="1" x14ac:dyDescent="0.25">
      <c r="B474" s="67" t="e">
        <f t="shared" si="28"/>
        <v>#REF!</v>
      </c>
      <c r="C474" s="76" t="e">
        <f t="shared" si="29"/>
        <v>#REF!</v>
      </c>
    </row>
    <row r="475" spans="2:3" ht="15.75" customHeight="1" x14ac:dyDescent="0.25">
      <c r="B475" s="67" t="e">
        <f t="shared" si="28"/>
        <v>#REF!</v>
      </c>
      <c r="C475" s="76" t="e">
        <f t="shared" si="29"/>
        <v>#REF!</v>
      </c>
    </row>
    <row r="476" spans="2:3" ht="15.75" customHeight="1" x14ac:dyDescent="0.25">
      <c r="B476" s="67" t="e">
        <f t="shared" si="28"/>
        <v>#REF!</v>
      </c>
      <c r="C476" s="76" t="e">
        <f t="shared" si="29"/>
        <v>#REF!</v>
      </c>
    </row>
    <row r="477" spans="2:3" ht="15.75" customHeight="1" x14ac:dyDescent="0.25">
      <c r="B477" s="67" t="e">
        <f t="shared" si="28"/>
        <v>#REF!</v>
      </c>
      <c r="C477" s="76" t="e">
        <f t="shared" si="29"/>
        <v>#REF!</v>
      </c>
    </row>
    <row r="478" spans="2:3" ht="15.75" customHeight="1" x14ac:dyDescent="0.25">
      <c r="B478" s="67" t="e">
        <f t="shared" ref="B478:B512" si="30">IF(B477="","",IF(B477+$C$10&lt;=$C$6,B477+$C$10,""))</f>
        <v>#REF!</v>
      </c>
      <c r="C478" s="76" t="e">
        <f t="shared" ref="C478:C512" si="31">IF(B478&lt;&gt;"",C477-$C$2/COUNT($B$18:$B$511),"")</f>
        <v>#REF!</v>
      </c>
    </row>
    <row r="479" spans="2:3" ht="15.75" customHeight="1" x14ac:dyDescent="0.25">
      <c r="B479" s="67" t="e">
        <f t="shared" si="30"/>
        <v>#REF!</v>
      </c>
      <c r="C479" s="76" t="e">
        <f t="shared" si="31"/>
        <v>#REF!</v>
      </c>
    </row>
    <row r="480" spans="2:3" ht="15.75" customHeight="1" x14ac:dyDescent="0.25">
      <c r="B480" s="67" t="e">
        <f t="shared" si="30"/>
        <v>#REF!</v>
      </c>
      <c r="C480" s="76" t="e">
        <f t="shared" si="31"/>
        <v>#REF!</v>
      </c>
    </row>
    <row r="481" spans="2:3" ht="15.75" customHeight="1" x14ac:dyDescent="0.25">
      <c r="B481" s="67" t="e">
        <f t="shared" si="30"/>
        <v>#REF!</v>
      </c>
      <c r="C481" s="76" t="e">
        <f t="shared" si="31"/>
        <v>#REF!</v>
      </c>
    </row>
    <row r="482" spans="2:3" ht="15.75" customHeight="1" x14ac:dyDescent="0.25">
      <c r="B482" s="67" t="e">
        <f t="shared" si="30"/>
        <v>#REF!</v>
      </c>
      <c r="C482" s="76" t="e">
        <f t="shared" si="31"/>
        <v>#REF!</v>
      </c>
    </row>
    <row r="483" spans="2:3" ht="15.75" customHeight="1" x14ac:dyDescent="0.25">
      <c r="B483" s="67" t="e">
        <f t="shared" si="30"/>
        <v>#REF!</v>
      </c>
      <c r="C483" s="76" t="e">
        <f t="shared" si="31"/>
        <v>#REF!</v>
      </c>
    </row>
    <row r="484" spans="2:3" ht="15.75" customHeight="1" x14ac:dyDescent="0.25">
      <c r="B484" s="67" t="e">
        <f t="shared" si="30"/>
        <v>#REF!</v>
      </c>
      <c r="C484" s="76" t="e">
        <f t="shared" si="31"/>
        <v>#REF!</v>
      </c>
    </row>
    <row r="485" spans="2:3" ht="15.75" customHeight="1" x14ac:dyDescent="0.25">
      <c r="B485" s="67" t="e">
        <f t="shared" si="30"/>
        <v>#REF!</v>
      </c>
      <c r="C485" s="76" t="e">
        <f t="shared" si="31"/>
        <v>#REF!</v>
      </c>
    </row>
    <row r="486" spans="2:3" ht="15.75" customHeight="1" x14ac:dyDescent="0.25">
      <c r="B486" s="67" t="e">
        <f t="shared" si="30"/>
        <v>#REF!</v>
      </c>
      <c r="C486" s="76" t="e">
        <f t="shared" si="31"/>
        <v>#REF!</v>
      </c>
    </row>
    <row r="487" spans="2:3" ht="15.75" customHeight="1" x14ac:dyDescent="0.25">
      <c r="B487" s="67" t="e">
        <f t="shared" si="30"/>
        <v>#REF!</v>
      </c>
      <c r="C487" s="76" t="e">
        <f t="shared" si="31"/>
        <v>#REF!</v>
      </c>
    </row>
    <row r="488" spans="2:3" ht="15.75" customHeight="1" x14ac:dyDescent="0.25">
      <c r="B488" s="67" t="e">
        <f t="shared" si="30"/>
        <v>#REF!</v>
      </c>
      <c r="C488" s="76" t="e">
        <f t="shared" si="31"/>
        <v>#REF!</v>
      </c>
    </row>
    <row r="489" spans="2:3" ht="15.75" customHeight="1" x14ac:dyDescent="0.25">
      <c r="B489" s="67" t="e">
        <f t="shared" si="30"/>
        <v>#REF!</v>
      </c>
      <c r="C489" s="76" t="e">
        <f t="shared" si="31"/>
        <v>#REF!</v>
      </c>
    </row>
    <row r="490" spans="2:3" ht="15.75" customHeight="1" x14ac:dyDescent="0.25">
      <c r="B490" s="67" t="e">
        <f t="shared" si="30"/>
        <v>#REF!</v>
      </c>
      <c r="C490" s="76" t="e">
        <f t="shared" si="31"/>
        <v>#REF!</v>
      </c>
    </row>
    <row r="491" spans="2:3" ht="15.75" customHeight="1" x14ac:dyDescent="0.25">
      <c r="B491" s="67" t="e">
        <f t="shared" si="30"/>
        <v>#REF!</v>
      </c>
      <c r="C491" s="76" t="e">
        <f t="shared" si="31"/>
        <v>#REF!</v>
      </c>
    </row>
    <row r="492" spans="2:3" ht="15.75" customHeight="1" x14ac:dyDescent="0.25">
      <c r="B492" s="67" t="e">
        <f t="shared" si="30"/>
        <v>#REF!</v>
      </c>
      <c r="C492" s="76" t="e">
        <f t="shared" si="31"/>
        <v>#REF!</v>
      </c>
    </row>
    <row r="493" spans="2:3" ht="15.75" customHeight="1" x14ac:dyDescent="0.25">
      <c r="B493" s="67" t="e">
        <f t="shared" si="30"/>
        <v>#REF!</v>
      </c>
      <c r="C493" s="76" t="e">
        <f t="shared" si="31"/>
        <v>#REF!</v>
      </c>
    </row>
    <row r="494" spans="2:3" ht="15.75" customHeight="1" x14ac:dyDescent="0.25">
      <c r="B494" s="67" t="e">
        <f t="shared" si="30"/>
        <v>#REF!</v>
      </c>
      <c r="C494" s="76" t="e">
        <f t="shared" si="31"/>
        <v>#REF!</v>
      </c>
    </row>
    <row r="495" spans="2:3" ht="15.75" customHeight="1" x14ac:dyDescent="0.25">
      <c r="B495" s="67" t="e">
        <f t="shared" si="30"/>
        <v>#REF!</v>
      </c>
      <c r="C495" s="76" t="e">
        <f t="shared" si="31"/>
        <v>#REF!</v>
      </c>
    </row>
    <row r="496" spans="2:3" ht="15.75" customHeight="1" x14ac:dyDescent="0.25">
      <c r="B496" s="67" t="e">
        <f t="shared" si="30"/>
        <v>#REF!</v>
      </c>
      <c r="C496" s="76" t="e">
        <f t="shared" si="31"/>
        <v>#REF!</v>
      </c>
    </row>
    <row r="497" spans="2:3" ht="15.75" customHeight="1" x14ac:dyDescent="0.25">
      <c r="B497" s="67" t="e">
        <f t="shared" si="30"/>
        <v>#REF!</v>
      </c>
      <c r="C497" s="76" t="e">
        <f t="shared" si="31"/>
        <v>#REF!</v>
      </c>
    </row>
    <row r="498" spans="2:3" ht="15.75" customHeight="1" x14ac:dyDescent="0.25">
      <c r="B498" s="67" t="e">
        <f t="shared" si="30"/>
        <v>#REF!</v>
      </c>
      <c r="C498" s="76" t="e">
        <f t="shared" si="31"/>
        <v>#REF!</v>
      </c>
    </row>
    <row r="499" spans="2:3" ht="15.75" customHeight="1" x14ac:dyDescent="0.25">
      <c r="B499" s="67" t="e">
        <f t="shared" si="30"/>
        <v>#REF!</v>
      </c>
      <c r="C499" s="76" t="e">
        <f t="shared" si="31"/>
        <v>#REF!</v>
      </c>
    </row>
    <row r="500" spans="2:3" ht="15.75" customHeight="1" x14ac:dyDescent="0.25">
      <c r="B500" s="67" t="e">
        <f t="shared" si="30"/>
        <v>#REF!</v>
      </c>
      <c r="C500" s="76" t="e">
        <f t="shared" si="31"/>
        <v>#REF!</v>
      </c>
    </row>
    <row r="501" spans="2:3" ht="15.75" customHeight="1" x14ac:dyDescent="0.25">
      <c r="B501" s="67" t="e">
        <f t="shared" si="30"/>
        <v>#REF!</v>
      </c>
      <c r="C501" s="76" t="e">
        <f t="shared" si="31"/>
        <v>#REF!</v>
      </c>
    </row>
    <row r="502" spans="2:3" ht="15.75" customHeight="1" x14ac:dyDescent="0.25">
      <c r="B502" s="67" t="e">
        <f t="shared" si="30"/>
        <v>#REF!</v>
      </c>
      <c r="C502" s="76" t="e">
        <f t="shared" si="31"/>
        <v>#REF!</v>
      </c>
    </row>
    <row r="503" spans="2:3" ht="15.75" customHeight="1" x14ac:dyDescent="0.25">
      <c r="B503" s="67" t="e">
        <f t="shared" si="30"/>
        <v>#REF!</v>
      </c>
      <c r="C503" s="76" t="e">
        <f t="shared" si="31"/>
        <v>#REF!</v>
      </c>
    </row>
    <row r="504" spans="2:3" ht="15.75" customHeight="1" x14ac:dyDescent="0.25">
      <c r="B504" s="67" t="e">
        <f t="shared" si="30"/>
        <v>#REF!</v>
      </c>
      <c r="C504" s="76" t="e">
        <f t="shared" si="31"/>
        <v>#REF!</v>
      </c>
    </row>
    <row r="505" spans="2:3" ht="15.75" customHeight="1" x14ac:dyDescent="0.25">
      <c r="B505" s="67" t="e">
        <f t="shared" si="30"/>
        <v>#REF!</v>
      </c>
      <c r="C505" s="76" t="e">
        <f t="shared" si="31"/>
        <v>#REF!</v>
      </c>
    </row>
    <row r="506" spans="2:3" ht="15.75" customHeight="1" x14ac:dyDescent="0.25">
      <c r="B506" s="67" t="e">
        <f t="shared" si="30"/>
        <v>#REF!</v>
      </c>
      <c r="C506" s="76" t="e">
        <f t="shared" si="31"/>
        <v>#REF!</v>
      </c>
    </row>
    <row r="507" spans="2:3" ht="15.75" customHeight="1" x14ac:dyDescent="0.25">
      <c r="B507" s="67" t="e">
        <f t="shared" si="30"/>
        <v>#REF!</v>
      </c>
      <c r="C507" s="76" t="e">
        <f t="shared" si="31"/>
        <v>#REF!</v>
      </c>
    </row>
    <row r="508" spans="2:3" ht="15.75" customHeight="1" x14ac:dyDescent="0.25">
      <c r="B508" s="67" t="e">
        <f t="shared" si="30"/>
        <v>#REF!</v>
      </c>
      <c r="C508" s="76" t="e">
        <f t="shared" si="31"/>
        <v>#REF!</v>
      </c>
    </row>
    <row r="509" spans="2:3" ht="15.75" customHeight="1" x14ac:dyDescent="0.25">
      <c r="B509" s="67" t="e">
        <f t="shared" si="30"/>
        <v>#REF!</v>
      </c>
      <c r="C509" s="76" t="e">
        <f t="shared" si="31"/>
        <v>#REF!</v>
      </c>
    </row>
    <row r="510" spans="2:3" ht="15.75" customHeight="1" x14ac:dyDescent="0.25">
      <c r="B510" s="67" t="e">
        <f t="shared" si="30"/>
        <v>#REF!</v>
      </c>
      <c r="C510" s="76" t="e">
        <f t="shared" si="31"/>
        <v>#REF!</v>
      </c>
    </row>
    <row r="511" spans="2:3" ht="15.75" customHeight="1" x14ac:dyDescent="0.25">
      <c r="B511" s="67" t="e">
        <f t="shared" si="30"/>
        <v>#REF!</v>
      </c>
      <c r="C511" s="76" t="e">
        <f t="shared" si="31"/>
        <v>#REF!</v>
      </c>
    </row>
    <row r="512" spans="2:3" ht="15.75" customHeight="1" x14ac:dyDescent="0.25">
      <c r="B512" s="67" t="e">
        <f t="shared" si="30"/>
        <v>#REF!</v>
      </c>
      <c r="C512" s="76" t="e">
        <f t="shared" si="31"/>
        <v>#REF!</v>
      </c>
    </row>
  </sheetData>
  <mergeCells count="3">
    <mergeCell ref="A1:K1"/>
    <mergeCell ref="B13:F13"/>
    <mergeCell ref="G13:L13"/>
  </mergeCells>
  <conditionalFormatting sqref="A15:F15 L15 H15:H42 A16:A40">
    <cfRule type="expression" dxfId="9" priority="8">
      <formula>AND(TODAY()&gt;=$B$15,TODAY()&lt;$B$16)</formula>
    </cfRule>
  </conditionalFormatting>
  <conditionalFormatting sqref="B15:B21 B23:B68">
    <cfRule type="cellIs" dxfId="8" priority="5" operator="greaterThan">
      <formula>$C$6</formula>
    </cfRule>
  </conditionalFormatting>
  <conditionalFormatting sqref="B17:B21 B23:B40 A41:C47 A48:L68 G43:L43 F44:L45 E46:L47">
    <cfRule type="expression" dxfId="7" priority="6">
      <formula>AND(TODAY()&gt;=$B17,TODAY()&lt;$B18)</formula>
    </cfRule>
  </conditionalFormatting>
  <conditionalFormatting sqref="B16:F16 G15:G42 I15:I42 C17:C40 E17:E45 D17:D47">
    <cfRule type="expression" dxfId="6" priority="7">
      <formula>AND(TODAY()&gt;=$B15,TODAY()&lt;$B16)</formula>
    </cfRule>
  </conditionalFormatting>
  <conditionalFormatting sqref="C2:C3">
    <cfRule type="expression" dxfId="5" priority="2">
      <formula>AND(TODAY()&gt;=$B$15,TODAY()&lt;$B$16)</formula>
    </cfRule>
  </conditionalFormatting>
  <conditionalFormatting sqref="J15:K42">
    <cfRule type="expression" dxfId="4" priority="1">
      <formula>AND(TODAY()&gt;=$B$15,TODAY()&lt;$B$16)</formula>
    </cfRule>
  </conditionalFormatting>
  <conditionalFormatting sqref="L16:L21 F17:F43 L23:L42">
    <cfRule type="expression" dxfId="3" priority="4">
      <formula>AND(TODAY()&gt;=$B16,TODAY()&lt;$B17)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978FA2-7097-41B1-B86F-1A61520A741D}">
          <x14:formula1>
            <xm:f>'LEIA-ME'!$C$2:$C$6</xm:f>
          </x14:formula1>
          <xm:sqref>C3</xm:sqref>
        </x14:dataValidation>
        <x14:dataValidation type="list" allowBlank="1" showInputMessage="1" showErrorMessage="1" xr:uid="{3520BCF5-7D0B-4874-81DA-CE703BF541CB}">
          <x14:formula1>
            <xm:f>'LEIA-ME'!$A$2:$A$14</xm:f>
          </x14:formula1>
          <xm:sqref>C2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D208-7E17-448C-91CA-2102805E6014}">
  <sheetPr>
    <tabColor rgb="FFFF6464"/>
  </sheetPr>
  <dimension ref="A1:L511"/>
  <sheetViews>
    <sheetView workbookViewId="0">
      <selection sqref="A1:K1"/>
    </sheetView>
  </sheetViews>
  <sheetFormatPr defaultColWidth="12.625" defaultRowHeight="15" customHeight="1" x14ac:dyDescent="0.25"/>
  <cols>
    <col min="1" max="1" width="18.375" style="92" bestFit="1" customWidth="1"/>
    <col min="2" max="2" width="17.125" style="92" customWidth="1"/>
    <col min="3" max="4" width="12.625" style="92" customWidth="1"/>
    <col min="5" max="5" width="16.375" style="92" customWidth="1"/>
    <col min="6" max="7" width="12.625" style="92" customWidth="1"/>
    <col min="8" max="8" width="16.625" style="92" customWidth="1"/>
    <col min="9" max="9" width="12.625" style="92" customWidth="1"/>
    <col min="10" max="10" width="9" style="92"/>
    <col min="11" max="11" width="20.875" style="92" customWidth="1"/>
    <col min="12" max="12" width="56.125" style="92" customWidth="1"/>
    <col min="13" max="16384" width="12.625" style="92"/>
  </cols>
  <sheetData>
    <row r="1" spans="1:12" ht="19.5" x14ac:dyDescent="0.25">
      <c r="A1" s="154" t="s">
        <v>20</v>
      </c>
      <c r="B1" s="155"/>
      <c r="C1" s="155"/>
      <c r="D1" s="155"/>
      <c r="E1" s="155"/>
      <c r="F1" s="155"/>
      <c r="G1" s="155"/>
      <c r="H1" s="155"/>
      <c r="I1" s="155"/>
      <c r="J1" s="155"/>
      <c r="K1" s="156"/>
    </row>
    <row r="2" spans="1:12" ht="15.75" customHeight="1" x14ac:dyDescent="0.4">
      <c r="A2" s="68"/>
      <c r="B2" s="62" t="s">
        <v>21</v>
      </c>
      <c r="C2" s="93">
        <v>2</v>
      </c>
      <c r="D2" s="42" t="s">
        <v>22</v>
      </c>
      <c r="E2" s="41" t="s">
        <v>23</v>
      </c>
      <c r="F2" s="94"/>
      <c r="G2" s="95"/>
      <c r="H2" s="95"/>
      <c r="I2" s="95"/>
      <c r="J2" s="95"/>
      <c r="K2" s="95"/>
      <c r="L2" s="95"/>
    </row>
    <row r="3" spans="1:12" ht="30" x14ac:dyDescent="0.4">
      <c r="A3" s="59"/>
      <c r="B3" s="89" t="s">
        <v>24</v>
      </c>
      <c r="C3" s="96">
        <v>17</v>
      </c>
      <c r="D3" s="42" t="s">
        <v>25</v>
      </c>
      <c r="E3" s="41" t="s">
        <v>26</v>
      </c>
      <c r="F3" s="94"/>
      <c r="G3" s="95"/>
      <c r="H3" s="95"/>
      <c r="I3" s="95"/>
      <c r="J3" s="95"/>
      <c r="K3" s="95"/>
      <c r="L3" s="95"/>
    </row>
    <row r="4" spans="1:12" ht="15.75" customHeight="1" x14ac:dyDescent="0.4">
      <c r="A4" s="59"/>
      <c r="B4" s="64" t="s">
        <v>27</v>
      </c>
      <c r="C4" s="97">
        <v>45936</v>
      </c>
      <c r="D4" s="42" t="s">
        <v>2595</v>
      </c>
      <c r="E4" s="43"/>
      <c r="F4" s="95"/>
      <c r="G4" s="95"/>
      <c r="H4" s="95"/>
      <c r="I4" s="95"/>
      <c r="J4" s="95"/>
      <c r="K4" s="95"/>
      <c r="L4" s="95"/>
    </row>
    <row r="5" spans="1:12" ht="15.75" customHeight="1" x14ac:dyDescent="0.4">
      <c r="A5" s="59"/>
      <c r="B5" s="64" t="s">
        <v>29</v>
      </c>
      <c r="C5" s="97">
        <v>45989</v>
      </c>
      <c r="D5" s="42" t="s">
        <v>2596</v>
      </c>
      <c r="E5" s="43"/>
      <c r="F5" s="95"/>
      <c r="G5" s="95"/>
      <c r="H5" s="95"/>
      <c r="I5" s="95"/>
      <c r="J5" s="95"/>
      <c r="K5" s="95"/>
      <c r="L5" s="95"/>
    </row>
    <row r="6" spans="1:12" ht="15.75" customHeight="1" x14ac:dyDescent="0.4">
      <c r="A6" s="59"/>
      <c r="B6" s="63" t="s">
        <v>31</v>
      </c>
      <c r="C6" s="96">
        <v>4</v>
      </c>
      <c r="D6" s="42" t="s">
        <v>32</v>
      </c>
      <c r="E6" s="41" t="s">
        <v>33</v>
      </c>
      <c r="F6" s="94"/>
      <c r="G6" s="95"/>
      <c r="H6" s="95"/>
      <c r="I6" s="95"/>
      <c r="J6" s="95"/>
      <c r="K6" s="95"/>
      <c r="L6" s="95"/>
    </row>
    <row r="7" spans="1:12" ht="15.75" customHeight="1" x14ac:dyDescent="0.4">
      <c r="A7" s="59"/>
      <c r="B7" s="63" t="s">
        <v>34</v>
      </c>
      <c r="C7" s="96">
        <v>1</v>
      </c>
      <c r="D7" s="42" t="s">
        <v>32</v>
      </c>
      <c r="E7" s="41" t="s">
        <v>33</v>
      </c>
      <c r="F7" s="94"/>
      <c r="G7" s="95"/>
      <c r="H7" s="95"/>
      <c r="I7" s="95"/>
      <c r="J7" s="95"/>
      <c r="K7" s="95"/>
      <c r="L7" s="95"/>
    </row>
    <row r="8" spans="1:12" ht="15.75" customHeight="1" x14ac:dyDescent="0.4">
      <c r="A8" s="59"/>
      <c r="B8" s="64" t="s">
        <v>35</v>
      </c>
      <c r="C8" s="98">
        <v>6</v>
      </c>
      <c r="D8" s="42" t="s">
        <v>32</v>
      </c>
      <c r="E8" s="43"/>
      <c r="F8" s="95"/>
      <c r="G8" s="95"/>
      <c r="H8" s="95"/>
      <c r="I8" s="95"/>
      <c r="J8" s="95"/>
      <c r="K8" s="95"/>
      <c r="L8" s="95"/>
    </row>
    <row r="9" spans="1:12" ht="15.75" customHeight="1" x14ac:dyDescent="0.4">
      <c r="A9" s="59"/>
      <c r="B9" s="64" t="s">
        <v>36</v>
      </c>
      <c r="C9" s="99">
        <v>7</v>
      </c>
      <c r="D9" s="42" t="s">
        <v>37</v>
      </c>
      <c r="E9" s="43"/>
      <c r="F9" s="95"/>
      <c r="G9" s="95"/>
      <c r="H9" s="95"/>
      <c r="I9" s="95"/>
      <c r="J9" s="95"/>
      <c r="K9" s="95"/>
      <c r="L9" s="95"/>
    </row>
    <row r="10" spans="1:12" ht="15.75" customHeight="1" x14ac:dyDescent="0.25">
      <c r="B10" s="95"/>
      <c r="C10" s="100"/>
      <c r="D10" s="95"/>
      <c r="E10" s="95"/>
      <c r="F10" s="95"/>
      <c r="G10" s="95"/>
      <c r="H10" s="95"/>
      <c r="I10" s="95"/>
      <c r="J10" s="95"/>
      <c r="K10" s="95"/>
      <c r="L10" s="95"/>
    </row>
    <row r="11" spans="1:12" ht="57" x14ac:dyDescent="0.35">
      <c r="B11" s="61" t="s">
        <v>38</v>
      </c>
      <c r="C11" s="104" t="s">
        <v>39</v>
      </c>
      <c r="D11" s="60" t="s">
        <v>40</v>
      </c>
      <c r="E11" s="60" t="s">
        <v>41</v>
      </c>
      <c r="F11" s="60" t="s">
        <v>2597</v>
      </c>
      <c r="G11" s="60" t="s">
        <v>43</v>
      </c>
      <c r="H11" s="60" t="s">
        <v>44</v>
      </c>
      <c r="I11" s="60" t="s">
        <v>45</v>
      </c>
      <c r="J11" s="60" t="s">
        <v>46</v>
      </c>
      <c r="K11" s="60" t="s">
        <v>47</v>
      </c>
      <c r="L11" s="60" t="s">
        <v>48</v>
      </c>
    </row>
    <row r="12" spans="1:12" ht="19.5" x14ac:dyDescent="0.25">
      <c r="A12" s="101"/>
      <c r="B12" s="168" t="s">
        <v>49</v>
      </c>
      <c r="C12" s="169"/>
      <c r="D12" s="169"/>
      <c r="E12" s="169"/>
      <c r="F12" s="170"/>
      <c r="G12" s="171" t="s">
        <v>50</v>
      </c>
      <c r="H12" s="172"/>
      <c r="I12" s="172"/>
      <c r="J12" s="172"/>
      <c r="K12" s="172"/>
      <c r="L12" s="172"/>
    </row>
    <row r="13" spans="1:12" ht="31.5" customHeight="1" x14ac:dyDescent="0.25">
      <c r="A13" s="37" t="s">
        <v>51</v>
      </c>
      <c r="B13" s="26" t="s">
        <v>52</v>
      </c>
      <c r="C13" s="30" t="s">
        <v>2495</v>
      </c>
      <c r="D13" s="30" t="s">
        <v>2496</v>
      </c>
      <c r="E13" s="30" t="s">
        <v>55</v>
      </c>
      <c r="F13" s="58" t="s">
        <v>56</v>
      </c>
      <c r="G13" s="36" t="s">
        <v>57</v>
      </c>
      <c r="H13" s="47" t="s">
        <v>58</v>
      </c>
      <c r="I13" s="48" t="s">
        <v>59</v>
      </c>
      <c r="J13" s="54" t="s">
        <v>60</v>
      </c>
      <c r="K13" s="87" t="s">
        <v>61</v>
      </c>
      <c r="L13" s="77" t="s">
        <v>62</v>
      </c>
    </row>
    <row r="14" spans="1:12" ht="39" customHeight="1" x14ac:dyDescent="0.25">
      <c r="A14" s="73" t="s">
        <v>2598</v>
      </c>
      <c r="B14" s="66">
        <f>$C$4</f>
        <v>45936</v>
      </c>
      <c r="C14" s="79">
        <f>$C$3</f>
        <v>17</v>
      </c>
      <c r="D14" s="79">
        <f>$C$3</f>
        <v>17</v>
      </c>
      <c r="E14" s="79">
        <f>$C$3</f>
        <v>17</v>
      </c>
      <c r="F14" s="80">
        <v>4</v>
      </c>
      <c r="G14" s="81">
        <v>2</v>
      </c>
      <c r="H14" s="81">
        <v>1</v>
      </c>
      <c r="I14" s="82">
        <v>2</v>
      </c>
      <c r="J14" s="83">
        <v>12</v>
      </c>
      <c r="K14" s="84">
        <f>8-1</f>
        <v>7</v>
      </c>
      <c r="L14" s="86"/>
    </row>
    <row r="15" spans="1:12" ht="15.75" customHeight="1" x14ac:dyDescent="0.25">
      <c r="A15" s="73" t="s">
        <v>2599</v>
      </c>
      <c r="B15" s="66">
        <f t="shared" ref="B15:B54" si="0">B14+$C$9</f>
        <v>45943</v>
      </c>
      <c r="C15" s="79">
        <f>IF(OR(C14="",C14=0),"",IF(ISBLANK($J14),IF(C14+$K14+$I14-$C$6&lt;=0,IF(AND(C14&gt;0,C14&lt;&gt;""),0,""),C14+$K14+$I14-$C$6),IF((C14-$J14)+$K14+$I14&lt;=0,IF(AND(C14&gt;0,C14&lt;&gt;""),0,""),(C14-$J14)+$K14+$I14)))</f>
        <v>14</v>
      </c>
      <c r="D15" s="79">
        <f t="shared" ref="D15:D54" si="1">IF(OR(D14="",D14=0),"",IF(ISBLANK($J14),IF(D14+$K14+$I14-$C$7&lt;=0,IF(AND(D14&gt;0,D14&lt;&gt;""),0,""),D14+$K14+$I14-$C$7),IF((D14-$J14)+$K14+$I14&lt;=0,IF(AND(D14&gt;0,D14&lt;&gt;""),0,""),(D14-$J14)+$K14+$I14)))</f>
        <v>14</v>
      </c>
      <c r="E15" s="79">
        <f t="shared" ref="E15:E54" si="2">IF(OR(E14="",E14=0),"",IF(ISBLANK($J14),IF(E14+$K14+$I14-$C$8&lt;=0,IF(AND(E14&gt;0,E14&lt;&gt;""),0,""),E14+$K14+$I14-$C$8),IF((E14-$J14)+$K14+$I14&lt;=0,IF(AND(E14&gt;0,E14&lt;&gt;""),0,""),(E14-$J14)+$K14+$I14)))</f>
        <v>14</v>
      </c>
      <c r="F15" s="80">
        <f>IF(J14="","",IF(G14+F14+H14+I14-J14&lt;0,0,G14+F14+H14+I14-J14))</f>
        <v>0</v>
      </c>
      <c r="G15" s="81">
        <v>4</v>
      </c>
      <c r="H15" s="81">
        <v>0</v>
      </c>
      <c r="I15" s="82">
        <v>1</v>
      </c>
      <c r="J15" s="83">
        <v>1</v>
      </c>
      <c r="K15" s="84">
        <v>5</v>
      </c>
      <c r="L15" s="86"/>
    </row>
    <row r="16" spans="1:12" ht="15.75" customHeight="1" x14ac:dyDescent="0.25">
      <c r="A16" s="73" t="s">
        <v>2600</v>
      </c>
      <c r="B16" s="66">
        <f t="shared" si="0"/>
        <v>45950</v>
      </c>
      <c r="C16" s="85">
        <f t="shared" ref="C16:C54" si="3">IF(OR(C15="",C15=0),"",IF(ISBLANK(J15),IF(C15+K15+I15-$C$6&lt;=0,IF(AND(C15&gt;0,C15&lt;&gt;""),0,""),C15+K15+I15-$C$6),IF((C15-J15)+K15+I15&lt;=0,IF(AND(C15&gt;0,C15&lt;&gt;""),0,""),(C15-J15)+K15+I15)))</f>
        <v>19</v>
      </c>
      <c r="D16" s="85">
        <f t="shared" si="1"/>
        <v>19</v>
      </c>
      <c r="E16" s="85">
        <f t="shared" si="2"/>
        <v>19</v>
      </c>
      <c r="F16" s="80">
        <f t="shared" ref="F16:F54" si="4">IF(J15="","",IF(G15+F15+H15+I15-J15&lt;0,0,G15+F15+H15+I15-J15))</f>
        <v>4</v>
      </c>
      <c r="G16" s="81">
        <v>4</v>
      </c>
      <c r="H16" s="81">
        <v>2</v>
      </c>
      <c r="I16" s="82">
        <v>0</v>
      </c>
      <c r="J16" s="83">
        <v>10</v>
      </c>
      <c r="K16" s="84">
        <f>3-2</f>
        <v>1</v>
      </c>
      <c r="L16" s="86"/>
    </row>
    <row r="17" spans="1:12" ht="15.75" customHeight="1" x14ac:dyDescent="0.25">
      <c r="A17" s="73" t="s">
        <v>2601</v>
      </c>
      <c r="B17" s="66">
        <f t="shared" si="0"/>
        <v>45957</v>
      </c>
      <c r="C17" s="85">
        <f t="shared" si="3"/>
        <v>10</v>
      </c>
      <c r="D17" s="85">
        <f t="shared" si="1"/>
        <v>10</v>
      </c>
      <c r="E17" s="85">
        <f t="shared" si="2"/>
        <v>10</v>
      </c>
      <c r="F17" s="80">
        <f t="shared" si="4"/>
        <v>0</v>
      </c>
      <c r="G17" s="81"/>
      <c r="H17" s="81"/>
      <c r="I17" s="82">
        <v>0</v>
      </c>
      <c r="J17" s="83">
        <v>1</v>
      </c>
      <c r="K17" s="84">
        <v>1</v>
      </c>
      <c r="L17" s="86"/>
    </row>
    <row r="18" spans="1:12" ht="15.75" customHeight="1" x14ac:dyDescent="0.25">
      <c r="A18" s="73" t="s">
        <v>2602</v>
      </c>
      <c r="B18" s="66">
        <f t="shared" si="0"/>
        <v>45964</v>
      </c>
      <c r="C18" s="85">
        <f t="shared" si="3"/>
        <v>10</v>
      </c>
      <c r="D18" s="85">
        <f t="shared" si="1"/>
        <v>10</v>
      </c>
      <c r="E18" s="85">
        <f t="shared" si="2"/>
        <v>10</v>
      </c>
      <c r="F18" s="80">
        <f t="shared" si="4"/>
        <v>0</v>
      </c>
      <c r="G18" s="81"/>
      <c r="H18" s="81"/>
      <c r="I18" s="82"/>
      <c r="J18" s="83"/>
      <c r="K18" s="84"/>
      <c r="L18" s="86"/>
    </row>
    <row r="19" spans="1:12" ht="15.75" customHeight="1" x14ac:dyDescent="0.25">
      <c r="A19" s="73" t="s">
        <v>2603</v>
      </c>
      <c r="B19" s="66">
        <f t="shared" si="0"/>
        <v>45971</v>
      </c>
      <c r="C19" s="85">
        <f t="shared" si="3"/>
        <v>6</v>
      </c>
      <c r="D19" s="85">
        <f t="shared" si="1"/>
        <v>9</v>
      </c>
      <c r="E19" s="85">
        <f t="shared" si="2"/>
        <v>4</v>
      </c>
      <c r="F19" s="80" t="str">
        <f t="shared" si="4"/>
        <v/>
      </c>
      <c r="G19" s="81"/>
      <c r="H19" s="81"/>
      <c r="I19" s="82"/>
      <c r="J19" s="83"/>
      <c r="K19" s="84"/>
      <c r="L19" s="86"/>
    </row>
    <row r="20" spans="1:12" ht="15.75" customHeight="1" x14ac:dyDescent="0.25">
      <c r="A20" s="73" t="s">
        <v>2604</v>
      </c>
      <c r="B20" s="66">
        <f t="shared" si="0"/>
        <v>45978</v>
      </c>
      <c r="C20" s="85">
        <f t="shared" si="3"/>
        <v>2</v>
      </c>
      <c r="D20" s="85">
        <f t="shared" si="1"/>
        <v>8</v>
      </c>
      <c r="E20" s="85">
        <f t="shared" si="2"/>
        <v>0</v>
      </c>
      <c r="F20" s="80" t="str">
        <f t="shared" si="4"/>
        <v/>
      </c>
      <c r="G20" s="81"/>
      <c r="H20" s="81"/>
      <c r="I20" s="82"/>
      <c r="J20" s="83"/>
      <c r="K20" s="84"/>
      <c r="L20" s="86"/>
    </row>
    <row r="21" spans="1:12" ht="15.75" customHeight="1" x14ac:dyDescent="0.25">
      <c r="A21" s="73" t="s">
        <v>2605</v>
      </c>
      <c r="B21" s="66">
        <f t="shared" si="0"/>
        <v>45985</v>
      </c>
      <c r="C21" s="85">
        <f t="shared" si="3"/>
        <v>0</v>
      </c>
      <c r="D21" s="85">
        <f t="shared" si="1"/>
        <v>7</v>
      </c>
      <c r="E21" s="85" t="str">
        <f t="shared" si="2"/>
        <v/>
      </c>
      <c r="F21" s="80" t="str">
        <f t="shared" si="4"/>
        <v/>
      </c>
      <c r="G21" s="81"/>
      <c r="H21" s="81"/>
      <c r="I21" s="82"/>
      <c r="J21" s="83"/>
      <c r="K21" s="84"/>
      <c r="L21" s="86"/>
    </row>
    <row r="22" spans="1:12" ht="15.75" customHeight="1" x14ac:dyDescent="0.25">
      <c r="A22" s="73" t="s">
        <v>2606</v>
      </c>
      <c r="B22" s="66">
        <f t="shared" si="0"/>
        <v>45992</v>
      </c>
      <c r="C22" s="85" t="str">
        <f t="shared" si="3"/>
        <v/>
      </c>
      <c r="D22" s="85">
        <f t="shared" si="1"/>
        <v>6</v>
      </c>
      <c r="E22" s="85" t="str">
        <f t="shared" si="2"/>
        <v/>
      </c>
      <c r="F22" s="80" t="str">
        <f t="shared" si="4"/>
        <v/>
      </c>
      <c r="G22" s="81"/>
      <c r="H22" s="81"/>
      <c r="I22" s="82"/>
      <c r="J22" s="83"/>
      <c r="K22" s="84"/>
      <c r="L22" s="86"/>
    </row>
    <row r="23" spans="1:12" ht="15.75" customHeight="1" x14ac:dyDescent="0.25">
      <c r="A23" s="73"/>
      <c r="B23" s="66">
        <f t="shared" si="0"/>
        <v>45999</v>
      </c>
      <c r="C23" s="85" t="str">
        <f t="shared" si="3"/>
        <v/>
      </c>
      <c r="D23" s="85">
        <f t="shared" si="1"/>
        <v>5</v>
      </c>
      <c r="E23" s="85" t="str">
        <f t="shared" si="2"/>
        <v/>
      </c>
      <c r="F23" s="80" t="str">
        <f t="shared" si="4"/>
        <v/>
      </c>
      <c r="G23" s="81"/>
      <c r="H23" s="81"/>
      <c r="I23" s="82"/>
      <c r="J23" s="83"/>
      <c r="K23" s="84"/>
      <c r="L23" s="86"/>
    </row>
    <row r="24" spans="1:12" ht="15.75" customHeight="1" x14ac:dyDescent="0.25">
      <c r="A24" s="73"/>
      <c r="B24" s="66">
        <f t="shared" si="0"/>
        <v>46006</v>
      </c>
      <c r="C24" s="85" t="str">
        <f t="shared" si="3"/>
        <v/>
      </c>
      <c r="D24" s="85">
        <f t="shared" si="1"/>
        <v>4</v>
      </c>
      <c r="E24" s="85" t="str">
        <f t="shared" si="2"/>
        <v/>
      </c>
      <c r="F24" s="80" t="str">
        <f t="shared" si="4"/>
        <v/>
      </c>
      <c r="G24" s="81"/>
      <c r="H24" s="81"/>
      <c r="I24" s="82"/>
      <c r="J24" s="83"/>
      <c r="K24" s="84"/>
      <c r="L24" s="86"/>
    </row>
    <row r="25" spans="1:12" ht="15.75" customHeight="1" x14ac:dyDescent="0.25">
      <c r="A25" s="73"/>
      <c r="B25" s="66">
        <f t="shared" si="0"/>
        <v>46013</v>
      </c>
      <c r="C25" s="85" t="str">
        <f t="shared" si="3"/>
        <v/>
      </c>
      <c r="D25" s="85">
        <f t="shared" si="1"/>
        <v>3</v>
      </c>
      <c r="E25" s="85" t="str">
        <f t="shared" si="2"/>
        <v/>
      </c>
      <c r="F25" s="80" t="str">
        <f t="shared" si="4"/>
        <v/>
      </c>
      <c r="G25" s="81"/>
      <c r="H25" s="81"/>
      <c r="I25" s="82"/>
      <c r="J25" s="83"/>
      <c r="K25" s="84"/>
      <c r="L25" s="86"/>
    </row>
    <row r="26" spans="1:12" ht="15.75" customHeight="1" x14ac:dyDescent="0.25">
      <c r="A26" s="73"/>
      <c r="B26" s="66">
        <f t="shared" si="0"/>
        <v>46020</v>
      </c>
      <c r="C26" s="85" t="str">
        <f t="shared" si="3"/>
        <v/>
      </c>
      <c r="D26" s="85">
        <f t="shared" si="1"/>
        <v>2</v>
      </c>
      <c r="E26" s="85" t="str">
        <f t="shared" si="2"/>
        <v/>
      </c>
      <c r="F26" s="80" t="str">
        <f t="shared" si="4"/>
        <v/>
      </c>
      <c r="G26" s="81"/>
      <c r="H26" s="81"/>
      <c r="I26" s="82"/>
      <c r="J26" s="83"/>
      <c r="K26" s="84"/>
      <c r="L26" s="86"/>
    </row>
    <row r="27" spans="1:12" ht="15.75" customHeight="1" x14ac:dyDescent="0.25">
      <c r="A27" s="73"/>
      <c r="B27" s="66">
        <f t="shared" si="0"/>
        <v>46027</v>
      </c>
      <c r="C27" s="85" t="str">
        <f t="shared" si="3"/>
        <v/>
      </c>
      <c r="D27" s="85">
        <f t="shared" si="1"/>
        <v>1</v>
      </c>
      <c r="E27" s="85" t="str">
        <f t="shared" si="2"/>
        <v/>
      </c>
      <c r="F27" s="80" t="str">
        <f t="shared" si="4"/>
        <v/>
      </c>
      <c r="G27" s="81"/>
      <c r="H27" s="81"/>
      <c r="I27" s="82"/>
      <c r="J27" s="83"/>
      <c r="K27" s="84"/>
      <c r="L27" s="86"/>
    </row>
    <row r="28" spans="1:12" ht="15.75" customHeight="1" x14ac:dyDescent="0.25">
      <c r="A28" s="73"/>
      <c r="B28" s="66">
        <f t="shared" si="0"/>
        <v>46034</v>
      </c>
      <c r="C28" s="85" t="str">
        <f t="shared" si="3"/>
        <v/>
      </c>
      <c r="D28" s="85">
        <f t="shared" si="1"/>
        <v>0</v>
      </c>
      <c r="E28" s="85" t="str">
        <f t="shared" si="2"/>
        <v/>
      </c>
      <c r="F28" s="80" t="str">
        <f t="shared" si="4"/>
        <v/>
      </c>
      <c r="G28" s="81"/>
      <c r="H28" s="81"/>
      <c r="I28" s="82"/>
      <c r="J28" s="83"/>
      <c r="K28" s="84"/>
      <c r="L28" s="86"/>
    </row>
    <row r="29" spans="1:12" ht="15.75" customHeight="1" x14ac:dyDescent="0.25">
      <c r="A29" s="73"/>
      <c r="B29" s="66">
        <f t="shared" si="0"/>
        <v>46041</v>
      </c>
      <c r="C29" s="85" t="str">
        <f t="shared" si="3"/>
        <v/>
      </c>
      <c r="D29" s="85" t="str">
        <f t="shared" si="1"/>
        <v/>
      </c>
      <c r="E29" s="85" t="str">
        <f t="shared" si="2"/>
        <v/>
      </c>
      <c r="F29" s="80" t="str">
        <f t="shared" si="4"/>
        <v/>
      </c>
      <c r="G29" s="81"/>
      <c r="H29" s="81"/>
      <c r="I29" s="82"/>
      <c r="J29" s="83"/>
      <c r="K29" s="84"/>
      <c r="L29" s="86"/>
    </row>
    <row r="30" spans="1:12" ht="15.75" customHeight="1" x14ac:dyDescent="0.25">
      <c r="A30" s="73"/>
      <c r="B30" s="66">
        <f t="shared" si="0"/>
        <v>46048</v>
      </c>
      <c r="C30" s="85" t="str">
        <f t="shared" si="3"/>
        <v/>
      </c>
      <c r="D30" s="85" t="str">
        <f t="shared" si="1"/>
        <v/>
      </c>
      <c r="E30" s="85" t="str">
        <f t="shared" si="2"/>
        <v/>
      </c>
      <c r="F30" s="80" t="str">
        <f t="shared" si="4"/>
        <v/>
      </c>
      <c r="G30" s="81"/>
      <c r="H30" s="81"/>
      <c r="I30" s="82"/>
      <c r="J30" s="83"/>
      <c r="K30" s="84"/>
      <c r="L30" s="86"/>
    </row>
    <row r="31" spans="1:12" ht="15.75" customHeight="1" x14ac:dyDescent="0.25">
      <c r="A31" s="73"/>
      <c r="B31" s="66">
        <f t="shared" si="0"/>
        <v>46055</v>
      </c>
      <c r="C31" s="85" t="str">
        <f t="shared" si="3"/>
        <v/>
      </c>
      <c r="D31" s="85" t="str">
        <f t="shared" si="1"/>
        <v/>
      </c>
      <c r="E31" s="85" t="str">
        <f t="shared" si="2"/>
        <v/>
      </c>
      <c r="F31" s="80" t="str">
        <f t="shared" si="4"/>
        <v/>
      </c>
      <c r="G31" s="81"/>
      <c r="H31" s="81"/>
      <c r="I31" s="82"/>
      <c r="J31" s="83"/>
      <c r="K31" s="84"/>
      <c r="L31" s="86"/>
    </row>
    <row r="32" spans="1:12" ht="15.75" customHeight="1" x14ac:dyDescent="0.25">
      <c r="A32" s="73"/>
      <c r="B32" s="66">
        <f t="shared" si="0"/>
        <v>46062</v>
      </c>
      <c r="C32" s="85" t="str">
        <f t="shared" si="3"/>
        <v/>
      </c>
      <c r="D32" s="85" t="str">
        <f t="shared" si="1"/>
        <v/>
      </c>
      <c r="E32" s="85" t="str">
        <f t="shared" si="2"/>
        <v/>
      </c>
      <c r="F32" s="80" t="str">
        <f t="shared" si="4"/>
        <v/>
      </c>
      <c r="G32" s="81"/>
      <c r="H32" s="81"/>
      <c r="I32" s="82"/>
      <c r="J32" s="83"/>
      <c r="K32" s="84"/>
      <c r="L32" s="86"/>
    </row>
    <row r="33" spans="1:12" ht="15.75" customHeight="1" x14ac:dyDescent="0.25">
      <c r="A33" s="73"/>
      <c r="B33" s="66">
        <f t="shared" si="0"/>
        <v>46069</v>
      </c>
      <c r="C33" s="85" t="str">
        <f t="shared" si="3"/>
        <v/>
      </c>
      <c r="D33" s="85" t="str">
        <f t="shared" si="1"/>
        <v/>
      </c>
      <c r="E33" s="85" t="str">
        <f t="shared" si="2"/>
        <v/>
      </c>
      <c r="F33" s="80" t="str">
        <f t="shared" si="4"/>
        <v/>
      </c>
      <c r="G33" s="81"/>
      <c r="H33" s="81"/>
      <c r="I33" s="82"/>
      <c r="J33" s="83"/>
      <c r="K33" s="84"/>
      <c r="L33" s="86"/>
    </row>
    <row r="34" spans="1:12" ht="15.75" customHeight="1" x14ac:dyDescent="0.25">
      <c r="A34" s="73"/>
      <c r="B34" s="66">
        <f t="shared" si="0"/>
        <v>46076</v>
      </c>
      <c r="C34" s="85" t="str">
        <f t="shared" si="3"/>
        <v/>
      </c>
      <c r="D34" s="85" t="str">
        <f t="shared" si="1"/>
        <v/>
      </c>
      <c r="E34" s="85" t="str">
        <f t="shared" si="2"/>
        <v/>
      </c>
      <c r="F34" s="80" t="str">
        <f t="shared" si="4"/>
        <v/>
      </c>
      <c r="G34" s="81"/>
      <c r="H34" s="81"/>
      <c r="I34" s="82"/>
      <c r="J34" s="83"/>
      <c r="K34" s="84"/>
      <c r="L34" s="86"/>
    </row>
    <row r="35" spans="1:12" ht="15.75" customHeight="1" x14ac:dyDescent="0.25">
      <c r="A35" s="73"/>
      <c r="B35" s="66">
        <f t="shared" si="0"/>
        <v>46083</v>
      </c>
      <c r="C35" s="85" t="str">
        <f t="shared" si="3"/>
        <v/>
      </c>
      <c r="D35" s="85" t="str">
        <f t="shared" si="1"/>
        <v/>
      </c>
      <c r="E35" s="85" t="str">
        <f t="shared" si="2"/>
        <v/>
      </c>
      <c r="F35" s="80" t="str">
        <f t="shared" si="4"/>
        <v/>
      </c>
      <c r="G35" s="81"/>
      <c r="H35" s="81"/>
      <c r="I35" s="82"/>
      <c r="J35" s="83"/>
      <c r="K35" s="84"/>
      <c r="L35" s="86"/>
    </row>
    <row r="36" spans="1:12" ht="15.75" customHeight="1" x14ac:dyDescent="0.25">
      <c r="A36" s="73"/>
      <c r="B36" s="66">
        <f t="shared" si="0"/>
        <v>46090</v>
      </c>
      <c r="C36" s="85" t="str">
        <f t="shared" si="3"/>
        <v/>
      </c>
      <c r="D36" s="85" t="str">
        <f t="shared" si="1"/>
        <v/>
      </c>
      <c r="E36" s="85" t="str">
        <f t="shared" si="2"/>
        <v/>
      </c>
      <c r="F36" s="80" t="str">
        <f t="shared" si="4"/>
        <v/>
      </c>
      <c r="G36" s="81"/>
      <c r="H36" s="81"/>
      <c r="I36" s="82"/>
      <c r="J36" s="83"/>
      <c r="K36" s="84"/>
      <c r="L36" s="86"/>
    </row>
    <row r="37" spans="1:12" ht="15.75" customHeight="1" x14ac:dyDescent="0.25">
      <c r="A37" s="73"/>
      <c r="B37" s="66">
        <f t="shared" si="0"/>
        <v>46097</v>
      </c>
      <c r="C37" s="85" t="str">
        <f t="shared" si="3"/>
        <v/>
      </c>
      <c r="D37" s="85" t="str">
        <f t="shared" si="1"/>
        <v/>
      </c>
      <c r="E37" s="85" t="str">
        <f t="shared" si="2"/>
        <v/>
      </c>
      <c r="F37" s="80" t="str">
        <f t="shared" si="4"/>
        <v/>
      </c>
      <c r="G37" s="81"/>
      <c r="H37" s="81"/>
      <c r="I37" s="82"/>
      <c r="J37" s="83"/>
      <c r="K37" s="84"/>
      <c r="L37" s="86"/>
    </row>
    <row r="38" spans="1:12" ht="15.75" customHeight="1" x14ac:dyDescent="0.25">
      <c r="A38" s="73"/>
      <c r="B38" s="66">
        <f t="shared" si="0"/>
        <v>46104</v>
      </c>
      <c r="C38" s="85" t="str">
        <f t="shared" si="3"/>
        <v/>
      </c>
      <c r="D38" s="85" t="str">
        <f t="shared" si="1"/>
        <v/>
      </c>
      <c r="E38" s="85" t="str">
        <f t="shared" si="2"/>
        <v/>
      </c>
      <c r="F38" s="80" t="str">
        <f t="shared" si="4"/>
        <v/>
      </c>
      <c r="G38" s="81"/>
      <c r="H38" s="81"/>
      <c r="I38" s="82"/>
      <c r="J38" s="83"/>
      <c r="K38" s="84"/>
      <c r="L38" s="86"/>
    </row>
    <row r="39" spans="1:12" ht="15.75" customHeight="1" x14ac:dyDescent="0.25">
      <c r="A39" s="73"/>
      <c r="B39" s="66">
        <f t="shared" si="0"/>
        <v>46111</v>
      </c>
      <c r="C39" s="85" t="str">
        <f t="shared" si="3"/>
        <v/>
      </c>
      <c r="D39" s="85" t="str">
        <f t="shared" si="1"/>
        <v/>
      </c>
      <c r="E39" s="85" t="str">
        <f t="shared" si="2"/>
        <v/>
      </c>
      <c r="F39" s="80" t="str">
        <f t="shared" si="4"/>
        <v/>
      </c>
      <c r="G39" s="81"/>
      <c r="H39" s="81"/>
      <c r="I39" s="82"/>
      <c r="J39" s="83"/>
      <c r="K39" s="84"/>
      <c r="L39" s="86"/>
    </row>
    <row r="40" spans="1:12" ht="15.75" customHeight="1" x14ac:dyDescent="0.25">
      <c r="A40" s="73"/>
      <c r="B40" s="66">
        <f t="shared" si="0"/>
        <v>46118</v>
      </c>
      <c r="C40" s="85" t="str">
        <f t="shared" si="3"/>
        <v/>
      </c>
      <c r="D40" s="85" t="str">
        <f t="shared" si="1"/>
        <v/>
      </c>
      <c r="E40" s="85" t="str">
        <f t="shared" si="2"/>
        <v/>
      </c>
      <c r="F40" s="80" t="str">
        <f t="shared" si="4"/>
        <v/>
      </c>
      <c r="G40" s="81"/>
      <c r="H40" s="81"/>
      <c r="I40" s="82"/>
      <c r="J40" s="83"/>
      <c r="K40" s="84"/>
      <c r="L40" s="86"/>
    </row>
    <row r="41" spans="1:12" ht="15.75" customHeight="1" x14ac:dyDescent="0.25">
      <c r="A41" s="73"/>
      <c r="B41" s="66">
        <f t="shared" si="0"/>
        <v>46125</v>
      </c>
      <c r="C41" s="85" t="str">
        <f t="shared" si="3"/>
        <v/>
      </c>
      <c r="D41" s="85" t="str">
        <f t="shared" si="1"/>
        <v/>
      </c>
      <c r="E41" s="85" t="str">
        <f t="shared" si="2"/>
        <v/>
      </c>
      <c r="F41" s="80" t="str">
        <f t="shared" si="4"/>
        <v/>
      </c>
      <c r="G41" s="81"/>
      <c r="H41" s="81"/>
      <c r="I41" s="82"/>
      <c r="J41" s="83"/>
      <c r="K41" s="84"/>
      <c r="L41" s="86"/>
    </row>
    <row r="42" spans="1:12" ht="15.75" customHeight="1" x14ac:dyDescent="0.25">
      <c r="A42" s="73"/>
      <c r="B42" s="66">
        <f t="shared" si="0"/>
        <v>46132</v>
      </c>
      <c r="C42" s="85" t="str">
        <f t="shared" si="3"/>
        <v/>
      </c>
      <c r="D42" s="85" t="str">
        <f t="shared" si="1"/>
        <v/>
      </c>
      <c r="E42" s="85" t="str">
        <f t="shared" si="2"/>
        <v/>
      </c>
      <c r="F42" s="80" t="str">
        <f t="shared" si="4"/>
        <v/>
      </c>
      <c r="G42" s="81"/>
      <c r="H42" s="81"/>
      <c r="I42" s="82"/>
      <c r="J42" s="83"/>
      <c r="K42" s="84"/>
      <c r="L42" s="86"/>
    </row>
    <row r="43" spans="1:12" ht="15.75" customHeight="1" x14ac:dyDescent="0.25">
      <c r="A43" s="73"/>
      <c r="B43" s="66">
        <f t="shared" si="0"/>
        <v>46139</v>
      </c>
      <c r="C43" s="85" t="str">
        <f t="shared" si="3"/>
        <v/>
      </c>
      <c r="D43" s="85" t="str">
        <f t="shared" si="1"/>
        <v/>
      </c>
      <c r="E43" s="85" t="str">
        <f t="shared" si="2"/>
        <v/>
      </c>
      <c r="F43" s="80" t="str">
        <f t="shared" si="4"/>
        <v/>
      </c>
      <c r="G43" s="81"/>
      <c r="H43" s="81"/>
      <c r="I43" s="82"/>
      <c r="J43" s="83"/>
      <c r="K43" s="84"/>
      <c r="L43" s="86"/>
    </row>
    <row r="44" spans="1:12" ht="15.75" customHeight="1" x14ac:dyDescent="0.25">
      <c r="A44" s="73"/>
      <c r="B44" s="66">
        <f t="shared" si="0"/>
        <v>46146</v>
      </c>
      <c r="C44" s="85" t="str">
        <f t="shared" si="3"/>
        <v/>
      </c>
      <c r="D44" s="85" t="str">
        <f t="shared" si="1"/>
        <v/>
      </c>
      <c r="E44" s="85" t="str">
        <f t="shared" si="2"/>
        <v/>
      </c>
      <c r="F44" s="80" t="str">
        <f t="shared" si="4"/>
        <v/>
      </c>
      <c r="G44" s="81"/>
      <c r="H44" s="81"/>
      <c r="I44" s="82"/>
      <c r="J44" s="83"/>
      <c r="K44" s="84"/>
      <c r="L44" s="86"/>
    </row>
    <row r="45" spans="1:12" ht="15.75" customHeight="1" x14ac:dyDescent="0.25">
      <c r="A45" s="73"/>
      <c r="B45" s="66">
        <f t="shared" si="0"/>
        <v>46153</v>
      </c>
      <c r="C45" s="85" t="str">
        <f t="shared" si="3"/>
        <v/>
      </c>
      <c r="D45" s="85" t="str">
        <f t="shared" si="1"/>
        <v/>
      </c>
      <c r="E45" s="85" t="str">
        <f t="shared" si="2"/>
        <v/>
      </c>
      <c r="F45" s="80" t="str">
        <f t="shared" si="4"/>
        <v/>
      </c>
      <c r="G45" s="81"/>
      <c r="H45" s="81"/>
      <c r="I45" s="82"/>
      <c r="J45" s="83"/>
      <c r="K45" s="84"/>
      <c r="L45" s="86"/>
    </row>
    <row r="46" spans="1:12" ht="15.75" customHeight="1" x14ac:dyDescent="0.25">
      <c r="A46" s="73"/>
      <c r="B46" s="66">
        <f t="shared" si="0"/>
        <v>46160</v>
      </c>
      <c r="C46" s="85" t="str">
        <f t="shared" si="3"/>
        <v/>
      </c>
      <c r="D46" s="85" t="str">
        <f t="shared" si="1"/>
        <v/>
      </c>
      <c r="E46" s="85" t="str">
        <f t="shared" si="2"/>
        <v/>
      </c>
      <c r="F46" s="80" t="str">
        <f t="shared" si="4"/>
        <v/>
      </c>
      <c r="G46" s="81"/>
      <c r="H46" s="81"/>
      <c r="I46" s="82"/>
      <c r="J46" s="83"/>
      <c r="K46" s="84"/>
      <c r="L46" s="86"/>
    </row>
    <row r="47" spans="1:12" ht="15.75" customHeight="1" x14ac:dyDescent="0.25">
      <c r="A47" s="73"/>
      <c r="B47" s="66">
        <f t="shared" si="0"/>
        <v>46167</v>
      </c>
      <c r="C47" s="85" t="str">
        <f t="shared" si="3"/>
        <v/>
      </c>
      <c r="D47" s="85" t="str">
        <f t="shared" si="1"/>
        <v/>
      </c>
      <c r="E47" s="85" t="str">
        <f t="shared" si="2"/>
        <v/>
      </c>
      <c r="F47" s="80" t="str">
        <f t="shared" si="4"/>
        <v/>
      </c>
      <c r="G47" s="81"/>
      <c r="H47" s="81"/>
      <c r="I47" s="82"/>
      <c r="J47" s="83"/>
      <c r="K47" s="84"/>
      <c r="L47" s="86"/>
    </row>
    <row r="48" spans="1:12" ht="15.75" customHeight="1" x14ac:dyDescent="0.25">
      <c r="A48" s="73"/>
      <c r="B48" s="66">
        <f t="shared" si="0"/>
        <v>46174</v>
      </c>
      <c r="C48" s="85" t="str">
        <f t="shared" si="3"/>
        <v/>
      </c>
      <c r="D48" s="85" t="str">
        <f t="shared" si="1"/>
        <v/>
      </c>
      <c r="E48" s="85" t="str">
        <f t="shared" si="2"/>
        <v/>
      </c>
      <c r="F48" s="80" t="str">
        <f t="shared" si="4"/>
        <v/>
      </c>
      <c r="G48" s="81"/>
      <c r="H48" s="81"/>
      <c r="I48" s="82"/>
      <c r="J48" s="83"/>
      <c r="K48" s="84"/>
      <c r="L48" s="86"/>
    </row>
    <row r="49" spans="1:12" ht="15.75" customHeight="1" x14ac:dyDescent="0.25">
      <c r="A49" s="73"/>
      <c r="B49" s="66">
        <f t="shared" si="0"/>
        <v>46181</v>
      </c>
      <c r="C49" s="85" t="str">
        <f t="shared" si="3"/>
        <v/>
      </c>
      <c r="D49" s="85" t="str">
        <f t="shared" si="1"/>
        <v/>
      </c>
      <c r="E49" s="85" t="str">
        <f t="shared" si="2"/>
        <v/>
      </c>
      <c r="F49" s="80" t="str">
        <f t="shared" si="4"/>
        <v/>
      </c>
      <c r="G49" s="81"/>
      <c r="H49" s="81"/>
      <c r="I49" s="82"/>
      <c r="J49" s="83"/>
      <c r="K49" s="84"/>
      <c r="L49" s="86"/>
    </row>
    <row r="50" spans="1:12" ht="15.75" customHeight="1" x14ac:dyDescent="0.25">
      <c r="A50" s="73"/>
      <c r="B50" s="66">
        <f t="shared" si="0"/>
        <v>46188</v>
      </c>
      <c r="C50" s="85" t="str">
        <f t="shared" si="3"/>
        <v/>
      </c>
      <c r="D50" s="85" t="str">
        <f t="shared" si="1"/>
        <v/>
      </c>
      <c r="E50" s="85" t="str">
        <f t="shared" si="2"/>
        <v/>
      </c>
      <c r="F50" s="80" t="str">
        <f t="shared" si="4"/>
        <v/>
      </c>
      <c r="G50" s="81"/>
      <c r="H50" s="81"/>
      <c r="I50" s="82"/>
      <c r="J50" s="83"/>
      <c r="K50" s="84"/>
      <c r="L50" s="86"/>
    </row>
    <row r="51" spans="1:12" ht="15.75" customHeight="1" x14ac:dyDescent="0.25">
      <c r="A51" s="73"/>
      <c r="B51" s="66">
        <f t="shared" si="0"/>
        <v>46195</v>
      </c>
      <c r="C51" s="85" t="str">
        <f t="shared" si="3"/>
        <v/>
      </c>
      <c r="D51" s="85" t="str">
        <f t="shared" si="1"/>
        <v/>
      </c>
      <c r="E51" s="85" t="str">
        <f t="shared" si="2"/>
        <v/>
      </c>
      <c r="F51" s="80" t="str">
        <f t="shared" si="4"/>
        <v/>
      </c>
      <c r="G51" s="81"/>
      <c r="H51" s="81"/>
      <c r="I51" s="82"/>
      <c r="J51" s="83"/>
      <c r="K51" s="84"/>
      <c r="L51" s="86"/>
    </row>
    <row r="52" spans="1:12" ht="15.75" customHeight="1" x14ac:dyDescent="0.25">
      <c r="A52" s="73"/>
      <c r="B52" s="66">
        <f t="shared" si="0"/>
        <v>46202</v>
      </c>
      <c r="C52" s="85" t="str">
        <f t="shared" si="3"/>
        <v/>
      </c>
      <c r="D52" s="85" t="str">
        <f t="shared" si="1"/>
        <v/>
      </c>
      <c r="E52" s="85" t="str">
        <f t="shared" si="2"/>
        <v/>
      </c>
      <c r="F52" s="80" t="str">
        <f t="shared" si="4"/>
        <v/>
      </c>
      <c r="G52" s="81"/>
      <c r="H52" s="81"/>
      <c r="I52" s="82"/>
      <c r="J52" s="83"/>
      <c r="K52" s="84"/>
      <c r="L52" s="86"/>
    </row>
    <row r="53" spans="1:12" ht="15.75" customHeight="1" x14ac:dyDescent="0.25">
      <c r="A53" s="73"/>
      <c r="B53" s="66">
        <f t="shared" si="0"/>
        <v>46209</v>
      </c>
      <c r="C53" s="85" t="str">
        <f t="shared" si="3"/>
        <v/>
      </c>
      <c r="D53" s="85" t="str">
        <f t="shared" si="1"/>
        <v/>
      </c>
      <c r="E53" s="85" t="str">
        <f t="shared" si="2"/>
        <v/>
      </c>
      <c r="F53" s="80" t="str">
        <f t="shared" si="4"/>
        <v/>
      </c>
      <c r="G53" s="81"/>
      <c r="H53" s="81"/>
      <c r="I53" s="82"/>
      <c r="J53" s="83"/>
      <c r="K53" s="84"/>
      <c r="L53" s="86"/>
    </row>
    <row r="54" spans="1:12" ht="15.75" customHeight="1" x14ac:dyDescent="0.25">
      <c r="A54" s="73"/>
      <c r="B54" s="66">
        <f t="shared" si="0"/>
        <v>46216</v>
      </c>
      <c r="C54" s="85" t="str">
        <f t="shared" si="3"/>
        <v/>
      </c>
      <c r="D54" s="85" t="str">
        <f t="shared" si="1"/>
        <v/>
      </c>
      <c r="E54" s="85" t="str">
        <f t="shared" si="2"/>
        <v/>
      </c>
      <c r="F54" s="80" t="str">
        <f t="shared" si="4"/>
        <v/>
      </c>
      <c r="G54" s="81"/>
      <c r="H54" s="81"/>
      <c r="I54" s="82"/>
      <c r="J54" s="83"/>
      <c r="K54" s="84"/>
      <c r="L54" s="86"/>
    </row>
    <row r="87" spans="2:3" ht="15.75" customHeight="1" x14ac:dyDescent="0.25">
      <c r="B87" s="102" t="str">
        <f t="shared" ref="B87:B150" si="5">IF(B86="","",IF(B86+$C$9&lt;=$C$5,B86+$C$9,""))</f>
        <v/>
      </c>
      <c r="C87" s="100" t="str">
        <f t="shared" ref="C87:C150" si="6">IF(B87&lt;&gt;"",C86-$C$2/COUNT($B$17:$B$510),"")</f>
        <v/>
      </c>
    </row>
    <row r="88" spans="2:3" ht="15.75" customHeight="1" x14ac:dyDescent="0.25">
      <c r="B88" s="102" t="str">
        <f t="shared" si="5"/>
        <v/>
      </c>
      <c r="C88" s="100" t="str">
        <f t="shared" si="6"/>
        <v/>
      </c>
    </row>
    <row r="89" spans="2:3" ht="15.75" customHeight="1" x14ac:dyDescent="0.25">
      <c r="B89" s="102" t="str">
        <f t="shared" si="5"/>
        <v/>
      </c>
      <c r="C89" s="100" t="str">
        <f t="shared" si="6"/>
        <v/>
      </c>
    </row>
    <row r="90" spans="2:3" ht="15.75" customHeight="1" x14ac:dyDescent="0.25">
      <c r="B90" s="102" t="str">
        <f t="shared" si="5"/>
        <v/>
      </c>
      <c r="C90" s="100" t="str">
        <f t="shared" si="6"/>
        <v/>
      </c>
    </row>
    <row r="91" spans="2:3" ht="15.75" customHeight="1" x14ac:dyDescent="0.25">
      <c r="B91" s="102" t="str">
        <f t="shared" si="5"/>
        <v/>
      </c>
      <c r="C91" s="100" t="str">
        <f t="shared" si="6"/>
        <v/>
      </c>
    </row>
    <row r="92" spans="2:3" ht="15.75" customHeight="1" x14ac:dyDescent="0.25">
      <c r="B92" s="102" t="str">
        <f t="shared" si="5"/>
        <v/>
      </c>
      <c r="C92" s="100" t="str">
        <f t="shared" si="6"/>
        <v/>
      </c>
    </row>
    <row r="93" spans="2:3" ht="15.75" customHeight="1" x14ac:dyDescent="0.25">
      <c r="B93" s="102" t="str">
        <f t="shared" si="5"/>
        <v/>
      </c>
      <c r="C93" s="100" t="str">
        <f t="shared" si="6"/>
        <v/>
      </c>
    </row>
    <row r="94" spans="2:3" ht="15.75" customHeight="1" x14ac:dyDescent="0.25">
      <c r="B94" s="102" t="str">
        <f t="shared" si="5"/>
        <v/>
      </c>
      <c r="C94" s="100" t="str">
        <f t="shared" si="6"/>
        <v/>
      </c>
    </row>
    <row r="95" spans="2:3" ht="15.75" customHeight="1" x14ac:dyDescent="0.25">
      <c r="B95" s="102" t="str">
        <f t="shared" si="5"/>
        <v/>
      </c>
      <c r="C95" s="100" t="str">
        <f t="shared" si="6"/>
        <v/>
      </c>
    </row>
    <row r="96" spans="2:3" ht="15.75" customHeight="1" x14ac:dyDescent="0.25">
      <c r="B96" s="102" t="str">
        <f t="shared" si="5"/>
        <v/>
      </c>
      <c r="C96" s="100" t="str">
        <f t="shared" si="6"/>
        <v/>
      </c>
    </row>
    <row r="97" spans="2:3" ht="15.75" customHeight="1" x14ac:dyDescent="0.25">
      <c r="B97" s="102" t="str">
        <f t="shared" si="5"/>
        <v/>
      </c>
      <c r="C97" s="100" t="str">
        <f t="shared" si="6"/>
        <v/>
      </c>
    </row>
    <row r="98" spans="2:3" ht="15.75" customHeight="1" x14ac:dyDescent="0.25">
      <c r="B98" s="102" t="str">
        <f t="shared" si="5"/>
        <v/>
      </c>
      <c r="C98" s="100" t="str">
        <f t="shared" si="6"/>
        <v/>
      </c>
    </row>
    <row r="99" spans="2:3" ht="15.75" customHeight="1" x14ac:dyDescent="0.25">
      <c r="B99" s="102" t="str">
        <f t="shared" si="5"/>
        <v/>
      </c>
      <c r="C99" s="100" t="str">
        <f t="shared" si="6"/>
        <v/>
      </c>
    </row>
    <row r="100" spans="2:3" ht="15.75" customHeight="1" x14ac:dyDescent="0.25">
      <c r="B100" s="102" t="str">
        <f t="shared" si="5"/>
        <v/>
      </c>
      <c r="C100" s="100" t="str">
        <f t="shared" si="6"/>
        <v/>
      </c>
    </row>
    <row r="101" spans="2:3" ht="15.75" customHeight="1" x14ac:dyDescent="0.25">
      <c r="B101" s="102" t="str">
        <f t="shared" si="5"/>
        <v/>
      </c>
      <c r="C101" s="100" t="str">
        <f t="shared" si="6"/>
        <v/>
      </c>
    </row>
    <row r="102" spans="2:3" ht="15.75" customHeight="1" x14ac:dyDescent="0.25">
      <c r="B102" s="102" t="str">
        <f t="shared" si="5"/>
        <v/>
      </c>
      <c r="C102" s="100" t="str">
        <f t="shared" si="6"/>
        <v/>
      </c>
    </row>
    <row r="103" spans="2:3" ht="15.75" customHeight="1" x14ac:dyDescent="0.25">
      <c r="B103" s="102" t="str">
        <f t="shared" si="5"/>
        <v/>
      </c>
      <c r="C103" s="100" t="str">
        <f t="shared" si="6"/>
        <v/>
      </c>
    </row>
    <row r="104" spans="2:3" ht="15.75" customHeight="1" x14ac:dyDescent="0.25">
      <c r="B104" s="102" t="str">
        <f t="shared" si="5"/>
        <v/>
      </c>
      <c r="C104" s="100" t="str">
        <f t="shared" si="6"/>
        <v/>
      </c>
    </row>
    <row r="105" spans="2:3" ht="15.75" customHeight="1" x14ac:dyDescent="0.25">
      <c r="B105" s="102" t="str">
        <f t="shared" si="5"/>
        <v/>
      </c>
      <c r="C105" s="100" t="str">
        <f t="shared" si="6"/>
        <v/>
      </c>
    </row>
    <row r="106" spans="2:3" ht="15.75" customHeight="1" x14ac:dyDescent="0.25">
      <c r="B106" s="102" t="str">
        <f t="shared" si="5"/>
        <v/>
      </c>
      <c r="C106" s="100" t="str">
        <f t="shared" si="6"/>
        <v/>
      </c>
    </row>
    <row r="107" spans="2:3" ht="15.75" customHeight="1" x14ac:dyDescent="0.25">
      <c r="B107" s="102" t="str">
        <f t="shared" si="5"/>
        <v/>
      </c>
      <c r="C107" s="100" t="str">
        <f t="shared" si="6"/>
        <v/>
      </c>
    </row>
    <row r="108" spans="2:3" ht="15.75" customHeight="1" x14ac:dyDescent="0.25">
      <c r="B108" s="102" t="str">
        <f t="shared" si="5"/>
        <v/>
      </c>
      <c r="C108" s="100" t="str">
        <f t="shared" si="6"/>
        <v/>
      </c>
    </row>
    <row r="109" spans="2:3" ht="15.75" customHeight="1" x14ac:dyDescent="0.25">
      <c r="B109" s="102" t="str">
        <f t="shared" si="5"/>
        <v/>
      </c>
      <c r="C109" s="100" t="str">
        <f t="shared" si="6"/>
        <v/>
      </c>
    </row>
    <row r="110" spans="2:3" ht="15.75" customHeight="1" x14ac:dyDescent="0.25">
      <c r="B110" s="102" t="str">
        <f t="shared" si="5"/>
        <v/>
      </c>
      <c r="C110" s="100" t="str">
        <f t="shared" si="6"/>
        <v/>
      </c>
    </row>
    <row r="111" spans="2:3" ht="15.75" customHeight="1" x14ac:dyDescent="0.25">
      <c r="B111" s="102" t="str">
        <f t="shared" si="5"/>
        <v/>
      </c>
      <c r="C111" s="100" t="str">
        <f t="shared" si="6"/>
        <v/>
      </c>
    </row>
    <row r="112" spans="2:3" ht="15.75" customHeight="1" x14ac:dyDescent="0.25">
      <c r="B112" s="102" t="str">
        <f t="shared" si="5"/>
        <v/>
      </c>
      <c r="C112" s="100" t="str">
        <f t="shared" si="6"/>
        <v/>
      </c>
    </row>
    <row r="113" spans="2:3" ht="15.75" customHeight="1" x14ac:dyDescent="0.25">
      <c r="B113" s="102" t="str">
        <f t="shared" si="5"/>
        <v/>
      </c>
      <c r="C113" s="100" t="str">
        <f t="shared" si="6"/>
        <v/>
      </c>
    </row>
    <row r="114" spans="2:3" ht="15.75" customHeight="1" x14ac:dyDescent="0.25">
      <c r="B114" s="102" t="str">
        <f t="shared" si="5"/>
        <v/>
      </c>
      <c r="C114" s="100" t="str">
        <f t="shared" si="6"/>
        <v/>
      </c>
    </row>
    <row r="115" spans="2:3" ht="15.75" customHeight="1" x14ac:dyDescent="0.25">
      <c r="B115" s="102" t="str">
        <f t="shared" si="5"/>
        <v/>
      </c>
      <c r="C115" s="100" t="str">
        <f t="shared" si="6"/>
        <v/>
      </c>
    </row>
    <row r="116" spans="2:3" ht="15.75" customHeight="1" x14ac:dyDescent="0.25">
      <c r="B116" s="102" t="str">
        <f t="shared" si="5"/>
        <v/>
      </c>
      <c r="C116" s="100" t="str">
        <f t="shared" si="6"/>
        <v/>
      </c>
    </row>
    <row r="117" spans="2:3" ht="15.75" customHeight="1" x14ac:dyDescent="0.25">
      <c r="B117" s="102" t="str">
        <f t="shared" si="5"/>
        <v/>
      </c>
      <c r="C117" s="100" t="str">
        <f t="shared" si="6"/>
        <v/>
      </c>
    </row>
    <row r="118" spans="2:3" ht="15.75" customHeight="1" x14ac:dyDescent="0.25">
      <c r="B118" s="102" t="str">
        <f t="shared" si="5"/>
        <v/>
      </c>
      <c r="C118" s="100" t="str">
        <f t="shared" si="6"/>
        <v/>
      </c>
    </row>
    <row r="119" spans="2:3" ht="15.75" customHeight="1" x14ac:dyDescent="0.25">
      <c r="B119" s="102" t="str">
        <f t="shared" si="5"/>
        <v/>
      </c>
      <c r="C119" s="100" t="str">
        <f t="shared" si="6"/>
        <v/>
      </c>
    </row>
    <row r="120" spans="2:3" ht="15.75" customHeight="1" x14ac:dyDescent="0.25">
      <c r="B120" s="102" t="str">
        <f t="shared" si="5"/>
        <v/>
      </c>
      <c r="C120" s="100" t="str">
        <f t="shared" si="6"/>
        <v/>
      </c>
    </row>
    <row r="121" spans="2:3" ht="15.75" customHeight="1" x14ac:dyDescent="0.25">
      <c r="B121" s="102" t="str">
        <f t="shared" si="5"/>
        <v/>
      </c>
      <c r="C121" s="100" t="str">
        <f t="shared" si="6"/>
        <v/>
      </c>
    </row>
    <row r="122" spans="2:3" ht="15.75" customHeight="1" x14ac:dyDescent="0.25">
      <c r="B122" s="102" t="str">
        <f t="shared" si="5"/>
        <v/>
      </c>
      <c r="C122" s="100" t="str">
        <f t="shared" si="6"/>
        <v/>
      </c>
    </row>
    <row r="123" spans="2:3" ht="15.75" customHeight="1" x14ac:dyDescent="0.25">
      <c r="B123" s="102" t="str">
        <f t="shared" si="5"/>
        <v/>
      </c>
      <c r="C123" s="100" t="str">
        <f t="shared" si="6"/>
        <v/>
      </c>
    </row>
    <row r="124" spans="2:3" ht="15.75" customHeight="1" x14ac:dyDescent="0.25">
      <c r="B124" s="102" t="str">
        <f t="shared" si="5"/>
        <v/>
      </c>
      <c r="C124" s="100" t="str">
        <f t="shared" si="6"/>
        <v/>
      </c>
    </row>
    <row r="125" spans="2:3" ht="15.75" customHeight="1" x14ac:dyDescent="0.25">
      <c r="B125" s="102" t="str">
        <f t="shared" si="5"/>
        <v/>
      </c>
      <c r="C125" s="100" t="str">
        <f t="shared" si="6"/>
        <v/>
      </c>
    </row>
    <row r="126" spans="2:3" ht="15.75" customHeight="1" x14ac:dyDescent="0.25">
      <c r="B126" s="102" t="str">
        <f t="shared" si="5"/>
        <v/>
      </c>
      <c r="C126" s="100" t="str">
        <f t="shared" si="6"/>
        <v/>
      </c>
    </row>
    <row r="127" spans="2:3" ht="15.75" customHeight="1" x14ac:dyDescent="0.25">
      <c r="B127" s="102" t="str">
        <f t="shared" si="5"/>
        <v/>
      </c>
      <c r="C127" s="100" t="str">
        <f t="shared" si="6"/>
        <v/>
      </c>
    </row>
    <row r="128" spans="2:3" ht="15.75" customHeight="1" x14ac:dyDescent="0.25">
      <c r="B128" s="102" t="str">
        <f t="shared" si="5"/>
        <v/>
      </c>
      <c r="C128" s="100" t="str">
        <f t="shared" si="6"/>
        <v/>
      </c>
    </row>
    <row r="129" spans="2:3" ht="15.75" customHeight="1" x14ac:dyDescent="0.25">
      <c r="B129" s="102" t="str">
        <f t="shared" si="5"/>
        <v/>
      </c>
      <c r="C129" s="100" t="str">
        <f t="shared" si="6"/>
        <v/>
      </c>
    </row>
    <row r="130" spans="2:3" ht="15.75" customHeight="1" x14ac:dyDescent="0.25">
      <c r="B130" s="102" t="str">
        <f t="shared" si="5"/>
        <v/>
      </c>
      <c r="C130" s="100" t="str">
        <f t="shared" si="6"/>
        <v/>
      </c>
    </row>
    <row r="131" spans="2:3" ht="15.75" customHeight="1" x14ac:dyDescent="0.25">
      <c r="B131" s="102" t="str">
        <f t="shared" si="5"/>
        <v/>
      </c>
      <c r="C131" s="100" t="str">
        <f t="shared" si="6"/>
        <v/>
      </c>
    </row>
    <row r="132" spans="2:3" ht="15.75" customHeight="1" x14ac:dyDescent="0.25">
      <c r="B132" s="102" t="str">
        <f t="shared" si="5"/>
        <v/>
      </c>
      <c r="C132" s="100" t="str">
        <f t="shared" si="6"/>
        <v/>
      </c>
    </row>
    <row r="133" spans="2:3" ht="15.75" customHeight="1" x14ac:dyDescent="0.25">
      <c r="B133" s="102" t="str">
        <f t="shared" si="5"/>
        <v/>
      </c>
      <c r="C133" s="100" t="str">
        <f t="shared" si="6"/>
        <v/>
      </c>
    </row>
    <row r="134" spans="2:3" ht="15.75" customHeight="1" x14ac:dyDescent="0.25">
      <c r="B134" s="102" t="str">
        <f t="shared" si="5"/>
        <v/>
      </c>
      <c r="C134" s="100" t="str">
        <f t="shared" si="6"/>
        <v/>
      </c>
    </row>
    <row r="135" spans="2:3" ht="15.75" customHeight="1" x14ac:dyDescent="0.25">
      <c r="B135" s="102" t="str">
        <f t="shared" si="5"/>
        <v/>
      </c>
      <c r="C135" s="100" t="str">
        <f t="shared" si="6"/>
        <v/>
      </c>
    </row>
    <row r="136" spans="2:3" ht="15.75" customHeight="1" x14ac:dyDescent="0.25">
      <c r="B136" s="102" t="str">
        <f t="shared" si="5"/>
        <v/>
      </c>
      <c r="C136" s="100" t="str">
        <f t="shared" si="6"/>
        <v/>
      </c>
    </row>
    <row r="137" spans="2:3" ht="15.75" customHeight="1" x14ac:dyDescent="0.25">
      <c r="B137" s="102" t="str">
        <f t="shared" si="5"/>
        <v/>
      </c>
      <c r="C137" s="100" t="str">
        <f t="shared" si="6"/>
        <v/>
      </c>
    </row>
    <row r="138" spans="2:3" ht="15.75" customHeight="1" x14ac:dyDescent="0.25">
      <c r="B138" s="102" t="str">
        <f t="shared" si="5"/>
        <v/>
      </c>
      <c r="C138" s="100" t="str">
        <f t="shared" si="6"/>
        <v/>
      </c>
    </row>
    <row r="139" spans="2:3" ht="15.75" customHeight="1" x14ac:dyDescent="0.25">
      <c r="B139" s="102" t="str">
        <f t="shared" si="5"/>
        <v/>
      </c>
      <c r="C139" s="100" t="str">
        <f t="shared" si="6"/>
        <v/>
      </c>
    </row>
    <row r="140" spans="2:3" ht="15.75" customHeight="1" x14ac:dyDescent="0.25">
      <c r="B140" s="102" t="str">
        <f t="shared" si="5"/>
        <v/>
      </c>
      <c r="C140" s="100" t="str">
        <f t="shared" si="6"/>
        <v/>
      </c>
    </row>
    <row r="141" spans="2:3" ht="15.75" customHeight="1" x14ac:dyDescent="0.25">
      <c r="B141" s="102" t="str">
        <f t="shared" si="5"/>
        <v/>
      </c>
      <c r="C141" s="100" t="str">
        <f t="shared" si="6"/>
        <v/>
      </c>
    </row>
    <row r="142" spans="2:3" ht="15.75" customHeight="1" x14ac:dyDescent="0.25">
      <c r="B142" s="102" t="str">
        <f t="shared" si="5"/>
        <v/>
      </c>
      <c r="C142" s="100" t="str">
        <f t="shared" si="6"/>
        <v/>
      </c>
    </row>
    <row r="143" spans="2:3" ht="15.75" customHeight="1" x14ac:dyDescent="0.25">
      <c r="B143" s="102" t="str">
        <f t="shared" si="5"/>
        <v/>
      </c>
      <c r="C143" s="100" t="str">
        <f t="shared" si="6"/>
        <v/>
      </c>
    </row>
    <row r="144" spans="2:3" ht="15.75" customHeight="1" x14ac:dyDescent="0.25">
      <c r="B144" s="102" t="str">
        <f t="shared" si="5"/>
        <v/>
      </c>
      <c r="C144" s="100" t="str">
        <f t="shared" si="6"/>
        <v/>
      </c>
    </row>
    <row r="145" spans="2:3" ht="15.75" customHeight="1" x14ac:dyDescent="0.25">
      <c r="B145" s="102" t="str">
        <f t="shared" si="5"/>
        <v/>
      </c>
      <c r="C145" s="100" t="str">
        <f t="shared" si="6"/>
        <v/>
      </c>
    </row>
    <row r="146" spans="2:3" ht="15.75" customHeight="1" x14ac:dyDescent="0.25">
      <c r="B146" s="102" t="str">
        <f t="shared" si="5"/>
        <v/>
      </c>
      <c r="C146" s="100" t="str">
        <f t="shared" si="6"/>
        <v/>
      </c>
    </row>
    <row r="147" spans="2:3" ht="15.75" customHeight="1" x14ac:dyDescent="0.25">
      <c r="B147" s="102" t="str">
        <f t="shared" si="5"/>
        <v/>
      </c>
      <c r="C147" s="100" t="str">
        <f t="shared" si="6"/>
        <v/>
      </c>
    </row>
    <row r="148" spans="2:3" ht="15.75" customHeight="1" x14ac:dyDescent="0.25">
      <c r="B148" s="102" t="str">
        <f t="shared" si="5"/>
        <v/>
      </c>
      <c r="C148" s="100" t="str">
        <f t="shared" si="6"/>
        <v/>
      </c>
    </row>
    <row r="149" spans="2:3" ht="15.75" customHeight="1" x14ac:dyDescent="0.25">
      <c r="B149" s="102" t="str">
        <f t="shared" si="5"/>
        <v/>
      </c>
      <c r="C149" s="100" t="str">
        <f t="shared" si="6"/>
        <v/>
      </c>
    </row>
    <row r="150" spans="2:3" ht="15.75" customHeight="1" x14ac:dyDescent="0.25">
      <c r="B150" s="102" t="str">
        <f t="shared" si="5"/>
        <v/>
      </c>
      <c r="C150" s="100" t="str">
        <f t="shared" si="6"/>
        <v/>
      </c>
    </row>
    <row r="151" spans="2:3" ht="15.75" customHeight="1" x14ac:dyDescent="0.25">
      <c r="B151" s="102" t="str">
        <f t="shared" ref="B151:B214" si="7">IF(B150="","",IF(B150+$C$9&lt;=$C$5,B150+$C$9,""))</f>
        <v/>
      </c>
      <c r="C151" s="100" t="str">
        <f t="shared" ref="C151:C214" si="8">IF(B151&lt;&gt;"",C150-$C$2/COUNT($B$17:$B$510),"")</f>
        <v/>
      </c>
    </row>
    <row r="152" spans="2:3" ht="15.75" customHeight="1" x14ac:dyDescent="0.25">
      <c r="B152" s="102" t="str">
        <f t="shared" si="7"/>
        <v/>
      </c>
      <c r="C152" s="100" t="str">
        <f t="shared" si="8"/>
        <v/>
      </c>
    </row>
    <row r="153" spans="2:3" ht="15.75" customHeight="1" x14ac:dyDescent="0.25">
      <c r="B153" s="102" t="str">
        <f t="shared" si="7"/>
        <v/>
      </c>
      <c r="C153" s="100" t="str">
        <f t="shared" si="8"/>
        <v/>
      </c>
    </row>
    <row r="154" spans="2:3" ht="15.75" customHeight="1" x14ac:dyDescent="0.25">
      <c r="B154" s="102" t="str">
        <f t="shared" si="7"/>
        <v/>
      </c>
      <c r="C154" s="100" t="str">
        <f t="shared" si="8"/>
        <v/>
      </c>
    </row>
    <row r="155" spans="2:3" ht="15.75" customHeight="1" x14ac:dyDescent="0.25">
      <c r="B155" s="102" t="str">
        <f t="shared" si="7"/>
        <v/>
      </c>
      <c r="C155" s="100" t="str">
        <f t="shared" si="8"/>
        <v/>
      </c>
    </row>
    <row r="156" spans="2:3" ht="15.75" customHeight="1" x14ac:dyDescent="0.25">
      <c r="B156" s="102" t="str">
        <f t="shared" si="7"/>
        <v/>
      </c>
      <c r="C156" s="100" t="str">
        <f t="shared" si="8"/>
        <v/>
      </c>
    </row>
    <row r="157" spans="2:3" ht="15.75" customHeight="1" x14ac:dyDescent="0.25">
      <c r="B157" s="102" t="str">
        <f t="shared" si="7"/>
        <v/>
      </c>
      <c r="C157" s="100" t="str">
        <f t="shared" si="8"/>
        <v/>
      </c>
    </row>
    <row r="158" spans="2:3" ht="15.75" customHeight="1" x14ac:dyDescent="0.25">
      <c r="B158" s="102" t="str">
        <f t="shared" si="7"/>
        <v/>
      </c>
      <c r="C158" s="100" t="str">
        <f t="shared" si="8"/>
        <v/>
      </c>
    </row>
    <row r="159" spans="2:3" ht="15.75" customHeight="1" x14ac:dyDescent="0.25">
      <c r="B159" s="102" t="str">
        <f t="shared" si="7"/>
        <v/>
      </c>
      <c r="C159" s="100" t="str">
        <f t="shared" si="8"/>
        <v/>
      </c>
    </row>
    <row r="160" spans="2:3" ht="15.75" customHeight="1" x14ac:dyDescent="0.25">
      <c r="B160" s="102" t="str">
        <f t="shared" si="7"/>
        <v/>
      </c>
      <c r="C160" s="100" t="str">
        <f t="shared" si="8"/>
        <v/>
      </c>
    </row>
    <row r="161" spans="2:3" ht="15.75" customHeight="1" x14ac:dyDescent="0.25">
      <c r="B161" s="102" t="str">
        <f t="shared" si="7"/>
        <v/>
      </c>
      <c r="C161" s="100" t="str">
        <f t="shared" si="8"/>
        <v/>
      </c>
    </row>
    <row r="162" spans="2:3" ht="15.75" customHeight="1" x14ac:dyDescent="0.25">
      <c r="B162" s="102" t="str">
        <f t="shared" si="7"/>
        <v/>
      </c>
      <c r="C162" s="100" t="str">
        <f t="shared" si="8"/>
        <v/>
      </c>
    </row>
    <row r="163" spans="2:3" ht="15.75" customHeight="1" x14ac:dyDescent="0.25">
      <c r="B163" s="102" t="str">
        <f t="shared" si="7"/>
        <v/>
      </c>
      <c r="C163" s="100" t="str">
        <f t="shared" si="8"/>
        <v/>
      </c>
    </row>
    <row r="164" spans="2:3" ht="15.75" customHeight="1" x14ac:dyDescent="0.25">
      <c r="B164" s="102" t="str">
        <f t="shared" si="7"/>
        <v/>
      </c>
      <c r="C164" s="100" t="str">
        <f t="shared" si="8"/>
        <v/>
      </c>
    </row>
    <row r="165" spans="2:3" ht="15.75" customHeight="1" x14ac:dyDescent="0.25">
      <c r="B165" s="102" t="str">
        <f t="shared" si="7"/>
        <v/>
      </c>
      <c r="C165" s="100" t="str">
        <f t="shared" si="8"/>
        <v/>
      </c>
    </row>
    <row r="166" spans="2:3" ht="15.75" customHeight="1" x14ac:dyDescent="0.25">
      <c r="B166" s="102" t="str">
        <f t="shared" si="7"/>
        <v/>
      </c>
      <c r="C166" s="100" t="str">
        <f t="shared" si="8"/>
        <v/>
      </c>
    </row>
    <row r="167" spans="2:3" ht="15.75" customHeight="1" x14ac:dyDescent="0.25">
      <c r="B167" s="102" t="str">
        <f t="shared" si="7"/>
        <v/>
      </c>
      <c r="C167" s="100" t="str">
        <f t="shared" si="8"/>
        <v/>
      </c>
    </row>
    <row r="168" spans="2:3" ht="15.75" customHeight="1" x14ac:dyDescent="0.25">
      <c r="B168" s="102" t="str">
        <f t="shared" si="7"/>
        <v/>
      </c>
      <c r="C168" s="100" t="str">
        <f t="shared" si="8"/>
        <v/>
      </c>
    </row>
    <row r="169" spans="2:3" ht="15.75" customHeight="1" x14ac:dyDescent="0.25">
      <c r="B169" s="102" t="str">
        <f t="shared" si="7"/>
        <v/>
      </c>
      <c r="C169" s="100" t="str">
        <f t="shared" si="8"/>
        <v/>
      </c>
    </row>
    <row r="170" spans="2:3" ht="15.75" customHeight="1" x14ac:dyDescent="0.25">
      <c r="B170" s="102" t="str">
        <f t="shared" si="7"/>
        <v/>
      </c>
      <c r="C170" s="100" t="str">
        <f t="shared" si="8"/>
        <v/>
      </c>
    </row>
    <row r="171" spans="2:3" ht="15.75" customHeight="1" x14ac:dyDescent="0.25">
      <c r="B171" s="102" t="str">
        <f t="shared" si="7"/>
        <v/>
      </c>
      <c r="C171" s="100" t="str">
        <f t="shared" si="8"/>
        <v/>
      </c>
    </row>
    <row r="172" spans="2:3" ht="15.75" customHeight="1" x14ac:dyDescent="0.25">
      <c r="B172" s="102" t="str">
        <f t="shared" si="7"/>
        <v/>
      </c>
      <c r="C172" s="100" t="str">
        <f t="shared" si="8"/>
        <v/>
      </c>
    </row>
    <row r="173" spans="2:3" ht="15.75" customHeight="1" x14ac:dyDescent="0.25">
      <c r="B173" s="102" t="str">
        <f t="shared" si="7"/>
        <v/>
      </c>
      <c r="C173" s="100" t="str">
        <f t="shared" si="8"/>
        <v/>
      </c>
    </row>
    <row r="174" spans="2:3" ht="15.75" customHeight="1" x14ac:dyDescent="0.25">
      <c r="B174" s="102" t="str">
        <f t="shared" si="7"/>
        <v/>
      </c>
      <c r="C174" s="100" t="str">
        <f t="shared" si="8"/>
        <v/>
      </c>
    </row>
    <row r="175" spans="2:3" ht="15.75" customHeight="1" x14ac:dyDescent="0.25">
      <c r="B175" s="102" t="str">
        <f t="shared" si="7"/>
        <v/>
      </c>
      <c r="C175" s="100" t="str">
        <f t="shared" si="8"/>
        <v/>
      </c>
    </row>
    <row r="176" spans="2:3" ht="15.75" customHeight="1" x14ac:dyDescent="0.25">
      <c r="B176" s="102" t="str">
        <f t="shared" si="7"/>
        <v/>
      </c>
      <c r="C176" s="100" t="str">
        <f t="shared" si="8"/>
        <v/>
      </c>
    </row>
    <row r="177" spans="2:3" ht="15.75" customHeight="1" x14ac:dyDescent="0.25">
      <c r="B177" s="102" t="str">
        <f t="shared" si="7"/>
        <v/>
      </c>
      <c r="C177" s="100" t="str">
        <f t="shared" si="8"/>
        <v/>
      </c>
    </row>
    <row r="178" spans="2:3" ht="15.75" customHeight="1" x14ac:dyDescent="0.25">
      <c r="B178" s="102" t="str">
        <f t="shared" si="7"/>
        <v/>
      </c>
      <c r="C178" s="100" t="str">
        <f t="shared" si="8"/>
        <v/>
      </c>
    </row>
    <row r="179" spans="2:3" ht="15.75" customHeight="1" x14ac:dyDescent="0.25">
      <c r="B179" s="102" t="str">
        <f t="shared" si="7"/>
        <v/>
      </c>
      <c r="C179" s="100" t="str">
        <f t="shared" si="8"/>
        <v/>
      </c>
    </row>
    <row r="180" spans="2:3" ht="15.75" customHeight="1" x14ac:dyDescent="0.25">
      <c r="B180" s="102" t="str">
        <f t="shared" si="7"/>
        <v/>
      </c>
      <c r="C180" s="100" t="str">
        <f t="shared" si="8"/>
        <v/>
      </c>
    </row>
    <row r="181" spans="2:3" ht="15.75" customHeight="1" x14ac:dyDescent="0.25">
      <c r="B181" s="102" t="str">
        <f t="shared" si="7"/>
        <v/>
      </c>
      <c r="C181" s="100" t="str">
        <f t="shared" si="8"/>
        <v/>
      </c>
    </row>
    <row r="182" spans="2:3" ht="15.75" customHeight="1" x14ac:dyDescent="0.25">
      <c r="B182" s="102" t="str">
        <f t="shared" si="7"/>
        <v/>
      </c>
      <c r="C182" s="100" t="str">
        <f t="shared" si="8"/>
        <v/>
      </c>
    </row>
    <row r="183" spans="2:3" ht="15.75" customHeight="1" x14ac:dyDescent="0.25">
      <c r="B183" s="102" t="str">
        <f t="shared" si="7"/>
        <v/>
      </c>
      <c r="C183" s="100" t="str">
        <f t="shared" si="8"/>
        <v/>
      </c>
    </row>
    <row r="184" spans="2:3" ht="15.75" customHeight="1" x14ac:dyDescent="0.25">
      <c r="B184" s="102" t="str">
        <f t="shared" si="7"/>
        <v/>
      </c>
      <c r="C184" s="100" t="str">
        <f t="shared" si="8"/>
        <v/>
      </c>
    </row>
    <row r="185" spans="2:3" ht="15.75" customHeight="1" x14ac:dyDescent="0.25">
      <c r="B185" s="102" t="str">
        <f t="shared" si="7"/>
        <v/>
      </c>
      <c r="C185" s="100" t="str">
        <f t="shared" si="8"/>
        <v/>
      </c>
    </row>
    <row r="186" spans="2:3" ht="15.75" customHeight="1" x14ac:dyDescent="0.25">
      <c r="B186" s="102" t="str">
        <f t="shared" si="7"/>
        <v/>
      </c>
      <c r="C186" s="100" t="str">
        <f t="shared" si="8"/>
        <v/>
      </c>
    </row>
    <row r="187" spans="2:3" ht="15.75" customHeight="1" x14ac:dyDescent="0.25">
      <c r="B187" s="102" t="str">
        <f t="shared" si="7"/>
        <v/>
      </c>
      <c r="C187" s="100" t="str">
        <f t="shared" si="8"/>
        <v/>
      </c>
    </row>
    <row r="188" spans="2:3" ht="15.75" customHeight="1" x14ac:dyDescent="0.25">
      <c r="B188" s="102" t="str">
        <f t="shared" si="7"/>
        <v/>
      </c>
      <c r="C188" s="100" t="str">
        <f t="shared" si="8"/>
        <v/>
      </c>
    </row>
    <row r="189" spans="2:3" ht="15.75" customHeight="1" x14ac:dyDescent="0.25">
      <c r="B189" s="102" t="str">
        <f t="shared" si="7"/>
        <v/>
      </c>
      <c r="C189" s="100" t="str">
        <f t="shared" si="8"/>
        <v/>
      </c>
    </row>
    <row r="190" spans="2:3" ht="15.75" customHeight="1" x14ac:dyDescent="0.25">
      <c r="B190" s="102" t="str">
        <f t="shared" si="7"/>
        <v/>
      </c>
      <c r="C190" s="100" t="str">
        <f t="shared" si="8"/>
        <v/>
      </c>
    </row>
    <row r="191" spans="2:3" ht="15.75" customHeight="1" x14ac:dyDescent="0.25">
      <c r="B191" s="102" t="str">
        <f t="shared" si="7"/>
        <v/>
      </c>
      <c r="C191" s="100" t="str">
        <f t="shared" si="8"/>
        <v/>
      </c>
    </row>
    <row r="192" spans="2:3" ht="15.75" customHeight="1" x14ac:dyDescent="0.25">
      <c r="B192" s="102" t="str">
        <f t="shared" si="7"/>
        <v/>
      </c>
      <c r="C192" s="100" t="str">
        <f t="shared" si="8"/>
        <v/>
      </c>
    </row>
    <row r="193" spans="2:3" ht="15.75" customHeight="1" x14ac:dyDescent="0.25">
      <c r="B193" s="102" t="str">
        <f t="shared" si="7"/>
        <v/>
      </c>
      <c r="C193" s="100" t="str">
        <f t="shared" si="8"/>
        <v/>
      </c>
    </row>
    <row r="194" spans="2:3" ht="15.75" customHeight="1" x14ac:dyDescent="0.25">
      <c r="B194" s="102" t="str">
        <f t="shared" si="7"/>
        <v/>
      </c>
      <c r="C194" s="100" t="str">
        <f t="shared" si="8"/>
        <v/>
      </c>
    </row>
    <row r="195" spans="2:3" ht="15.75" customHeight="1" x14ac:dyDescent="0.25">
      <c r="B195" s="102" t="str">
        <f t="shared" si="7"/>
        <v/>
      </c>
      <c r="C195" s="100" t="str">
        <f t="shared" si="8"/>
        <v/>
      </c>
    </row>
    <row r="196" spans="2:3" ht="15.75" customHeight="1" x14ac:dyDescent="0.25">
      <c r="B196" s="102" t="str">
        <f t="shared" si="7"/>
        <v/>
      </c>
      <c r="C196" s="100" t="str">
        <f t="shared" si="8"/>
        <v/>
      </c>
    </row>
    <row r="197" spans="2:3" ht="15.75" customHeight="1" x14ac:dyDescent="0.25">
      <c r="B197" s="102" t="str">
        <f t="shared" si="7"/>
        <v/>
      </c>
      <c r="C197" s="100" t="str">
        <f t="shared" si="8"/>
        <v/>
      </c>
    </row>
    <row r="198" spans="2:3" ht="15.75" customHeight="1" x14ac:dyDescent="0.25">
      <c r="B198" s="102" t="str">
        <f t="shared" si="7"/>
        <v/>
      </c>
      <c r="C198" s="100" t="str">
        <f t="shared" si="8"/>
        <v/>
      </c>
    </row>
    <row r="199" spans="2:3" ht="15.75" customHeight="1" x14ac:dyDescent="0.25">
      <c r="B199" s="102" t="str">
        <f t="shared" si="7"/>
        <v/>
      </c>
      <c r="C199" s="100" t="str">
        <f t="shared" si="8"/>
        <v/>
      </c>
    </row>
    <row r="200" spans="2:3" ht="15.75" customHeight="1" x14ac:dyDescent="0.25">
      <c r="B200" s="102" t="str">
        <f t="shared" si="7"/>
        <v/>
      </c>
      <c r="C200" s="100" t="str">
        <f t="shared" si="8"/>
        <v/>
      </c>
    </row>
    <row r="201" spans="2:3" ht="15.75" customHeight="1" x14ac:dyDescent="0.25">
      <c r="B201" s="102" t="str">
        <f t="shared" si="7"/>
        <v/>
      </c>
      <c r="C201" s="100" t="str">
        <f t="shared" si="8"/>
        <v/>
      </c>
    </row>
    <row r="202" spans="2:3" ht="15.75" customHeight="1" x14ac:dyDescent="0.25">
      <c r="B202" s="102" t="str">
        <f t="shared" si="7"/>
        <v/>
      </c>
      <c r="C202" s="100" t="str">
        <f t="shared" si="8"/>
        <v/>
      </c>
    </row>
    <row r="203" spans="2:3" ht="15.75" customHeight="1" x14ac:dyDescent="0.25">
      <c r="B203" s="102" t="str">
        <f t="shared" si="7"/>
        <v/>
      </c>
      <c r="C203" s="100" t="str">
        <f t="shared" si="8"/>
        <v/>
      </c>
    </row>
    <row r="204" spans="2:3" ht="15.75" customHeight="1" x14ac:dyDescent="0.25">
      <c r="B204" s="102" t="str">
        <f t="shared" si="7"/>
        <v/>
      </c>
      <c r="C204" s="100" t="str">
        <f t="shared" si="8"/>
        <v/>
      </c>
    </row>
    <row r="205" spans="2:3" ht="15.75" customHeight="1" x14ac:dyDescent="0.25">
      <c r="B205" s="102" t="str">
        <f t="shared" si="7"/>
        <v/>
      </c>
      <c r="C205" s="100" t="str">
        <f t="shared" si="8"/>
        <v/>
      </c>
    </row>
    <row r="206" spans="2:3" ht="15.75" customHeight="1" x14ac:dyDescent="0.25">
      <c r="B206" s="102" t="str">
        <f t="shared" si="7"/>
        <v/>
      </c>
      <c r="C206" s="100" t="str">
        <f t="shared" si="8"/>
        <v/>
      </c>
    </row>
    <row r="207" spans="2:3" ht="15.75" customHeight="1" x14ac:dyDescent="0.25">
      <c r="B207" s="102" t="str">
        <f t="shared" si="7"/>
        <v/>
      </c>
      <c r="C207" s="100" t="str">
        <f t="shared" si="8"/>
        <v/>
      </c>
    </row>
    <row r="208" spans="2:3" ht="15.75" customHeight="1" x14ac:dyDescent="0.25">
      <c r="B208" s="102" t="str">
        <f t="shared" si="7"/>
        <v/>
      </c>
      <c r="C208" s="100" t="str">
        <f t="shared" si="8"/>
        <v/>
      </c>
    </row>
    <row r="209" spans="2:3" ht="15.75" customHeight="1" x14ac:dyDescent="0.25">
      <c r="B209" s="102" t="str">
        <f t="shared" si="7"/>
        <v/>
      </c>
      <c r="C209" s="100" t="str">
        <f t="shared" si="8"/>
        <v/>
      </c>
    </row>
    <row r="210" spans="2:3" ht="15.75" customHeight="1" x14ac:dyDescent="0.25">
      <c r="B210" s="102" t="str">
        <f t="shared" si="7"/>
        <v/>
      </c>
      <c r="C210" s="100" t="str">
        <f t="shared" si="8"/>
        <v/>
      </c>
    </row>
    <row r="211" spans="2:3" ht="15.75" customHeight="1" x14ac:dyDescent="0.25">
      <c r="B211" s="102" t="str">
        <f t="shared" si="7"/>
        <v/>
      </c>
      <c r="C211" s="100" t="str">
        <f t="shared" si="8"/>
        <v/>
      </c>
    </row>
    <row r="212" spans="2:3" ht="15.75" customHeight="1" x14ac:dyDescent="0.25">
      <c r="B212" s="102" t="str">
        <f t="shared" si="7"/>
        <v/>
      </c>
      <c r="C212" s="100" t="str">
        <f t="shared" si="8"/>
        <v/>
      </c>
    </row>
    <row r="213" spans="2:3" ht="15.75" customHeight="1" x14ac:dyDescent="0.25">
      <c r="B213" s="102" t="str">
        <f t="shared" si="7"/>
        <v/>
      </c>
      <c r="C213" s="100" t="str">
        <f t="shared" si="8"/>
        <v/>
      </c>
    </row>
    <row r="214" spans="2:3" ht="15.75" customHeight="1" x14ac:dyDescent="0.25">
      <c r="B214" s="102" t="str">
        <f t="shared" si="7"/>
        <v/>
      </c>
      <c r="C214" s="100" t="str">
        <f t="shared" si="8"/>
        <v/>
      </c>
    </row>
    <row r="215" spans="2:3" ht="15.75" customHeight="1" x14ac:dyDescent="0.25">
      <c r="B215" s="102" t="str">
        <f t="shared" ref="B215:B278" si="9">IF(B214="","",IF(B214+$C$9&lt;=$C$5,B214+$C$9,""))</f>
        <v/>
      </c>
      <c r="C215" s="100" t="str">
        <f t="shared" ref="C215:C278" si="10">IF(B215&lt;&gt;"",C214-$C$2/COUNT($B$17:$B$510),"")</f>
        <v/>
      </c>
    </row>
    <row r="216" spans="2:3" ht="15.75" customHeight="1" x14ac:dyDescent="0.25">
      <c r="B216" s="102" t="str">
        <f t="shared" si="9"/>
        <v/>
      </c>
      <c r="C216" s="100" t="str">
        <f t="shared" si="10"/>
        <v/>
      </c>
    </row>
    <row r="217" spans="2:3" ht="15.75" customHeight="1" x14ac:dyDescent="0.25">
      <c r="B217" s="102" t="str">
        <f t="shared" si="9"/>
        <v/>
      </c>
      <c r="C217" s="100" t="str">
        <f t="shared" si="10"/>
        <v/>
      </c>
    </row>
    <row r="218" spans="2:3" ht="15.75" customHeight="1" x14ac:dyDescent="0.25">
      <c r="B218" s="102" t="str">
        <f t="shared" si="9"/>
        <v/>
      </c>
      <c r="C218" s="100" t="str">
        <f t="shared" si="10"/>
        <v/>
      </c>
    </row>
    <row r="219" spans="2:3" ht="15.75" customHeight="1" x14ac:dyDescent="0.25">
      <c r="B219" s="102" t="str">
        <f t="shared" si="9"/>
        <v/>
      </c>
      <c r="C219" s="100" t="str">
        <f t="shared" si="10"/>
        <v/>
      </c>
    </row>
    <row r="220" spans="2:3" ht="15.75" customHeight="1" x14ac:dyDescent="0.25">
      <c r="B220" s="102" t="str">
        <f t="shared" si="9"/>
        <v/>
      </c>
      <c r="C220" s="100" t="str">
        <f t="shared" si="10"/>
        <v/>
      </c>
    </row>
    <row r="221" spans="2:3" ht="15.75" customHeight="1" x14ac:dyDescent="0.25">
      <c r="B221" s="102" t="str">
        <f t="shared" si="9"/>
        <v/>
      </c>
      <c r="C221" s="100" t="str">
        <f t="shared" si="10"/>
        <v/>
      </c>
    </row>
    <row r="222" spans="2:3" ht="15.75" customHeight="1" x14ac:dyDescent="0.25">
      <c r="B222" s="102" t="str">
        <f t="shared" si="9"/>
        <v/>
      </c>
      <c r="C222" s="100" t="str">
        <f t="shared" si="10"/>
        <v/>
      </c>
    </row>
    <row r="223" spans="2:3" ht="15.75" customHeight="1" x14ac:dyDescent="0.25">
      <c r="B223" s="102" t="str">
        <f t="shared" si="9"/>
        <v/>
      </c>
      <c r="C223" s="100" t="str">
        <f t="shared" si="10"/>
        <v/>
      </c>
    </row>
    <row r="224" spans="2:3" ht="15.75" customHeight="1" x14ac:dyDescent="0.25">
      <c r="B224" s="102" t="str">
        <f t="shared" si="9"/>
        <v/>
      </c>
      <c r="C224" s="100" t="str">
        <f t="shared" si="10"/>
        <v/>
      </c>
    </row>
    <row r="225" spans="2:3" ht="15.75" customHeight="1" x14ac:dyDescent="0.25">
      <c r="B225" s="102" t="str">
        <f t="shared" si="9"/>
        <v/>
      </c>
      <c r="C225" s="100" t="str">
        <f t="shared" si="10"/>
        <v/>
      </c>
    </row>
    <row r="226" spans="2:3" ht="15.75" customHeight="1" x14ac:dyDescent="0.25">
      <c r="B226" s="102" t="str">
        <f t="shared" si="9"/>
        <v/>
      </c>
      <c r="C226" s="100" t="str">
        <f t="shared" si="10"/>
        <v/>
      </c>
    </row>
    <row r="227" spans="2:3" ht="15.75" customHeight="1" x14ac:dyDescent="0.25">
      <c r="B227" s="102" t="str">
        <f t="shared" si="9"/>
        <v/>
      </c>
      <c r="C227" s="100" t="str">
        <f t="shared" si="10"/>
        <v/>
      </c>
    </row>
    <row r="228" spans="2:3" ht="15.75" customHeight="1" x14ac:dyDescent="0.25">
      <c r="B228" s="102" t="str">
        <f t="shared" si="9"/>
        <v/>
      </c>
      <c r="C228" s="100" t="str">
        <f t="shared" si="10"/>
        <v/>
      </c>
    </row>
    <row r="229" spans="2:3" ht="15.75" customHeight="1" x14ac:dyDescent="0.25">
      <c r="B229" s="102" t="str">
        <f t="shared" si="9"/>
        <v/>
      </c>
      <c r="C229" s="100" t="str">
        <f t="shared" si="10"/>
        <v/>
      </c>
    </row>
    <row r="230" spans="2:3" ht="15.75" customHeight="1" x14ac:dyDescent="0.25">
      <c r="B230" s="102" t="str">
        <f t="shared" si="9"/>
        <v/>
      </c>
      <c r="C230" s="100" t="str">
        <f t="shared" si="10"/>
        <v/>
      </c>
    </row>
    <row r="231" spans="2:3" ht="15.75" customHeight="1" x14ac:dyDescent="0.25">
      <c r="B231" s="102" t="str">
        <f t="shared" si="9"/>
        <v/>
      </c>
      <c r="C231" s="100" t="str">
        <f t="shared" si="10"/>
        <v/>
      </c>
    </row>
    <row r="232" spans="2:3" ht="15.75" customHeight="1" x14ac:dyDescent="0.25">
      <c r="B232" s="102" t="str">
        <f t="shared" si="9"/>
        <v/>
      </c>
      <c r="C232" s="100" t="str">
        <f t="shared" si="10"/>
        <v/>
      </c>
    </row>
    <row r="233" spans="2:3" ht="15.75" customHeight="1" x14ac:dyDescent="0.25">
      <c r="B233" s="102" t="str">
        <f t="shared" si="9"/>
        <v/>
      </c>
      <c r="C233" s="100" t="str">
        <f t="shared" si="10"/>
        <v/>
      </c>
    </row>
    <row r="234" spans="2:3" ht="15.75" customHeight="1" x14ac:dyDescent="0.25">
      <c r="B234" s="102" t="str">
        <f t="shared" si="9"/>
        <v/>
      </c>
      <c r="C234" s="100" t="str">
        <f t="shared" si="10"/>
        <v/>
      </c>
    </row>
    <row r="235" spans="2:3" ht="15.75" customHeight="1" x14ac:dyDescent="0.25">
      <c r="B235" s="102" t="str">
        <f t="shared" si="9"/>
        <v/>
      </c>
      <c r="C235" s="100" t="str">
        <f t="shared" si="10"/>
        <v/>
      </c>
    </row>
    <row r="236" spans="2:3" ht="15.75" customHeight="1" x14ac:dyDescent="0.25">
      <c r="B236" s="102" t="str">
        <f t="shared" si="9"/>
        <v/>
      </c>
      <c r="C236" s="100" t="str">
        <f t="shared" si="10"/>
        <v/>
      </c>
    </row>
    <row r="237" spans="2:3" ht="15.75" customHeight="1" x14ac:dyDescent="0.25">
      <c r="B237" s="102" t="str">
        <f t="shared" si="9"/>
        <v/>
      </c>
      <c r="C237" s="100" t="str">
        <f t="shared" si="10"/>
        <v/>
      </c>
    </row>
    <row r="238" spans="2:3" ht="15.75" customHeight="1" x14ac:dyDescent="0.25">
      <c r="B238" s="102" t="str">
        <f t="shared" si="9"/>
        <v/>
      </c>
      <c r="C238" s="100" t="str">
        <f t="shared" si="10"/>
        <v/>
      </c>
    </row>
    <row r="239" spans="2:3" ht="15.75" customHeight="1" x14ac:dyDescent="0.25">
      <c r="B239" s="102" t="str">
        <f t="shared" si="9"/>
        <v/>
      </c>
      <c r="C239" s="100" t="str">
        <f t="shared" si="10"/>
        <v/>
      </c>
    </row>
    <row r="240" spans="2:3" ht="15.75" customHeight="1" x14ac:dyDescent="0.25">
      <c r="B240" s="102" t="str">
        <f t="shared" si="9"/>
        <v/>
      </c>
      <c r="C240" s="100" t="str">
        <f t="shared" si="10"/>
        <v/>
      </c>
    </row>
    <row r="241" spans="2:3" ht="15.75" customHeight="1" x14ac:dyDescent="0.25">
      <c r="B241" s="102" t="str">
        <f t="shared" si="9"/>
        <v/>
      </c>
      <c r="C241" s="100" t="str">
        <f t="shared" si="10"/>
        <v/>
      </c>
    </row>
    <row r="242" spans="2:3" ht="15.75" customHeight="1" x14ac:dyDescent="0.25">
      <c r="B242" s="102" t="str">
        <f t="shared" si="9"/>
        <v/>
      </c>
      <c r="C242" s="100" t="str">
        <f t="shared" si="10"/>
        <v/>
      </c>
    </row>
    <row r="243" spans="2:3" ht="15.75" customHeight="1" x14ac:dyDescent="0.25">
      <c r="B243" s="102" t="str">
        <f t="shared" si="9"/>
        <v/>
      </c>
      <c r="C243" s="100" t="str">
        <f t="shared" si="10"/>
        <v/>
      </c>
    </row>
    <row r="244" spans="2:3" ht="15.75" customHeight="1" x14ac:dyDescent="0.25">
      <c r="B244" s="102" t="str">
        <f t="shared" si="9"/>
        <v/>
      </c>
      <c r="C244" s="100" t="str">
        <f t="shared" si="10"/>
        <v/>
      </c>
    </row>
    <row r="245" spans="2:3" ht="15.75" customHeight="1" x14ac:dyDescent="0.25">
      <c r="B245" s="102" t="str">
        <f t="shared" si="9"/>
        <v/>
      </c>
      <c r="C245" s="100" t="str">
        <f t="shared" si="10"/>
        <v/>
      </c>
    </row>
    <row r="246" spans="2:3" ht="15.75" customHeight="1" x14ac:dyDescent="0.25">
      <c r="B246" s="102" t="str">
        <f t="shared" si="9"/>
        <v/>
      </c>
      <c r="C246" s="100" t="str">
        <f t="shared" si="10"/>
        <v/>
      </c>
    </row>
    <row r="247" spans="2:3" ht="15.75" customHeight="1" x14ac:dyDescent="0.25">
      <c r="B247" s="102" t="str">
        <f t="shared" si="9"/>
        <v/>
      </c>
      <c r="C247" s="100" t="str">
        <f t="shared" si="10"/>
        <v/>
      </c>
    </row>
    <row r="248" spans="2:3" ht="15.75" customHeight="1" x14ac:dyDescent="0.25">
      <c r="B248" s="102" t="str">
        <f t="shared" si="9"/>
        <v/>
      </c>
      <c r="C248" s="100" t="str">
        <f t="shared" si="10"/>
        <v/>
      </c>
    </row>
    <row r="249" spans="2:3" ht="15.75" customHeight="1" x14ac:dyDescent="0.25">
      <c r="B249" s="102" t="str">
        <f t="shared" si="9"/>
        <v/>
      </c>
      <c r="C249" s="100" t="str">
        <f t="shared" si="10"/>
        <v/>
      </c>
    </row>
    <row r="250" spans="2:3" ht="15.75" customHeight="1" x14ac:dyDescent="0.25">
      <c r="B250" s="102" t="str">
        <f t="shared" si="9"/>
        <v/>
      </c>
      <c r="C250" s="100" t="str">
        <f t="shared" si="10"/>
        <v/>
      </c>
    </row>
    <row r="251" spans="2:3" ht="15.75" customHeight="1" x14ac:dyDescent="0.25">
      <c r="B251" s="102" t="str">
        <f t="shared" si="9"/>
        <v/>
      </c>
      <c r="C251" s="100" t="str">
        <f t="shared" si="10"/>
        <v/>
      </c>
    </row>
    <row r="252" spans="2:3" ht="15.75" customHeight="1" x14ac:dyDescent="0.25">
      <c r="B252" s="102" t="str">
        <f t="shared" si="9"/>
        <v/>
      </c>
      <c r="C252" s="100" t="str">
        <f t="shared" si="10"/>
        <v/>
      </c>
    </row>
    <row r="253" spans="2:3" ht="15.75" customHeight="1" x14ac:dyDescent="0.25">
      <c r="B253" s="102" t="str">
        <f t="shared" si="9"/>
        <v/>
      </c>
      <c r="C253" s="100" t="str">
        <f t="shared" si="10"/>
        <v/>
      </c>
    </row>
    <row r="254" spans="2:3" ht="15.75" customHeight="1" x14ac:dyDescent="0.25">
      <c r="B254" s="102" t="str">
        <f t="shared" si="9"/>
        <v/>
      </c>
      <c r="C254" s="100" t="str">
        <f t="shared" si="10"/>
        <v/>
      </c>
    </row>
    <row r="255" spans="2:3" ht="15.75" customHeight="1" x14ac:dyDescent="0.25">
      <c r="B255" s="102" t="str">
        <f t="shared" si="9"/>
        <v/>
      </c>
      <c r="C255" s="100" t="str">
        <f t="shared" si="10"/>
        <v/>
      </c>
    </row>
    <row r="256" spans="2:3" ht="15.75" customHeight="1" x14ac:dyDescent="0.25">
      <c r="B256" s="102" t="str">
        <f t="shared" si="9"/>
        <v/>
      </c>
      <c r="C256" s="100" t="str">
        <f t="shared" si="10"/>
        <v/>
      </c>
    </row>
    <row r="257" spans="2:3" ht="15.75" customHeight="1" x14ac:dyDescent="0.25">
      <c r="B257" s="102" t="str">
        <f t="shared" si="9"/>
        <v/>
      </c>
      <c r="C257" s="100" t="str">
        <f t="shared" si="10"/>
        <v/>
      </c>
    </row>
    <row r="258" spans="2:3" ht="15.75" customHeight="1" x14ac:dyDescent="0.25">
      <c r="B258" s="102" t="str">
        <f t="shared" si="9"/>
        <v/>
      </c>
      <c r="C258" s="100" t="str">
        <f t="shared" si="10"/>
        <v/>
      </c>
    </row>
    <row r="259" spans="2:3" ht="15.75" customHeight="1" x14ac:dyDescent="0.25">
      <c r="B259" s="102" t="str">
        <f t="shared" si="9"/>
        <v/>
      </c>
      <c r="C259" s="100" t="str">
        <f t="shared" si="10"/>
        <v/>
      </c>
    </row>
    <row r="260" spans="2:3" ht="15.75" customHeight="1" x14ac:dyDescent="0.25">
      <c r="B260" s="102" t="str">
        <f t="shared" si="9"/>
        <v/>
      </c>
      <c r="C260" s="100" t="str">
        <f t="shared" si="10"/>
        <v/>
      </c>
    </row>
    <row r="261" spans="2:3" ht="15.75" customHeight="1" x14ac:dyDescent="0.25">
      <c r="B261" s="102" t="str">
        <f t="shared" si="9"/>
        <v/>
      </c>
      <c r="C261" s="100" t="str">
        <f t="shared" si="10"/>
        <v/>
      </c>
    </row>
    <row r="262" spans="2:3" ht="15.75" customHeight="1" x14ac:dyDescent="0.25">
      <c r="B262" s="102" t="str">
        <f t="shared" si="9"/>
        <v/>
      </c>
      <c r="C262" s="100" t="str">
        <f t="shared" si="10"/>
        <v/>
      </c>
    </row>
    <row r="263" spans="2:3" ht="15.75" customHeight="1" x14ac:dyDescent="0.25">
      <c r="B263" s="102" t="str">
        <f t="shared" si="9"/>
        <v/>
      </c>
      <c r="C263" s="100" t="str">
        <f t="shared" si="10"/>
        <v/>
      </c>
    </row>
    <row r="264" spans="2:3" ht="15.75" customHeight="1" x14ac:dyDescent="0.25">
      <c r="B264" s="102" t="str">
        <f t="shared" si="9"/>
        <v/>
      </c>
      <c r="C264" s="100" t="str">
        <f t="shared" si="10"/>
        <v/>
      </c>
    </row>
    <row r="265" spans="2:3" ht="15.75" customHeight="1" x14ac:dyDescent="0.25">
      <c r="B265" s="102" t="str">
        <f t="shared" si="9"/>
        <v/>
      </c>
      <c r="C265" s="100" t="str">
        <f t="shared" si="10"/>
        <v/>
      </c>
    </row>
    <row r="266" spans="2:3" ht="15.75" customHeight="1" x14ac:dyDescent="0.25">
      <c r="B266" s="102" t="str">
        <f t="shared" si="9"/>
        <v/>
      </c>
      <c r="C266" s="100" t="str">
        <f t="shared" si="10"/>
        <v/>
      </c>
    </row>
    <row r="267" spans="2:3" ht="15.75" customHeight="1" x14ac:dyDescent="0.25">
      <c r="B267" s="102" t="str">
        <f t="shared" si="9"/>
        <v/>
      </c>
      <c r="C267" s="100" t="str">
        <f t="shared" si="10"/>
        <v/>
      </c>
    </row>
    <row r="268" spans="2:3" ht="15.75" customHeight="1" x14ac:dyDescent="0.25">
      <c r="B268" s="102" t="str">
        <f t="shared" si="9"/>
        <v/>
      </c>
      <c r="C268" s="100" t="str">
        <f t="shared" si="10"/>
        <v/>
      </c>
    </row>
    <row r="269" spans="2:3" ht="15.75" customHeight="1" x14ac:dyDescent="0.25">
      <c r="B269" s="102" t="str">
        <f t="shared" si="9"/>
        <v/>
      </c>
      <c r="C269" s="100" t="str">
        <f t="shared" si="10"/>
        <v/>
      </c>
    </row>
    <row r="270" spans="2:3" ht="15.75" customHeight="1" x14ac:dyDescent="0.25">
      <c r="B270" s="102" t="str">
        <f t="shared" si="9"/>
        <v/>
      </c>
      <c r="C270" s="100" t="str">
        <f t="shared" si="10"/>
        <v/>
      </c>
    </row>
    <row r="271" spans="2:3" ht="15.75" customHeight="1" x14ac:dyDescent="0.25">
      <c r="B271" s="102" t="str">
        <f t="shared" si="9"/>
        <v/>
      </c>
      <c r="C271" s="100" t="str">
        <f t="shared" si="10"/>
        <v/>
      </c>
    </row>
    <row r="272" spans="2:3" ht="15.75" customHeight="1" x14ac:dyDescent="0.25">
      <c r="B272" s="102" t="str">
        <f t="shared" si="9"/>
        <v/>
      </c>
      <c r="C272" s="100" t="str">
        <f t="shared" si="10"/>
        <v/>
      </c>
    </row>
    <row r="273" spans="2:3" ht="15.75" customHeight="1" x14ac:dyDescent="0.25">
      <c r="B273" s="102" t="str">
        <f t="shared" si="9"/>
        <v/>
      </c>
      <c r="C273" s="100" t="str">
        <f t="shared" si="10"/>
        <v/>
      </c>
    </row>
    <row r="274" spans="2:3" ht="15.75" customHeight="1" x14ac:dyDescent="0.25">
      <c r="B274" s="102" t="str">
        <f t="shared" si="9"/>
        <v/>
      </c>
      <c r="C274" s="100" t="str">
        <f t="shared" si="10"/>
        <v/>
      </c>
    </row>
    <row r="275" spans="2:3" ht="15.75" customHeight="1" x14ac:dyDescent="0.25">
      <c r="B275" s="102" t="str">
        <f t="shared" si="9"/>
        <v/>
      </c>
      <c r="C275" s="100" t="str">
        <f t="shared" si="10"/>
        <v/>
      </c>
    </row>
    <row r="276" spans="2:3" ht="15.75" customHeight="1" x14ac:dyDescent="0.25">
      <c r="B276" s="102" t="str">
        <f t="shared" si="9"/>
        <v/>
      </c>
      <c r="C276" s="100" t="str">
        <f t="shared" si="10"/>
        <v/>
      </c>
    </row>
    <row r="277" spans="2:3" ht="15.75" customHeight="1" x14ac:dyDescent="0.25">
      <c r="B277" s="102" t="str">
        <f t="shared" si="9"/>
        <v/>
      </c>
      <c r="C277" s="100" t="str">
        <f t="shared" si="10"/>
        <v/>
      </c>
    </row>
    <row r="278" spans="2:3" ht="15.75" customHeight="1" x14ac:dyDescent="0.25">
      <c r="B278" s="102" t="str">
        <f t="shared" si="9"/>
        <v/>
      </c>
      <c r="C278" s="100" t="str">
        <f t="shared" si="10"/>
        <v/>
      </c>
    </row>
    <row r="279" spans="2:3" ht="15.75" customHeight="1" x14ac:dyDescent="0.25">
      <c r="B279" s="102" t="str">
        <f t="shared" ref="B279:B342" si="11">IF(B278="","",IF(B278+$C$9&lt;=$C$5,B278+$C$9,""))</f>
        <v/>
      </c>
      <c r="C279" s="100" t="str">
        <f t="shared" ref="C279:C342" si="12">IF(B279&lt;&gt;"",C278-$C$2/COUNT($B$17:$B$510),"")</f>
        <v/>
      </c>
    </row>
    <row r="280" spans="2:3" ht="15.75" customHeight="1" x14ac:dyDescent="0.25">
      <c r="B280" s="102" t="str">
        <f t="shared" si="11"/>
        <v/>
      </c>
      <c r="C280" s="100" t="str">
        <f t="shared" si="12"/>
        <v/>
      </c>
    </row>
    <row r="281" spans="2:3" ht="15.75" customHeight="1" x14ac:dyDescent="0.25">
      <c r="B281" s="102" t="str">
        <f t="shared" si="11"/>
        <v/>
      </c>
      <c r="C281" s="100" t="str">
        <f t="shared" si="12"/>
        <v/>
      </c>
    </row>
    <row r="282" spans="2:3" ht="15.75" customHeight="1" x14ac:dyDescent="0.25">
      <c r="B282" s="102" t="str">
        <f t="shared" si="11"/>
        <v/>
      </c>
      <c r="C282" s="100" t="str">
        <f t="shared" si="12"/>
        <v/>
      </c>
    </row>
    <row r="283" spans="2:3" ht="15.75" customHeight="1" x14ac:dyDescent="0.25">
      <c r="B283" s="102" t="str">
        <f t="shared" si="11"/>
        <v/>
      </c>
      <c r="C283" s="100" t="str">
        <f t="shared" si="12"/>
        <v/>
      </c>
    </row>
    <row r="284" spans="2:3" ht="15.75" customHeight="1" x14ac:dyDescent="0.25">
      <c r="B284" s="102" t="str">
        <f t="shared" si="11"/>
        <v/>
      </c>
      <c r="C284" s="100" t="str">
        <f t="shared" si="12"/>
        <v/>
      </c>
    </row>
    <row r="285" spans="2:3" ht="15.75" customHeight="1" x14ac:dyDescent="0.25">
      <c r="B285" s="102" t="str">
        <f t="shared" si="11"/>
        <v/>
      </c>
      <c r="C285" s="100" t="str">
        <f t="shared" si="12"/>
        <v/>
      </c>
    </row>
    <row r="286" spans="2:3" ht="15.75" customHeight="1" x14ac:dyDescent="0.25">
      <c r="B286" s="102" t="str">
        <f t="shared" si="11"/>
        <v/>
      </c>
      <c r="C286" s="100" t="str">
        <f t="shared" si="12"/>
        <v/>
      </c>
    </row>
    <row r="287" spans="2:3" ht="15.75" customHeight="1" x14ac:dyDescent="0.25">
      <c r="B287" s="102" t="str">
        <f t="shared" si="11"/>
        <v/>
      </c>
      <c r="C287" s="100" t="str">
        <f t="shared" si="12"/>
        <v/>
      </c>
    </row>
    <row r="288" spans="2:3" ht="15.75" customHeight="1" x14ac:dyDescent="0.25">
      <c r="B288" s="102" t="str">
        <f t="shared" si="11"/>
        <v/>
      </c>
      <c r="C288" s="100" t="str">
        <f t="shared" si="12"/>
        <v/>
      </c>
    </row>
    <row r="289" spans="2:3" ht="15.75" customHeight="1" x14ac:dyDescent="0.25">
      <c r="B289" s="102" t="str">
        <f t="shared" si="11"/>
        <v/>
      </c>
      <c r="C289" s="100" t="str">
        <f t="shared" si="12"/>
        <v/>
      </c>
    </row>
    <row r="290" spans="2:3" ht="15.75" customHeight="1" x14ac:dyDescent="0.25">
      <c r="B290" s="102" t="str">
        <f t="shared" si="11"/>
        <v/>
      </c>
      <c r="C290" s="100" t="str">
        <f t="shared" si="12"/>
        <v/>
      </c>
    </row>
    <row r="291" spans="2:3" ht="15.75" customHeight="1" x14ac:dyDescent="0.25">
      <c r="B291" s="102" t="str">
        <f t="shared" si="11"/>
        <v/>
      </c>
      <c r="C291" s="100" t="str">
        <f t="shared" si="12"/>
        <v/>
      </c>
    </row>
    <row r="292" spans="2:3" ht="15.75" customHeight="1" x14ac:dyDescent="0.25">
      <c r="B292" s="102" t="str">
        <f t="shared" si="11"/>
        <v/>
      </c>
      <c r="C292" s="100" t="str">
        <f t="shared" si="12"/>
        <v/>
      </c>
    </row>
    <row r="293" spans="2:3" ht="15.75" customHeight="1" x14ac:dyDescent="0.25">
      <c r="B293" s="102" t="str">
        <f t="shared" si="11"/>
        <v/>
      </c>
      <c r="C293" s="100" t="str">
        <f t="shared" si="12"/>
        <v/>
      </c>
    </row>
    <row r="294" spans="2:3" ht="15.75" customHeight="1" x14ac:dyDescent="0.25">
      <c r="B294" s="102" t="str">
        <f t="shared" si="11"/>
        <v/>
      </c>
      <c r="C294" s="100" t="str">
        <f t="shared" si="12"/>
        <v/>
      </c>
    </row>
    <row r="295" spans="2:3" ht="15.75" customHeight="1" x14ac:dyDescent="0.25">
      <c r="B295" s="102" t="str">
        <f t="shared" si="11"/>
        <v/>
      </c>
      <c r="C295" s="100" t="str">
        <f t="shared" si="12"/>
        <v/>
      </c>
    </row>
    <row r="296" spans="2:3" ht="15.75" customHeight="1" x14ac:dyDescent="0.25">
      <c r="B296" s="102" t="str">
        <f t="shared" si="11"/>
        <v/>
      </c>
      <c r="C296" s="100" t="str">
        <f t="shared" si="12"/>
        <v/>
      </c>
    </row>
    <row r="297" spans="2:3" ht="15.75" customHeight="1" x14ac:dyDescent="0.25">
      <c r="B297" s="102" t="str">
        <f t="shared" si="11"/>
        <v/>
      </c>
      <c r="C297" s="100" t="str">
        <f t="shared" si="12"/>
        <v/>
      </c>
    </row>
    <row r="298" spans="2:3" ht="15.75" customHeight="1" x14ac:dyDescent="0.25">
      <c r="B298" s="102" t="str">
        <f t="shared" si="11"/>
        <v/>
      </c>
      <c r="C298" s="100" t="str">
        <f t="shared" si="12"/>
        <v/>
      </c>
    </row>
    <row r="299" spans="2:3" ht="15.75" customHeight="1" x14ac:dyDescent="0.25">
      <c r="B299" s="102" t="str">
        <f t="shared" si="11"/>
        <v/>
      </c>
      <c r="C299" s="100" t="str">
        <f t="shared" si="12"/>
        <v/>
      </c>
    </row>
    <row r="300" spans="2:3" ht="15.75" customHeight="1" x14ac:dyDescent="0.25">
      <c r="B300" s="102" t="str">
        <f t="shared" si="11"/>
        <v/>
      </c>
      <c r="C300" s="100" t="str">
        <f t="shared" si="12"/>
        <v/>
      </c>
    </row>
    <row r="301" spans="2:3" ht="15.75" customHeight="1" x14ac:dyDescent="0.25">
      <c r="B301" s="102" t="str">
        <f t="shared" si="11"/>
        <v/>
      </c>
      <c r="C301" s="100" t="str">
        <f t="shared" si="12"/>
        <v/>
      </c>
    </row>
    <row r="302" spans="2:3" ht="15.75" customHeight="1" x14ac:dyDescent="0.25">
      <c r="B302" s="102" t="str">
        <f t="shared" si="11"/>
        <v/>
      </c>
      <c r="C302" s="100" t="str">
        <f t="shared" si="12"/>
        <v/>
      </c>
    </row>
    <row r="303" spans="2:3" ht="15.75" customHeight="1" x14ac:dyDescent="0.25">
      <c r="B303" s="102" t="str">
        <f t="shared" si="11"/>
        <v/>
      </c>
      <c r="C303" s="100" t="str">
        <f t="shared" si="12"/>
        <v/>
      </c>
    </row>
    <row r="304" spans="2:3" ht="15.75" customHeight="1" x14ac:dyDescent="0.25">
      <c r="B304" s="102" t="str">
        <f t="shared" si="11"/>
        <v/>
      </c>
      <c r="C304" s="100" t="str">
        <f t="shared" si="12"/>
        <v/>
      </c>
    </row>
    <row r="305" spans="2:3" ht="15.75" customHeight="1" x14ac:dyDescent="0.25">
      <c r="B305" s="102" t="str">
        <f t="shared" si="11"/>
        <v/>
      </c>
      <c r="C305" s="100" t="str">
        <f t="shared" si="12"/>
        <v/>
      </c>
    </row>
    <row r="306" spans="2:3" ht="15.75" customHeight="1" x14ac:dyDescent="0.25">
      <c r="B306" s="102" t="str">
        <f t="shared" si="11"/>
        <v/>
      </c>
      <c r="C306" s="100" t="str">
        <f t="shared" si="12"/>
        <v/>
      </c>
    </row>
    <row r="307" spans="2:3" ht="15.75" customHeight="1" x14ac:dyDescent="0.25">
      <c r="B307" s="102" t="str">
        <f t="shared" si="11"/>
        <v/>
      </c>
      <c r="C307" s="100" t="str">
        <f t="shared" si="12"/>
        <v/>
      </c>
    </row>
    <row r="308" spans="2:3" ht="15.75" customHeight="1" x14ac:dyDescent="0.25">
      <c r="B308" s="102" t="str">
        <f t="shared" si="11"/>
        <v/>
      </c>
      <c r="C308" s="100" t="str">
        <f t="shared" si="12"/>
        <v/>
      </c>
    </row>
    <row r="309" spans="2:3" ht="15.75" customHeight="1" x14ac:dyDescent="0.25">
      <c r="B309" s="102" t="str">
        <f t="shared" si="11"/>
        <v/>
      </c>
      <c r="C309" s="100" t="str">
        <f t="shared" si="12"/>
        <v/>
      </c>
    </row>
    <row r="310" spans="2:3" ht="15.75" customHeight="1" x14ac:dyDescent="0.25">
      <c r="B310" s="102" t="str">
        <f t="shared" si="11"/>
        <v/>
      </c>
      <c r="C310" s="100" t="str">
        <f t="shared" si="12"/>
        <v/>
      </c>
    </row>
    <row r="311" spans="2:3" ht="15.75" customHeight="1" x14ac:dyDescent="0.25">
      <c r="B311" s="102" t="str">
        <f t="shared" si="11"/>
        <v/>
      </c>
      <c r="C311" s="100" t="str">
        <f t="shared" si="12"/>
        <v/>
      </c>
    </row>
    <row r="312" spans="2:3" ht="15.75" customHeight="1" x14ac:dyDescent="0.25">
      <c r="B312" s="102" t="str">
        <f t="shared" si="11"/>
        <v/>
      </c>
      <c r="C312" s="100" t="str">
        <f t="shared" si="12"/>
        <v/>
      </c>
    </row>
    <row r="313" spans="2:3" ht="15.75" customHeight="1" x14ac:dyDescent="0.25">
      <c r="B313" s="102" t="str">
        <f t="shared" si="11"/>
        <v/>
      </c>
      <c r="C313" s="100" t="str">
        <f t="shared" si="12"/>
        <v/>
      </c>
    </row>
    <row r="314" spans="2:3" ht="15.75" customHeight="1" x14ac:dyDescent="0.25">
      <c r="B314" s="102" t="str">
        <f t="shared" si="11"/>
        <v/>
      </c>
      <c r="C314" s="100" t="str">
        <f t="shared" si="12"/>
        <v/>
      </c>
    </row>
    <row r="315" spans="2:3" ht="15.75" customHeight="1" x14ac:dyDescent="0.25">
      <c r="B315" s="102" t="str">
        <f t="shared" si="11"/>
        <v/>
      </c>
      <c r="C315" s="100" t="str">
        <f t="shared" si="12"/>
        <v/>
      </c>
    </row>
    <row r="316" spans="2:3" ht="15.75" customHeight="1" x14ac:dyDescent="0.25">
      <c r="B316" s="102" t="str">
        <f t="shared" si="11"/>
        <v/>
      </c>
      <c r="C316" s="100" t="str">
        <f t="shared" si="12"/>
        <v/>
      </c>
    </row>
    <row r="317" spans="2:3" ht="15.75" customHeight="1" x14ac:dyDescent="0.25">
      <c r="B317" s="102" t="str">
        <f t="shared" si="11"/>
        <v/>
      </c>
      <c r="C317" s="100" t="str">
        <f t="shared" si="12"/>
        <v/>
      </c>
    </row>
    <row r="318" spans="2:3" ht="15.75" customHeight="1" x14ac:dyDescent="0.25">
      <c r="B318" s="102" t="str">
        <f t="shared" si="11"/>
        <v/>
      </c>
      <c r="C318" s="100" t="str">
        <f t="shared" si="12"/>
        <v/>
      </c>
    </row>
    <row r="319" spans="2:3" ht="15.75" customHeight="1" x14ac:dyDescent="0.25">
      <c r="B319" s="102" t="str">
        <f t="shared" si="11"/>
        <v/>
      </c>
      <c r="C319" s="100" t="str">
        <f t="shared" si="12"/>
        <v/>
      </c>
    </row>
    <row r="320" spans="2:3" ht="15.75" customHeight="1" x14ac:dyDescent="0.25">
      <c r="B320" s="102" t="str">
        <f t="shared" si="11"/>
        <v/>
      </c>
      <c r="C320" s="100" t="str">
        <f t="shared" si="12"/>
        <v/>
      </c>
    </row>
    <row r="321" spans="2:3" ht="15.75" customHeight="1" x14ac:dyDescent="0.25">
      <c r="B321" s="102" t="str">
        <f t="shared" si="11"/>
        <v/>
      </c>
      <c r="C321" s="100" t="str">
        <f t="shared" si="12"/>
        <v/>
      </c>
    </row>
    <row r="322" spans="2:3" ht="15.75" customHeight="1" x14ac:dyDescent="0.25">
      <c r="B322" s="102" t="str">
        <f t="shared" si="11"/>
        <v/>
      </c>
      <c r="C322" s="100" t="str">
        <f t="shared" si="12"/>
        <v/>
      </c>
    </row>
    <row r="323" spans="2:3" ht="15.75" customHeight="1" x14ac:dyDescent="0.25">
      <c r="B323" s="102" t="str">
        <f t="shared" si="11"/>
        <v/>
      </c>
      <c r="C323" s="100" t="str">
        <f t="shared" si="12"/>
        <v/>
      </c>
    </row>
    <row r="324" spans="2:3" ht="15.75" customHeight="1" x14ac:dyDescent="0.25">
      <c r="B324" s="102" t="str">
        <f t="shared" si="11"/>
        <v/>
      </c>
      <c r="C324" s="100" t="str">
        <f t="shared" si="12"/>
        <v/>
      </c>
    </row>
    <row r="325" spans="2:3" ht="15.75" customHeight="1" x14ac:dyDescent="0.25">
      <c r="B325" s="102" t="str">
        <f t="shared" si="11"/>
        <v/>
      </c>
      <c r="C325" s="100" t="str">
        <f t="shared" si="12"/>
        <v/>
      </c>
    </row>
    <row r="326" spans="2:3" ht="15.75" customHeight="1" x14ac:dyDescent="0.25">
      <c r="B326" s="102" t="str">
        <f t="shared" si="11"/>
        <v/>
      </c>
      <c r="C326" s="100" t="str">
        <f t="shared" si="12"/>
        <v/>
      </c>
    </row>
    <row r="327" spans="2:3" ht="15.75" customHeight="1" x14ac:dyDescent="0.25">
      <c r="B327" s="102" t="str">
        <f t="shared" si="11"/>
        <v/>
      </c>
      <c r="C327" s="100" t="str">
        <f t="shared" si="12"/>
        <v/>
      </c>
    </row>
    <row r="328" spans="2:3" ht="15.75" customHeight="1" x14ac:dyDescent="0.25">
      <c r="B328" s="102" t="str">
        <f t="shared" si="11"/>
        <v/>
      </c>
      <c r="C328" s="100" t="str">
        <f t="shared" si="12"/>
        <v/>
      </c>
    </row>
    <row r="329" spans="2:3" ht="15.75" customHeight="1" x14ac:dyDescent="0.25">
      <c r="B329" s="102" t="str">
        <f t="shared" si="11"/>
        <v/>
      </c>
      <c r="C329" s="100" t="str">
        <f t="shared" si="12"/>
        <v/>
      </c>
    </row>
    <row r="330" spans="2:3" ht="15.75" customHeight="1" x14ac:dyDescent="0.25">
      <c r="B330" s="102" t="str">
        <f t="shared" si="11"/>
        <v/>
      </c>
      <c r="C330" s="100" t="str">
        <f t="shared" si="12"/>
        <v/>
      </c>
    </row>
    <row r="331" spans="2:3" ht="15.75" customHeight="1" x14ac:dyDescent="0.25">
      <c r="B331" s="102" t="str">
        <f t="shared" si="11"/>
        <v/>
      </c>
      <c r="C331" s="100" t="str">
        <f t="shared" si="12"/>
        <v/>
      </c>
    </row>
    <row r="332" spans="2:3" ht="15.75" customHeight="1" x14ac:dyDescent="0.25">
      <c r="B332" s="102" t="str">
        <f t="shared" si="11"/>
        <v/>
      </c>
      <c r="C332" s="100" t="str">
        <f t="shared" si="12"/>
        <v/>
      </c>
    </row>
    <row r="333" spans="2:3" ht="15.75" customHeight="1" x14ac:dyDescent="0.25">
      <c r="B333" s="102" t="str">
        <f t="shared" si="11"/>
        <v/>
      </c>
      <c r="C333" s="100" t="str">
        <f t="shared" si="12"/>
        <v/>
      </c>
    </row>
    <row r="334" spans="2:3" ht="15.75" customHeight="1" x14ac:dyDescent="0.25">
      <c r="B334" s="102" t="str">
        <f t="shared" si="11"/>
        <v/>
      </c>
      <c r="C334" s="100" t="str">
        <f t="shared" si="12"/>
        <v/>
      </c>
    </row>
    <row r="335" spans="2:3" ht="15.75" customHeight="1" x14ac:dyDescent="0.25">
      <c r="B335" s="102" t="str">
        <f t="shared" si="11"/>
        <v/>
      </c>
      <c r="C335" s="100" t="str">
        <f t="shared" si="12"/>
        <v/>
      </c>
    </row>
    <row r="336" spans="2:3" ht="15.75" customHeight="1" x14ac:dyDescent="0.25">
      <c r="B336" s="102" t="str">
        <f t="shared" si="11"/>
        <v/>
      </c>
      <c r="C336" s="100" t="str">
        <f t="shared" si="12"/>
        <v/>
      </c>
    </row>
    <row r="337" spans="2:3" ht="15.75" customHeight="1" x14ac:dyDescent="0.25">
      <c r="B337" s="102" t="str">
        <f t="shared" si="11"/>
        <v/>
      </c>
      <c r="C337" s="100" t="str">
        <f t="shared" si="12"/>
        <v/>
      </c>
    </row>
    <row r="338" spans="2:3" ht="15.75" customHeight="1" x14ac:dyDescent="0.25">
      <c r="B338" s="102" t="str">
        <f t="shared" si="11"/>
        <v/>
      </c>
      <c r="C338" s="100" t="str">
        <f t="shared" si="12"/>
        <v/>
      </c>
    </row>
    <row r="339" spans="2:3" ht="15.75" customHeight="1" x14ac:dyDescent="0.25">
      <c r="B339" s="102" t="str">
        <f t="shared" si="11"/>
        <v/>
      </c>
      <c r="C339" s="100" t="str">
        <f t="shared" si="12"/>
        <v/>
      </c>
    </row>
    <row r="340" spans="2:3" ht="15.75" customHeight="1" x14ac:dyDescent="0.25">
      <c r="B340" s="102" t="str">
        <f t="shared" si="11"/>
        <v/>
      </c>
      <c r="C340" s="100" t="str">
        <f t="shared" si="12"/>
        <v/>
      </c>
    </row>
    <row r="341" spans="2:3" ht="15.75" customHeight="1" x14ac:dyDescent="0.25">
      <c r="B341" s="102" t="str">
        <f t="shared" si="11"/>
        <v/>
      </c>
      <c r="C341" s="100" t="str">
        <f t="shared" si="12"/>
        <v/>
      </c>
    </row>
    <row r="342" spans="2:3" ht="15.75" customHeight="1" x14ac:dyDescent="0.25">
      <c r="B342" s="102" t="str">
        <f t="shared" si="11"/>
        <v/>
      </c>
      <c r="C342" s="100" t="str">
        <f t="shared" si="12"/>
        <v/>
      </c>
    </row>
    <row r="343" spans="2:3" ht="15.75" customHeight="1" x14ac:dyDescent="0.25">
      <c r="B343" s="102" t="str">
        <f t="shared" ref="B343:B406" si="13">IF(B342="","",IF(B342+$C$9&lt;=$C$5,B342+$C$9,""))</f>
        <v/>
      </c>
      <c r="C343" s="100" t="str">
        <f t="shared" ref="C343:C406" si="14">IF(B343&lt;&gt;"",C342-$C$2/COUNT($B$17:$B$510),"")</f>
        <v/>
      </c>
    </row>
    <row r="344" spans="2:3" ht="15.75" customHeight="1" x14ac:dyDescent="0.25">
      <c r="B344" s="102" t="str">
        <f t="shared" si="13"/>
        <v/>
      </c>
      <c r="C344" s="100" t="str">
        <f t="shared" si="14"/>
        <v/>
      </c>
    </row>
    <row r="345" spans="2:3" ht="15.75" customHeight="1" x14ac:dyDescent="0.25">
      <c r="B345" s="102" t="str">
        <f t="shared" si="13"/>
        <v/>
      </c>
      <c r="C345" s="100" t="str">
        <f t="shared" si="14"/>
        <v/>
      </c>
    </row>
    <row r="346" spans="2:3" ht="15.75" customHeight="1" x14ac:dyDescent="0.25">
      <c r="B346" s="102" t="str">
        <f t="shared" si="13"/>
        <v/>
      </c>
      <c r="C346" s="100" t="str">
        <f t="shared" si="14"/>
        <v/>
      </c>
    </row>
    <row r="347" spans="2:3" ht="15.75" customHeight="1" x14ac:dyDescent="0.25">
      <c r="B347" s="102" t="str">
        <f t="shared" si="13"/>
        <v/>
      </c>
      <c r="C347" s="100" t="str">
        <f t="shared" si="14"/>
        <v/>
      </c>
    </row>
    <row r="348" spans="2:3" ht="15.75" customHeight="1" x14ac:dyDescent="0.25">
      <c r="B348" s="102" t="str">
        <f t="shared" si="13"/>
        <v/>
      </c>
      <c r="C348" s="100" t="str">
        <f t="shared" si="14"/>
        <v/>
      </c>
    </row>
    <row r="349" spans="2:3" ht="15.75" customHeight="1" x14ac:dyDescent="0.25">
      <c r="B349" s="102" t="str">
        <f t="shared" si="13"/>
        <v/>
      </c>
      <c r="C349" s="100" t="str">
        <f t="shared" si="14"/>
        <v/>
      </c>
    </row>
    <row r="350" spans="2:3" ht="15.75" customHeight="1" x14ac:dyDescent="0.25">
      <c r="B350" s="102" t="str">
        <f t="shared" si="13"/>
        <v/>
      </c>
      <c r="C350" s="100" t="str">
        <f t="shared" si="14"/>
        <v/>
      </c>
    </row>
    <row r="351" spans="2:3" ht="15.75" customHeight="1" x14ac:dyDescent="0.25">
      <c r="B351" s="102" t="str">
        <f t="shared" si="13"/>
        <v/>
      </c>
      <c r="C351" s="100" t="str">
        <f t="shared" si="14"/>
        <v/>
      </c>
    </row>
    <row r="352" spans="2:3" ht="15.75" customHeight="1" x14ac:dyDescent="0.25">
      <c r="B352" s="102" t="str">
        <f t="shared" si="13"/>
        <v/>
      </c>
      <c r="C352" s="100" t="str">
        <f t="shared" si="14"/>
        <v/>
      </c>
    </row>
    <row r="353" spans="2:3" ht="15.75" customHeight="1" x14ac:dyDescent="0.25">
      <c r="B353" s="102" t="str">
        <f t="shared" si="13"/>
        <v/>
      </c>
      <c r="C353" s="100" t="str">
        <f t="shared" si="14"/>
        <v/>
      </c>
    </row>
    <row r="354" spans="2:3" ht="15.75" customHeight="1" x14ac:dyDescent="0.25">
      <c r="B354" s="102" t="str">
        <f t="shared" si="13"/>
        <v/>
      </c>
      <c r="C354" s="100" t="str">
        <f t="shared" si="14"/>
        <v/>
      </c>
    </row>
    <row r="355" spans="2:3" ht="15.75" customHeight="1" x14ac:dyDescent="0.25">
      <c r="B355" s="102" t="str">
        <f t="shared" si="13"/>
        <v/>
      </c>
      <c r="C355" s="100" t="str">
        <f t="shared" si="14"/>
        <v/>
      </c>
    </row>
    <row r="356" spans="2:3" ht="15.75" customHeight="1" x14ac:dyDescent="0.25">
      <c r="B356" s="102" t="str">
        <f t="shared" si="13"/>
        <v/>
      </c>
      <c r="C356" s="100" t="str">
        <f t="shared" si="14"/>
        <v/>
      </c>
    </row>
    <row r="357" spans="2:3" ht="15.75" customHeight="1" x14ac:dyDescent="0.25">
      <c r="B357" s="102" t="str">
        <f t="shared" si="13"/>
        <v/>
      </c>
      <c r="C357" s="100" t="str">
        <f t="shared" si="14"/>
        <v/>
      </c>
    </row>
    <row r="358" spans="2:3" ht="15.75" customHeight="1" x14ac:dyDescent="0.25">
      <c r="B358" s="102" t="str">
        <f t="shared" si="13"/>
        <v/>
      </c>
      <c r="C358" s="100" t="str">
        <f t="shared" si="14"/>
        <v/>
      </c>
    </row>
    <row r="359" spans="2:3" ht="15.75" customHeight="1" x14ac:dyDescent="0.25">
      <c r="B359" s="102" t="str">
        <f t="shared" si="13"/>
        <v/>
      </c>
      <c r="C359" s="100" t="str">
        <f t="shared" si="14"/>
        <v/>
      </c>
    </row>
    <row r="360" spans="2:3" ht="15.75" customHeight="1" x14ac:dyDescent="0.25">
      <c r="B360" s="102" t="str">
        <f t="shared" si="13"/>
        <v/>
      </c>
      <c r="C360" s="100" t="str">
        <f t="shared" si="14"/>
        <v/>
      </c>
    </row>
    <row r="361" spans="2:3" ht="15.75" customHeight="1" x14ac:dyDescent="0.25">
      <c r="B361" s="102" t="str">
        <f t="shared" si="13"/>
        <v/>
      </c>
      <c r="C361" s="100" t="str">
        <f t="shared" si="14"/>
        <v/>
      </c>
    </row>
    <row r="362" spans="2:3" ht="15.75" customHeight="1" x14ac:dyDescent="0.25">
      <c r="B362" s="102" t="str">
        <f t="shared" si="13"/>
        <v/>
      </c>
      <c r="C362" s="100" t="str">
        <f t="shared" si="14"/>
        <v/>
      </c>
    </row>
    <row r="363" spans="2:3" ht="15.75" customHeight="1" x14ac:dyDescent="0.25">
      <c r="B363" s="102" t="str">
        <f t="shared" si="13"/>
        <v/>
      </c>
      <c r="C363" s="100" t="str">
        <f t="shared" si="14"/>
        <v/>
      </c>
    </row>
    <row r="364" spans="2:3" ht="15.75" customHeight="1" x14ac:dyDescent="0.25">
      <c r="B364" s="102" t="str">
        <f t="shared" si="13"/>
        <v/>
      </c>
      <c r="C364" s="100" t="str">
        <f t="shared" si="14"/>
        <v/>
      </c>
    </row>
    <row r="365" spans="2:3" ht="15.75" customHeight="1" x14ac:dyDescent="0.25">
      <c r="B365" s="102" t="str">
        <f t="shared" si="13"/>
        <v/>
      </c>
      <c r="C365" s="100" t="str">
        <f t="shared" si="14"/>
        <v/>
      </c>
    </row>
    <row r="366" spans="2:3" ht="15.75" customHeight="1" x14ac:dyDescent="0.25">
      <c r="B366" s="102" t="str">
        <f t="shared" si="13"/>
        <v/>
      </c>
      <c r="C366" s="100" t="str">
        <f t="shared" si="14"/>
        <v/>
      </c>
    </row>
    <row r="367" spans="2:3" ht="15.75" customHeight="1" x14ac:dyDescent="0.25">
      <c r="B367" s="102" t="str">
        <f t="shared" si="13"/>
        <v/>
      </c>
      <c r="C367" s="100" t="str">
        <f t="shared" si="14"/>
        <v/>
      </c>
    </row>
    <row r="368" spans="2:3" ht="15.75" customHeight="1" x14ac:dyDescent="0.25">
      <c r="B368" s="102" t="str">
        <f t="shared" si="13"/>
        <v/>
      </c>
      <c r="C368" s="100" t="str">
        <f t="shared" si="14"/>
        <v/>
      </c>
    </row>
    <row r="369" spans="2:3" ht="15.75" customHeight="1" x14ac:dyDescent="0.25">
      <c r="B369" s="102" t="str">
        <f t="shared" si="13"/>
        <v/>
      </c>
      <c r="C369" s="100" t="str">
        <f t="shared" si="14"/>
        <v/>
      </c>
    </row>
    <row r="370" spans="2:3" ht="15.75" customHeight="1" x14ac:dyDescent="0.25">
      <c r="B370" s="102" t="str">
        <f t="shared" si="13"/>
        <v/>
      </c>
      <c r="C370" s="100" t="str">
        <f t="shared" si="14"/>
        <v/>
      </c>
    </row>
    <row r="371" spans="2:3" ht="15.75" customHeight="1" x14ac:dyDescent="0.25">
      <c r="B371" s="102" t="str">
        <f t="shared" si="13"/>
        <v/>
      </c>
      <c r="C371" s="100" t="str">
        <f t="shared" si="14"/>
        <v/>
      </c>
    </row>
    <row r="372" spans="2:3" ht="15.75" customHeight="1" x14ac:dyDescent="0.25">
      <c r="B372" s="102" t="str">
        <f t="shared" si="13"/>
        <v/>
      </c>
      <c r="C372" s="100" t="str">
        <f t="shared" si="14"/>
        <v/>
      </c>
    </row>
    <row r="373" spans="2:3" ht="15.75" customHeight="1" x14ac:dyDescent="0.25">
      <c r="B373" s="102" t="str">
        <f t="shared" si="13"/>
        <v/>
      </c>
      <c r="C373" s="100" t="str">
        <f t="shared" si="14"/>
        <v/>
      </c>
    </row>
    <row r="374" spans="2:3" ht="15.75" customHeight="1" x14ac:dyDescent="0.25">
      <c r="B374" s="102" t="str">
        <f t="shared" si="13"/>
        <v/>
      </c>
      <c r="C374" s="100" t="str">
        <f t="shared" si="14"/>
        <v/>
      </c>
    </row>
    <row r="375" spans="2:3" ht="15.75" customHeight="1" x14ac:dyDescent="0.25">
      <c r="B375" s="102" t="str">
        <f t="shared" si="13"/>
        <v/>
      </c>
      <c r="C375" s="100" t="str">
        <f t="shared" si="14"/>
        <v/>
      </c>
    </row>
    <row r="376" spans="2:3" ht="15.75" customHeight="1" x14ac:dyDescent="0.25">
      <c r="B376" s="102" t="str">
        <f t="shared" si="13"/>
        <v/>
      </c>
      <c r="C376" s="100" t="str">
        <f t="shared" si="14"/>
        <v/>
      </c>
    </row>
    <row r="377" spans="2:3" ht="15.75" customHeight="1" x14ac:dyDescent="0.25">
      <c r="B377" s="102" t="str">
        <f t="shared" si="13"/>
        <v/>
      </c>
      <c r="C377" s="100" t="str">
        <f t="shared" si="14"/>
        <v/>
      </c>
    </row>
    <row r="378" spans="2:3" ht="15.75" customHeight="1" x14ac:dyDescent="0.25">
      <c r="B378" s="102" t="str">
        <f t="shared" si="13"/>
        <v/>
      </c>
      <c r="C378" s="100" t="str">
        <f t="shared" si="14"/>
        <v/>
      </c>
    </row>
    <row r="379" spans="2:3" ht="15.75" customHeight="1" x14ac:dyDescent="0.25">
      <c r="B379" s="102" t="str">
        <f t="shared" si="13"/>
        <v/>
      </c>
      <c r="C379" s="100" t="str">
        <f t="shared" si="14"/>
        <v/>
      </c>
    </row>
    <row r="380" spans="2:3" ht="15.75" customHeight="1" x14ac:dyDescent="0.25">
      <c r="B380" s="102" t="str">
        <f t="shared" si="13"/>
        <v/>
      </c>
      <c r="C380" s="100" t="str">
        <f t="shared" si="14"/>
        <v/>
      </c>
    </row>
    <row r="381" spans="2:3" ht="15.75" customHeight="1" x14ac:dyDescent="0.25">
      <c r="B381" s="102" t="str">
        <f t="shared" si="13"/>
        <v/>
      </c>
      <c r="C381" s="100" t="str">
        <f t="shared" si="14"/>
        <v/>
      </c>
    </row>
    <row r="382" spans="2:3" ht="15.75" customHeight="1" x14ac:dyDescent="0.25">
      <c r="B382" s="102" t="str">
        <f t="shared" si="13"/>
        <v/>
      </c>
      <c r="C382" s="100" t="str">
        <f t="shared" si="14"/>
        <v/>
      </c>
    </row>
    <row r="383" spans="2:3" ht="15.75" customHeight="1" x14ac:dyDescent="0.25">
      <c r="B383" s="102" t="str">
        <f t="shared" si="13"/>
        <v/>
      </c>
      <c r="C383" s="100" t="str">
        <f t="shared" si="14"/>
        <v/>
      </c>
    </row>
    <row r="384" spans="2:3" ht="15.75" customHeight="1" x14ac:dyDescent="0.25">
      <c r="B384" s="102" t="str">
        <f t="shared" si="13"/>
        <v/>
      </c>
      <c r="C384" s="100" t="str">
        <f t="shared" si="14"/>
        <v/>
      </c>
    </row>
    <row r="385" spans="2:3" ht="15.75" customHeight="1" x14ac:dyDescent="0.25">
      <c r="B385" s="102" t="str">
        <f t="shared" si="13"/>
        <v/>
      </c>
      <c r="C385" s="100" t="str">
        <f t="shared" si="14"/>
        <v/>
      </c>
    </row>
    <row r="386" spans="2:3" ht="15.75" customHeight="1" x14ac:dyDescent="0.25">
      <c r="B386" s="102" t="str">
        <f t="shared" si="13"/>
        <v/>
      </c>
      <c r="C386" s="100" t="str">
        <f t="shared" si="14"/>
        <v/>
      </c>
    </row>
    <row r="387" spans="2:3" ht="15.75" customHeight="1" x14ac:dyDescent="0.25">
      <c r="B387" s="102" t="str">
        <f t="shared" si="13"/>
        <v/>
      </c>
      <c r="C387" s="100" t="str">
        <f t="shared" si="14"/>
        <v/>
      </c>
    </row>
    <row r="388" spans="2:3" ht="15.75" customHeight="1" x14ac:dyDescent="0.25">
      <c r="B388" s="102" t="str">
        <f t="shared" si="13"/>
        <v/>
      </c>
      <c r="C388" s="100" t="str">
        <f t="shared" si="14"/>
        <v/>
      </c>
    </row>
    <row r="389" spans="2:3" ht="15.75" customHeight="1" x14ac:dyDescent="0.25">
      <c r="B389" s="102" t="str">
        <f t="shared" si="13"/>
        <v/>
      </c>
      <c r="C389" s="100" t="str">
        <f t="shared" si="14"/>
        <v/>
      </c>
    </row>
    <row r="390" spans="2:3" ht="15.75" customHeight="1" x14ac:dyDescent="0.25">
      <c r="B390" s="102" t="str">
        <f t="shared" si="13"/>
        <v/>
      </c>
      <c r="C390" s="100" t="str">
        <f t="shared" si="14"/>
        <v/>
      </c>
    </row>
    <row r="391" spans="2:3" ht="15.75" customHeight="1" x14ac:dyDescent="0.25">
      <c r="B391" s="102" t="str">
        <f t="shared" si="13"/>
        <v/>
      </c>
      <c r="C391" s="100" t="str">
        <f t="shared" si="14"/>
        <v/>
      </c>
    </row>
    <row r="392" spans="2:3" ht="15.75" customHeight="1" x14ac:dyDescent="0.25">
      <c r="B392" s="102" t="str">
        <f t="shared" si="13"/>
        <v/>
      </c>
      <c r="C392" s="100" t="str">
        <f t="shared" si="14"/>
        <v/>
      </c>
    </row>
    <row r="393" spans="2:3" ht="15.75" customHeight="1" x14ac:dyDescent="0.25">
      <c r="B393" s="102" t="str">
        <f t="shared" si="13"/>
        <v/>
      </c>
      <c r="C393" s="100" t="str">
        <f t="shared" si="14"/>
        <v/>
      </c>
    </row>
    <row r="394" spans="2:3" ht="15.75" customHeight="1" x14ac:dyDescent="0.25">
      <c r="B394" s="102" t="str">
        <f t="shared" si="13"/>
        <v/>
      </c>
      <c r="C394" s="100" t="str">
        <f t="shared" si="14"/>
        <v/>
      </c>
    </row>
    <row r="395" spans="2:3" ht="15.75" customHeight="1" x14ac:dyDescent="0.25">
      <c r="B395" s="102" t="str">
        <f t="shared" si="13"/>
        <v/>
      </c>
      <c r="C395" s="100" t="str">
        <f t="shared" si="14"/>
        <v/>
      </c>
    </row>
    <row r="396" spans="2:3" ht="15.75" customHeight="1" x14ac:dyDescent="0.25">
      <c r="B396" s="102" t="str">
        <f t="shared" si="13"/>
        <v/>
      </c>
      <c r="C396" s="100" t="str">
        <f t="shared" si="14"/>
        <v/>
      </c>
    </row>
    <row r="397" spans="2:3" ht="15.75" customHeight="1" x14ac:dyDescent="0.25">
      <c r="B397" s="102" t="str">
        <f t="shared" si="13"/>
        <v/>
      </c>
      <c r="C397" s="100" t="str">
        <f t="shared" si="14"/>
        <v/>
      </c>
    </row>
    <row r="398" spans="2:3" ht="15.75" customHeight="1" x14ac:dyDescent="0.25">
      <c r="B398" s="102" t="str">
        <f t="shared" si="13"/>
        <v/>
      </c>
      <c r="C398" s="100" t="str">
        <f t="shared" si="14"/>
        <v/>
      </c>
    </row>
    <row r="399" spans="2:3" ht="15.75" customHeight="1" x14ac:dyDescent="0.25">
      <c r="B399" s="102" t="str">
        <f t="shared" si="13"/>
        <v/>
      </c>
      <c r="C399" s="100" t="str">
        <f t="shared" si="14"/>
        <v/>
      </c>
    </row>
    <row r="400" spans="2:3" ht="15.75" customHeight="1" x14ac:dyDescent="0.25">
      <c r="B400" s="102" t="str">
        <f t="shared" si="13"/>
        <v/>
      </c>
      <c r="C400" s="100" t="str">
        <f t="shared" si="14"/>
        <v/>
      </c>
    </row>
    <row r="401" spans="2:3" ht="15.75" customHeight="1" x14ac:dyDescent="0.25">
      <c r="B401" s="102" t="str">
        <f t="shared" si="13"/>
        <v/>
      </c>
      <c r="C401" s="100" t="str">
        <f t="shared" si="14"/>
        <v/>
      </c>
    </row>
    <row r="402" spans="2:3" ht="15.75" customHeight="1" x14ac:dyDescent="0.25">
      <c r="B402" s="102" t="str">
        <f t="shared" si="13"/>
        <v/>
      </c>
      <c r="C402" s="100" t="str">
        <f t="shared" si="14"/>
        <v/>
      </c>
    </row>
    <row r="403" spans="2:3" ht="15.75" customHeight="1" x14ac:dyDescent="0.25">
      <c r="B403" s="102" t="str">
        <f t="shared" si="13"/>
        <v/>
      </c>
      <c r="C403" s="100" t="str">
        <f t="shared" si="14"/>
        <v/>
      </c>
    </row>
    <row r="404" spans="2:3" ht="15.75" customHeight="1" x14ac:dyDescent="0.25">
      <c r="B404" s="102" t="str">
        <f t="shared" si="13"/>
        <v/>
      </c>
      <c r="C404" s="100" t="str">
        <f t="shared" si="14"/>
        <v/>
      </c>
    </row>
    <row r="405" spans="2:3" ht="15.75" customHeight="1" x14ac:dyDescent="0.25">
      <c r="B405" s="102" t="str">
        <f t="shared" si="13"/>
        <v/>
      </c>
      <c r="C405" s="100" t="str">
        <f t="shared" si="14"/>
        <v/>
      </c>
    </row>
    <row r="406" spans="2:3" ht="15.75" customHeight="1" x14ac:dyDescent="0.25">
      <c r="B406" s="102" t="str">
        <f t="shared" si="13"/>
        <v/>
      </c>
      <c r="C406" s="100" t="str">
        <f t="shared" si="14"/>
        <v/>
      </c>
    </row>
    <row r="407" spans="2:3" ht="15.75" customHeight="1" x14ac:dyDescent="0.25">
      <c r="B407" s="102" t="str">
        <f t="shared" ref="B407:B470" si="15">IF(B406="","",IF(B406+$C$9&lt;=$C$5,B406+$C$9,""))</f>
        <v/>
      </c>
      <c r="C407" s="100" t="str">
        <f t="shared" ref="C407:C470" si="16">IF(B407&lt;&gt;"",C406-$C$2/COUNT($B$17:$B$510),"")</f>
        <v/>
      </c>
    </row>
    <row r="408" spans="2:3" ht="15.75" customHeight="1" x14ac:dyDescent="0.25">
      <c r="B408" s="102" t="str">
        <f t="shared" si="15"/>
        <v/>
      </c>
      <c r="C408" s="100" t="str">
        <f t="shared" si="16"/>
        <v/>
      </c>
    </row>
    <row r="409" spans="2:3" ht="15.75" customHeight="1" x14ac:dyDescent="0.25">
      <c r="B409" s="102" t="str">
        <f t="shared" si="15"/>
        <v/>
      </c>
      <c r="C409" s="100" t="str">
        <f t="shared" si="16"/>
        <v/>
      </c>
    </row>
    <row r="410" spans="2:3" ht="15.75" customHeight="1" x14ac:dyDescent="0.25">
      <c r="B410" s="102" t="str">
        <f t="shared" si="15"/>
        <v/>
      </c>
      <c r="C410" s="100" t="str">
        <f t="shared" si="16"/>
        <v/>
      </c>
    </row>
    <row r="411" spans="2:3" ht="15.75" customHeight="1" x14ac:dyDescent="0.25">
      <c r="B411" s="102" t="str">
        <f t="shared" si="15"/>
        <v/>
      </c>
      <c r="C411" s="100" t="str">
        <f t="shared" si="16"/>
        <v/>
      </c>
    </row>
    <row r="412" spans="2:3" ht="15.75" customHeight="1" x14ac:dyDescent="0.25">
      <c r="B412" s="102" t="str">
        <f t="shared" si="15"/>
        <v/>
      </c>
      <c r="C412" s="100" t="str">
        <f t="shared" si="16"/>
        <v/>
      </c>
    </row>
    <row r="413" spans="2:3" ht="15.75" customHeight="1" x14ac:dyDescent="0.25">
      <c r="B413" s="102" t="str">
        <f t="shared" si="15"/>
        <v/>
      </c>
      <c r="C413" s="100" t="str">
        <f t="shared" si="16"/>
        <v/>
      </c>
    </row>
    <row r="414" spans="2:3" ht="15.75" customHeight="1" x14ac:dyDescent="0.25">
      <c r="B414" s="102" t="str">
        <f t="shared" si="15"/>
        <v/>
      </c>
      <c r="C414" s="100" t="str">
        <f t="shared" si="16"/>
        <v/>
      </c>
    </row>
    <row r="415" spans="2:3" ht="15.75" customHeight="1" x14ac:dyDescent="0.25">
      <c r="B415" s="102" t="str">
        <f t="shared" si="15"/>
        <v/>
      </c>
      <c r="C415" s="100" t="str">
        <f t="shared" si="16"/>
        <v/>
      </c>
    </row>
    <row r="416" spans="2:3" ht="15.75" customHeight="1" x14ac:dyDescent="0.25">
      <c r="B416" s="102" t="str">
        <f t="shared" si="15"/>
        <v/>
      </c>
      <c r="C416" s="100" t="str">
        <f t="shared" si="16"/>
        <v/>
      </c>
    </row>
    <row r="417" spans="2:3" ht="15.75" customHeight="1" x14ac:dyDescent="0.25">
      <c r="B417" s="102" t="str">
        <f t="shared" si="15"/>
        <v/>
      </c>
      <c r="C417" s="100" t="str">
        <f t="shared" si="16"/>
        <v/>
      </c>
    </row>
    <row r="418" spans="2:3" ht="15.75" customHeight="1" x14ac:dyDescent="0.25">
      <c r="B418" s="102" t="str">
        <f t="shared" si="15"/>
        <v/>
      </c>
      <c r="C418" s="100" t="str">
        <f t="shared" si="16"/>
        <v/>
      </c>
    </row>
    <row r="419" spans="2:3" ht="15.75" customHeight="1" x14ac:dyDescent="0.25">
      <c r="B419" s="102" t="str">
        <f t="shared" si="15"/>
        <v/>
      </c>
      <c r="C419" s="100" t="str">
        <f t="shared" si="16"/>
        <v/>
      </c>
    </row>
    <row r="420" spans="2:3" ht="15.75" customHeight="1" x14ac:dyDescent="0.25">
      <c r="B420" s="102" t="str">
        <f t="shared" si="15"/>
        <v/>
      </c>
      <c r="C420" s="100" t="str">
        <f t="shared" si="16"/>
        <v/>
      </c>
    </row>
    <row r="421" spans="2:3" ht="15.75" customHeight="1" x14ac:dyDescent="0.25">
      <c r="B421" s="102" t="str">
        <f t="shared" si="15"/>
        <v/>
      </c>
      <c r="C421" s="100" t="str">
        <f t="shared" si="16"/>
        <v/>
      </c>
    </row>
    <row r="422" spans="2:3" ht="15.75" customHeight="1" x14ac:dyDescent="0.25">
      <c r="B422" s="102" t="str">
        <f t="shared" si="15"/>
        <v/>
      </c>
      <c r="C422" s="100" t="str">
        <f t="shared" si="16"/>
        <v/>
      </c>
    </row>
    <row r="423" spans="2:3" ht="15.75" customHeight="1" x14ac:dyDescent="0.25">
      <c r="B423" s="102" t="str">
        <f t="shared" si="15"/>
        <v/>
      </c>
      <c r="C423" s="100" t="str">
        <f t="shared" si="16"/>
        <v/>
      </c>
    </row>
    <row r="424" spans="2:3" ht="15.75" customHeight="1" x14ac:dyDescent="0.25">
      <c r="B424" s="102" t="str">
        <f t="shared" si="15"/>
        <v/>
      </c>
      <c r="C424" s="100" t="str">
        <f t="shared" si="16"/>
        <v/>
      </c>
    </row>
    <row r="425" spans="2:3" ht="15.75" customHeight="1" x14ac:dyDescent="0.25">
      <c r="B425" s="102" t="str">
        <f t="shared" si="15"/>
        <v/>
      </c>
      <c r="C425" s="100" t="str">
        <f t="shared" si="16"/>
        <v/>
      </c>
    </row>
    <row r="426" spans="2:3" ht="15.75" customHeight="1" x14ac:dyDescent="0.25">
      <c r="B426" s="102" t="str">
        <f t="shared" si="15"/>
        <v/>
      </c>
      <c r="C426" s="100" t="str">
        <f t="shared" si="16"/>
        <v/>
      </c>
    </row>
    <row r="427" spans="2:3" ht="15.75" customHeight="1" x14ac:dyDescent="0.25">
      <c r="B427" s="102" t="str">
        <f t="shared" si="15"/>
        <v/>
      </c>
      <c r="C427" s="100" t="str">
        <f t="shared" si="16"/>
        <v/>
      </c>
    </row>
    <row r="428" spans="2:3" ht="15.75" customHeight="1" x14ac:dyDescent="0.25">
      <c r="B428" s="102" t="str">
        <f t="shared" si="15"/>
        <v/>
      </c>
      <c r="C428" s="100" t="str">
        <f t="shared" si="16"/>
        <v/>
      </c>
    </row>
    <row r="429" spans="2:3" ht="15.75" customHeight="1" x14ac:dyDescent="0.25">
      <c r="B429" s="102" t="str">
        <f t="shared" si="15"/>
        <v/>
      </c>
      <c r="C429" s="100" t="str">
        <f t="shared" si="16"/>
        <v/>
      </c>
    </row>
    <row r="430" spans="2:3" ht="15.75" customHeight="1" x14ac:dyDescent="0.25">
      <c r="B430" s="102" t="str">
        <f t="shared" si="15"/>
        <v/>
      </c>
      <c r="C430" s="100" t="str">
        <f t="shared" si="16"/>
        <v/>
      </c>
    </row>
    <row r="431" spans="2:3" ht="15.75" customHeight="1" x14ac:dyDescent="0.25">
      <c r="B431" s="102" t="str">
        <f t="shared" si="15"/>
        <v/>
      </c>
      <c r="C431" s="100" t="str">
        <f t="shared" si="16"/>
        <v/>
      </c>
    </row>
    <row r="432" spans="2:3" ht="15.75" customHeight="1" x14ac:dyDescent="0.25">
      <c r="B432" s="102" t="str">
        <f t="shared" si="15"/>
        <v/>
      </c>
      <c r="C432" s="100" t="str">
        <f t="shared" si="16"/>
        <v/>
      </c>
    </row>
    <row r="433" spans="2:3" ht="15.75" customHeight="1" x14ac:dyDescent="0.25">
      <c r="B433" s="102" t="str">
        <f t="shared" si="15"/>
        <v/>
      </c>
      <c r="C433" s="100" t="str">
        <f t="shared" si="16"/>
        <v/>
      </c>
    </row>
    <row r="434" spans="2:3" ht="15.75" customHeight="1" x14ac:dyDescent="0.25">
      <c r="B434" s="102" t="str">
        <f t="shared" si="15"/>
        <v/>
      </c>
      <c r="C434" s="100" t="str">
        <f t="shared" si="16"/>
        <v/>
      </c>
    </row>
    <row r="435" spans="2:3" ht="15.75" customHeight="1" x14ac:dyDescent="0.25">
      <c r="B435" s="102" t="str">
        <f t="shared" si="15"/>
        <v/>
      </c>
      <c r="C435" s="100" t="str">
        <f t="shared" si="16"/>
        <v/>
      </c>
    </row>
    <row r="436" spans="2:3" ht="15.75" customHeight="1" x14ac:dyDescent="0.25">
      <c r="B436" s="102" t="str">
        <f t="shared" si="15"/>
        <v/>
      </c>
      <c r="C436" s="100" t="str">
        <f t="shared" si="16"/>
        <v/>
      </c>
    </row>
    <row r="437" spans="2:3" ht="15.75" customHeight="1" x14ac:dyDescent="0.25">
      <c r="B437" s="102" t="str">
        <f t="shared" si="15"/>
        <v/>
      </c>
      <c r="C437" s="100" t="str">
        <f t="shared" si="16"/>
        <v/>
      </c>
    </row>
    <row r="438" spans="2:3" ht="15.75" customHeight="1" x14ac:dyDescent="0.25">
      <c r="B438" s="102" t="str">
        <f t="shared" si="15"/>
        <v/>
      </c>
      <c r="C438" s="100" t="str">
        <f t="shared" si="16"/>
        <v/>
      </c>
    </row>
    <row r="439" spans="2:3" ht="15.75" customHeight="1" x14ac:dyDescent="0.25">
      <c r="B439" s="102" t="str">
        <f t="shared" si="15"/>
        <v/>
      </c>
      <c r="C439" s="100" t="str">
        <f t="shared" si="16"/>
        <v/>
      </c>
    </row>
    <row r="440" spans="2:3" ht="15.75" customHeight="1" x14ac:dyDescent="0.25">
      <c r="B440" s="102" t="str">
        <f t="shared" si="15"/>
        <v/>
      </c>
      <c r="C440" s="100" t="str">
        <f t="shared" si="16"/>
        <v/>
      </c>
    </row>
    <row r="441" spans="2:3" ht="15.75" customHeight="1" x14ac:dyDescent="0.25">
      <c r="B441" s="102" t="str">
        <f t="shared" si="15"/>
        <v/>
      </c>
      <c r="C441" s="100" t="str">
        <f t="shared" si="16"/>
        <v/>
      </c>
    </row>
    <row r="442" spans="2:3" ht="15.75" customHeight="1" x14ac:dyDescent="0.25">
      <c r="B442" s="102" t="str">
        <f t="shared" si="15"/>
        <v/>
      </c>
      <c r="C442" s="100" t="str">
        <f t="shared" si="16"/>
        <v/>
      </c>
    </row>
    <row r="443" spans="2:3" ht="15.75" customHeight="1" x14ac:dyDescent="0.25">
      <c r="B443" s="102" t="str">
        <f t="shared" si="15"/>
        <v/>
      </c>
      <c r="C443" s="100" t="str">
        <f t="shared" si="16"/>
        <v/>
      </c>
    </row>
    <row r="444" spans="2:3" ht="15.75" customHeight="1" x14ac:dyDescent="0.25">
      <c r="B444" s="102" t="str">
        <f t="shared" si="15"/>
        <v/>
      </c>
      <c r="C444" s="100" t="str">
        <f t="shared" si="16"/>
        <v/>
      </c>
    </row>
    <row r="445" spans="2:3" ht="15.75" customHeight="1" x14ac:dyDescent="0.25">
      <c r="B445" s="102" t="str">
        <f t="shared" si="15"/>
        <v/>
      </c>
      <c r="C445" s="100" t="str">
        <f t="shared" si="16"/>
        <v/>
      </c>
    </row>
    <row r="446" spans="2:3" ht="15.75" customHeight="1" x14ac:dyDescent="0.25">
      <c r="B446" s="102" t="str">
        <f t="shared" si="15"/>
        <v/>
      </c>
      <c r="C446" s="100" t="str">
        <f t="shared" si="16"/>
        <v/>
      </c>
    </row>
    <row r="447" spans="2:3" ht="15.75" customHeight="1" x14ac:dyDescent="0.25">
      <c r="B447" s="102" t="str">
        <f t="shared" si="15"/>
        <v/>
      </c>
      <c r="C447" s="100" t="str">
        <f t="shared" si="16"/>
        <v/>
      </c>
    </row>
    <row r="448" spans="2:3" ht="15.75" customHeight="1" x14ac:dyDescent="0.25">
      <c r="B448" s="102" t="str">
        <f t="shared" si="15"/>
        <v/>
      </c>
      <c r="C448" s="100" t="str">
        <f t="shared" si="16"/>
        <v/>
      </c>
    </row>
    <row r="449" spans="2:3" ht="15.75" customHeight="1" x14ac:dyDescent="0.25">
      <c r="B449" s="102" t="str">
        <f t="shared" si="15"/>
        <v/>
      </c>
      <c r="C449" s="100" t="str">
        <f t="shared" si="16"/>
        <v/>
      </c>
    </row>
    <row r="450" spans="2:3" ht="15.75" customHeight="1" x14ac:dyDescent="0.25">
      <c r="B450" s="102" t="str">
        <f t="shared" si="15"/>
        <v/>
      </c>
      <c r="C450" s="100" t="str">
        <f t="shared" si="16"/>
        <v/>
      </c>
    </row>
    <row r="451" spans="2:3" ht="15.75" customHeight="1" x14ac:dyDescent="0.25">
      <c r="B451" s="102" t="str">
        <f t="shared" si="15"/>
        <v/>
      </c>
      <c r="C451" s="100" t="str">
        <f t="shared" si="16"/>
        <v/>
      </c>
    </row>
    <row r="452" spans="2:3" ht="15.75" customHeight="1" x14ac:dyDescent="0.25">
      <c r="B452" s="102" t="str">
        <f t="shared" si="15"/>
        <v/>
      </c>
      <c r="C452" s="100" t="str">
        <f t="shared" si="16"/>
        <v/>
      </c>
    </row>
    <row r="453" spans="2:3" ht="15.75" customHeight="1" x14ac:dyDescent="0.25">
      <c r="B453" s="102" t="str">
        <f t="shared" si="15"/>
        <v/>
      </c>
      <c r="C453" s="100" t="str">
        <f t="shared" si="16"/>
        <v/>
      </c>
    </row>
    <row r="454" spans="2:3" ht="15.75" customHeight="1" x14ac:dyDescent="0.25">
      <c r="B454" s="102" t="str">
        <f t="shared" si="15"/>
        <v/>
      </c>
      <c r="C454" s="100" t="str">
        <f t="shared" si="16"/>
        <v/>
      </c>
    </row>
    <row r="455" spans="2:3" ht="15.75" customHeight="1" x14ac:dyDescent="0.25">
      <c r="B455" s="102" t="str">
        <f t="shared" si="15"/>
        <v/>
      </c>
      <c r="C455" s="100" t="str">
        <f t="shared" si="16"/>
        <v/>
      </c>
    </row>
    <row r="456" spans="2:3" ht="15.75" customHeight="1" x14ac:dyDescent="0.25">
      <c r="B456" s="102" t="str">
        <f t="shared" si="15"/>
        <v/>
      </c>
      <c r="C456" s="100" t="str">
        <f t="shared" si="16"/>
        <v/>
      </c>
    </row>
    <row r="457" spans="2:3" ht="15.75" customHeight="1" x14ac:dyDescent="0.25">
      <c r="B457" s="102" t="str">
        <f t="shared" si="15"/>
        <v/>
      </c>
      <c r="C457" s="100" t="str">
        <f t="shared" si="16"/>
        <v/>
      </c>
    </row>
    <row r="458" spans="2:3" ht="15.75" customHeight="1" x14ac:dyDescent="0.25">
      <c r="B458" s="102" t="str">
        <f t="shared" si="15"/>
        <v/>
      </c>
      <c r="C458" s="100" t="str">
        <f t="shared" si="16"/>
        <v/>
      </c>
    </row>
    <row r="459" spans="2:3" ht="15.75" customHeight="1" x14ac:dyDescent="0.25">
      <c r="B459" s="102" t="str">
        <f t="shared" si="15"/>
        <v/>
      </c>
      <c r="C459" s="100" t="str">
        <f t="shared" si="16"/>
        <v/>
      </c>
    </row>
    <row r="460" spans="2:3" ht="15.75" customHeight="1" x14ac:dyDescent="0.25">
      <c r="B460" s="102" t="str">
        <f t="shared" si="15"/>
        <v/>
      </c>
      <c r="C460" s="100" t="str">
        <f t="shared" si="16"/>
        <v/>
      </c>
    </row>
    <row r="461" spans="2:3" ht="15.75" customHeight="1" x14ac:dyDescent="0.25">
      <c r="B461" s="102" t="str">
        <f t="shared" si="15"/>
        <v/>
      </c>
      <c r="C461" s="100" t="str">
        <f t="shared" si="16"/>
        <v/>
      </c>
    </row>
    <row r="462" spans="2:3" ht="15.75" customHeight="1" x14ac:dyDescent="0.25">
      <c r="B462" s="102" t="str">
        <f t="shared" si="15"/>
        <v/>
      </c>
      <c r="C462" s="100" t="str">
        <f t="shared" si="16"/>
        <v/>
      </c>
    </row>
    <row r="463" spans="2:3" ht="15.75" customHeight="1" x14ac:dyDescent="0.25">
      <c r="B463" s="102" t="str">
        <f t="shared" si="15"/>
        <v/>
      </c>
      <c r="C463" s="100" t="str">
        <f t="shared" si="16"/>
        <v/>
      </c>
    </row>
    <row r="464" spans="2:3" ht="15.75" customHeight="1" x14ac:dyDescent="0.25">
      <c r="B464" s="102" t="str">
        <f t="shared" si="15"/>
        <v/>
      </c>
      <c r="C464" s="100" t="str">
        <f t="shared" si="16"/>
        <v/>
      </c>
    </row>
    <row r="465" spans="2:3" ht="15.75" customHeight="1" x14ac:dyDescent="0.25">
      <c r="B465" s="102" t="str">
        <f t="shared" si="15"/>
        <v/>
      </c>
      <c r="C465" s="100" t="str">
        <f t="shared" si="16"/>
        <v/>
      </c>
    </row>
    <row r="466" spans="2:3" ht="15.75" customHeight="1" x14ac:dyDescent="0.25">
      <c r="B466" s="102" t="str">
        <f t="shared" si="15"/>
        <v/>
      </c>
      <c r="C466" s="100" t="str">
        <f t="shared" si="16"/>
        <v/>
      </c>
    </row>
    <row r="467" spans="2:3" ht="15.75" customHeight="1" x14ac:dyDescent="0.25">
      <c r="B467" s="102" t="str">
        <f t="shared" si="15"/>
        <v/>
      </c>
      <c r="C467" s="100" t="str">
        <f t="shared" si="16"/>
        <v/>
      </c>
    </row>
    <row r="468" spans="2:3" ht="15.75" customHeight="1" x14ac:dyDescent="0.25">
      <c r="B468" s="102" t="str">
        <f t="shared" si="15"/>
        <v/>
      </c>
      <c r="C468" s="100" t="str">
        <f t="shared" si="16"/>
        <v/>
      </c>
    </row>
    <row r="469" spans="2:3" ht="15.75" customHeight="1" x14ac:dyDescent="0.25">
      <c r="B469" s="102" t="str">
        <f t="shared" si="15"/>
        <v/>
      </c>
      <c r="C469" s="100" t="str">
        <f t="shared" si="16"/>
        <v/>
      </c>
    </row>
    <row r="470" spans="2:3" ht="15.75" customHeight="1" x14ac:dyDescent="0.25">
      <c r="B470" s="102" t="str">
        <f t="shared" si="15"/>
        <v/>
      </c>
      <c r="C470" s="100" t="str">
        <f t="shared" si="16"/>
        <v/>
      </c>
    </row>
    <row r="471" spans="2:3" ht="15.75" customHeight="1" x14ac:dyDescent="0.25">
      <c r="B471" s="102" t="str">
        <f t="shared" ref="B471:B511" si="17">IF(B470="","",IF(B470+$C$9&lt;=$C$5,B470+$C$9,""))</f>
        <v/>
      </c>
      <c r="C471" s="100" t="str">
        <f t="shared" ref="C471:C511" si="18">IF(B471&lt;&gt;"",C470-$C$2/COUNT($B$17:$B$510),"")</f>
        <v/>
      </c>
    </row>
    <row r="472" spans="2:3" ht="15.75" customHeight="1" x14ac:dyDescent="0.25">
      <c r="B472" s="102" t="str">
        <f t="shared" si="17"/>
        <v/>
      </c>
      <c r="C472" s="100" t="str">
        <f t="shared" si="18"/>
        <v/>
      </c>
    </row>
    <row r="473" spans="2:3" ht="15.75" customHeight="1" x14ac:dyDescent="0.25">
      <c r="B473" s="102" t="str">
        <f t="shared" si="17"/>
        <v/>
      </c>
      <c r="C473" s="100" t="str">
        <f t="shared" si="18"/>
        <v/>
      </c>
    </row>
    <row r="474" spans="2:3" ht="15.75" customHeight="1" x14ac:dyDescent="0.25">
      <c r="B474" s="102" t="str">
        <f t="shared" si="17"/>
        <v/>
      </c>
      <c r="C474" s="100" t="str">
        <f t="shared" si="18"/>
        <v/>
      </c>
    </row>
    <row r="475" spans="2:3" ht="15.75" customHeight="1" x14ac:dyDescent="0.25">
      <c r="B475" s="102" t="str">
        <f t="shared" si="17"/>
        <v/>
      </c>
      <c r="C475" s="100" t="str">
        <f t="shared" si="18"/>
        <v/>
      </c>
    </row>
    <row r="476" spans="2:3" ht="15.75" customHeight="1" x14ac:dyDescent="0.25">
      <c r="B476" s="102" t="str">
        <f t="shared" si="17"/>
        <v/>
      </c>
      <c r="C476" s="100" t="str">
        <f t="shared" si="18"/>
        <v/>
      </c>
    </row>
    <row r="477" spans="2:3" ht="15.75" customHeight="1" x14ac:dyDescent="0.25">
      <c r="B477" s="102" t="str">
        <f t="shared" si="17"/>
        <v/>
      </c>
      <c r="C477" s="100" t="str">
        <f t="shared" si="18"/>
        <v/>
      </c>
    </row>
    <row r="478" spans="2:3" ht="15.75" customHeight="1" x14ac:dyDescent="0.25">
      <c r="B478" s="102" t="str">
        <f t="shared" si="17"/>
        <v/>
      </c>
      <c r="C478" s="100" t="str">
        <f t="shared" si="18"/>
        <v/>
      </c>
    </row>
    <row r="479" spans="2:3" ht="15.75" customHeight="1" x14ac:dyDescent="0.25">
      <c r="B479" s="102" t="str">
        <f t="shared" si="17"/>
        <v/>
      </c>
      <c r="C479" s="100" t="str">
        <f t="shared" si="18"/>
        <v/>
      </c>
    </row>
    <row r="480" spans="2:3" ht="15.75" customHeight="1" x14ac:dyDescent="0.25">
      <c r="B480" s="102" t="str">
        <f t="shared" si="17"/>
        <v/>
      </c>
      <c r="C480" s="100" t="str">
        <f t="shared" si="18"/>
        <v/>
      </c>
    </row>
    <row r="481" spans="2:3" ht="15.75" customHeight="1" x14ac:dyDescent="0.25">
      <c r="B481" s="102" t="str">
        <f t="shared" si="17"/>
        <v/>
      </c>
      <c r="C481" s="100" t="str">
        <f t="shared" si="18"/>
        <v/>
      </c>
    </row>
    <row r="482" spans="2:3" ht="15.75" customHeight="1" x14ac:dyDescent="0.25">
      <c r="B482" s="102" t="str">
        <f t="shared" si="17"/>
        <v/>
      </c>
      <c r="C482" s="100" t="str">
        <f t="shared" si="18"/>
        <v/>
      </c>
    </row>
    <row r="483" spans="2:3" ht="15.75" customHeight="1" x14ac:dyDescent="0.25">
      <c r="B483" s="102" t="str">
        <f t="shared" si="17"/>
        <v/>
      </c>
      <c r="C483" s="100" t="str">
        <f t="shared" si="18"/>
        <v/>
      </c>
    </row>
    <row r="484" spans="2:3" ht="15.75" customHeight="1" x14ac:dyDescent="0.25">
      <c r="B484" s="102" t="str">
        <f t="shared" si="17"/>
        <v/>
      </c>
      <c r="C484" s="100" t="str">
        <f t="shared" si="18"/>
        <v/>
      </c>
    </row>
    <row r="485" spans="2:3" ht="15.75" customHeight="1" x14ac:dyDescent="0.25">
      <c r="B485" s="102" t="str">
        <f t="shared" si="17"/>
        <v/>
      </c>
      <c r="C485" s="100" t="str">
        <f t="shared" si="18"/>
        <v/>
      </c>
    </row>
    <row r="486" spans="2:3" ht="15.75" customHeight="1" x14ac:dyDescent="0.25">
      <c r="B486" s="102" t="str">
        <f t="shared" si="17"/>
        <v/>
      </c>
      <c r="C486" s="100" t="str">
        <f t="shared" si="18"/>
        <v/>
      </c>
    </row>
    <row r="487" spans="2:3" ht="15.75" customHeight="1" x14ac:dyDescent="0.25">
      <c r="B487" s="102" t="str">
        <f t="shared" si="17"/>
        <v/>
      </c>
      <c r="C487" s="100" t="str">
        <f t="shared" si="18"/>
        <v/>
      </c>
    </row>
    <row r="488" spans="2:3" ht="15.75" customHeight="1" x14ac:dyDescent="0.25">
      <c r="B488" s="102" t="str">
        <f t="shared" si="17"/>
        <v/>
      </c>
      <c r="C488" s="100" t="str">
        <f t="shared" si="18"/>
        <v/>
      </c>
    </row>
    <row r="489" spans="2:3" ht="15.75" customHeight="1" x14ac:dyDescent="0.25">
      <c r="B489" s="102" t="str">
        <f t="shared" si="17"/>
        <v/>
      </c>
      <c r="C489" s="100" t="str">
        <f t="shared" si="18"/>
        <v/>
      </c>
    </row>
    <row r="490" spans="2:3" ht="15.75" customHeight="1" x14ac:dyDescent="0.25">
      <c r="B490" s="102" t="str">
        <f t="shared" si="17"/>
        <v/>
      </c>
      <c r="C490" s="100" t="str">
        <f t="shared" si="18"/>
        <v/>
      </c>
    </row>
    <row r="491" spans="2:3" ht="15.75" customHeight="1" x14ac:dyDescent="0.25">
      <c r="B491" s="102" t="str">
        <f t="shared" si="17"/>
        <v/>
      </c>
      <c r="C491" s="100" t="str">
        <f t="shared" si="18"/>
        <v/>
      </c>
    </row>
    <row r="492" spans="2:3" ht="15.75" customHeight="1" x14ac:dyDescent="0.25">
      <c r="B492" s="102" t="str">
        <f t="shared" si="17"/>
        <v/>
      </c>
      <c r="C492" s="100" t="str">
        <f t="shared" si="18"/>
        <v/>
      </c>
    </row>
    <row r="493" spans="2:3" ht="15.75" customHeight="1" x14ac:dyDescent="0.25">
      <c r="B493" s="102" t="str">
        <f t="shared" si="17"/>
        <v/>
      </c>
      <c r="C493" s="100" t="str">
        <f t="shared" si="18"/>
        <v/>
      </c>
    </row>
    <row r="494" spans="2:3" ht="15.75" customHeight="1" x14ac:dyDescent="0.25">
      <c r="B494" s="102" t="str">
        <f t="shared" si="17"/>
        <v/>
      </c>
      <c r="C494" s="100" t="str">
        <f t="shared" si="18"/>
        <v/>
      </c>
    </row>
    <row r="495" spans="2:3" ht="15.75" customHeight="1" x14ac:dyDescent="0.25">
      <c r="B495" s="102" t="str">
        <f t="shared" si="17"/>
        <v/>
      </c>
      <c r="C495" s="100" t="str">
        <f t="shared" si="18"/>
        <v/>
      </c>
    </row>
    <row r="496" spans="2:3" ht="15.75" customHeight="1" x14ac:dyDescent="0.25">
      <c r="B496" s="102" t="str">
        <f t="shared" si="17"/>
        <v/>
      </c>
      <c r="C496" s="100" t="str">
        <f t="shared" si="18"/>
        <v/>
      </c>
    </row>
    <row r="497" spans="2:3" ht="15.75" customHeight="1" x14ac:dyDescent="0.25">
      <c r="B497" s="102" t="str">
        <f t="shared" si="17"/>
        <v/>
      </c>
      <c r="C497" s="100" t="str">
        <f t="shared" si="18"/>
        <v/>
      </c>
    </row>
    <row r="498" spans="2:3" ht="15.75" customHeight="1" x14ac:dyDescent="0.25">
      <c r="B498" s="102" t="str">
        <f t="shared" si="17"/>
        <v/>
      </c>
      <c r="C498" s="100" t="str">
        <f t="shared" si="18"/>
        <v/>
      </c>
    </row>
    <row r="499" spans="2:3" ht="15.75" customHeight="1" x14ac:dyDescent="0.25">
      <c r="B499" s="102" t="str">
        <f t="shared" si="17"/>
        <v/>
      </c>
      <c r="C499" s="100" t="str">
        <f t="shared" si="18"/>
        <v/>
      </c>
    </row>
    <row r="500" spans="2:3" ht="15.75" customHeight="1" x14ac:dyDescent="0.25">
      <c r="B500" s="102" t="str">
        <f t="shared" si="17"/>
        <v/>
      </c>
      <c r="C500" s="100" t="str">
        <f t="shared" si="18"/>
        <v/>
      </c>
    </row>
    <row r="501" spans="2:3" ht="15.75" customHeight="1" x14ac:dyDescent="0.25">
      <c r="B501" s="102" t="str">
        <f t="shared" si="17"/>
        <v/>
      </c>
      <c r="C501" s="100" t="str">
        <f t="shared" si="18"/>
        <v/>
      </c>
    </row>
    <row r="502" spans="2:3" ht="15.75" customHeight="1" x14ac:dyDescent="0.25">
      <c r="B502" s="102" t="str">
        <f t="shared" si="17"/>
        <v/>
      </c>
      <c r="C502" s="100" t="str">
        <f t="shared" si="18"/>
        <v/>
      </c>
    </row>
    <row r="503" spans="2:3" ht="15.75" customHeight="1" x14ac:dyDescent="0.25">
      <c r="B503" s="102" t="str">
        <f t="shared" si="17"/>
        <v/>
      </c>
      <c r="C503" s="100" t="str">
        <f t="shared" si="18"/>
        <v/>
      </c>
    </row>
    <row r="504" spans="2:3" ht="15.75" customHeight="1" x14ac:dyDescent="0.25">
      <c r="B504" s="102" t="str">
        <f t="shared" si="17"/>
        <v/>
      </c>
      <c r="C504" s="100" t="str">
        <f t="shared" si="18"/>
        <v/>
      </c>
    </row>
    <row r="505" spans="2:3" ht="15.75" customHeight="1" x14ac:dyDescent="0.25">
      <c r="B505" s="102" t="str">
        <f t="shared" si="17"/>
        <v/>
      </c>
      <c r="C505" s="100" t="str">
        <f t="shared" si="18"/>
        <v/>
      </c>
    </row>
    <row r="506" spans="2:3" ht="15.75" customHeight="1" x14ac:dyDescent="0.25">
      <c r="B506" s="102" t="str">
        <f t="shared" si="17"/>
        <v/>
      </c>
      <c r="C506" s="100" t="str">
        <f t="shared" si="18"/>
        <v/>
      </c>
    </row>
    <row r="507" spans="2:3" ht="15.75" customHeight="1" x14ac:dyDescent="0.25">
      <c r="B507" s="102" t="str">
        <f t="shared" si="17"/>
        <v/>
      </c>
      <c r="C507" s="100" t="str">
        <f t="shared" si="18"/>
        <v/>
      </c>
    </row>
    <row r="508" spans="2:3" ht="15.75" customHeight="1" x14ac:dyDescent="0.25">
      <c r="B508" s="102" t="str">
        <f t="shared" si="17"/>
        <v/>
      </c>
      <c r="C508" s="100" t="str">
        <f t="shared" si="18"/>
        <v/>
      </c>
    </row>
    <row r="509" spans="2:3" ht="15.75" customHeight="1" x14ac:dyDescent="0.25">
      <c r="B509" s="102" t="str">
        <f t="shared" si="17"/>
        <v/>
      </c>
      <c r="C509" s="100" t="str">
        <f t="shared" si="18"/>
        <v/>
      </c>
    </row>
    <row r="510" spans="2:3" ht="15.75" customHeight="1" x14ac:dyDescent="0.25">
      <c r="B510" s="102" t="str">
        <f t="shared" si="17"/>
        <v/>
      </c>
      <c r="C510" s="100" t="str">
        <f t="shared" si="18"/>
        <v/>
      </c>
    </row>
    <row r="511" spans="2:3" ht="15.75" customHeight="1" x14ac:dyDescent="0.25">
      <c r="B511" s="102" t="str">
        <f t="shared" si="17"/>
        <v/>
      </c>
      <c r="C511" s="100" t="str">
        <f t="shared" si="18"/>
        <v/>
      </c>
    </row>
  </sheetData>
  <mergeCells count="3">
    <mergeCell ref="A1:K1"/>
    <mergeCell ref="B12:F12"/>
    <mergeCell ref="G12:L12"/>
  </mergeCells>
  <conditionalFormatting sqref="A14:L14">
    <cfRule type="expression" dxfId="2" priority="42">
      <formula>AND(TODAY()&gt;=$B$14,TODAY()&lt;$B$15)</formula>
    </cfRule>
  </conditionalFormatting>
  <conditionalFormatting sqref="A15:L54">
    <cfRule type="expression" dxfId="1" priority="2">
      <formula>AND(TODAY()&gt;=$B15,TODAY()&lt;$B16)</formula>
    </cfRule>
  </conditionalFormatting>
  <conditionalFormatting sqref="B14:B54">
    <cfRule type="cellIs" dxfId="0" priority="1" operator="greaterThan">
      <formula>$C$5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0251-C8AF-4932-9697-EF817C8347A0}">
  <dimension ref="A1:F508"/>
  <sheetViews>
    <sheetView workbookViewId="0"/>
  </sheetViews>
  <sheetFormatPr defaultColWidth="12.625" defaultRowHeight="15" customHeight="1" x14ac:dyDescent="0.25"/>
  <cols>
    <col min="1" max="1" width="26.625" customWidth="1"/>
    <col min="2" max="2" width="24.75" bestFit="1" customWidth="1"/>
    <col min="3" max="3" width="22.875" bestFit="1" customWidth="1"/>
    <col min="4" max="4" width="20.75" bestFit="1" customWidth="1"/>
    <col min="5" max="5" width="14.375" customWidth="1"/>
    <col min="6" max="6" width="14.125" customWidth="1"/>
  </cols>
  <sheetData>
    <row r="1" spans="1:6" ht="15.75" customHeight="1" x14ac:dyDescent="0.25">
      <c r="A1" s="4" t="s">
        <v>2607</v>
      </c>
      <c r="B1" s="5">
        <v>1</v>
      </c>
      <c r="C1" s="1"/>
      <c r="D1" s="1"/>
      <c r="E1" s="1"/>
      <c r="F1" s="1"/>
    </row>
    <row r="2" spans="1:6" ht="15.75" customHeight="1" x14ac:dyDescent="0.25">
      <c r="A2" s="4" t="s">
        <v>2608</v>
      </c>
      <c r="B2" s="5">
        <v>3</v>
      </c>
      <c r="C2" s="1"/>
      <c r="D2" s="1"/>
      <c r="E2" s="1"/>
      <c r="F2" s="1"/>
    </row>
    <row r="3" spans="1:6" ht="15.75" customHeight="1" x14ac:dyDescent="0.25">
      <c r="A3" s="4" t="s">
        <v>27</v>
      </c>
      <c r="B3" s="9">
        <v>45642</v>
      </c>
      <c r="C3" s="1"/>
      <c r="D3" s="1"/>
      <c r="E3" s="1"/>
      <c r="F3" s="1"/>
    </row>
    <row r="4" spans="1:6" ht="15.75" customHeight="1" x14ac:dyDescent="0.25">
      <c r="A4" s="4" t="s">
        <v>29</v>
      </c>
      <c r="B4" s="9">
        <v>45660</v>
      </c>
      <c r="C4" s="1"/>
      <c r="D4" s="1"/>
      <c r="E4" s="1"/>
      <c r="F4" s="1"/>
    </row>
    <row r="5" spans="1:6" ht="15.75" customHeight="1" x14ac:dyDescent="0.25">
      <c r="A5" s="4" t="s">
        <v>36</v>
      </c>
      <c r="B5" s="7">
        <v>7</v>
      </c>
      <c r="C5" s="1" t="s">
        <v>37</v>
      </c>
      <c r="D5" s="1"/>
      <c r="E5" s="1"/>
      <c r="F5" s="1"/>
    </row>
    <row r="6" spans="1:6" ht="15.75" customHeight="1" x14ac:dyDescent="0.25">
      <c r="A6" s="4" t="s">
        <v>31</v>
      </c>
      <c r="B6" s="5">
        <v>3</v>
      </c>
      <c r="C6" s="1" t="s">
        <v>32</v>
      </c>
      <c r="D6" s="1"/>
      <c r="E6" s="1"/>
      <c r="F6" s="1"/>
    </row>
    <row r="7" spans="1:6" ht="15.75" customHeight="1" x14ac:dyDescent="0.25">
      <c r="A7" s="4" t="s">
        <v>34</v>
      </c>
      <c r="B7" s="5">
        <v>2</v>
      </c>
      <c r="C7" s="1" t="s">
        <v>32</v>
      </c>
      <c r="D7" s="1"/>
      <c r="E7" s="1"/>
      <c r="F7" s="1"/>
    </row>
    <row r="8" spans="1:6" ht="15.75" customHeight="1" x14ac:dyDescent="0.25">
      <c r="A8" s="4" t="s">
        <v>35</v>
      </c>
      <c r="B8" s="6">
        <v>5</v>
      </c>
      <c r="C8" s="1" t="s">
        <v>32</v>
      </c>
      <c r="D8" s="1"/>
      <c r="E8" s="1"/>
      <c r="F8" s="1"/>
    </row>
    <row r="9" spans="1:6" ht="15.75" customHeight="1" x14ac:dyDescent="0.25">
      <c r="A9" s="1"/>
      <c r="B9" s="3"/>
      <c r="C9" s="1"/>
      <c r="D9" s="1"/>
      <c r="E9" s="1"/>
      <c r="F9" s="1"/>
    </row>
    <row r="10" spans="1:6" ht="12.75" customHeight="1" x14ac:dyDescent="0.25">
      <c r="A10" s="4"/>
      <c r="B10" s="4"/>
      <c r="C10" s="4"/>
      <c r="D10" s="1"/>
      <c r="E10" s="1"/>
      <c r="F10" s="1"/>
    </row>
    <row r="11" spans="1:6" ht="21" customHeight="1" x14ac:dyDescent="0.25">
      <c r="A11" s="20" t="s">
        <v>52</v>
      </c>
      <c r="B11" s="20" t="s">
        <v>2495</v>
      </c>
      <c r="C11" s="20" t="s">
        <v>2496</v>
      </c>
      <c r="D11" s="20" t="s">
        <v>2609</v>
      </c>
      <c r="E11" s="20" t="s">
        <v>60</v>
      </c>
      <c r="F11" s="20" t="s">
        <v>2610</v>
      </c>
    </row>
    <row r="12" spans="1:6" ht="15.75" customHeight="1" x14ac:dyDescent="0.25">
      <c r="A12" s="15">
        <v>45642</v>
      </c>
      <c r="B12" s="16">
        <f>B2</f>
        <v>3</v>
      </c>
      <c r="C12" s="16">
        <f>B2</f>
        <v>3</v>
      </c>
      <c r="D12" s="16">
        <f>B2</f>
        <v>3</v>
      </c>
      <c r="E12" s="17">
        <v>0</v>
      </c>
      <c r="F12" s="18">
        <v>0</v>
      </c>
    </row>
    <row r="13" spans="1:6" ht="15.75" customHeight="1" x14ac:dyDescent="0.25">
      <c r="A13" s="19">
        <f>A12+$B$5</f>
        <v>45649</v>
      </c>
      <c r="B13" s="12">
        <f>IF(OR(B12=0,B12=""),"",IF(IF(E13=0,B12+F13-$B$6,B12+F13-E13)&lt;0,0,IF(E13=0,B12+F13-$B$6,B12+F13-E13)))</f>
        <v>0</v>
      </c>
      <c r="C13" s="12">
        <f>IF(OR(C12=0,C12=""),"",IF(IF(E13=0,C12+F13-$B$7,C12+F13-E13)&lt;0,0,IF(E13=0,C12+F13-$B$7,C12+F13-E13)))</f>
        <v>1</v>
      </c>
      <c r="D13" s="12">
        <f>IF(OR(D12=0,D12=""),"",IF(IF(E13=0,D12+F13-$B$8,D12+F13-E13)&lt;0,0,IF(E13=0,D12+F13-$B$8,D12+F13-E13)))</f>
        <v>0</v>
      </c>
      <c r="E13" s="13">
        <v>0</v>
      </c>
      <c r="F13" s="14">
        <v>0</v>
      </c>
    </row>
    <row r="14" spans="1:6" ht="15.75" customHeight="1" x14ac:dyDescent="0.25">
      <c r="A14" s="19">
        <f t="shared" ref="A14:A77" si="0">A13+$B$5</f>
        <v>45656</v>
      </c>
      <c r="B14" s="12" t="str">
        <f t="shared" ref="B14:B50" si="1">IF(OR(B13=0,B13=""),"",IF(IF(E14=0,B13+F14-$B$6,B13+F14-E14)&lt;0,0,IF(E14=0,B13+F14-$B$6,B13+F14-E14)))</f>
        <v/>
      </c>
      <c r="C14" s="12">
        <f t="shared" ref="C14:C50" si="2">IF(OR(C13=0,C13=""),"",IF(IF(E14=0,C13+F14-$B$7,C13+F14-E14)&lt;0,0,IF(E14=0,C13+F14-$B$7,C13+F14-E14)))</f>
        <v>0</v>
      </c>
      <c r="D14" s="12" t="str">
        <f t="shared" ref="D14:D50" si="3">IF(OR(D13=0,D13=""),"",IF(IF(E14=0,D13+F14-$B$8,D13+F14-E14)&lt;0,0,IF(E14=0,D13+F14-$B$8,D13+F14-E14)))</f>
        <v/>
      </c>
      <c r="E14" s="13">
        <v>0</v>
      </c>
      <c r="F14" s="14"/>
    </row>
    <row r="15" spans="1:6" ht="15.75" customHeight="1" x14ac:dyDescent="0.25">
      <c r="A15" s="21">
        <f t="shared" si="0"/>
        <v>45663</v>
      </c>
      <c r="B15" s="12" t="str">
        <f t="shared" si="1"/>
        <v/>
      </c>
      <c r="C15" s="12" t="str">
        <f t="shared" si="2"/>
        <v/>
      </c>
      <c r="D15" s="12" t="str">
        <f t="shared" si="3"/>
        <v/>
      </c>
      <c r="E15" s="13">
        <v>0</v>
      </c>
      <c r="F15" s="14">
        <v>0</v>
      </c>
    </row>
    <row r="16" spans="1:6" ht="15.75" customHeight="1" x14ac:dyDescent="0.25">
      <c r="A16" s="19">
        <f t="shared" si="0"/>
        <v>45670</v>
      </c>
      <c r="B16" s="12" t="str">
        <f t="shared" si="1"/>
        <v/>
      </c>
      <c r="C16" s="12" t="str">
        <f t="shared" si="2"/>
        <v/>
      </c>
      <c r="D16" s="12" t="str">
        <f t="shared" si="3"/>
        <v/>
      </c>
      <c r="E16" s="13">
        <v>0</v>
      </c>
      <c r="F16" s="14">
        <v>0</v>
      </c>
    </row>
    <row r="17" spans="1:6" ht="15.75" customHeight="1" x14ac:dyDescent="0.25">
      <c r="A17" s="19">
        <f t="shared" si="0"/>
        <v>45677</v>
      </c>
      <c r="B17" s="12" t="str">
        <f t="shared" si="1"/>
        <v/>
      </c>
      <c r="C17" s="12" t="str">
        <f t="shared" si="2"/>
        <v/>
      </c>
      <c r="D17" s="12" t="str">
        <f t="shared" si="3"/>
        <v/>
      </c>
      <c r="E17" s="13">
        <v>0</v>
      </c>
      <c r="F17" s="14">
        <v>0</v>
      </c>
    </row>
    <row r="18" spans="1:6" ht="15.75" customHeight="1" x14ac:dyDescent="0.25">
      <c r="A18" s="19">
        <f t="shared" si="0"/>
        <v>45684</v>
      </c>
      <c r="B18" s="12" t="str">
        <f t="shared" si="1"/>
        <v/>
      </c>
      <c r="C18" s="12" t="str">
        <f t="shared" si="2"/>
        <v/>
      </c>
      <c r="D18" s="12" t="str">
        <f t="shared" si="3"/>
        <v/>
      </c>
      <c r="E18" s="13">
        <v>0</v>
      </c>
      <c r="F18" s="14">
        <v>0</v>
      </c>
    </row>
    <row r="19" spans="1:6" ht="15.75" customHeight="1" x14ac:dyDescent="0.25">
      <c r="A19" s="19">
        <f t="shared" si="0"/>
        <v>45691</v>
      </c>
      <c r="B19" s="12" t="str">
        <f t="shared" si="1"/>
        <v/>
      </c>
      <c r="C19" s="12" t="str">
        <f t="shared" si="2"/>
        <v/>
      </c>
      <c r="D19" s="12" t="str">
        <f t="shared" si="3"/>
        <v/>
      </c>
      <c r="E19" s="13">
        <v>0</v>
      </c>
      <c r="F19" s="14">
        <v>0</v>
      </c>
    </row>
    <row r="20" spans="1:6" ht="15.75" customHeight="1" x14ac:dyDescent="0.25">
      <c r="A20" s="19">
        <f t="shared" si="0"/>
        <v>45698</v>
      </c>
      <c r="B20" s="12" t="str">
        <f t="shared" si="1"/>
        <v/>
      </c>
      <c r="C20" s="12" t="str">
        <f t="shared" si="2"/>
        <v/>
      </c>
      <c r="D20" s="12" t="str">
        <f t="shared" si="3"/>
        <v/>
      </c>
      <c r="E20" s="13">
        <v>0</v>
      </c>
      <c r="F20" s="14">
        <v>0</v>
      </c>
    </row>
    <row r="21" spans="1:6" ht="15.75" customHeight="1" x14ac:dyDescent="0.25">
      <c r="A21" s="19">
        <f t="shared" si="0"/>
        <v>45705</v>
      </c>
      <c r="B21" s="12" t="str">
        <f t="shared" si="1"/>
        <v/>
      </c>
      <c r="C21" s="12" t="str">
        <f t="shared" si="2"/>
        <v/>
      </c>
      <c r="D21" s="12" t="str">
        <f t="shared" si="3"/>
        <v/>
      </c>
      <c r="E21" s="13">
        <v>0</v>
      </c>
      <c r="F21" s="14">
        <v>0</v>
      </c>
    </row>
    <row r="22" spans="1:6" ht="15.75" customHeight="1" x14ac:dyDescent="0.25">
      <c r="A22" s="19">
        <f t="shared" si="0"/>
        <v>45712</v>
      </c>
      <c r="B22" s="12" t="str">
        <f t="shared" si="1"/>
        <v/>
      </c>
      <c r="C22" s="12" t="str">
        <f t="shared" si="2"/>
        <v/>
      </c>
      <c r="D22" s="12" t="str">
        <f t="shared" si="3"/>
        <v/>
      </c>
      <c r="E22" s="13">
        <v>0</v>
      </c>
      <c r="F22" s="14">
        <v>0</v>
      </c>
    </row>
    <row r="23" spans="1:6" ht="15.75" customHeight="1" x14ac:dyDescent="0.25">
      <c r="A23" s="19">
        <f t="shared" si="0"/>
        <v>45719</v>
      </c>
      <c r="B23" s="12" t="str">
        <f t="shared" si="1"/>
        <v/>
      </c>
      <c r="C23" s="12" t="str">
        <f t="shared" si="2"/>
        <v/>
      </c>
      <c r="D23" s="12" t="str">
        <f t="shared" si="3"/>
        <v/>
      </c>
      <c r="E23" s="13">
        <v>0</v>
      </c>
      <c r="F23" s="14">
        <v>0</v>
      </c>
    </row>
    <row r="24" spans="1:6" ht="15.75" customHeight="1" x14ac:dyDescent="0.25">
      <c r="A24" s="19">
        <f t="shared" si="0"/>
        <v>45726</v>
      </c>
      <c r="B24" s="12" t="str">
        <f t="shared" si="1"/>
        <v/>
      </c>
      <c r="C24" s="12" t="str">
        <f t="shared" si="2"/>
        <v/>
      </c>
      <c r="D24" s="12" t="str">
        <f t="shared" si="3"/>
        <v/>
      </c>
      <c r="E24" s="13">
        <v>0</v>
      </c>
      <c r="F24" s="14">
        <v>0</v>
      </c>
    </row>
    <row r="25" spans="1:6" ht="15.75" customHeight="1" x14ac:dyDescent="0.25">
      <c r="A25" s="19">
        <f t="shared" si="0"/>
        <v>45733</v>
      </c>
      <c r="B25" s="12" t="str">
        <f t="shared" si="1"/>
        <v/>
      </c>
      <c r="C25" s="12" t="str">
        <f t="shared" si="2"/>
        <v/>
      </c>
      <c r="D25" s="12" t="str">
        <f t="shared" si="3"/>
        <v/>
      </c>
      <c r="E25" s="13">
        <v>0</v>
      </c>
      <c r="F25" s="14">
        <v>0</v>
      </c>
    </row>
    <row r="26" spans="1:6" ht="15.75" customHeight="1" x14ac:dyDescent="0.25">
      <c r="A26" s="8">
        <f>A25+$B$5</f>
        <v>45740</v>
      </c>
      <c r="B26" s="10" t="str">
        <f t="shared" si="1"/>
        <v/>
      </c>
      <c r="C26" s="10" t="str">
        <f t="shared" si="2"/>
        <v/>
      </c>
      <c r="D26" s="10" t="str">
        <f t="shared" si="3"/>
        <v/>
      </c>
      <c r="E26" s="5">
        <v>0</v>
      </c>
      <c r="F26" s="11">
        <v>0</v>
      </c>
    </row>
    <row r="27" spans="1:6" ht="15.75" customHeight="1" x14ac:dyDescent="0.25">
      <c r="A27" s="8">
        <f t="shared" si="0"/>
        <v>45747</v>
      </c>
      <c r="B27" s="10" t="str">
        <f t="shared" si="1"/>
        <v/>
      </c>
      <c r="C27" s="10" t="str">
        <f t="shared" si="2"/>
        <v/>
      </c>
      <c r="D27" s="10" t="str">
        <f t="shared" si="3"/>
        <v/>
      </c>
      <c r="E27" s="5">
        <v>0</v>
      </c>
      <c r="F27" s="11">
        <v>0</v>
      </c>
    </row>
    <row r="28" spans="1:6" ht="15.75" customHeight="1" x14ac:dyDescent="0.25">
      <c r="A28" s="8">
        <f t="shared" si="0"/>
        <v>45754</v>
      </c>
      <c r="B28" s="10" t="str">
        <f t="shared" si="1"/>
        <v/>
      </c>
      <c r="C28" s="10" t="str">
        <f t="shared" si="2"/>
        <v/>
      </c>
      <c r="D28" s="10" t="str">
        <f t="shared" si="3"/>
        <v/>
      </c>
      <c r="E28" s="5">
        <v>0</v>
      </c>
      <c r="F28" s="11">
        <v>0</v>
      </c>
    </row>
    <row r="29" spans="1:6" ht="15.75" customHeight="1" x14ac:dyDescent="0.25">
      <c r="A29" s="8">
        <f t="shared" si="0"/>
        <v>45761</v>
      </c>
      <c r="B29" s="10" t="str">
        <f t="shared" si="1"/>
        <v/>
      </c>
      <c r="C29" s="10" t="str">
        <f t="shared" si="2"/>
        <v/>
      </c>
      <c r="D29" s="10" t="str">
        <f t="shared" si="3"/>
        <v/>
      </c>
      <c r="E29" s="5">
        <v>0</v>
      </c>
      <c r="F29" s="11">
        <v>0</v>
      </c>
    </row>
    <row r="30" spans="1:6" ht="15.75" customHeight="1" x14ac:dyDescent="0.25">
      <c r="A30" s="8">
        <f t="shared" si="0"/>
        <v>45768</v>
      </c>
      <c r="B30" s="10" t="str">
        <f t="shared" si="1"/>
        <v/>
      </c>
      <c r="C30" s="10" t="str">
        <f t="shared" si="2"/>
        <v/>
      </c>
      <c r="D30" s="10" t="str">
        <f t="shared" si="3"/>
        <v/>
      </c>
      <c r="E30" s="5">
        <v>0</v>
      </c>
      <c r="F30" s="11">
        <v>0</v>
      </c>
    </row>
    <row r="31" spans="1:6" ht="15.75" customHeight="1" x14ac:dyDescent="0.25">
      <c r="A31" s="8">
        <f t="shared" si="0"/>
        <v>45775</v>
      </c>
      <c r="B31" s="10" t="str">
        <f t="shared" si="1"/>
        <v/>
      </c>
      <c r="C31" s="10" t="str">
        <f t="shared" si="2"/>
        <v/>
      </c>
      <c r="D31" s="10" t="str">
        <f t="shared" si="3"/>
        <v/>
      </c>
      <c r="E31" s="5">
        <v>0</v>
      </c>
      <c r="F31" s="11">
        <v>0</v>
      </c>
    </row>
    <row r="32" spans="1:6" ht="15.75" customHeight="1" x14ac:dyDescent="0.25">
      <c r="A32" s="8">
        <f t="shared" si="0"/>
        <v>45782</v>
      </c>
      <c r="B32" s="10" t="str">
        <f t="shared" si="1"/>
        <v/>
      </c>
      <c r="C32" s="10" t="str">
        <f t="shared" si="2"/>
        <v/>
      </c>
      <c r="D32" s="10" t="str">
        <f t="shared" si="3"/>
        <v/>
      </c>
      <c r="E32" s="5">
        <v>0</v>
      </c>
      <c r="F32" s="11">
        <v>0</v>
      </c>
    </row>
    <row r="33" spans="1:6" ht="15.75" customHeight="1" x14ac:dyDescent="0.25">
      <c r="A33" s="8">
        <f t="shared" si="0"/>
        <v>45789</v>
      </c>
      <c r="B33" s="10" t="str">
        <f t="shared" si="1"/>
        <v/>
      </c>
      <c r="C33" s="10" t="str">
        <f t="shared" si="2"/>
        <v/>
      </c>
      <c r="D33" s="10" t="str">
        <f t="shared" si="3"/>
        <v/>
      </c>
      <c r="E33" s="5">
        <v>0</v>
      </c>
      <c r="F33" s="11">
        <v>0</v>
      </c>
    </row>
    <row r="34" spans="1:6" ht="15.75" customHeight="1" x14ac:dyDescent="0.25">
      <c r="A34" s="8">
        <f t="shared" si="0"/>
        <v>45796</v>
      </c>
      <c r="B34" s="10" t="str">
        <f t="shared" si="1"/>
        <v/>
      </c>
      <c r="C34" s="10" t="str">
        <f t="shared" si="2"/>
        <v/>
      </c>
      <c r="D34" s="10" t="str">
        <f t="shared" si="3"/>
        <v/>
      </c>
      <c r="E34" s="5">
        <v>0</v>
      </c>
      <c r="F34" s="11">
        <v>0</v>
      </c>
    </row>
    <row r="35" spans="1:6" ht="15.75" customHeight="1" x14ac:dyDescent="0.25">
      <c r="A35" s="8">
        <f t="shared" si="0"/>
        <v>45803</v>
      </c>
      <c r="B35" s="10" t="str">
        <f t="shared" si="1"/>
        <v/>
      </c>
      <c r="C35" s="10" t="str">
        <f t="shared" si="2"/>
        <v/>
      </c>
      <c r="D35" s="10" t="str">
        <f t="shared" si="3"/>
        <v/>
      </c>
      <c r="E35" s="5">
        <v>0</v>
      </c>
      <c r="F35" s="11">
        <v>0</v>
      </c>
    </row>
    <row r="36" spans="1:6" ht="15.75" customHeight="1" x14ac:dyDescent="0.25">
      <c r="A36" s="8">
        <f t="shared" si="0"/>
        <v>45810</v>
      </c>
      <c r="B36" s="10" t="str">
        <f t="shared" si="1"/>
        <v/>
      </c>
      <c r="C36" s="10" t="str">
        <f t="shared" si="2"/>
        <v/>
      </c>
      <c r="D36" s="10" t="str">
        <f t="shared" si="3"/>
        <v/>
      </c>
      <c r="E36" s="5">
        <v>0</v>
      </c>
      <c r="F36" s="11">
        <v>0</v>
      </c>
    </row>
    <row r="37" spans="1:6" ht="15.75" customHeight="1" x14ac:dyDescent="0.25">
      <c r="A37" s="8">
        <f t="shared" si="0"/>
        <v>45817</v>
      </c>
      <c r="B37" s="10" t="str">
        <f t="shared" si="1"/>
        <v/>
      </c>
      <c r="C37" s="10" t="str">
        <f t="shared" si="2"/>
        <v/>
      </c>
      <c r="D37" s="10" t="str">
        <f t="shared" si="3"/>
        <v/>
      </c>
      <c r="E37" s="5">
        <v>0</v>
      </c>
      <c r="F37" s="11">
        <v>0</v>
      </c>
    </row>
    <row r="38" spans="1:6" ht="15.75" customHeight="1" x14ac:dyDescent="0.25">
      <c r="A38" s="8">
        <f t="shared" si="0"/>
        <v>45824</v>
      </c>
      <c r="B38" s="10" t="str">
        <f t="shared" si="1"/>
        <v/>
      </c>
      <c r="C38" s="10" t="str">
        <f t="shared" si="2"/>
        <v/>
      </c>
      <c r="D38" s="10" t="str">
        <f t="shared" si="3"/>
        <v/>
      </c>
      <c r="E38" s="5">
        <v>0</v>
      </c>
      <c r="F38" s="11">
        <v>0</v>
      </c>
    </row>
    <row r="39" spans="1:6" ht="15.75" customHeight="1" x14ac:dyDescent="0.25">
      <c r="A39" s="8">
        <f t="shared" si="0"/>
        <v>45831</v>
      </c>
      <c r="B39" s="10" t="str">
        <f t="shared" si="1"/>
        <v/>
      </c>
      <c r="C39" s="10" t="str">
        <f t="shared" si="2"/>
        <v/>
      </c>
      <c r="D39" s="10" t="str">
        <f t="shared" si="3"/>
        <v/>
      </c>
      <c r="E39" s="5">
        <v>0</v>
      </c>
      <c r="F39" s="11">
        <v>0</v>
      </c>
    </row>
    <row r="40" spans="1:6" ht="15.75" customHeight="1" x14ac:dyDescent="0.25">
      <c r="A40" s="8">
        <f t="shared" si="0"/>
        <v>45838</v>
      </c>
      <c r="B40" s="10" t="str">
        <f t="shared" si="1"/>
        <v/>
      </c>
      <c r="C40" s="10" t="str">
        <f t="shared" si="2"/>
        <v/>
      </c>
      <c r="D40" s="10" t="str">
        <f t="shared" si="3"/>
        <v/>
      </c>
      <c r="E40" s="5">
        <v>0</v>
      </c>
      <c r="F40" s="11">
        <v>0</v>
      </c>
    </row>
    <row r="41" spans="1:6" ht="15.75" customHeight="1" x14ac:dyDescent="0.25">
      <c r="A41" s="8">
        <f t="shared" si="0"/>
        <v>45845</v>
      </c>
      <c r="B41" s="10" t="str">
        <f t="shared" si="1"/>
        <v/>
      </c>
      <c r="C41" s="10" t="str">
        <f t="shared" si="2"/>
        <v/>
      </c>
      <c r="D41" s="10" t="str">
        <f t="shared" si="3"/>
        <v/>
      </c>
      <c r="E41" s="5">
        <v>0</v>
      </c>
      <c r="F41" s="11">
        <v>0</v>
      </c>
    </row>
    <row r="42" spans="1:6" ht="15.75" customHeight="1" x14ac:dyDescent="0.25">
      <c r="A42" s="8">
        <f t="shared" si="0"/>
        <v>45852</v>
      </c>
      <c r="B42" s="10" t="str">
        <f t="shared" si="1"/>
        <v/>
      </c>
      <c r="C42" s="10" t="str">
        <f t="shared" si="2"/>
        <v/>
      </c>
      <c r="D42" s="10" t="str">
        <f t="shared" si="3"/>
        <v/>
      </c>
      <c r="E42" s="5">
        <v>0</v>
      </c>
      <c r="F42" s="11">
        <v>0</v>
      </c>
    </row>
    <row r="43" spans="1:6" ht="15.75" customHeight="1" x14ac:dyDescent="0.25">
      <c r="A43" s="8">
        <f t="shared" si="0"/>
        <v>45859</v>
      </c>
      <c r="B43" s="10" t="str">
        <f t="shared" si="1"/>
        <v/>
      </c>
      <c r="C43" s="10" t="str">
        <f t="shared" si="2"/>
        <v/>
      </c>
      <c r="D43" s="10" t="str">
        <f t="shared" si="3"/>
        <v/>
      </c>
      <c r="E43" s="5">
        <v>0</v>
      </c>
      <c r="F43" s="11">
        <v>0</v>
      </c>
    </row>
    <row r="44" spans="1:6" ht="15.75" customHeight="1" x14ac:dyDescent="0.25">
      <c r="A44" s="8">
        <f t="shared" si="0"/>
        <v>45866</v>
      </c>
      <c r="B44" s="10" t="str">
        <f t="shared" si="1"/>
        <v/>
      </c>
      <c r="C44" s="10" t="str">
        <f t="shared" si="2"/>
        <v/>
      </c>
      <c r="D44" s="10" t="str">
        <f t="shared" si="3"/>
        <v/>
      </c>
      <c r="E44" s="5">
        <v>0</v>
      </c>
      <c r="F44" s="11">
        <v>0</v>
      </c>
    </row>
    <row r="45" spans="1:6" ht="15.75" customHeight="1" x14ac:dyDescent="0.25">
      <c r="A45" s="8">
        <f t="shared" si="0"/>
        <v>45873</v>
      </c>
      <c r="B45" s="10" t="str">
        <f t="shared" si="1"/>
        <v/>
      </c>
      <c r="C45" s="10" t="str">
        <f t="shared" si="2"/>
        <v/>
      </c>
      <c r="D45" s="10" t="str">
        <f t="shared" si="3"/>
        <v/>
      </c>
      <c r="E45" s="5">
        <v>0</v>
      </c>
      <c r="F45" s="11">
        <v>0</v>
      </c>
    </row>
    <row r="46" spans="1:6" ht="15.75" customHeight="1" x14ac:dyDescent="0.25">
      <c r="A46" s="8">
        <f t="shared" si="0"/>
        <v>45880</v>
      </c>
      <c r="B46" s="10" t="str">
        <f t="shared" si="1"/>
        <v/>
      </c>
      <c r="C46" s="10" t="str">
        <f t="shared" si="2"/>
        <v/>
      </c>
      <c r="D46" s="10" t="str">
        <f t="shared" si="3"/>
        <v/>
      </c>
      <c r="E46" s="5">
        <v>0</v>
      </c>
      <c r="F46" s="11">
        <v>0</v>
      </c>
    </row>
    <row r="47" spans="1:6" ht="15.75" customHeight="1" x14ac:dyDescent="0.25">
      <c r="A47" s="8">
        <f t="shared" si="0"/>
        <v>45887</v>
      </c>
      <c r="B47" s="10" t="str">
        <f t="shared" si="1"/>
        <v/>
      </c>
      <c r="C47" s="10" t="str">
        <f t="shared" si="2"/>
        <v/>
      </c>
      <c r="D47" s="10" t="str">
        <f t="shared" si="3"/>
        <v/>
      </c>
      <c r="E47" s="5">
        <v>0</v>
      </c>
      <c r="F47" s="11">
        <v>0</v>
      </c>
    </row>
    <row r="48" spans="1:6" ht="15.75" customHeight="1" x14ac:dyDescent="0.25">
      <c r="A48" s="8">
        <f t="shared" si="0"/>
        <v>45894</v>
      </c>
      <c r="B48" s="10" t="str">
        <f t="shared" si="1"/>
        <v/>
      </c>
      <c r="C48" s="10" t="str">
        <f t="shared" si="2"/>
        <v/>
      </c>
      <c r="D48" s="10" t="str">
        <f t="shared" si="3"/>
        <v/>
      </c>
      <c r="E48" s="5">
        <v>0</v>
      </c>
      <c r="F48" s="11">
        <v>0</v>
      </c>
    </row>
    <row r="49" spans="1:6" ht="15.75" customHeight="1" x14ac:dyDescent="0.25">
      <c r="A49" s="8">
        <f t="shared" si="0"/>
        <v>45901</v>
      </c>
      <c r="B49" s="10" t="str">
        <f t="shared" si="1"/>
        <v/>
      </c>
      <c r="C49" s="10" t="str">
        <f t="shared" si="2"/>
        <v/>
      </c>
      <c r="D49" s="10" t="str">
        <f t="shared" si="3"/>
        <v/>
      </c>
      <c r="E49" s="5">
        <v>0</v>
      </c>
      <c r="F49" s="11">
        <v>0</v>
      </c>
    </row>
    <row r="50" spans="1:6" ht="15.75" customHeight="1" x14ac:dyDescent="0.25">
      <c r="A50" s="8">
        <f t="shared" si="0"/>
        <v>45908</v>
      </c>
      <c r="B50" s="10" t="str">
        <f t="shared" si="1"/>
        <v/>
      </c>
      <c r="C50" s="10" t="str">
        <f t="shared" si="2"/>
        <v/>
      </c>
      <c r="D50" s="10" t="str">
        <f t="shared" si="3"/>
        <v/>
      </c>
      <c r="E50" s="5">
        <v>0</v>
      </c>
      <c r="F50" s="11">
        <v>0</v>
      </c>
    </row>
    <row r="51" spans="1:6" ht="15.75" customHeight="1" x14ac:dyDescent="0.25">
      <c r="A51" s="8">
        <f t="shared" si="0"/>
        <v>45915</v>
      </c>
      <c r="B51" s="3"/>
      <c r="C51" s="1"/>
      <c r="D51" s="1"/>
      <c r="E51" s="1"/>
      <c r="F51" s="1"/>
    </row>
    <row r="52" spans="1:6" ht="15.75" customHeight="1" x14ac:dyDescent="0.25">
      <c r="A52" s="8">
        <f t="shared" si="0"/>
        <v>45922</v>
      </c>
      <c r="B52" s="3"/>
      <c r="C52" s="1"/>
      <c r="D52" s="1"/>
      <c r="E52" s="1"/>
      <c r="F52" s="1"/>
    </row>
    <row r="53" spans="1:6" ht="15.75" customHeight="1" x14ac:dyDescent="0.25">
      <c r="A53" s="8">
        <f t="shared" si="0"/>
        <v>45929</v>
      </c>
      <c r="B53" s="3"/>
      <c r="C53" s="1"/>
      <c r="D53" s="1"/>
      <c r="E53" s="1"/>
      <c r="F53" s="1"/>
    </row>
    <row r="54" spans="1:6" ht="15.75" customHeight="1" x14ac:dyDescent="0.25">
      <c r="A54" s="8">
        <f t="shared" si="0"/>
        <v>45936</v>
      </c>
      <c r="B54" s="3"/>
      <c r="C54" s="1"/>
      <c r="D54" s="1"/>
      <c r="E54" s="1"/>
      <c r="F54" s="1"/>
    </row>
    <row r="55" spans="1:6" ht="15.75" customHeight="1" x14ac:dyDescent="0.25">
      <c r="A55" s="8">
        <f t="shared" si="0"/>
        <v>45943</v>
      </c>
      <c r="B55" s="3"/>
      <c r="C55" s="1"/>
      <c r="D55" s="1"/>
      <c r="E55" s="1"/>
      <c r="F55" s="1"/>
    </row>
    <row r="56" spans="1:6" ht="15.75" customHeight="1" x14ac:dyDescent="0.25">
      <c r="A56" s="8">
        <f t="shared" si="0"/>
        <v>45950</v>
      </c>
      <c r="B56" s="3"/>
      <c r="C56" s="1"/>
      <c r="D56" s="1"/>
      <c r="E56" s="1"/>
      <c r="F56" s="1"/>
    </row>
    <row r="57" spans="1:6" ht="15.75" customHeight="1" x14ac:dyDescent="0.25">
      <c r="A57" s="8">
        <f t="shared" si="0"/>
        <v>45957</v>
      </c>
      <c r="B57" s="3"/>
      <c r="C57" s="1"/>
      <c r="D57" s="1"/>
      <c r="E57" s="1"/>
      <c r="F57" s="1"/>
    </row>
    <row r="58" spans="1:6" ht="15.75" customHeight="1" x14ac:dyDescent="0.25">
      <c r="A58" s="8">
        <f t="shared" si="0"/>
        <v>45964</v>
      </c>
      <c r="B58" s="3"/>
      <c r="C58" s="1"/>
      <c r="D58" s="1"/>
      <c r="E58" s="1"/>
      <c r="F58" s="1"/>
    </row>
    <row r="59" spans="1:6" ht="15.75" customHeight="1" x14ac:dyDescent="0.25">
      <c r="A59" s="8">
        <f t="shared" si="0"/>
        <v>45971</v>
      </c>
      <c r="B59" s="3"/>
      <c r="C59" s="1"/>
      <c r="D59" s="1"/>
      <c r="E59" s="1"/>
      <c r="F59" s="1"/>
    </row>
    <row r="60" spans="1:6" ht="15.75" customHeight="1" x14ac:dyDescent="0.25">
      <c r="A60" s="8">
        <f t="shared" si="0"/>
        <v>45978</v>
      </c>
      <c r="B60" s="3"/>
      <c r="C60" s="1"/>
      <c r="D60" s="1"/>
      <c r="E60" s="1"/>
      <c r="F60" s="1"/>
    </row>
    <row r="61" spans="1:6" ht="15.75" customHeight="1" x14ac:dyDescent="0.25">
      <c r="A61" s="8">
        <f t="shared" si="0"/>
        <v>45985</v>
      </c>
      <c r="B61" s="3"/>
      <c r="C61" s="1"/>
      <c r="D61" s="1"/>
      <c r="E61" s="1"/>
      <c r="F61" s="1"/>
    </row>
    <row r="62" spans="1:6" ht="15.75" customHeight="1" x14ac:dyDescent="0.25">
      <c r="A62" s="8">
        <f t="shared" si="0"/>
        <v>45992</v>
      </c>
      <c r="B62" s="3"/>
      <c r="C62" s="1"/>
      <c r="D62" s="1"/>
      <c r="E62" s="1"/>
      <c r="F62" s="1"/>
    </row>
    <row r="63" spans="1:6" ht="15.75" customHeight="1" x14ac:dyDescent="0.25">
      <c r="A63" s="8">
        <f t="shared" si="0"/>
        <v>45999</v>
      </c>
      <c r="B63" s="3"/>
      <c r="C63" s="1"/>
      <c r="D63" s="1"/>
      <c r="E63" s="1"/>
      <c r="F63" s="1"/>
    </row>
    <row r="64" spans="1:6" ht="15.75" customHeight="1" x14ac:dyDescent="0.25">
      <c r="A64" s="8">
        <f t="shared" si="0"/>
        <v>46006</v>
      </c>
      <c r="B64" s="3"/>
      <c r="C64" s="1"/>
      <c r="D64" s="1"/>
      <c r="E64" s="1"/>
      <c r="F64" s="1"/>
    </row>
    <row r="65" spans="1:6" ht="15.75" customHeight="1" x14ac:dyDescent="0.25">
      <c r="A65" s="8">
        <f t="shared" si="0"/>
        <v>46013</v>
      </c>
      <c r="B65" s="3"/>
      <c r="C65" s="1"/>
      <c r="D65" s="1"/>
      <c r="E65" s="1"/>
      <c r="F65" s="1"/>
    </row>
    <row r="66" spans="1:6" ht="15.75" customHeight="1" x14ac:dyDescent="0.25">
      <c r="A66" s="8">
        <f t="shared" si="0"/>
        <v>46020</v>
      </c>
      <c r="B66" s="3"/>
      <c r="C66" s="1"/>
      <c r="D66" s="1"/>
      <c r="E66" s="1"/>
      <c r="F66" s="1"/>
    </row>
    <row r="67" spans="1:6" ht="15.75" customHeight="1" x14ac:dyDescent="0.25">
      <c r="A67" s="8">
        <f t="shared" si="0"/>
        <v>46027</v>
      </c>
      <c r="B67" s="3"/>
      <c r="C67" s="1"/>
      <c r="D67" s="1"/>
      <c r="E67" s="1"/>
      <c r="F67" s="1"/>
    </row>
    <row r="68" spans="1:6" ht="15.75" customHeight="1" x14ac:dyDescent="0.25">
      <c r="A68" s="8">
        <f t="shared" si="0"/>
        <v>46034</v>
      </c>
      <c r="B68" s="3"/>
      <c r="C68" s="1"/>
      <c r="D68" s="1"/>
      <c r="E68" s="1"/>
      <c r="F68" s="1"/>
    </row>
    <row r="69" spans="1:6" ht="15.75" customHeight="1" x14ac:dyDescent="0.25">
      <c r="A69" s="8">
        <f t="shared" si="0"/>
        <v>46041</v>
      </c>
      <c r="B69" s="3"/>
      <c r="C69" s="1"/>
      <c r="D69" s="1"/>
      <c r="E69" s="1"/>
      <c r="F69" s="1"/>
    </row>
    <row r="70" spans="1:6" ht="15.75" customHeight="1" x14ac:dyDescent="0.25">
      <c r="A70" s="8">
        <f t="shared" si="0"/>
        <v>46048</v>
      </c>
      <c r="B70" s="3"/>
      <c r="C70" s="1"/>
      <c r="D70" s="1"/>
      <c r="E70" s="1"/>
      <c r="F70" s="1"/>
    </row>
    <row r="71" spans="1:6" ht="15.75" customHeight="1" x14ac:dyDescent="0.25">
      <c r="A71" s="8">
        <f t="shared" si="0"/>
        <v>46055</v>
      </c>
      <c r="B71" s="3"/>
      <c r="C71" s="1"/>
      <c r="D71" s="1"/>
      <c r="E71" s="1"/>
      <c r="F71" s="1"/>
    </row>
    <row r="72" spans="1:6" ht="15.75" customHeight="1" x14ac:dyDescent="0.25">
      <c r="A72" s="8">
        <f t="shared" si="0"/>
        <v>46062</v>
      </c>
      <c r="B72" s="3"/>
      <c r="C72" s="1"/>
      <c r="D72" s="1"/>
      <c r="E72" s="1"/>
      <c r="F72" s="1"/>
    </row>
    <row r="73" spans="1:6" ht="15.75" customHeight="1" x14ac:dyDescent="0.25">
      <c r="A73" s="8">
        <f t="shared" si="0"/>
        <v>46069</v>
      </c>
      <c r="B73" s="3"/>
      <c r="C73" s="1"/>
      <c r="D73" s="1"/>
      <c r="E73" s="1"/>
      <c r="F73" s="1"/>
    </row>
    <row r="74" spans="1:6" ht="15.75" customHeight="1" x14ac:dyDescent="0.25">
      <c r="A74" s="8">
        <f t="shared" si="0"/>
        <v>46076</v>
      </c>
      <c r="B74" s="3"/>
      <c r="C74" s="1"/>
      <c r="D74" s="1"/>
      <c r="E74" s="1"/>
      <c r="F74" s="1"/>
    </row>
    <row r="75" spans="1:6" ht="15.75" customHeight="1" x14ac:dyDescent="0.25">
      <c r="A75" s="8">
        <f t="shared" si="0"/>
        <v>46083</v>
      </c>
      <c r="B75" s="3"/>
      <c r="C75" s="1"/>
      <c r="D75" s="1"/>
      <c r="E75" s="1"/>
      <c r="F75" s="1"/>
    </row>
    <row r="76" spans="1:6" ht="15.75" customHeight="1" x14ac:dyDescent="0.25">
      <c r="A76" s="8">
        <f t="shared" si="0"/>
        <v>46090</v>
      </c>
      <c r="B76" s="3"/>
      <c r="C76" s="3"/>
      <c r="D76" s="1"/>
      <c r="E76" s="1"/>
      <c r="F76" s="1"/>
    </row>
    <row r="77" spans="1:6" ht="15.75" customHeight="1" x14ac:dyDescent="0.25">
      <c r="A77" s="8">
        <f t="shared" si="0"/>
        <v>46097</v>
      </c>
      <c r="B77" s="3"/>
      <c r="C77" s="3"/>
      <c r="D77" s="1"/>
      <c r="E77" s="1"/>
      <c r="F77" s="1"/>
    </row>
    <row r="84" spans="1:2" ht="15.75" customHeight="1" x14ac:dyDescent="0.25">
      <c r="A84" s="2" t="str">
        <f t="shared" ref="A84:A147" si="4">IF(A83="","",IF(A83+$B$5&lt;=$B$4,A83+$B$5,""))</f>
        <v/>
      </c>
      <c r="B84" s="3" t="str">
        <f t="shared" ref="B84:B147" si="5">IF(A84&lt;&gt;"",B83-$B$1/COUNT($A$15:$A$507),"")</f>
        <v/>
      </c>
    </row>
    <row r="85" spans="1:2" ht="15.75" customHeight="1" x14ac:dyDescent="0.25">
      <c r="A85" s="2" t="str">
        <f t="shared" si="4"/>
        <v/>
      </c>
      <c r="B85" s="3" t="str">
        <f t="shared" si="5"/>
        <v/>
      </c>
    </row>
    <row r="86" spans="1:2" ht="15.75" customHeight="1" x14ac:dyDescent="0.25">
      <c r="A86" s="2" t="str">
        <f t="shared" si="4"/>
        <v/>
      </c>
      <c r="B86" s="3" t="str">
        <f t="shared" si="5"/>
        <v/>
      </c>
    </row>
    <row r="87" spans="1:2" ht="15.75" customHeight="1" x14ac:dyDescent="0.25">
      <c r="A87" s="2" t="str">
        <f t="shared" si="4"/>
        <v/>
      </c>
      <c r="B87" s="3" t="str">
        <f t="shared" si="5"/>
        <v/>
      </c>
    </row>
    <row r="88" spans="1:2" ht="15.75" customHeight="1" x14ac:dyDescent="0.25">
      <c r="A88" s="2" t="str">
        <f t="shared" si="4"/>
        <v/>
      </c>
      <c r="B88" s="3" t="str">
        <f t="shared" si="5"/>
        <v/>
      </c>
    </row>
    <row r="89" spans="1:2" ht="15.75" customHeight="1" x14ac:dyDescent="0.25">
      <c r="A89" s="2" t="str">
        <f t="shared" si="4"/>
        <v/>
      </c>
      <c r="B89" s="3" t="str">
        <f t="shared" si="5"/>
        <v/>
      </c>
    </row>
    <row r="90" spans="1:2" ht="15.75" customHeight="1" x14ac:dyDescent="0.25">
      <c r="A90" s="2" t="str">
        <f t="shared" si="4"/>
        <v/>
      </c>
      <c r="B90" s="3" t="str">
        <f t="shared" si="5"/>
        <v/>
      </c>
    </row>
    <row r="91" spans="1:2" ht="15.75" customHeight="1" x14ac:dyDescent="0.25">
      <c r="A91" s="2" t="str">
        <f t="shared" si="4"/>
        <v/>
      </c>
      <c r="B91" s="3" t="str">
        <f t="shared" si="5"/>
        <v/>
      </c>
    </row>
    <row r="92" spans="1:2" ht="15.75" customHeight="1" x14ac:dyDescent="0.25">
      <c r="A92" s="2" t="str">
        <f t="shared" si="4"/>
        <v/>
      </c>
      <c r="B92" s="3" t="str">
        <f t="shared" si="5"/>
        <v/>
      </c>
    </row>
    <row r="93" spans="1:2" ht="15.75" customHeight="1" x14ac:dyDescent="0.25">
      <c r="A93" s="2" t="str">
        <f t="shared" si="4"/>
        <v/>
      </c>
      <c r="B93" s="3" t="str">
        <f t="shared" si="5"/>
        <v/>
      </c>
    </row>
    <row r="94" spans="1:2" ht="15.75" customHeight="1" x14ac:dyDescent="0.25">
      <c r="A94" s="2" t="str">
        <f t="shared" si="4"/>
        <v/>
      </c>
      <c r="B94" s="3" t="str">
        <f t="shared" si="5"/>
        <v/>
      </c>
    </row>
    <row r="95" spans="1:2" ht="15.75" customHeight="1" x14ac:dyDescent="0.25">
      <c r="A95" s="2" t="str">
        <f t="shared" si="4"/>
        <v/>
      </c>
      <c r="B95" s="3" t="str">
        <f t="shared" si="5"/>
        <v/>
      </c>
    </row>
    <row r="96" spans="1:2" ht="15.75" customHeight="1" x14ac:dyDescent="0.25">
      <c r="A96" s="2" t="str">
        <f t="shared" si="4"/>
        <v/>
      </c>
      <c r="B96" s="3" t="str">
        <f t="shared" si="5"/>
        <v/>
      </c>
    </row>
    <row r="97" spans="1:2" ht="15.75" customHeight="1" x14ac:dyDescent="0.25">
      <c r="A97" s="2" t="str">
        <f t="shared" si="4"/>
        <v/>
      </c>
      <c r="B97" s="3" t="str">
        <f t="shared" si="5"/>
        <v/>
      </c>
    </row>
    <row r="98" spans="1:2" ht="15.75" customHeight="1" x14ac:dyDescent="0.25">
      <c r="A98" s="2" t="str">
        <f t="shared" si="4"/>
        <v/>
      </c>
      <c r="B98" s="3" t="str">
        <f t="shared" si="5"/>
        <v/>
      </c>
    </row>
    <row r="99" spans="1:2" ht="15.75" customHeight="1" x14ac:dyDescent="0.25">
      <c r="A99" s="2" t="str">
        <f t="shared" si="4"/>
        <v/>
      </c>
      <c r="B99" s="3" t="str">
        <f t="shared" si="5"/>
        <v/>
      </c>
    </row>
    <row r="100" spans="1:2" ht="15.75" customHeight="1" x14ac:dyDescent="0.25">
      <c r="A100" s="2" t="str">
        <f t="shared" si="4"/>
        <v/>
      </c>
      <c r="B100" s="3" t="str">
        <f t="shared" si="5"/>
        <v/>
      </c>
    </row>
    <row r="101" spans="1:2" ht="15.75" customHeight="1" x14ac:dyDescent="0.25">
      <c r="A101" s="2" t="str">
        <f t="shared" si="4"/>
        <v/>
      </c>
      <c r="B101" s="3" t="str">
        <f t="shared" si="5"/>
        <v/>
      </c>
    </row>
    <row r="102" spans="1:2" ht="15.75" customHeight="1" x14ac:dyDescent="0.25">
      <c r="A102" s="2" t="str">
        <f t="shared" si="4"/>
        <v/>
      </c>
      <c r="B102" s="3" t="str">
        <f t="shared" si="5"/>
        <v/>
      </c>
    </row>
    <row r="103" spans="1:2" ht="15.75" customHeight="1" x14ac:dyDescent="0.25">
      <c r="A103" s="2" t="str">
        <f t="shared" si="4"/>
        <v/>
      </c>
      <c r="B103" s="3" t="str">
        <f t="shared" si="5"/>
        <v/>
      </c>
    </row>
    <row r="104" spans="1:2" ht="15.75" customHeight="1" x14ac:dyDescent="0.25">
      <c r="A104" s="2" t="str">
        <f t="shared" si="4"/>
        <v/>
      </c>
      <c r="B104" s="3" t="str">
        <f t="shared" si="5"/>
        <v/>
      </c>
    </row>
    <row r="105" spans="1:2" ht="15.75" customHeight="1" x14ac:dyDescent="0.25">
      <c r="A105" s="2" t="str">
        <f t="shared" si="4"/>
        <v/>
      </c>
      <c r="B105" s="3" t="str">
        <f t="shared" si="5"/>
        <v/>
      </c>
    </row>
    <row r="106" spans="1:2" ht="15.75" customHeight="1" x14ac:dyDescent="0.25">
      <c r="A106" s="2" t="str">
        <f t="shared" si="4"/>
        <v/>
      </c>
      <c r="B106" s="3" t="str">
        <f t="shared" si="5"/>
        <v/>
      </c>
    </row>
    <row r="107" spans="1:2" ht="15.75" customHeight="1" x14ac:dyDescent="0.25">
      <c r="A107" s="2" t="str">
        <f t="shared" si="4"/>
        <v/>
      </c>
      <c r="B107" s="3" t="str">
        <f t="shared" si="5"/>
        <v/>
      </c>
    </row>
    <row r="108" spans="1:2" ht="15.75" customHeight="1" x14ac:dyDescent="0.25">
      <c r="A108" s="2" t="str">
        <f t="shared" si="4"/>
        <v/>
      </c>
      <c r="B108" s="3" t="str">
        <f t="shared" si="5"/>
        <v/>
      </c>
    </row>
    <row r="109" spans="1:2" ht="15.75" customHeight="1" x14ac:dyDescent="0.25">
      <c r="A109" s="2" t="str">
        <f t="shared" si="4"/>
        <v/>
      </c>
      <c r="B109" s="3" t="str">
        <f t="shared" si="5"/>
        <v/>
      </c>
    </row>
    <row r="110" spans="1:2" ht="15.75" customHeight="1" x14ac:dyDescent="0.25">
      <c r="A110" s="2" t="str">
        <f t="shared" si="4"/>
        <v/>
      </c>
      <c r="B110" s="3" t="str">
        <f t="shared" si="5"/>
        <v/>
      </c>
    </row>
    <row r="111" spans="1:2" ht="15.75" customHeight="1" x14ac:dyDescent="0.25">
      <c r="A111" s="2" t="str">
        <f t="shared" si="4"/>
        <v/>
      </c>
      <c r="B111" s="3" t="str">
        <f t="shared" si="5"/>
        <v/>
      </c>
    </row>
    <row r="112" spans="1:2" ht="15.75" customHeight="1" x14ac:dyDescent="0.25">
      <c r="A112" s="2" t="str">
        <f t="shared" si="4"/>
        <v/>
      </c>
      <c r="B112" s="3" t="str">
        <f t="shared" si="5"/>
        <v/>
      </c>
    </row>
    <row r="113" spans="1:2" ht="15.75" customHeight="1" x14ac:dyDescent="0.25">
      <c r="A113" s="2" t="str">
        <f t="shared" si="4"/>
        <v/>
      </c>
      <c r="B113" s="3" t="str">
        <f t="shared" si="5"/>
        <v/>
      </c>
    </row>
    <row r="114" spans="1:2" ht="15.75" customHeight="1" x14ac:dyDescent="0.25">
      <c r="A114" s="2" t="str">
        <f t="shared" si="4"/>
        <v/>
      </c>
      <c r="B114" s="3" t="str">
        <f t="shared" si="5"/>
        <v/>
      </c>
    </row>
    <row r="115" spans="1:2" ht="15.75" customHeight="1" x14ac:dyDescent="0.25">
      <c r="A115" s="2" t="str">
        <f t="shared" si="4"/>
        <v/>
      </c>
      <c r="B115" s="3" t="str">
        <f t="shared" si="5"/>
        <v/>
      </c>
    </row>
    <row r="116" spans="1:2" ht="15.75" customHeight="1" x14ac:dyDescent="0.25">
      <c r="A116" s="2" t="str">
        <f t="shared" si="4"/>
        <v/>
      </c>
      <c r="B116" s="3" t="str">
        <f t="shared" si="5"/>
        <v/>
      </c>
    </row>
    <row r="117" spans="1:2" ht="15.75" customHeight="1" x14ac:dyDescent="0.25">
      <c r="A117" s="2" t="str">
        <f t="shared" si="4"/>
        <v/>
      </c>
      <c r="B117" s="3" t="str">
        <f t="shared" si="5"/>
        <v/>
      </c>
    </row>
    <row r="118" spans="1:2" ht="15.75" customHeight="1" x14ac:dyDescent="0.25">
      <c r="A118" s="2" t="str">
        <f t="shared" si="4"/>
        <v/>
      </c>
      <c r="B118" s="3" t="str">
        <f t="shared" si="5"/>
        <v/>
      </c>
    </row>
    <row r="119" spans="1:2" ht="15.75" customHeight="1" x14ac:dyDescent="0.25">
      <c r="A119" s="2" t="str">
        <f t="shared" si="4"/>
        <v/>
      </c>
      <c r="B119" s="3" t="str">
        <f t="shared" si="5"/>
        <v/>
      </c>
    </row>
    <row r="120" spans="1:2" ht="15.75" customHeight="1" x14ac:dyDescent="0.25">
      <c r="A120" s="2" t="str">
        <f t="shared" si="4"/>
        <v/>
      </c>
      <c r="B120" s="3" t="str">
        <f t="shared" si="5"/>
        <v/>
      </c>
    </row>
    <row r="121" spans="1:2" ht="15.75" customHeight="1" x14ac:dyDescent="0.25">
      <c r="A121" s="2" t="str">
        <f t="shared" si="4"/>
        <v/>
      </c>
      <c r="B121" s="3" t="str">
        <f t="shared" si="5"/>
        <v/>
      </c>
    </row>
    <row r="122" spans="1:2" ht="15.75" customHeight="1" x14ac:dyDescent="0.25">
      <c r="A122" s="2" t="str">
        <f t="shared" si="4"/>
        <v/>
      </c>
      <c r="B122" s="3" t="str">
        <f t="shared" si="5"/>
        <v/>
      </c>
    </row>
    <row r="123" spans="1:2" ht="15.75" customHeight="1" x14ac:dyDescent="0.25">
      <c r="A123" s="2" t="str">
        <f t="shared" si="4"/>
        <v/>
      </c>
      <c r="B123" s="3" t="str">
        <f t="shared" si="5"/>
        <v/>
      </c>
    </row>
    <row r="124" spans="1:2" ht="15.75" customHeight="1" x14ac:dyDescent="0.25">
      <c r="A124" s="2" t="str">
        <f t="shared" si="4"/>
        <v/>
      </c>
      <c r="B124" s="3" t="str">
        <f t="shared" si="5"/>
        <v/>
      </c>
    </row>
    <row r="125" spans="1:2" ht="15.75" customHeight="1" x14ac:dyDescent="0.25">
      <c r="A125" s="2" t="str">
        <f t="shared" si="4"/>
        <v/>
      </c>
      <c r="B125" s="3" t="str">
        <f t="shared" si="5"/>
        <v/>
      </c>
    </row>
    <row r="126" spans="1:2" ht="15.75" customHeight="1" x14ac:dyDescent="0.25">
      <c r="A126" s="2" t="str">
        <f t="shared" si="4"/>
        <v/>
      </c>
      <c r="B126" s="3" t="str">
        <f t="shared" si="5"/>
        <v/>
      </c>
    </row>
    <row r="127" spans="1:2" ht="15.75" customHeight="1" x14ac:dyDescent="0.25">
      <c r="A127" s="2" t="str">
        <f t="shared" si="4"/>
        <v/>
      </c>
      <c r="B127" s="3" t="str">
        <f t="shared" si="5"/>
        <v/>
      </c>
    </row>
    <row r="128" spans="1:2" ht="15.75" customHeight="1" x14ac:dyDescent="0.25">
      <c r="A128" s="2" t="str">
        <f t="shared" si="4"/>
        <v/>
      </c>
      <c r="B128" s="3" t="str">
        <f t="shared" si="5"/>
        <v/>
      </c>
    </row>
    <row r="129" spans="1:2" ht="15.75" customHeight="1" x14ac:dyDescent="0.25">
      <c r="A129" s="2" t="str">
        <f t="shared" si="4"/>
        <v/>
      </c>
      <c r="B129" s="3" t="str">
        <f t="shared" si="5"/>
        <v/>
      </c>
    </row>
    <row r="130" spans="1:2" ht="15.75" customHeight="1" x14ac:dyDescent="0.25">
      <c r="A130" s="2" t="str">
        <f t="shared" si="4"/>
        <v/>
      </c>
      <c r="B130" s="3" t="str">
        <f t="shared" si="5"/>
        <v/>
      </c>
    </row>
    <row r="131" spans="1:2" ht="15.75" customHeight="1" x14ac:dyDescent="0.25">
      <c r="A131" s="2" t="str">
        <f t="shared" si="4"/>
        <v/>
      </c>
      <c r="B131" s="3" t="str">
        <f t="shared" si="5"/>
        <v/>
      </c>
    </row>
    <row r="132" spans="1:2" ht="15.75" customHeight="1" x14ac:dyDescent="0.25">
      <c r="A132" s="2" t="str">
        <f t="shared" si="4"/>
        <v/>
      </c>
      <c r="B132" s="3" t="str">
        <f t="shared" si="5"/>
        <v/>
      </c>
    </row>
    <row r="133" spans="1:2" ht="15.75" customHeight="1" x14ac:dyDescent="0.25">
      <c r="A133" s="2" t="str">
        <f t="shared" si="4"/>
        <v/>
      </c>
      <c r="B133" s="3" t="str">
        <f t="shared" si="5"/>
        <v/>
      </c>
    </row>
    <row r="134" spans="1:2" ht="15.75" customHeight="1" x14ac:dyDescent="0.25">
      <c r="A134" s="2" t="str">
        <f t="shared" si="4"/>
        <v/>
      </c>
      <c r="B134" s="3" t="str">
        <f t="shared" si="5"/>
        <v/>
      </c>
    </row>
    <row r="135" spans="1:2" ht="15.75" customHeight="1" x14ac:dyDescent="0.25">
      <c r="A135" s="2" t="str">
        <f t="shared" si="4"/>
        <v/>
      </c>
      <c r="B135" s="3" t="str">
        <f t="shared" si="5"/>
        <v/>
      </c>
    </row>
    <row r="136" spans="1:2" ht="15.75" customHeight="1" x14ac:dyDescent="0.25">
      <c r="A136" s="2" t="str">
        <f t="shared" si="4"/>
        <v/>
      </c>
      <c r="B136" s="3" t="str">
        <f t="shared" si="5"/>
        <v/>
      </c>
    </row>
    <row r="137" spans="1:2" ht="15.75" customHeight="1" x14ac:dyDescent="0.25">
      <c r="A137" s="2" t="str">
        <f t="shared" si="4"/>
        <v/>
      </c>
      <c r="B137" s="3" t="str">
        <f t="shared" si="5"/>
        <v/>
      </c>
    </row>
    <row r="138" spans="1:2" ht="15.75" customHeight="1" x14ac:dyDescent="0.25">
      <c r="A138" s="2" t="str">
        <f t="shared" si="4"/>
        <v/>
      </c>
      <c r="B138" s="3" t="str">
        <f t="shared" si="5"/>
        <v/>
      </c>
    </row>
    <row r="139" spans="1:2" ht="15.75" customHeight="1" x14ac:dyDescent="0.25">
      <c r="A139" s="2" t="str">
        <f t="shared" si="4"/>
        <v/>
      </c>
      <c r="B139" s="3" t="str">
        <f t="shared" si="5"/>
        <v/>
      </c>
    </row>
    <row r="140" spans="1:2" ht="15.75" customHeight="1" x14ac:dyDescent="0.25">
      <c r="A140" s="2" t="str">
        <f t="shared" si="4"/>
        <v/>
      </c>
      <c r="B140" s="3" t="str">
        <f t="shared" si="5"/>
        <v/>
      </c>
    </row>
    <row r="141" spans="1:2" ht="15.75" customHeight="1" x14ac:dyDescent="0.25">
      <c r="A141" s="2" t="str">
        <f t="shared" si="4"/>
        <v/>
      </c>
      <c r="B141" s="3" t="str">
        <f t="shared" si="5"/>
        <v/>
      </c>
    </row>
    <row r="142" spans="1:2" ht="15.75" customHeight="1" x14ac:dyDescent="0.25">
      <c r="A142" s="2" t="str">
        <f t="shared" si="4"/>
        <v/>
      </c>
      <c r="B142" s="3" t="str">
        <f t="shared" si="5"/>
        <v/>
      </c>
    </row>
    <row r="143" spans="1:2" ht="15.75" customHeight="1" x14ac:dyDescent="0.25">
      <c r="A143" s="2" t="str">
        <f t="shared" si="4"/>
        <v/>
      </c>
      <c r="B143" s="3" t="str">
        <f t="shared" si="5"/>
        <v/>
      </c>
    </row>
    <row r="144" spans="1:2" ht="15.75" customHeight="1" x14ac:dyDescent="0.25">
      <c r="A144" s="2" t="str">
        <f t="shared" si="4"/>
        <v/>
      </c>
      <c r="B144" s="3" t="str">
        <f t="shared" si="5"/>
        <v/>
      </c>
    </row>
    <row r="145" spans="1:2" ht="15.75" customHeight="1" x14ac:dyDescent="0.25">
      <c r="A145" s="2" t="str">
        <f t="shared" si="4"/>
        <v/>
      </c>
      <c r="B145" s="3" t="str">
        <f t="shared" si="5"/>
        <v/>
      </c>
    </row>
    <row r="146" spans="1:2" ht="15.75" customHeight="1" x14ac:dyDescent="0.25">
      <c r="A146" s="2" t="str">
        <f t="shared" si="4"/>
        <v/>
      </c>
      <c r="B146" s="3" t="str">
        <f t="shared" si="5"/>
        <v/>
      </c>
    </row>
    <row r="147" spans="1:2" ht="15.75" customHeight="1" x14ac:dyDescent="0.25">
      <c r="A147" s="2" t="str">
        <f t="shared" si="4"/>
        <v/>
      </c>
      <c r="B147" s="3" t="str">
        <f t="shared" si="5"/>
        <v/>
      </c>
    </row>
    <row r="148" spans="1:2" ht="15.75" customHeight="1" x14ac:dyDescent="0.25">
      <c r="A148" s="2" t="str">
        <f t="shared" ref="A148:A211" si="6">IF(A147="","",IF(A147+$B$5&lt;=$B$4,A147+$B$5,""))</f>
        <v/>
      </c>
      <c r="B148" s="3" t="str">
        <f t="shared" ref="B148:B211" si="7">IF(A148&lt;&gt;"",B147-$B$1/COUNT($A$15:$A$507),"")</f>
        <v/>
      </c>
    </row>
    <row r="149" spans="1:2" ht="15.75" customHeight="1" x14ac:dyDescent="0.25">
      <c r="A149" s="2" t="str">
        <f t="shared" si="6"/>
        <v/>
      </c>
      <c r="B149" s="3" t="str">
        <f t="shared" si="7"/>
        <v/>
      </c>
    </row>
    <row r="150" spans="1:2" ht="15.75" customHeight="1" x14ac:dyDescent="0.25">
      <c r="A150" s="2" t="str">
        <f t="shared" si="6"/>
        <v/>
      </c>
      <c r="B150" s="3" t="str">
        <f t="shared" si="7"/>
        <v/>
      </c>
    </row>
    <row r="151" spans="1:2" ht="15.75" customHeight="1" x14ac:dyDescent="0.25">
      <c r="A151" s="2" t="str">
        <f t="shared" si="6"/>
        <v/>
      </c>
      <c r="B151" s="3" t="str">
        <f t="shared" si="7"/>
        <v/>
      </c>
    </row>
    <row r="152" spans="1:2" ht="15.75" customHeight="1" x14ac:dyDescent="0.25">
      <c r="A152" s="2" t="str">
        <f t="shared" si="6"/>
        <v/>
      </c>
      <c r="B152" s="3" t="str">
        <f t="shared" si="7"/>
        <v/>
      </c>
    </row>
    <row r="153" spans="1:2" ht="15.75" customHeight="1" x14ac:dyDescent="0.25">
      <c r="A153" s="2" t="str">
        <f t="shared" si="6"/>
        <v/>
      </c>
      <c r="B153" s="3" t="str">
        <f t="shared" si="7"/>
        <v/>
      </c>
    </row>
    <row r="154" spans="1:2" ht="15.75" customHeight="1" x14ac:dyDescent="0.25">
      <c r="A154" s="2" t="str">
        <f t="shared" si="6"/>
        <v/>
      </c>
      <c r="B154" s="3" t="str">
        <f t="shared" si="7"/>
        <v/>
      </c>
    </row>
    <row r="155" spans="1:2" ht="15.75" customHeight="1" x14ac:dyDescent="0.25">
      <c r="A155" s="2" t="str">
        <f t="shared" si="6"/>
        <v/>
      </c>
      <c r="B155" s="3" t="str">
        <f t="shared" si="7"/>
        <v/>
      </c>
    </row>
    <row r="156" spans="1:2" ht="15.75" customHeight="1" x14ac:dyDescent="0.25">
      <c r="A156" s="2" t="str">
        <f t="shared" si="6"/>
        <v/>
      </c>
      <c r="B156" s="3" t="str">
        <f t="shared" si="7"/>
        <v/>
      </c>
    </row>
    <row r="157" spans="1:2" ht="15.75" customHeight="1" x14ac:dyDescent="0.25">
      <c r="A157" s="2" t="str">
        <f t="shared" si="6"/>
        <v/>
      </c>
      <c r="B157" s="3" t="str">
        <f t="shared" si="7"/>
        <v/>
      </c>
    </row>
    <row r="158" spans="1:2" ht="15.75" customHeight="1" x14ac:dyDescent="0.25">
      <c r="A158" s="2" t="str">
        <f t="shared" si="6"/>
        <v/>
      </c>
      <c r="B158" s="3" t="str">
        <f t="shared" si="7"/>
        <v/>
      </c>
    </row>
    <row r="159" spans="1:2" ht="15.75" customHeight="1" x14ac:dyDescent="0.25">
      <c r="A159" s="2" t="str">
        <f t="shared" si="6"/>
        <v/>
      </c>
      <c r="B159" s="3" t="str">
        <f t="shared" si="7"/>
        <v/>
      </c>
    </row>
    <row r="160" spans="1:2" ht="15.75" customHeight="1" x14ac:dyDescent="0.25">
      <c r="A160" s="2" t="str">
        <f t="shared" si="6"/>
        <v/>
      </c>
      <c r="B160" s="3" t="str">
        <f t="shared" si="7"/>
        <v/>
      </c>
    </row>
    <row r="161" spans="1:2" ht="15.75" customHeight="1" x14ac:dyDescent="0.25">
      <c r="A161" s="2" t="str">
        <f t="shared" si="6"/>
        <v/>
      </c>
      <c r="B161" s="3" t="str">
        <f t="shared" si="7"/>
        <v/>
      </c>
    </row>
    <row r="162" spans="1:2" ht="15.75" customHeight="1" x14ac:dyDescent="0.25">
      <c r="A162" s="2" t="str">
        <f t="shared" si="6"/>
        <v/>
      </c>
      <c r="B162" s="3" t="str">
        <f t="shared" si="7"/>
        <v/>
      </c>
    </row>
    <row r="163" spans="1:2" ht="15.75" customHeight="1" x14ac:dyDescent="0.25">
      <c r="A163" s="2" t="str">
        <f t="shared" si="6"/>
        <v/>
      </c>
      <c r="B163" s="3" t="str">
        <f t="shared" si="7"/>
        <v/>
      </c>
    </row>
    <row r="164" spans="1:2" ht="15.75" customHeight="1" x14ac:dyDescent="0.25">
      <c r="A164" s="2" t="str">
        <f t="shared" si="6"/>
        <v/>
      </c>
      <c r="B164" s="3" t="str">
        <f t="shared" si="7"/>
        <v/>
      </c>
    </row>
    <row r="165" spans="1:2" ht="15.75" customHeight="1" x14ac:dyDescent="0.25">
      <c r="A165" s="2" t="str">
        <f t="shared" si="6"/>
        <v/>
      </c>
      <c r="B165" s="3" t="str">
        <f t="shared" si="7"/>
        <v/>
      </c>
    </row>
    <row r="166" spans="1:2" ht="15.75" customHeight="1" x14ac:dyDescent="0.25">
      <c r="A166" s="2" t="str">
        <f t="shared" si="6"/>
        <v/>
      </c>
      <c r="B166" s="3" t="str">
        <f t="shared" si="7"/>
        <v/>
      </c>
    </row>
    <row r="167" spans="1:2" ht="15.75" customHeight="1" x14ac:dyDescent="0.25">
      <c r="A167" s="2" t="str">
        <f t="shared" si="6"/>
        <v/>
      </c>
      <c r="B167" s="3" t="str">
        <f t="shared" si="7"/>
        <v/>
      </c>
    </row>
    <row r="168" spans="1:2" ht="15.75" customHeight="1" x14ac:dyDescent="0.25">
      <c r="A168" s="2" t="str">
        <f t="shared" si="6"/>
        <v/>
      </c>
      <c r="B168" s="3" t="str">
        <f t="shared" si="7"/>
        <v/>
      </c>
    </row>
    <row r="169" spans="1:2" ht="15.75" customHeight="1" x14ac:dyDescent="0.25">
      <c r="A169" s="2" t="str">
        <f t="shared" si="6"/>
        <v/>
      </c>
      <c r="B169" s="3" t="str">
        <f t="shared" si="7"/>
        <v/>
      </c>
    </row>
    <row r="170" spans="1:2" ht="15.75" customHeight="1" x14ac:dyDescent="0.25">
      <c r="A170" s="2" t="str">
        <f t="shared" si="6"/>
        <v/>
      </c>
      <c r="B170" s="3" t="str">
        <f t="shared" si="7"/>
        <v/>
      </c>
    </row>
    <row r="171" spans="1:2" ht="15.75" customHeight="1" x14ac:dyDescent="0.25">
      <c r="A171" s="2" t="str">
        <f t="shared" si="6"/>
        <v/>
      </c>
      <c r="B171" s="3" t="str">
        <f t="shared" si="7"/>
        <v/>
      </c>
    </row>
    <row r="172" spans="1:2" ht="15.75" customHeight="1" x14ac:dyDescent="0.25">
      <c r="A172" s="2" t="str">
        <f t="shared" si="6"/>
        <v/>
      </c>
      <c r="B172" s="3" t="str">
        <f t="shared" si="7"/>
        <v/>
      </c>
    </row>
    <row r="173" spans="1:2" ht="15.75" customHeight="1" x14ac:dyDescent="0.25">
      <c r="A173" s="2" t="str">
        <f t="shared" si="6"/>
        <v/>
      </c>
      <c r="B173" s="3" t="str">
        <f t="shared" si="7"/>
        <v/>
      </c>
    </row>
    <row r="174" spans="1:2" ht="15.75" customHeight="1" x14ac:dyDescent="0.25">
      <c r="A174" s="2" t="str">
        <f t="shared" si="6"/>
        <v/>
      </c>
      <c r="B174" s="3" t="str">
        <f t="shared" si="7"/>
        <v/>
      </c>
    </row>
    <row r="175" spans="1:2" ht="15.75" customHeight="1" x14ac:dyDescent="0.25">
      <c r="A175" s="2" t="str">
        <f t="shared" si="6"/>
        <v/>
      </c>
      <c r="B175" s="3" t="str">
        <f t="shared" si="7"/>
        <v/>
      </c>
    </row>
    <row r="176" spans="1:2" ht="15.75" customHeight="1" x14ac:dyDescent="0.25">
      <c r="A176" s="2" t="str">
        <f t="shared" si="6"/>
        <v/>
      </c>
      <c r="B176" s="3" t="str">
        <f t="shared" si="7"/>
        <v/>
      </c>
    </row>
    <row r="177" spans="1:2" ht="15.75" customHeight="1" x14ac:dyDescent="0.25">
      <c r="A177" s="2" t="str">
        <f t="shared" si="6"/>
        <v/>
      </c>
      <c r="B177" s="3" t="str">
        <f t="shared" si="7"/>
        <v/>
      </c>
    </row>
    <row r="178" spans="1:2" ht="15.75" customHeight="1" x14ac:dyDescent="0.25">
      <c r="A178" s="2" t="str">
        <f t="shared" si="6"/>
        <v/>
      </c>
      <c r="B178" s="3" t="str">
        <f t="shared" si="7"/>
        <v/>
      </c>
    </row>
    <row r="179" spans="1:2" ht="15.75" customHeight="1" x14ac:dyDescent="0.25">
      <c r="A179" s="2" t="str">
        <f t="shared" si="6"/>
        <v/>
      </c>
      <c r="B179" s="3" t="str">
        <f t="shared" si="7"/>
        <v/>
      </c>
    </row>
    <row r="180" spans="1:2" ht="15.75" customHeight="1" x14ac:dyDescent="0.25">
      <c r="A180" s="2" t="str">
        <f t="shared" si="6"/>
        <v/>
      </c>
      <c r="B180" s="3" t="str">
        <f t="shared" si="7"/>
        <v/>
      </c>
    </row>
    <row r="181" spans="1:2" ht="15.75" customHeight="1" x14ac:dyDescent="0.25">
      <c r="A181" s="2" t="str">
        <f t="shared" si="6"/>
        <v/>
      </c>
      <c r="B181" s="3" t="str">
        <f t="shared" si="7"/>
        <v/>
      </c>
    </row>
    <row r="182" spans="1:2" ht="15.75" customHeight="1" x14ac:dyDescent="0.25">
      <c r="A182" s="2" t="str">
        <f t="shared" si="6"/>
        <v/>
      </c>
      <c r="B182" s="3" t="str">
        <f t="shared" si="7"/>
        <v/>
      </c>
    </row>
    <row r="183" spans="1:2" ht="15.75" customHeight="1" x14ac:dyDescent="0.25">
      <c r="A183" s="2" t="str">
        <f t="shared" si="6"/>
        <v/>
      </c>
      <c r="B183" s="3" t="str">
        <f t="shared" si="7"/>
        <v/>
      </c>
    </row>
    <row r="184" spans="1:2" ht="15.75" customHeight="1" x14ac:dyDescent="0.25">
      <c r="A184" s="2" t="str">
        <f t="shared" si="6"/>
        <v/>
      </c>
      <c r="B184" s="3" t="str">
        <f t="shared" si="7"/>
        <v/>
      </c>
    </row>
    <row r="185" spans="1:2" ht="15.75" customHeight="1" x14ac:dyDescent="0.25">
      <c r="A185" s="2" t="str">
        <f t="shared" si="6"/>
        <v/>
      </c>
      <c r="B185" s="3" t="str">
        <f t="shared" si="7"/>
        <v/>
      </c>
    </row>
    <row r="186" spans="1:2" ht="15.75" customHeight="1" x14ac:dyDescent="0.25">
      <c r="A186" s="2" t="str">
        <f t="shared" si="6"/>
        <v/>
      </c>
      <c r="B186" s="3" t="str">
        <f t="shared" si="7"/>
        <v/>
      </c>
    </row>
    <row r="187" spans="1:2" ht="15.75" customHeight="1" x14ac:dyDescent="0.25">
      <c r="A187" s="2" t="str">
        <f t="shared" si="6"/>
        <v/>
      </c>
      <c r="B187" s="3" t="str">
        <f t="shared" si="7"/>
        <v/>
      </c>
    </row>
    <row r="188" spans="1:2" ht="15.75" customHeight="1" x14ac:dyDescent="0.25">
      <c r="A188" s="2" t="str">
        <f t="shared" si="6"/>
        <v/>
      </c>
      <c r="B188" s="3" t="str">
        <f t="shared" si="7"/>
        <v/>
      </c>
    </row>
    <row r="189" spans="1:2" ht="15.75" customHeight="1" x14ac:dyDescent="0.25">
      <c r="A189" s="2" t="str">
        <f t="shared" si="6"/>
        <v/>
      </c>
      <c r="B189" s="3" t="str">
        <f t="shared" si="7"/>
        <v/>
      </c>
    </row>
    <row r="190" spans="1:2" ht="15.75" customHeight="1" x14ac:dyDescent="0.25">
      <c r="A190" s="2" t="str">
        <f t="shared" si="6"/>
        <v/>
      </c>
      <c r="B190" s="3" t="str">
        <f t="shared" si="7"/>
        <v/>
      </c>
    </row>
    <row r="191" spans="1:2" ht="15.75" customHeight="1" x14ac:dyDescent="0.25">
      <c r="A191" s="2" t="str">
        <f t="shared" si="6"/>
        <v/>
      </c>
      <c r="B191" s="3" t="str">
        <f t="shared" si="7"/>
        <v/>
      </c>
    </row>
    <row r="192" spans="1:2" ht="15.75" customHeight="1" x14ac:dyDescent="0.25">
      <c r="A192" s="2" t="str">
        <f t="shared" si="6"/>
        <v/>
      </c>
      <c r="B192" s="3" t="str">
        <f t="shared" si="7"/>
        <v/>
      </c>
    </row>
    <row r="193" spans="1:2" ht="15.75" customHeight="1" x14ac:dyDescent="0.25">
      <c r="A193" s="2" t="str">
        <f t="shared" si="6"/>
        <v/>
      </c>
      <c r="B193" s="3" t="str">
        <f t="shared" si="7"/>
        <v/>
      </c>
    </row>
    <row r="194" spans="1:2" ht="15.75" customHeight="1" x14ac:dyDescent="0.25">
      <c r="A194" s="2" t="str">
        <f t="shared" si="6"/>
        <v/>
      </c>
      <c r="B194" s="3" t="str">
        <f t="shared" si="7"/>
        <v/>
      </c>
    </row>
    <row r="195" spans="1:2" ht="15.75" customHeight="1" x14ac:dyDescent="0.25">
      <c r="A195" s="2" t="str">
        <f t="shared" si="6"/>
        <v/>
      </c>
      <c r="B195" s="3" t="str">
        <f t="shared" si="7"/>
        <v/>
      </c>
    </row>
    <row r="196" spans="1:2" ht="15.75" customHeight="1" x14ac:dyDescent="0.25">
      <c r="A196" s="2" t="str">
        <f t="shared" si="6"/>
        <v/>
      </c>
      <c r="B196" s="3" t="str">
        <f t="shared" si="7"/>
        <v/>
      </c>
    </row>
    <row r="197" spans="1:2" ht="15.75" customHeight="1" x14ac:dyDescent="0.25">
      <c r="A197" s="2" t="str">
        <f t="shared" si="6"/>
        <v/>
      </c>
      <c r="B197" s="3" t="str">
        <f t="shared" si="7"/>
        <v/>
      </c>
    </row>
    <row r="198" spans="1:2" ht="15.75" customHeight="1" x14ac:dyDescent="0.25">
      <c r="A198" s="2" t="str">
        <f t="shared" si="6"/>
        <v/>
      </c>
      <c r="B198" s="3" t="str">
        <f t="shared" si="7"/>
        <v/>
      </c>
    </row>
    <row r="199" spans="1:2" ht="15.75" customHeight="1" x14ac:dyDescent="0.25">
      <c r="A199" s="2" t="str">
        <f t="shared" si="6"/>
        <v/>
      </c>
      <c r="B199" s="3" t="str">
        <f t="shared" si="7"/>
        <v/>
      </c>
    </row>
    <row r="200" spans="1:2" ht="15.75" customHeight="1" x14ac:dyDescent="0.25">
      <c r="A200" s="2" t="str">
        <f t="shared" si="6"/>
        <v/>
      </c>
      <c r="B200" s="3" t="str">
        <f t="shared" si="7"/>
        <v/>
      </c>
    </row>
    <row r="201" spans="1:2" ht="15.75" customHeight="1" x14ac:dyDescent="0.25">
      <c r="A201" s="2" t="str">
        <f t="shared" si="6"/>
        <v/>
      </c>
      <c r="B201" s="3" t="str">
        <f t="shared" si="7"/>
        <v/>
      </c>
    </row>
    <row r="202" spans="1:2" ht="15.75" customHeight="1" x14ac:dyDescent="0.25">
      <c r="A202" s="2" t="str">
        <f t="shared" si="6"/>
        <v/>
      </c>
      <c r="B202" s="3" t="str">
        <f t="shared" si="7"/>
        <v/>
      </c>
    </row>
    <row r="203" spans="1:2" ht="15.75" customHeight="1" x14ac:dyDescent="0.25">
      <c r="A203" s="2" t="str">
        <f t="shared" si="6"/>
        <v/>
      </c>
      <c r="B203" s="3" t="str">
        <f t="shared" si="7"/>
        <v/>
      </c>
    </row>
    <row r="204" spans="1:2" ht="15.75" customHeight="1" x14ac:dyDescent="0.25">
      <c r="A204" s="2" t="str">
        <f t="shared" si="6"/>
        <v/>
      </c>
      <c r="B204" s="3" t="str">
        <f t="shared" si="7"/>
        <v/>
      </c>
    </row>
    <row r="205" spans="1:2" ht="15.75" customHeight="1" x14ac:dyDescent="0.25">
      <c r="A205" s="2" t="str">
        <f t="shared" si="6"/>
        <v/>
      </c>
      <c r="B205" s="3" t="str">
        <f t="shared" si="7"/>
        <v/>
      </c>
    </row>
    <row r="206" spans="1:2" ht="15.75" customHeight="1" x14ac:dyDescent="0.25">
      <c r="A206" s="2" t="str">
        <f t="shared" si="6"/>
        <v/>
      </c>
      <c r="B206" s="3" t="str">
        <f t="shared" si="7"/>
        <v/>
      </c>
    </row>
    <row r="207" spans="1:2" ht="15.75" customHeight="1" x14ac:dyDescent="0.25">
      <c r="A207" s="2" t="str">
        <f t="shared" si="6"/>
        <v/>
      </c>
      <c r="B207" s="3" t="str">
        <f t="shared" si="7"/>
        <v/>
      </c>
    </row>
    <row r="208" spans="1:2" ht="15.75" customHeight="1" x14ac:dyDescent="0.25">
      <c r="A208" s="2" t="str">
        <f t="shared" si="6"/>
        <v/>
      </c>
      <c r="B208" s="3" t="str">
        <f t="shared" si="7"/>
        <v/>
      </c>
    </row>
    <row r="209" spans="1:2" ht="15.75" customHeight="1" x14ac:dyDescent="0.25">
      <c r="A209" s="2" t="str">
        <f t="shared" si="6"/>
        <v/>
      </c>
      <c r="B209" s="3" t="str">
        <f t="shared" si="7"/>
        <v/>
      </c>
    </row>
    <row r="210" spans="1:2" ht="15.75" customHeight="1" x14ac:dyDescent="0.25">
      <c r="A210" s="2" t="str">
        <f t="shared" si="6"/>
        <v/>
      </c>
      <c r="B210" s="3" t="str">
        <f t="shared" si="7"/>
        <v/>
      </c>
    </row>
    <row r="211" spans="1:2" ht="15.75" customHeight="1" x14ac:dyDescent="0.25">
      <c r="A211" s="2" t="str">
        <f t="shared" si="6"/>
        <v/>
      </c>
      <c r="B211" s="3" t="str">
        <f t="shared" si="7"/>
        <v/>
      </c>
    </row>
    <row r="212" spans="1:2" ht="15.75" customHeight="1" x14ac:dyDescent="0.25">
      <c r="A212" s="2" t="str">
        <f t="shared" ref="A212:A275" si="8">IF(A211="","",IF(A211+$B$5&lt;=$B$4,A211+$B$5,""))</f>
        <v/>
      </c>
      <c r="B212" s="3" t="str">
        <f t="shared" ref="B212:B275" si="9">IF(A212&lt;&gt;"",B211-$B$1/COUNT($A$15:$A$507),"")</f>
        <v/>
      </c>
    </row>
    <row r="213" spans="1:2" ht="15.75" customHeight="1" x14ac:dyDescent="0.25">
      <c r="A213" s="2" t="str">
        <f t="shared" si="8"/>
        <v/>
      </c>
      <c r="B213" s="3" t="str">
        <f t="shared" si="9"/>
        <v/>
      </c>
    </row>
    <row r="214" spans="1:2" ht="15.75" customHeight="1" x14ac:dyDescent="0.25">
      <c r="A214" s="2" t="str">
        <f t="shared" si="8"/>
        <v/>
      </c>
      <c r="B214" s="3" t="str">
        <f t="shared" si="9"/>
        <v/>
      </c>
    </row>
    <row r="215" spans="1:2" ht="15.75" customHeight="1" x14ac:dyDescent="0.25">
      <c r="A215" s="2" t="str">
        <f t="shared" si="8"/>
        <v/>
      </c>
      <c r="B215" s="3" t="str">
        <f t="shared" si="9"/>
        <v/>
      </c>
    </row>
    <row r="216" spans="1:2" ht="15.75" customHeight="1" x14ac:dyDescent="0.25">
      <c r="A216" s="2" t="str">
        <f t="shared" si="8"/>
        <v/>
      </c>
      <c r="B216" s="3" t="str">
        <f t="shared" si="9"/>
        <v/>
      </c>
    </row>
    <row r="217" spans="1:2" ht="15.75" customHeight="1" x14ac:dyDescent="0.25">
      <c r="A217" s="2" t="str">
        <f t="shared" si="8"/>
        <v/>
      </c>
      <c r="B217" s="3" t="str">
        <f t="shared" si="9"/>
        <v/>
      </c>
    </row>
    <row r="218" spans="1:2" ht="15.75" customHeight="1" x14ac:dyDescent="0.25">
      <c r="A218" s="2" t="str">
        <f t="shared" si="8"/>
        <v/>
      </c>
      <c r="B218" s="3" t="str">
        <f t="shared" si="9"/>
        <v/>
      </c>
    </row>
    <row r="219" spans="1:2" ht="15.75" customHeight="1" x14ac:dyDescent="0.25">
      <c r="A219" s="2" t="str">
        <f t="shared" si="8"/>
        <v/>
      </c>
      <c r="B219" s="3" t="str">
        <f t="shared" si="9"/>
        <v/>
      </c>
    </row>
    <row r="220" spans="1:2" ht="15.75" customHeight="1" x14ac:dyDescent="0.25">
      <c r="A220" s="2" t="str">
        <f t="shared" si="8"/>
        <v/>
      </c>
      <c r="B220" s="3" t="str">
        <f t="shared" si="9"/>
        <v/>
      </c>
    </row>
    <row r="221" spans="1:2" ht="15.75" customHeight="1" x14ac:dyDescent="0.25">
      <c r="A221" s="2" t="str">
        <f t="shared" si="8"/>
        <v/>
      </c>
      <c r="B221" s="3" t="str">
        <f t="shared" si="9"/>
        <v/>
      </c>
    </row>
    <row r="222" spans="1:2" ht="15.75" customHeight="1" x14ac:dyDescent="0.25">
      <c r="A222" s="2" t="str">
        <f t="shared" si="8"/>
        <v/>
      </c>
      <c r="B222" s="3" t="str">
        <f t="shared" si="9"/>
        <v/>
      </c>
    </row>
    <row r="223" spans="1:2" ht="15.75" customHeight="1" x14ac:dyDescent="0.25">
      <c r="A223" s="2" t="str">
        <f t="shared" si="8"/>
        <v/>
      </c>
      <c r="B223" s="3" t="str">
        <f t="shared" si="9"/>
        <v/>
      </c>
    </row>
    <row r="224" spans="1:2" ht="15.75" customHeight="1" x14ac:dyDescent="0.25">
      <c r="A224" s="2" t="str">
        <f t="shared" si="8"/>
        <v/>
      </c>
      <c r="B224" s="3" t="str">
        <f t="shared" si="9"/>
        <v/>
      </c>
    </row>
    <row r="225" spans="1:2" ht="15.75" customHeight="1" x14ac:dyDescent="0.25">
      <c r="A225" s="2" t="str">
        <f t="shared" si="8"/>
        <v/>
      </c>
      <c r="B225" s="3" t="str">
        <f t="shared" si="9"/>
        <v/>
      </c>
    </row>
    <row r="226" spans="1:2" ht="15.75" customHeight="1" x14ac:dyDescent="0.25">
      <c r="A226" s="2" t="str">
        <f t="shared" si="8"/>
        <v/>
      </c>
      <c r="B226" s="3" t="str">
        <f t="shared" si="9"/>
        <v/>
      </c>
    </row>
    <row r="227" spans="1:2" ht="15.75" customHeight="1" x14ac:dyDescent="0.25">
      <c r="A227" s="2" t="str">
        <f t="shared" si="8"/>
        <v/>
      </c>
      <c r="B227" s="3" t="str">
        <f t="shared" si="9"/>
        <v/>
      </c>
    </row>
    <row r="228" spans="1:2" ht="15.75" customHeight="1" x14ac:dyDescent="0.25">
      <c r="A228" s="2" t="str">
        <f t="shared" si="8"/>
        <v/>
      </c>
      <c r="B228" s="3" t="str">
        <f t="shared" si="9"/>
        <v/>
      </c>
    </row>
    <row r="229" spans="1:2" ht="15.75" customHeight="1" x14ac:dyDescent="0.25">
      <c r="A229" s="2" t="str">
        <f t="shared" si="8"/>
        <v/>
      </c>
      <c r="B229" s="3" t="str">
        <f t="shared" si="9"/>
        <v/>
      </c>
    </row>
    <row r="230" spans="1:2" ht="15.75" customHeight="1" x14ac:dyDescent="0.25">
      <c r="A230" s="2" t="str">
        <f t="shared" si="8"/>
        <v/>
      </c>
      <c r="B230" s="3" t="str">
        <f t="shared" si="9"/>
        <v/>
      </c>
    </row>
    <row r="231" spans="1:2" ht="15.75" customHeight="1" x14ac:dyDescent="0.25">
      <c r="A231" s="2" t="str">
        <f t="shared" si="8"/>
        <v/>
      </c>
      <c r="B231" s="3" t="str">
        <f t="shared" si="9"/>
        <v/>
      </c>
    </row>
    <row r="232" spans="1:2" ht="15.75" customHeight="1" x14ac:dyDescent="0.25">
      <c r="A232" s="2" t="str">
        <f t="shared" si="8"/>
        <v/>
      </c>
      <c r="B232" s="3" t="str">
        <f t="shared" si="9"/>
        <v/>
      </c>
    </row>
    <row r="233" spans="1:2" ht="15.75" customHeight="1" x14ac:dyDescent="0.25">
      <c r="A233" s="2" t="str">
        <f t="shared" si="8"/>
        <v/>
      </c>
      <c r="B233" s="3" t="str">
        <f t="shared" si="9"/>
        <v/>
      </c>
    </row>
    <row r="234" spans="1:2" ht="15.75" customHeight="1" x14ac:dyDescent="0.25">
      <c r="A234" s="2" t="str">
        <f t="shared" si="8"/>
        <v/>
      </c>
      <c r="B234" s="3" t="str">
        <f t="shared" si="9"/>
        <v/>
      </c>
    </row>
    <row r="235" spans="1:2" ht="15.75" customHeight="1" x14ac:dyDescent="0.25">
      <c r="A235" s="2" t="str">
        <f t="shared" si="8"/>
        <v/>
      </c>
      <c r="B235" s="3" t="str">
        <f t="shared" si="9"/>
        <v/>
      </c>
    </row>
    <row r="236" spans="1:2" ht="15.75" customHeight="1" x14ac:dyDescent="0.25">
      <c r="A236" s="2" t="str">
        <f t="shared" si="8"/>
        <v/>
      </c>
      <c r="B236" s="3" t="str">
        <f t="shared" si="9"/>
        <v/>
      </c>
    </row>
    <row r="237" spans="1:2" ht="15.75" customHeight="1" x14ac:dyDescent="0.25">
      <c r="A237" s="2" t="str">
        <f t="shared" si="8"/>
        <v/>
      </c>
      <c r="B237" s="3" t="str">
        <f t="shared" si="9"/>
        <v/>
      </c>
    </row>
    <row r="238" spans="1:2" ht="15.75" customHeight="1" x14ac:dyDescent="0.25">
      <c r="A238" s="2" t="str">
        <f t="shared" si="8"/>
        <v/>
      </c>
      <c r="B238" s="3" t="str">
        <f t="shared" si="9"/>
        <v/>
      </c>
    </row>
    <row r="239" spans="1:2" ht="15.75" customHeight="1" x14ac:dyDescent="0.25">
      <c r="A239" s="2" t="str">
        <f t="shared" si="8"/>
        <v/>
      </c>
      <c r="B239" s="3" t="str">
        <f t="shared" si="9"/>
        <v/>
      </c>
    </row>
    <row r="240" spans="1:2" ht="15.75" customHeight="1" x14ac:dyDescent="0.25">
      <c r="A240" s="2" t="str">
        <f t="shared" si="8"/>
        <v/>
      </c>
      <c r="B240" s="3" t="str">
        <f t="shared" si="9"/>
        <v/>
      </c>
    </row>
    <row r="241" spans="1:2" ht="15.75" customHeight="1" x14ac:dyDescent="0.25">
      <c r="A241" s="2" t="str">
        <f t="shared" si="8"/>
        <v/>
      </c>
      <c r="B241" s="3" t="str">
        <f t="shared" si="9"/>
        <v/>
      </c>
    </row>
    <row r="242" spans="1:2" ht="15.75" customHeight="1" x14ac:dyDescent="0.25">
      <c r="A242" s="2" t="str">
        <f t="shared" si="8"/>
        <v/>
      </c>
      <c r="B242" s="3" t="str">
        <f t="shared" si="9"/>
        <v/>
      </c>
    </row>
    <row r="243" spans="1:2" ht="15.75" customHeight="1" x14ac:dyDescent="0.25">
      <c r="A243" s="2" t="str">
        <f t="shared" si="8"/>
        <v/>
      </c>
      <c r="B243" s="3" t="str">
        <f t="shared" si="9"/>
        <v/>
      </c>
    </row>
    <row r="244" spans="1:2" ht="15.75" customHeight="1" x14ac:dyDescent="0.25">
      <c r="A244" s="2" t="str">
        <f t="shared" si="8"/>
        <v/>
      </c>
      <c r="B244" s="3" t="str">
        <f t="shared" si="9"/>
        <v/>
      </c>
    </row>
    <row r="245" spans="1:2" ht="15.75" customHeight="1" x14ac:dyDescent="0.25">
      <c r="A245" s="2" t="str">
        <f t="shared" si="8"/>
        <v/>
      </c>
      <c r="B245" s="3" t="str">
        <f t="shared" si="9"/>
        <v/>
      </c>
    </row>
    <row r="246" spans="1:2" ht="15.75" customHeight="1" x14ac:dyDescent="0.25">
      <c r="A246" s="2" t="str">
        <f t="shared" si="8"/>
        <v/>
      </c>
      <c r="B246" s="3" t="str">
        <f t="shared" si="9"/>
        <v/>
      </c>
    </row>
    <row r="247" spans="1:2" ht="15.75" customHeight="1" x14ac:dyDescent="0.25">
      <c r="A247" s="2" t="str">
        <f t="shared" si="8"/>
        <v/>
      </c>
      <c r="B247" s="3" t="str">
        <f t="shared" si="9"/>
        <v/>
      </c>
    </row>
    <row r="248" spans="1:2" ht="15.75" customHeight="1" x14ac:dyDescent="0.25">
      <c r="A248" s="2" t="str">
        <f t="shared" si="8"/>
        <v/>
      </c>
      <c r="B248" s="3" t="str">
        <f t="shared" si="9"/>
        <v/>
      </c>
    </row>
    <row r="249" spans="1:2" ht="15.75" customHeight="1" x14ac:dyDescent="0.25">
      <c r="A249" s="2" t="str">
        <f t="shared" si="8"/>
        <v/>
      </c>
      <c r="B249" s="3" t="str">
        <f t="shared" si="9"/>
        <v/>
      </c>
    </row>
    <row r="250" spans="1:2" ht="15.75" customHeight="1" x14ac:dyDescent="0.25">
      <c r="A250" s="2" t="str">
        <f t="shared" si="8"/>
        <v/>
      </c>
      <c r="B250" s="3" t="str">
        <f t="shared" si="9"/>
        <v/>
      </c>
    </row>
    <row r="251" spans="1:2" ht="15.75" customHeight="1" x14ac:dyDescent="0.25">
      <c r="A251" s="2" t="str">
        <f t="shared" si="8"/>
        <v/>
      </c>
      <c r="B251" s="3" t="str">
        <f t="shared" si="9"/>
        <v/>
      </c>
    </row>
    <row r="252" spans="1:2" ht="15.75" customHeight="1" x14ac:dyDescent="0.25">
      <c r="A252" s="2" t="str">
        <f t="shared" si="8"/>
        <v/>
      </c>
      <c r="B252" s="3" t="str">
        <f t="shared" si="9"/>
        <v/>
      </c>
    </row>
    <row r="253" spans="1:2" ht="15.75" customHeight="1" x14ac:dyDescent="0.25">
      <c r="A253" s="2" t="str">
        <f t="shared" si="8"/>
        <v/>
      </c>
      <c r="B253" s="3" t="str">
        <f t="shared" si="9"/>
        <v/>
      </c>
    </row>
    <row r="254" spans="1:2" ht="15.75" customHeight="1" x14ac:dyDescent="0.25">
      <c r="A254" s="2" t="str">
        <f t="shared" si="8"/>
        <v/>
      </c>
      <c r="B254" s="3" t="str">
        <f t="shared" si="9"/>
        <v/>
      </c>
    </row>
    <row r="255" spans="1:2" ht="15.75" customHeight="1" x14ac:dyDescent="0.25">
      <c r="A255" s="2" t="str">
        <f t="shared" si="8"/>
        <v/>
      </c>
      <c r="B255" s="3" t="str">
        <f t="shared" si="9"/>
        <v/>
      </c>
    </row>
    <row r="256" spans="1:2" ht="15.75" customHeight="1" x14ac:dyDescent="0.25">
      <c r="A256" s="2" t="str">
        <f t="shared" si="8"/>
        <v/>
      </c>
      <c r="B256" s="3" t="str">
        <f t="shared" si="9"/>
        <v/>
      </c>
    </row>
    <row r="257" spans="1:2" ht="15.75" customHeight="1" x14ac:dyDescent="0.25">
      <c r="A257" s="2" t="str">
        <f t="shared" si="8"/>
        <v/>
      </c>
      <c r="B257" s="3" t="str">
        <f t="shared" si="9"/>
        <v/>
      </c>
    </row>
    <row r="258" spans="1:2" ht="15.75" customHeight="1" x14ac:dyDescent="0.25">
      <c r="A258" s="2" t="str">
        <f t="shared" si="8"/>
        <v/>
      </c>
      <c r="B258" s="3" t="str">
        <f t="shared" si="9"/>
        <v/>
      </c>
    </row>
    <row r="259" spans="1:2" ht="15.75" customHeight="1" x14ac:dyDescent="0.25">
      <c r="A259" s="2" t="str">
        <f t="shared" si="8"/>
        <v/>
      </c>
      <c r="B259" s="3" t="str">
        <f t="shared" si="9"/>
        <v/>
      </c>
    </row>
    <row r="260" spans="1:2" ht="15.75" customHeight="1" x14ac:dyDescent="0.25">
      <c r="A260" s="2" t="str">
        <f t="shared" si="8"/>
        <v/>
      </c>
      <c r="B260" s="3" t="str">
        <f t="shared" si="9"/>
        <v/>
      </c>
    </row>
    <row r="261" spans="1:2" ht="15.75" customHeight="1" x14ac:dyDescent="0.25">
      <c r="A261" s="2" t="str">
        <f t="shared" si="8"/>
        <v/>
      </c>
      <c r="B261" s="3" t="str">
        <f t="shared" si="9"/>
        <v/>
      </c>
    </row>
    <row r="262" spans="1:2" ht="15.75" customHeight="1" x14ac:dyDescent="0.25">
      <c r="A262" s="2" t="str">
        <f t="shared" si="8"/>
        <v/>
      </c>
      <c r="B262" s="3" t="str">
        <f t="shared" si="9"/>
        <v/>
      </c>
    </row>
    <row r="263" spans="1:2" ht="15.75" customHeight="1" x14ac:dyDescent="0.25">
      <c r="A263" s="2" t="str">
        <f t="shared" si="8"/>
        <v/>
      </c>
      <c r="B263" s="3" t="str">
        <f t="shared" si="9"/>
        <v/>
      </c>
    </row>
    <row r="264" spans="1:2" ht="15.75" customHeight="1" x14ac:dyDescent="0.25">
      <c r="A264" s="2" t="str">
        <f t="shared" si="8"/>
        <v/>
      </c>
      <c r="B264" s="3" t="str">
        <f t="shared" si="9"/>
        <v/>
      </c>
    </row>
    <row r="265" spans="1:2" ht="15.75" customHeight="1" x14ac:dyDescent="0.25">
      <c r="A265" s="2" t="str">
        <f t="shared" si="8"/>
        <v/>
      </c>
      <c r="B265" s="3" t="str">
        <f t="shared" si="9"/>
        <v/>
      </c>
    </row>
    <row r="266" spans="1:2" ht="15.75" customHeight="1" x14ac:dyDescent="0.25">
      <c r="A266" s="2" t="str">
        <f t="shared" si="8"/>
        <v/>
      </c>
      <c r="B266" s="3" t="str">
        <f t="shared" si="9"/>
        <v/>
      </c>
    </row>
    <row r="267" spans="1:2" ht="15.75" customHeight="1" x14ac:dyDescent="0.25">
      <c r="A267" s="2" t="str">
        <f t="shared" si="8"/>
        <v/>
      </c>
      <c r="B267" s="3" t="str">
        <f t="shared" si="9"/>
        <v/>
      </c>
    </row>
    <row r="268" spans="1:2" ht="15.75" customHeight="1" x14ac:dyDescent="0.25">
      <c r="A268" s="2" t="str">
        <f t="shared" si="8"/>
        <v/>
      </c>
      <c r="B268" s="3" t="str">
        <f t="shared" si="9"/>
        <v/>
      </c>
    </row>
    <row r="269" spans="1:2" ht="15.75" customHeight="1" x14ac:dyDescent="0.25">
      <c r="A269" s="2" t="str">
        <f t="shared" si="8"/>
        <v/>
      </c>
      <c r="B269" s="3" t="str">
        <f t="shared" si="9"/>
        <v/>
      </c>
    </row>
    <row r="270" spans="1:2" ht="15.75" customHeight="1" x14ac:dyDescent="0.25">
      <c r="A270" s="2" t="str">
        <f t="shared" si="8"/>
        <v/>
      </c>
      <c r="B270" s="3" t="str">
        <f t="shared" si="9"/>
        <v/>
      </c>
    </row>
    <row r="271" spans="1:2" ht="15.75" customHeight="1" x14ac:dyDescent="0.25">
      <c r="A271" s="2" t="str">
        <f t="shared" si="8"/>
        <v/>
      </c>
      <c r="B271" s="3" t="str">
        <f t="shared" si="9"/>
        <v/>
      </c>
    </row>
    <row r="272" spans="1:2" ht="15.75" customHeight="1" x14ac:dyDescent="0.25">
      <c r="A272" s="2" t="str">
        <f t="shared" si="8"/>
        <v/>
      </c>
      <c r="B272" s="3" t="str">
        <f t="shared" si="9"/>
        <v/>
      </c>
    </row>
    <row r="273" spans="1:2" ht="15.75" customHeight="1" x14ac:dyDescent="0.25">
      <c r="A273" s="2" t="str">
        <f t="shared" si="8"/>
        <v/>
      </c>
      <c r="B273" s="3" t="str">
        <f t="shared" si="9"/>
        <v/>
      </c>
    </row>
    <row r="274" spans="1:2" ht="15.75" customHeight="1" x14ac:dyDescent="0.25">
      <c r="A274" s="2" t="str">
        <f t="shared" si="8"/>
        <v/>
      </c>
      <c r="B274" s="3" t="str">
        <f t="shared" si="9"/>
        <v/>
      </c>
    </row>
    <row r="275" spans="1:2" ht="15.75" customHeight="1" x14ac:dyDescent="0.25">
      <c r="A275" s="2" t="str">
        <f t="shared" si="8"/>
        <v/>
      </c>
      <c r="B275" s="3" t="str">
        <f t="shared" si="9"/>
        <v/>
      </c>
    </row>
    <row r="276" spans="1:2" ht="15.75" customHeight="1" x14ac:dyDescent="0.25">
      <c r="A276" s="2" t="str">
        <f t="shared" ref="A276:A339" si="10">IF(A275="","",IF(A275+$B$5&lt;=$B$4,A275+$B$5,""))</f>
        <v/>
      </c>
      <c r="B276" s="3" t="str">
        <f t="shared" ref="B276:B339" si="11">IF(A276&lt;&gt;"",B275-$B$1/COUNT($A$15:$A$507),"")</f>
        <v/>
      </c>
    </row>
    <row r="277" spans="1:2" ht="15.75" customHeight="1" x14ac:dyDescent="0.25">
      <c r="A277" s="2" t="str">
        <f t="shared" si="10"/>
        <v/>
      </c>
      <c r="B277" s="3" t="str">
        <f t="shared" si="11"/>
        <v/>
      </c>
    </row>
    <row r="278" spans="1:2" ht="15.75" customHeight="1" x14ac:dyDescent="0.25">
      <c r="A278" s="2" t="str">
        <f t="shared" si="10"/>
        <v/>
      </c>
      <c r="B278" s="3" t="str">
        <f t="shared" si="11"/>
        <v/>
      </c>
    </row>
    <row r="279" spans="1:2" ht="15.75" customHeight="1" x14ac:dyDescent="0.25">
      <c r="A279" s="2" t="str">
        <f t="shared" si="10"/>
        <v/>
      </c>
      <c r="B279" s="3" t="str">
        <f t="shared" si="11"/>
        <v/>
      </c>
    </row>
    <row r="280" spans="1:2" ht="15.75" customHeight="1" x14ac:dyDescent="0.25">
      <c r="A280" s="2" t="str">
        <f t="shared" si="10"/>
        <v/>
      </c>
      <c r="B280" s="3" t="str">
        <f t="shared" si="11"/>
        <v/>
      </c>
    </row>
    <row r="281" spans="1:2" ht="15.75" customHeight="1" x14ac:dyDescent="0.25">
      <c r="A281" s="2" t="str">
        <f t="shared" si="10"/>
        <v/>
      </c>
      <c r="B281" s="3" t="str">
        <f t="shared" si="11"/>
        <v/>
      </c>
    </row>
    <row r="282" spans="1:2" ht="15.75" customHeight="1" x14ac:dyDescent="0.25">
      <c r="A282" s="2" t="str">
        <f t="shared" si="10"/>
        <v/>
      </c>
      <c r="B282" s="3" t="str">
        <f t="shared" si="11"/>
        <v/>
      </c>
    </row>
    <row r="283" spans="1:2" ht="15.75" customHeight="1" x14ac:dyDescent="0.25">
      <c r="A283" s="2" t="str">
        <f t="shared" si="10"/>
        <v/>
      </c>
      <c r="B283" s="3" t="str">
        <f t="shared" si="11"/>
        <v/>
      </c>
    </row>
    <row r="284" spans="1:2" ht="15.75" customHeight="1" x14ac:dyDescent="0.25">
      <c r="A284" s="2" t="str">
        <f t="shared" si="10"/>
        <v/>
      </c>
      <c r="B284" s="3" t="str">
        <f t="shared" si="11"/>
        <v/>
      </c>
    </row>
    <row r="285" spans="1:2" ht="15.75" customHeight="1" x14ac:dyDescent="0.25">
      <c r="A285" s="2" t="str">
        <f t="shared" si="10"/>
        <v/>
      </c>
      <c r="B285" s="3" t="str">
        <f t="shared" si="11"/>
        <v/>
      </c>
    </row>
    <row r="286" spans="1:2" ht="15.75" customHeight="1" x14ac:dyDescent="0.25">
      <c r="A286" s="2" t="str">
        <f t="shared" si="10"/>
        <v/>
      </c>
      <c r="B286" s="3" t="str">
        <f t="shared" si="11"/>
        <v/>
      </c>
    </row>
    <row r="287" spans="1:2" ht="15.75" customHeight="1" x14ac:dyDescent="0.25">
      <c r="A287" s="2" t="str">
        <f t="shared" si="10"/>
        <v/>
      </c>
      <c r="B287" s="3" t="str">
        <f t="shared" si="11"/>
        <v/>
      </c>
    </row>
    <row r="288" spans="1:2" ht="15.75" customHeight="1" x14ac:dyDescent="0.25">
      <c r="A288" s="2" t="str">
        <f t="shared" si="10"/>
        <v/>
      </c>
      <c r="B288" s="3" t="str">
        <f t="shared" si="11"/>
        <v/>
      </c>
    </row>
    <row r="289" spans="1:2" ht="15.75" customHeight="1" x14ac:dyDescent="0.25">
      <c r="A289" s="2" t="str">
        <f t="shared" si="10"/>
        <v/>
      </c>
      <c r="B289" s="3" t="str">
        <f t="shared" si="11"/>
        <v/>
      </c>
    </row>
    <row r="290" spans="1:2" ht="15.75" customHeight="1" x14ac:dyDescent="0.25">
      <c r="A290" s="2" t="str">
        <f t="shared" si="10"/>
        <v/>
      </c>
      <c r="B290" s="3" t="str">
        <f t="shared" si="11"/>
        <v/>
      </c>
    </row>
    <row r="291" spans="1:2" ht="15.75" customHeight="1" x14ac:dyDescent="0.25">
      <c r="A291" s="2" t="str">
        <f t="shared" si="10"/>
        <v/>
      </c>
      <c r="B291" s="3" t="str">
        <f t="shared" si="11"/>
        <v/>
      </c>
    </row>
    <row r="292" spans="1:2" ht="15.75" customHeight="1" x14ac:dyDescent="0.25">
      <c r="A292" s="2" t="str">
        <f t="shared" si="10"/>
        <v/>
      </c>
      <c r="B292" s="3" t="str">
        <f t="shared" si="11"/>
        <v/>
      </c>
    </row>
    <row r="293" spans="1:2" ht="15.75" customHeight="1" x14ac:dyDescent="0.25">
      <c r="A293" s="2" t="str">
        <f t="shared" si="10"/>
        <v/>
      </c>
      <c r="B293" s="3" t="str">
        <f t="shared" si="11"/>
        <v/>
      </c>
    </row>
    <row r="294" spans="1:2" ht="15.75" customHeight="1" x14ac:dyDescent="0.25">
      <c r="A294" s="2" t="str">
        <f t="shared" si="10"/>
        <v/>
      </c>
      <c r="B294" s="3" t="str">
        <f t="shared" si="11"/>
        <v/>
      </c>
    </row>
    <row r="295" spans="1:2" ht="15.75" customHeight="1" x14ac:dyDescent="0.25">
      <c r="A295" s="2" t="str">
        <f t="shared" si="10"/>
        <v/>
      </c>
      <c r="B295" s="3" t="str">
        <f t="shared" si="11"/>
        <v/>
      </c>
    </row>
    <row r="296" spans="1:2" ht="15.75" customHeight="1" x14ac:dyDescent="0.25">
      <c r="A296" s="2" t="str">
        <f t="shared" si="10"/>
        <v/>
      </c>
      <c r="B296" s="3" t="str">
        <f t="shared" si="11"/>
        <v/>
      </c>
    </row>
    <row r="297" spans="1:2" ht="15.75" customHeight="1" x14ac:dyDescent="0.25">
      <c r="A297" s="2" t="str">
        <f t="shared" si="10"/>
        <v/>
      </c>
      <c r="B297" s="3" t="str">
        <f t="shared" si="11"/>
        <v/>
      </c>
    </row>
    <row r="298" spans="1:2" ht="15.75" customHeight="1" x14ac:dyDescent="0.25">
      <c r="A298" s="2" t="str">
        <f t="shared" si="10"/>
        <v/>
      </c>
      <c r="B298" s="3" t="str">
        <f t="shared" si="11"/>
        <v/>
      </c>
    </row>
    <row r="299" spans="1:2" ht="15.75" customHeight="1" x14ac:dyDescent="0.25">
      <c r="A299" s="2" t="str">
        <f t="shared" si="10"/>
        <v/>
      </c>
      <c r="B299" s="3" t="str">
        <f t="shared" si="11"/>
        <v/>
      </c>
    </row>
    <row r="300" spans="1:2" ht="15.75" customHeight="1" x14ac:dyDescent="0.25">
      <c r="A300" s="2" t="str">
        <f t="shared" si="10"/>
        <v/>
      </c>
      <c r="B300" s="3" t="str">
        <f t="shared" si="11"/>
        <v/>
      </c>
    </row>
    <row r="301" spans="1:2" ht="15.75" customHeight="1" x14ac:dyDescent="0.25">
      <c r="A301" s="2" t="str">
        <f t="shared" si="10"/>
        <v/>
      </c>
      <c r="B301" s="3" t="str">
        <f t="shared" si="11"/>
        <v/>
      </c>
    </row>
    <row r="302" spans="1:2" ht="15.75" customHeight="1" x14ac:dyDescent="0.25">
      <c r="A302" s="2" t="str">
        <f t="shared" si="10"/>
        <v/>
      </c>
      <c r="B302" s="3" t="str">
        <f t="shared" si="11"/>
        <v/>
      </c>
    </row>
    <row r="303" spans="1:2" ht="15.75" customHeight="1" x14ac:dyDescent="0.25">
      <c r="A303" s="2" t="str">
        <f t="shared" si="10"/>
        <v/>
      </c>
      <c r="B303" s="3" t="str">
        <f t="shared" si="11"/>
        <v/>
      </c>
    </row>
    <row r="304" spans="1:2" ht="15.75" customHeight="1" x14ac:dyDescent="0.25">
      <c r="A304" s="2" t="str">
        <f t="shared" si="10"/>
        <v/>
      </c>
      <c r="B304" s="3" t="str">
        <f t="shared" si="11"/>
        <v/>
      </c>
    </row>
    <row r="305" spans="1:2" ht="15.75" customHeight="1" x14ac:dyDescent="0.25">
      <c r="A305" s="2" t="str">
        <f t="shared" si="10"/>
        <v/>
      </c>
      <c r="B305" s="3" t="str">
        <f t="shared" si="11"/>
        <v/>
      </c>
    </row>
    <row r="306" spans="1:2" ht="15.75" customHeight="1" x14ac:dyDescent="0.25">
      <c r="A306" s="2" t="str">
        <f t="shared" si="10"/>
        <v/>
      </c>
      <c r="B306" s="3" t="str">
        <f t="shared" si="11"/>
        <v/>
      </c>
    </row>
    <row r="307" spans="1:2" ht="15.75" customHeight="1" x14ac:dyDescent="0.25">
      <c r="A307" s="2" t="str">
        <f t="shared" si="10"/>
        <v/>
      </c>
      <c r="B307" s="3" t="str">
        <f t="shared" si="11"/>
        <v/>
      </c>
    </row>
    <row r="308" spans="1:2" ht="15.75" customHeight="1" x14ac:dyDescent="0.25">
      <c r="A308" s="2" t="str">
        <f t="shared" si="10"/>
        <v/>
      </c>
      <c r="B308" s="3" t="str">
        <f t="shared" si="11"/>
        <v/>
      </c>
    </row>
    <row r="309" spans="1:2" ht="15.75" customHeight="1" x14ac:dyDescent="0.25">
      <c r="A309" s="2" t="str">
        <f t="shared" si="10"/>
        <v/>
      </c>
      <c r="B309" s="3" t="str">
        <f t="shared" si="11"/>
        <v/>
      </c>
    </row>
    <row r="310" spans="1:2" ht="15.75" customHeight="1" x14ac:dyDescent="0.25">
      <c r="A310" s="2" t="str">
        <f t="shared" si="10"/>
        <v/>
      </c>
      <c r="B310" s="3" t="str">
        <f t="shared" si="11"/>
        <v/>
      </c>
    </row>
    <row r="311" spans="1:2" ht="15.75" customHeight="1" x14ac:dyDescent="0.25">
      <c r="A311" s="2" t="str">
        <f t="shared" si="10"/>
        <v/>
      </c>
      <c r="B311" s="3" t="str">
        <f t="shared" si="11"/>
        <v/>
      </c>
    </row>
    <row r="312" spans="1:2" ht="15.75" customHeight="1" x14ac:dyDescent="0.25">
      <c r="A312" s="2" t="str">
        <f t="shared" si="10"/>
        <v/>
      </c>
      <c r="B312" s="3" t="str">
        <f t="shared" si="11"/>
        <v/>
      </c>
    </row>
    <row r="313" spans="1:2" ht="15.75" customHeight="1" x14ac:dyDescent="0.25">
      <c r="A313" s="2" t="str">
        <f t="shared" si="10"/>
        <v/>
      </c>
      <c r="B313" s="3" t="str">
        <f t="shared" si="11"/>
        <v/>
      </c>
    </row>
    <row r="314" spans="1:2" ht="15.75" customHeight="1" x14ac:dyDescent="0.25">
      <c r="A314" s="2" t="str">
        <f t="shared" si="10"/>
        <v/>
      </c>
      <c r="B314" s="3" t="str">
        <f t="shared" si="11"/>
        <v/>
      </c>
    </row>
    <row r="315" spans="1:2" ht="15.75" customHeight="1" x14ac:dyDescent="0.25">
      <c r="A315" s="2" t="str">
        <f t="shared" si="10"/>
        <v/>
      </c>
      <c r="B315" s="3" t="str">
        <f t="shared" si="11"/>
        <v/>
      </c>
    </row>
    <row r="316" spans="1:2" ht="15.75" customHeight="1" x14ac:dyDescent="0.25">
      <c r="A316" s="2" t="str">
        <f t="shared" si="10"/>
        <v/>
      </c>
      <c r="B316" s="3" t="str">
        <f t="shared" si="11"/>
        <v/>
      </c>
    </row>
    <row r="317" spans="1:2" ht="15.75" customHeight="1" x14ac:dyDescent="0.25">
      <c r="A317" s="2" t="str">
        <f t="shared" si="10"/>
        <v/>
      </c>
      <c r="B317" s="3" t="str">
        <f t="shared" si="11"/>
        <v/>
      </c>
    </row>
    <row r="318" spans="1:2" ht="15.75" customHeight="1" x14ac:dyDescent="0.25">
      <c r="A318" s="2" t="str">
        <f t="shared" si="10"/>
        <v/>
      </c>
      <c r="B318" s="3" t="str">
        <f t="shared" si="11"/>
        <v/>
      </c>
    </row>
    <row r="319" spans="1:2" ht="15.75" customHeight="1" x14ac:dyDescent="0.25">
      <c r="A319" s="2" t="str">
        <f t="shared" si="10"/>
        <v/>
      </c>
      <c r="B319" s="3" t="str">
        <f t="shared" si="11"/>
        <v/>
      </c>
    </row>
    <row r="320" spans="1:2" ht="15.75" customHeight="1" x14ac:dyDescent="0.25">
      <c r="A320" s="2" t="str">
        <f t="shared" si="10"/>
        <v/>
      </c>
      <c r="B320" s="3" t="str">
        <f t="shared" si="11"/>
        <v/>
      </c>
    </row>
    <row r="321" spans="1:2" ht="15.75" customHeight="1" x14ac:dyDescent="0.25">
      <c r="A321" s="2" t="str">
        <f t="shared" si="10"/>
        <v/>
      </c>
      <c r="B321" s="3" t="str">
        <f t="shared" si="11"/>
        <v/>
      </c>
    </row>
    <row r="322" spans="1:2" ht="15.75" customHeight="1" x14ac:dyDescent="0.25">
      <c r="A322" s="2" t="str">
        <f t="shared" si="10"/>
        <v/>
      </c>
      <c r="B322" s="3" t="str">
        <f t="shared" si="11"/>
        <v/>
      </c>
    </row>
    <row r="323" spans="1:2" ht="15.75" customHeight="1" x14ac:dyDescent="0.25">
      <c r="A323" s="2" t="str">
        <f t="shared" si="10"/>
        <v/>
      </c>
      <c r="B323" s="3" t="str">
        <f t="shared" si="11"/>
        <v/>
      </c>
    </row>
    <row r="324" spans="1:2" ht="15.75" customHeight="1" x14ac:dyDescent="0.25">
      <c r="A324" s="2" t="str">
        <f t="shared" si="10"/>
        <v/>
      </c>
      <c r="B324" s="3" t="str">
        <f t="shared" si="11"/>
        <v/>
      </c>
    </row>
    <row r="325" spans="1:2" ht="15.75" customHeight="1" x14ac:dyDescent="0.25">
      <c r="A325" s="2" t="str">
        <f t="shared" si="10"/>
        <v/>
      </c>
      <c r="B325" s="3" t="str">
        <f t="shared" si="11"/>
        <v/>
      </c>
    </row>
    <row r="326" spans="1:2" ht="15.75" customHeight="1" x14ac:dyDescent="0.25">
      <c r="A326" s="2" t="str">
        <f t="shared" si="10"/>
        <v/>
      </c>
      <c r="B326" s="3" t="str">
        <f t="shared" si="11"/>
        <v/>
      </c>
    </row>
    <row r="327" spans="1:2" ht="15.75" customHeight="1" x14ac:dyDescent="0.25">
      <c r="A327" s="2" t="str">
        <f t="shared" si="10"/>
        <v/>
      </c>
      <c r="B327" s="3" t="str">
        <f t="shared" si="11"/>
        <v/>
      </c>
    </row>
    <row r="328" spans="1:2" ht="15.75" customHeight="1" x14ac:dyDescent="0.25">
      <c r="A328" s="2" t="str">
        <f t="shared" si="10"/>
        <v/>
      </c>
      <c r="B328" s="3" t="str">
        <f t="shared" si="11"/>
        <v/>
      </c>
    </row>
    <row r="329" spans="1:2" ht="15.75" customHeight="1" x14ac:dyDescent="0.25">
      <c r="A329" s="2" t="str">
        <f t="shared" si="10"/>
        <v/>
      </c>
      <c r="B329" s="3" t="str">
        <f t="shared" si="11"/>
        <v/>
      </c>
    </row>
    <row r="330" spans="1:2" ht="15.75" customHeight="1" x14ac:dyDescent="0.25">
      <c r="A330" s="2" t="str">
        <f t="shared" si="10"/>
        <v/>
      </c>
      <c r="B330" s="3" t="str">
        <f t="shared" si="11"/>
        <v/>
      </c>
    </row>
    <row r="331" spans="1:2" ht="15.75" customHeight="1" x14ac:dyDescent="0.25">
      <c r="A331" s="2" t="str">
        <f t="shared" si="10"/>
        <v/>
      </c>
      <c r="B331" s="3" t="str">
        <f t="shared" si="11"/>
        <v/>
      </c>
    </row>
    <row r="332" spans="1:2" ht="15.75" customHeight="1" x14ac:dyDescent="0.25">
      <c r="A332" s="2" t="str">
        <f t="shared" si="10"/>
        <v/>
      </c>
      <c r="B332" s="3" t="str">
        <f t="shared" si="11"/>
        <v/>
      </c>
    </row>
    <row r="333" spans="1:2" ht="15.75" customHeight="1" x14ac:dyDescent="0.25">
      <c r="A333" s="2" t="str">
        <f t="shared" si="10"/>
        <v/>
      </c>
      <c r="B333" s="3" t="str">
        <f t="shared" si="11"/>
        <v/>
      </c>
    </row>
    <row r="334" spans="1:2" ht="15.75" customHeight="1" x14ac:dyDescent="0.25">
      <c r="A334" s="2" t="str">
        <f t="shared" si="10"/>
        <v/>
      </c>
      <c r="B334" s="3" t="str">
        <f t="shared" si="11"/>
        <v/>
      </c>
    </row>
    <row r="335" spans="1:2" ht="15.75" customHeight="1" x14ac:dyDescent="0.25">
      <c r="A335" s="2" t="str">
        <f t="shared" si="10"/>
        <v/>
      </c>
      <c r="B335" s="3" t="str">
        <f t="shared" si="11"/>
        <v/>
      </c>
    </row>
    <row r="336" spans="1:2" ht="15.75" customHeight="1" x14ac:dyDescent="0.25">
      <c r="A336" s="2" t="str">
        <f t="shared" si="10"/>
        <v/>
      </c>
      <c r="B336" s="3" t="str">
        <f t="shared" si="11"/>
        <v/>
      </c>
    </row>
    <row r="337" spans="1:2" ht="15.75" customHeight="1" x14ac:dyDescent="0.25">
      <c r="A337" s="2" t="str">
        <f t="shared" si="10"/>
        <v/>
      </c>
      <c r="B337" s="3" t="str">
        <f t="shared" si="11"/>
        <v/>
      </c>
    </row>
    <row r="338" spans="1:2" ht="15.75" customHeight="1" x14ac:dyDescent="0.25">
      <c r="A338" s="2" t="str">
        <f t="shared" si="10"/>
        <v/>
      </c>
      <c r="B338" s="3" t="str">
        <f t="shared" si="11"/>
        <v/>
      </c>
    </row>
    <row r="339" spans="1:2" ht="15.75" customHeight="1" x14ac:dyDescent="0.25">
      <c r="A339" s="2" t="str">
        <f t="shared" si="10"/>
        <v/>
      </c>
      <c r="B339" s="3" t="str">
        <f t="shared" si="11"/>
        <v/>
      </c>
    </row>
    <row r="340" spans="1:2" ht="15.75" customHeight="1" x14ac:dyDescent="0.25">
      <c r="A340" s="2" t="str">
        <f t="shared" ref="A340:A403" si="12">IF(A339="","",IF(A339+$B$5&lt;=$B$4,A339+$B$5,""))</f>
        <v/>
      </c>
      <c r="B340" s="3" t="str">
        <f t="shared" ref="B340:B403" si="13">IF(A340&lt;&gt;"",B339-$B$1/COUNT($A$15:$A$507),"")</f>
        <v/>
      </c>
    </row>
    <row r="341" spans="1:2" ht="15.75" customHeight="1" x14ac:dyDescent="0.25">
      <c r="A341" s="2" t="str">
        <f t="shared" si="12"/>
        <v/>
      </c>
      <c r="B341" s="3" t="str">
        <f t="shared" si="13"/>
        <v/>
      </c>
    </row>
    <row r="342" spans="1:2" ht="15.75" customHeight="1" x14ac:dyDescent="0.25">
      <c r="A342" s="2" t="str">
        <f t="shared" si="12"/>
        <v/>
      </c>
      <c r="B342" s="3" t="str">
        <f t="shared" si="13"/>
        <v/>
      </c>
    </row>
    <row r="343" spans="1:2" ht="15.75" customHeight="1" x14ac:dyDescent="0.25">
      <c r="A343" s="2" t="str">
        <f t="shared" si="12"/>
        <v/>
      </c>
      <c r="B343" s="3" t="str">
        <f t="shared" si="13"/>
        <v/>
      </c>
    </row>
    <row r="344" spans="1:2" ht="15.75" customHeight="1" x14ac:dyDescent="0.25">
      <c r="A344" s="2" t="str">
        <f t="shared" si="12"/>
        <v/>
      </c>
      <c r="B344" s="3" t="str">
        <f t="shared" si="13"/>
        <v/>
      </c>
    </row>
    <row r="345" spans="1:2" ht="15.75" customHeight="1" x14ac:dyDescent="0.25">
      <c r="A345" s="2" t="str">
        <f t="shared" si="12"/>
        <v/>
      </c>
      <c r="B345" s="3" t="str">
        <f t="shared" si="13"/>
        <v/>
      </c>
    </row>
    <row r="346" spans="1:2" ht="15.75" customHeight="1" x14ac:dyDescent="0.25">
      <c r="A346" s="2" t="str">
        <f t="shared" si="12"/>
        <v/>
      </c>
      <c r="B346" s="3" t="str">
        <f t="shared" si="13"/>
        <v/>
      </c>
    </row>
    <row r="347" spans="1:2" ht="15.75" customHeight="1" x14ac:dyDescent="0.25">
      <c r="A347" s="2" t="str">
        <f t="shared" si="12"/>
        <v/>
      </c>
      <c r="B347" s="3" t="str">
        <f t="shared" si="13"/>
        <v/>
      </c>
    </row>
    <row r="348" spans="1:2" ht="15.75" customHeight="1" x14ac:dyDescent="0.25">
      <c r="A348" s="2" t="str">
        <f t="shared" si="12"/>
        <v/>
      </c>
      <c r="B348" s="3" t="str">
        <f t="shared" si="13"/>
        <v/>
      </c>
    </row>
    <row r="349" spans="1:2" ht="15.75" customHeight="1" x14ac:dyDescent="0.25">
      <c r="A349" s="2" t="str">
        <f t="shared" si="12"/>
        <v/>
      </c>
      <c r="B349" s="3" t="str">
        <f t="shared" si="13"/>
        <v/>
      </c>
    </row>
    <row r="350" spans="1:2" ht="15.75" customHeight="1" x14ac:dyDescent="0.25">
      <c r="A350" s="2" t="str">
        <f t="shared" si="12"/>
        <v/>
      </c>
      <c r="B350" s="3" t="str">
        <f t="shared" si="13"/>
        <v/>
      </c>
    </row>
    <row r="351" spans="1:2" ht="15.75" customHeight="1" x14ac:dyDescent="0.25">
      <c r="A351" s="2" t="str">
        <f t="shared" si="12"/>
        <v/>
      </c>
      <c r="B351" s="3" t="str">
        <f t="shared" si="13"/>
        <v/>
      </c>
    </row>
    <row r="352" spans="1:2" ht="15.75" customHeight="1" x14ac:dyDescent="0.25">
      <c r="A352" s="2" t="str">
        <f t="shared" si="12"/>
        <v/>
      </c>
      <c r="B352" s="3" t="str">
        <f t="shared" si="13"/>
        <v/>
      </c>
    </row>
    <row r="353" spans="1:2" ht="15.75" customHeight="1" x14ac:dyDescent="0.25">
      <c r="A353" s="2" t="str">
        <f t="shared" si="12"/>
        <v/>
      </c>
      <c r="B353" s="3" t="str">
        <f t="shared" si="13"/>
        <v/>
      </c>
    </row>
    <row r="354" spans="1:2" ht="15.75" customHeight="1" x14ac:dyDescent="0.25">
      <c r="A354" s="2" t="str">
        <f t="shared" si="12"/>
        <v/>
      </c>
      <c r="B354" s="3" t="str">
        <f t="shared" si="13"/>
        <v/>
      </c>
    </row>
    <row r="355" spans="1:2" ht="15.75" customHeight="1" x14ac:dyDescent="0.25">
      <c r="A355" s="2" t="str">
        <f t="shared" si="12"/>
        <v/>
      </c>
      <c r="B355" s="3" t="str">
        <f t="shared" si="13"/>
        <v/>
      </c>
    </row>
    <row r="356" spans="1:2" ht="15.75" customHeight="1" x14ac:dyDescent="0.25">
      <c r="A356" s="2" t="str">
        <f t="shared" si="12"/>
        <v/>
      </c>
      <c r="B356" s="3" t="str">
        <f t="shared" si="13"/>
        <v/>
      </c>
    </row>
    <row r="357" spans="1:2" ht="15.75" customHeight="1" x14ac:dyDescent="0.25">
      <c r="A357" s="2" t="str">
        <f t="shared" si="12"/>
        <v/>
      </c>
      <c r="B357" s="3" t="str">
        <f t="shared" si="13"/>
        <v/>
      </c>
    </row>
    <row r="358" spans="1:2" ht="15.75" customHeight="1" x14ac:dyDescent="0.25">
      <c r="A358" s="2" t="str">
        <f t="shared" si="12"/>
        <v/>
      </c>
      <c r="B358" s="3" t="str">
        <f t="shared" si="13"/>
        <v/>
      </c>
    </row>
    <row r="359" spans="1:2" ht="15.75" customHeight="1" x14ac:dyDescent="0.25">
      <c r="A359" s="2" t="str">
        <f t="shared" si="12"/>
        <v/>
      </c>
      <c r="B359" s="3" t="str">
        <f t="shared" si="13"/>
        <v/>
      </c>
    </row>
    <row r="360" spans="1:2" ht="15.75" customHeight="1" x14ac:dyDescent="0.25">
      <c r="A360" s="2" t="str">
        <f t="shared" si="12"/>
        <v/>
      </c>
      <c r="B360" s="3" t="str">
        <f t="shared" si="13"/>
        <v/>
      </c>
    </row>
    <row r="361" spans="1:2" ht="15.75" customHeight="1" x14ac:dyDescent="0.25">
      <c r="A361" s="2" t="str">
        <f t="shared" si="12"/>
        <v/>
      </c>
      <c r="B361" s="3" t="str">
        <f t="shared" si="13"/>
        <v/>
      </c>
    </row>
    <row r="362" spans="1:2" ht="15.75" customHeight="1" x14ac:dyDescent="0.25">
      <c r="A362" s="2" t="str">
        <f t="shared" si="12"/>
        <v/>
      </c>
      <c r="B362" s="3" t="str">
        <f t="shared" si="13"/>
        <v/>
      </c>
    </row>
    <row r="363" spans="1:2" ht="15.75" customHeight="1" x14ac:dyDescent="0.25">
      <c r="A363" s="2" t="str">
        <f t="shared" si="12"/>
        <v/>
      </c>
      <c r="B363" s="3" t="str">
        <f t="shared" si="13"/>
        <v/>
      </c>
    </row>
    <row r="364" spans="1:2" ht="15.75" customHeight="1" x14ac:dyDescent="0.25">
      <c r="A364" s="2" t="str">
        <f t="shared" si="12"/>
        <v/>
      </c>
      <c r="B364" s="3" t="str">
        <f t="shared" si="13"/>
        <v/>
      </c>
    </row>
    <row r="365" spans="1:2" ht="15.75" customHeight="1" x14ac:dyDescent="0.25">
      <c r="A365" s="2" t="str">
        <f t="shared" si="12"/>
        <v/>
      </c>
      <c r="B365" s="3" t="str">
        <f t="shared" si="13"/>
        <v/>
      </c>
    </row>
    <row r="366" spans="1:2" ht="15.75" customHeight="1" x14ac:dyDescent="0.25">
      <c r="A366" s="2" t="str">
        <f t="shared" si="12"/>
        <v/>
      </c>
      <c r="B366" s="3" t="str">
        <f t="shared" si="13"/>
        <v/>
      </c>
    </row>
    <row r="367" spans="1:2" ht="15.75" customHeight="1" x14ac:dyDescent="0.25">
      <c r="A367" s="2" t="str">
        <f t="shared" si="12"/>
        <v/>
      </c>
      <c r="B367" s="3" t="str">
        <f t="shared" si="13"/>
        <v/>
      </c>
    </row>
    <row r="368" spans="1:2" ht="15.75" customHeight="1" x14ac:dyDescent="0.25">
      <c r="A368" s="2" t="str">
        <f t="shared" si="12"/>
        <v/>
      </c>
      <c r="B368" s="3" t="str">
        <f t="shared" si="13"/>
        <v/>
      </c>
    </row>
    <row r="369" spans="1:2" ht="15.75" customHeight="1" x14ac:dyDescent="0.25">
      <c r="A369" s="2" t="str">
        <f t="shared" si="12"/>
        <v/>
      </c>
      <c r="B369" s="3" t="str">
        <f t="shared" si="13"/>
        <v/>
      </c>
    </row>
    <row r="370" spans="1:2" ht="15.75" customHeight="1" x14ac:dyDescent="0.25">
      <c r="A370" s="2" t="str">
        <f t="shared" si="12"/>
        <v/>
      </c>
      <c r="B370" s="3" t="str">
        <f t="shared" si="13"/>
        <v/>
      </c>
    </row>
    <row r="371" spans="1:2" ht="15.75" customHeight="1" x14ac:dyDescent="0.25">
      <c r="A371" s="2" t="str">
        <f t="shared" si="12"/>
        <v/>
      </c>
      <c r="B371" s="3" t="str">
        <f t="shared" si="13"/>
        <v/>
      </c>
    </row>
    <row r="372" spans="1:2" ht="15.75" customHeight="1" x14ac:dyDescent="0.25">
      <c r="A372" s="2" t="str">
        <f t="shared" si="12"/>
        <v/>
      </c>
      <c r="B372" s="3" t="str">
        <f t="shared" si="13"/>
        <v/>
      </c>
    </row>
    <row r="373" spans="1:2" ht="15.75" customHeight="1" x14ac:dyDescent="0.25">
      <c r="A373" s="2" t="str">
        <f t="shared" si="12"/>
        <v/>
      </c>
      <c r="B373" s="3" t="str">
        <f t="shared" si="13"/>
        <v/>
      </c>
    </row>
    <row r="374" spans="1:2" ht="15.75" customHeight="1" x14ac:dyDescent="0.25">
      <c r="A374" s="2" t="str">
        <f t="shared" si="12"/>
        <v/>
      </c>
      <c r="B374" s="3" t="str">
        <f t="shared" si="13"/>
        <v/>
      </c>
    </row>
    <row r="375" spans="1:2" ht="15.75" customHeight="1" x14ac:dyDescent="0.25">
      <c r="A375" s="2" t="str">
        <f t="shared" si="12"/>
        <v/>
      </c>
      <c r="B375" s="3" t="str">
        <f t="shared" si="13"/>
        <v/>
      </c>
    </row>
    <row r="376" spans="1:2" ht="15.75" customHeight="1" x14ac:dyDescent="0.25">
      <c r="A376" s="2" t="str">
        <f t="shared" si="12"/>
        <v/>
      </c>
      <c r="B376" s="3" t="str">
        <f t="shared" si="13"/>
        <v/>
      </c>
    </row>
    <row r="377" spans="1:2" ht="15.75" customHeight="1" x14ac:dyDescent="0.25">
      <c r="A377" s="2" t="str">
        <f t="shared" si="12"/>
        <v/>
      </c>
      <c r="B377" s="3" t="str">
        <f t="shared" si="13"/>
        <v/>
      </c>
    </row>
    <row r="378" spans="1:2" ht="15.75" customHeight="1" x14ac:dyDescent="0.25">
      <c r="A378" s="2" t="str">
        <f t="shared" si="12"/>
        <v/>
      </c>
      <c r="B378" s="3" t="str">
        <f t="shared" si="13"/>
        <v/>
      </c>
    </row>
    <row r="379" spans="1:2" ht="15.75" customHeight="1" x14ac:dyDescent="0.25">
      <c r="A379" s="2" t="str">
        <f t="shared" si="12"/>
        <v/>
      </c>
      <c r="B379" s="3" t="str">
        <f t="shared" si="13"/>
        <v/>
      </c>
    </row>
    <row r="380" spans="1:2" ht="15.75" customHeight="1" x14ac:dyDescent="0.25">
      <c r="A380" s="2" t="str">
        <f t="shared" si="12"/>
        <v/>
      </c>
      <c r="B380" s="3" t="str">
        <f t="shared" si="13"/>
        <v/>
      </c>
    </row>
    <row r="381" spans="1:2" ht="15.75" customHeight="1" x14ac:dyDescent="0.25">
      <c r="A381" s="2" t="str">
        <f t="shared" si="12"/>
        <v/>
      </c>
      <c r="B381" s="3" t="str">
        <f t="shared" si="13"/>
        <v/>
      </c>
    </row>
    <row r="382" spans="1:2" ht="15.75" customHeight="1" x14ac:dyDescent="0.25">
      <c r="A382" s="2" t="str">
        <f t="shared" si="12"/>
        <v/>
      </c>
      <c r="B382" s="3" t="str">
        <f t="shared" si="13"/>
        <v/>
      </c>
    </row>
    <row r="383" spans="1:2" ht="15.75" customHeight="1" x14ac:dyDescent="0.25">
      <c r="A383" s="2" t="str">
        <f t="shared" si="12"/>
        <v/>
      </c>
      <c r="B383" s="3" t="str">
        <f t="shared" si="13"/>
        <v/>
      </c>
    </row>
    <row r="384" spans="1:2" ht="15.75" customHeight="1" x14ac:dyDescent="0.25">
      <c r="A384" s="2" t="str">
        <f t="shared" si="12"/>
        <v/>
      </c>
      <c r="B384" s="3" t="str">
        <f t="shared" si="13"/>
        <v/>
      </c>
    </row>
    <row r="385" spans="1:2" ht="15.75" customHeight="1" x14ac:dyDescent="0.25">
      <c r="A385" s="2" t="str">
        <f t="shared" si="12"/>
        <v/>
      </c>
      <c r="B385" s="3" t="str">
        <f t="shared" si="13"/>
        <v/>
      </c>
    </row>
    <row r="386" spans="1:2" ht="15.75" customHeight="1" x14ac:dyDescent="0.25">
      <c r="A386" s="2" t="str">
        <f t="shared" si="12"/>
        <v/>
      </c>
      <c r="B386" s="3" t="str">
        <f t="shared" si="13"/>
        <v/>
      </c>
    </row>
    <row r="387" spans="1:2" ht="15.75" customHeight="1" x14ac:dyDescent="0.25">
      <c r="A387" s="2" t="str">
        <f t="shared" si="12"/>
        <v/>
      </c>
      <c r="B387" s="3" t="str">
        <f t="shared" si="13"/>
        <v/>
      </c>
    </row>
    <row r="388" spans="1:2" ht="15.75" customHeight="1" x14ac:dyDescent="0.25">
      <c r="A388" s="2" t="str">
        <f t="shared" si="12"/>
        <v/>
      </c>
      <c r="B388" s="3" t="str">
        <f t="shared" si="13"/>
        <v/>
      </c>
    </row>
    <row r="389" spans="1:2" ht="15.75" customHeight="1" x14ac:dyDescent="0.25">
      <c r="A389" s="2" t="str">
        <f t="shared" si="12"/>
        <v/>
      </c>
      <c r="B389" s="3" t="str">
        <f t="shared" si="13"/>
        <v/>
      </c>
    </row>
    <row r="390" spans="1:2" ht="15.75" customHeight="1" x14ac:dyDescent="0.25">
      <c r="A390" s="2" t="str">
        <f t="shared" si="12"/>
        <v/>
      </c>
      <c r="B390" s="3" t="str">
        <f t="shared" si="13"/>
        <v/>
      </c>
    </row>
    <row r="391" spans="1:2" ht="15.75" customHeight="1" x14ac:dyDescent="0.25">
      <c r="A391" s="2" t="str">
        <f t="shared" si="12"/>
        <v/>
      </c>
      <c r="B391" s="3" t="str">
        <f t="shared" si="13"/>
        <v/>
      </c>
    </row>
    <row r="392" spans="1:2" ht="15.75" customHeight="1" x14ac:dyDescent="0.25">
      <c r="A392" s="2" t="str">
        <f t="shared" si="12"/>
        <v/>
      </c>
      <c r="B392" s="3" t="str">
        <f t="shared" si="13"/>
        <v/>
      </c>
    </row>
    <row r="393" spans="1:2" ht="15.75" customHeight="1" x14ac:dyDescent="0.25">
      <c r="A393" s="2" t="str">
        <f t="shared" si="12"/>
        <v/>
      </c>
      <c r="B393" s="3" t="str">
        <f t="shared" si="13"/>
        <v/>
      </c>
    </row>
    <row r="394" spans="1:2" ht="15.75" customHeight="1" x14ac:dyDescent="0.25">
      <c r="A394" s="2" t="str">
        <f t="shared" si="12"/>
        <v/>
      </c>
      <c r="B394" s="3" t="str">
        <f t="shared" si="13"/>
        <v/>
      </c>
    </row>
    <row r="395" spans="1:2" ht="15.75" customHeight="1" x14ac:dyDescent="0.25">
      <c r="A395" s="2" t="str">
        <f t="shared" si="12"/>
        <v/>
      </c>
      <c r="B395" s="3" t="str">
        <f t="shared" si="13"/>
        <v/>
      </c>
    </row>
    <row r="396" spans="1:2" ht="15.75" customHeight="1" x14ac:dyDescent="0.25">
      <c r="A396" s="2" t="str">
        <f t="shared" si="12"/>
        <v/>
      </c>
      <c r="B396" s="3" t="str">
        <f t="shared" si="13"/>
        <v/>
      </c>
    </row>
    <row r="397" spans="1:2" ht="15.75" customHeight="1" x14ac:dyDescent="0.25">
      <c r="A397" s="2" t="str">
        <f t="shared" si="12"/>
        <v/>
      </c>
      <c r="B397" s="3" t="str">
        <f t="shared" si="13"/>
        <v/>
      </c>
    </row>
    <row r="398" spans="1:2" ht="15.75" customHeight="1" x14ac:dyDescent="0.25">
      <c r="A398" s="2" t="str">
        <f t="shared" si="12"/>
        <v/>
      </c>
      <c r="B398" s="3" t="str">
        <f t="shared" si="13"/>
        <v/>
      </c>
    </row>
    <row r="399" spans="1:2" ht="15.75" customHeight="1" x14ac:dyDescent="0.25">
      <c r="A399" s="2" t="str">
        <f t="shared" si="12"/>
        <v/>
      </c>
      <c r="B399" s="3" t="str">
        <f t="shared" si="13"/>
        <v/>
      </c>
    </row>
    <row r="400" spans="1:2" ht="15.75" customHeight="1" x14ac:dyDescent="0.25">
      <c r="A400" s="2" t="str">
        <f t="shared" si="12"/>
        <v/>
      </c>
      <c r="B400" s="3" t="str">
        <f t="shared" si="13"/>
        <v/>
      </c>
    </row>
    <row r="401" spans="1:2" ht="15.75" customHeight="1" x14ac:dyDescent="0.25">
      <c r="A401" s="2" t="str">
        <f t="shared" si="12"/>
        <v/>
      </c>
      <c r="B401" s="3" t="str">
        <f t="shared" si="13"/>
        <v/>
      </c>
    </row>
    <row r="402" spans="1:2" ht="15.75" customHeight="1" x14ac:dyDescent="0.25">
      <c r="A402" s="2" t="str">
        <f t="shared" si="12"/>
        <v/>
      </c>
      <c r="B402" s="3" t="str">
        <f t="shared" si="13"/>
        <v/>
      </c>
    </row>
    <row r="403" spans="1:2" ht="15.75" customHeight="1" x14ac:dyDescent="0.25">
      <c r="A403" s="2" t="str">
        <f t="shared" si="12"/>
        <v/>
      </c>
      <c r="B403" s="3" t="str">
        <f t="shared" si="13"/>
        <v/>
      </c>
    </row>
    <row r="404" spans="1:2" ht="15.75" customHeight="1" x14ac:dyDescent="0.25">
      <c r="A404" s="2" t="str">
        <f t="shared" ref="A404:A467" si="14">IF(A403="","",IF(A403+$B$5&lt;=$B$4,A403+$B$5,""))</f>
        <v/>
      </c>
      <c r="B404" s="3" t="str">
        <f t="shared" ref="B404:B467" si="15">IF(A404&lt;&gt;"",B403-$B$1/COUNT($A$15:$A$507),"")</f>
        <v/>
      </c>
    </row>
    <row r="405" spans="1:2" ht="15.75" customHeight="1" x14ac:dyDescent="0.25">
      <c r="A405" s="2" t="str">
        <f t="shared" si="14"/>
        <v/>
      </c>
      <c r="B405" s="3" t="str">
        <f t="shared" si="15"/>
        <v/>
      </c>
    </row>
    <row r="406" spans="1:2" ht="15.75" customHeight="1" x14ac:dyDescent="0.25">
      <c r="A406" s="2" t="str">
        <f t="shared" si="14"/>
        <v/>
      </c>
      <c r="B406" s="3" t="str">
        <f t="shared" si="15"/>
        <v/>
      </c>
    </row>
    <row r="407" spans="1:2" ht="15.75" customHeight="1" x14ac:dyDescent="0.25">
      <c r="A407" s="2" t="str">
        <f t="shared" si="14"/>
        <v/>
      </c>
      <c r="B407" s="3" t="str">
        <f t="shared" si="15"/>
        <v/>
      </c>
    </row>
    <row r="408" spans="1:2" ht="15.75" customHeight="1" x14ac:dyDescent="0.25">
      <c r="A408" s="2" t="str">
        <f t="shared" si="14"/>
        <v/>
      </c>
      <c r="B408" s="3" t="str">
        <f t="shared" si="15"/>
        <v/>
      </c>
    </row>
    <row r="409" spans="1:2" ht="15.75" customHeight="1" x14ac:dyDescent="0.25">
      <c r="A409" s="2" t="str">
        <f t="shared" si="14"/>
        <v/>
      </c>
      <c r="B409" s="3" t="str">
        <f t="shared" si="15"/>
        <v/>
      </c>
    </row>
    <row r="410" spans="1:2" ht="15.75" customHeight="1" x14ac:dyDescent="0.25">
      <c r="A410" s="2" t="str">
        <f t="shared" si="14"/>
        <v/>
      </c>
      <c r="B410" s="3" t="str">
        <f t="shared" si="15"/>
        <v/>
      </c>
    </row>
    <row r="411" spans="1:2" ht="15.75" customHeight="1" x14ac:dyDescent="0.25">
      <c r="A411" s="2" t="str">
        <f t="shared" si="14"/>
        <v/>
      </c>
      <c r="B411" s="3" t="str">
        <f t="shared" si="15"/>
        <v/>
      </c>
    </row>
    <row r="412" spans="1:2" ht="15.75" customHeight="1" x14ac:dyDescent="0.25">
      <c r="A412" s="2" t="str">
        <f t="shared" si="14"/>
        <v/>
      </c>
      <c r="B412" s="3" t="str">
        <f t="shared" si="15"/>
        <v/>
      </c>
    </row>
    <row r="413" spans="1:2" ht="15.75" customHeight="1" x14ac:dyDescent="0.25">
      <c r="A413" s="2" t="str">
        <f t="shared" si="14"/>
        <v/>
      </c>
      <c r="B413" s="3" t="str">
        <f t="shared" si="15"/>
        <v/>
      </c>
    </row>
    <row r="414" spans="1:2" ht="15.75" customHeight="1" x14ac:dyDescent="0.25">
      <c r="A414" s="2" t="str">
        <f t="shared" si="14"/>
        <v/>
      </c>
      <c r="B414" s="3" t="str">
        <f t="shared" si="15"/>
        <v/>
      </c>
    </row>
    <row r="415" spans="1:2" ht="15.75" customHeight="1" x14ac:dyDescent="0.25">
      <c r="A415" s="2" t="str">
        <f t="shared" si="14"/>
        <v/>
      </c>
      <c r="B415" s="3" t="str">
        <f t="shared" si="15"/>
        <v/>
      </c>
    </row>
    <row r="416" spans="1:2" ht="15.75" customHeight="1" x14ac:dyDescent="0.25">
      <c r="A416" s="2" t="str">
        <f t="shared" si="14"/>
        <v/>
      </c>
      <c r="B416" s="3" t="str">
        <f t="shared" si="15"/>
        <v/>
      </c>
    </row>
    <row r="417" spans="1:2" ht="15.75" customHeight="1" x14ac:dyDescent="0.25">
      <c r="A417" s="2" t="str">
        <f t="shared" si="14"/>
        <v/>
      </c>
      <c r="B417" s="3" t="str">
        <f t="shared" si="15"/>
        <v/>
      </c>
    </row>
    <row r="418" spans="1:2" ht="15.75" customHeight="1" x14ac:dyDescent="0.25">
      <c r="A418" s="2" t="str">
        <f t="shared" si="14"/>
        <v/>
      </c>
      <c r="B418" s="3" t="str">
        <f t="shared" si="15"/>
        <v/>
      </c>
    </row>
    <row r="419" spans="1:2" ht="15.75" customHeight="1" x14ac:dyDescent="0.25">
      <c r="A419" s="2" t="str">
        <f t="shared" si="14"/>
        <v/>
      </c>
      <c r="B419" s="3" t="str">
        <f t="shared" si="15"/>
        <v/>
      </c>
    </row>
    <row r="420" spans="1:2" ht="15.75" customHeight="1" x14ac:dyDescent="0.25">
      <c r="A420" s="2" t="str">
        <f t="shared" si="14"/>
        <v/>
      </c>
      <c r="B420" s="3" t="str">
        <f t="shared" si="15"/>
        <v/>
      </c>
    </row>
    <row r="421" spans="1:2" ht="15.75" customHeight="1" x14ac:dyDescent="0.25">
      <c r="A421" s="2" t="str">
        <f t="shared" si="14"/>
        <v/>
      </c>
      <c r="B421" s="3" t="str">
        <f t="shared" si="15"/>
        <v/>
      </c>
    </row>
    <row r="422" spans="1:2" ht="15.75" customHeight="1" x14ac:dyDescent="0.25">
      <c r="A422" s="2" t="str">
        <f t="shared" si="14"/>
        <v/>
      </c>
      <c r="B422" s="3" t="str">
        <f t="shared" si="15"/>
        <v/>
      </c>
    </row>
    <row r="423" spans="1:2" ht="15.75" customHeight="1" x14ac:dyDescent="0.25">
      <c r="A423" s="2" t="str">
        <f t="shared" si="14"/>
        <v/>
      </c>
      <c r="B423" s="3" t="str">
        <f t="shared" si="15"/>
        <v/>
      </c>
    </row>
    <row r="424" spans="1:2" ht="15.75" customHeight="1" x14ac:dyDescent="0.25">
      <c r="A424" s="2" t="str">
        <f t="shared" si="14"/>
        <v/>
      </c>
      <c r="B424" s="3" t="str">
        <f t="shared" si="15"/>
        <v/>
      </c>
    </row>
    <row r="425" spans="1:2" ht="15.75" customHeight="1" x14ac:dyDescent="0.25">
      <c r="A425" s="2" t="str">
        <f t="shared" si="14"/>
        <v/>
      </c>
      <c r="B425" s="3" t="str">
        <f t="shared" si="15"/>
        <v/>
      </c>
    </row>
    <row r="426" spans="1:2" ht="15.75" customHeight="1" x14ac:dyDescent="0.25">
      <c r="A426" s="2" t="str">
        <f t="shared" si="14"/>
        <v/>
      </c>
      <c r="B426" s="3" t="str">
        <f t="shared" si="15"/>
        <v/>
      </c>
    </row>
    <row r="427" spans="1:2" ht="15.75" customHeight="1" x14ac:dyDescent="0.25">
      <c r="A427" s="2" t="str">
        <f t="shared" si="14"/>
        <v/>
      </c>
      <c r="B427" s="3" t="str">
        <f t="shared" si="15"/>
        <v/>
      </c>
    </row>
    <row r="428" spans="1:2" ht="15.75" customHeight="1" x14ac:dyDescent="0.25">
      <c r="A428" s="2" t="str">
        <f t="shared" si="14"/>
        <v/>
      </c>
      <c r="B428" s="3" t="str">
        <f t="shared" si="15"/>
        <v/>
      </c>
    </row>
    <row r="429" spans="1:2" ht="15.75" customHeight="1" x14ac:dyDescent="0.25">
      <c r="A429" s="2" t="str">
        <f t="shared" si="14"/>
        <v/>
      </c>
      <c r="B429" s="3" t="str">
        <f t="shared" si="15"/>
        <v/>
      </c>
    </row>
    <row r="430" spans="1:2" ht="15.75" customHeight="1" x14ac:dyDescent="0.25">
      <c r="A430" s="2" t="str">
        <f t="shared" si="14"/>
        <v/>
      </c>
      <c r="B430" s="3" t="str">
        <f t="shared" si="15"/>
        <v/>
      </c>
    </row>
    <row r="431" spans="1:2" ht="15.75" customHeight="1" x14ac:dyDescent="0.25">
      <c r="A431" s="2" t="str">
        <f t="shared" si="14"/>
        <v/>
      </c>
      <c r="B431" s="3" t="str">
        <f t="shared" si="15"/>
        <v/>
      </c>
    </row>
    <row r="432" spans="1:2" ht="15.75" customHeight="1" x14ac:dyDescent="0.25">
      <c r="A432" s="2" t="str">
        <f t="shared" si="14"/>
        <v/>
      </c>
      <c r="B432" s="3" t="str">
        <f t="shared" si="15"/>
        <v/>
      </c>
    </row>
    <row r="433" spans="1:2" ht="15.75" customHeight="1" x14ac:dyDescent="0.25">
      <c r="A433" s="2" t="str">
        <f t="shared" si="14"/>
        <v/>
      </c>
      <c r="B433" s="3" t="str">
        <f t="shared" si="15"/>
        <v/>
      </c>
    </row>
    <row r="434" spans="1:2" ht="15.75" customHeight="1" x14ac:dyDescent="0.25">
      <c r="A434" s="2" t="str">
        <f t="shared" si="14"/>
        <v/>
      </c>
      <c r="B434" s="3" t="str">
        <f t="shared" si="15"/>
        <v/>
      </c>
    </row>
    <row r="435" spans="1:2" ht="15.75" customHeight="1" x14ac:dyDescent="0.25">
      <c r="A435" s="2" t="str">
        <f t="shared" si="14"/>
        <v/>
      </c>
      <c r="B435" s="3" t="str">
        <f t="shared" si="15"/>
        <v/>
      </c>
    </row>
    <row r="436" spans="1:2" ht="15.75" customHeight="1" x14ac:dyDescent="0.25">
      <c r="A436" s="2" t="str">
        <f t="shared" si="14"/>
        <v/>
      </c>
      <c r="B436" s="3" t="str">
        <f t="shared" si="15"/>
        <v/>
      </c>
    </row>
    <row r="437" spans="1:2" ht="15.75" customHeight="1" x14ac:dyDescent="0.25">
      <c r="A437" s="2" t="str">
        <f t="shared" si="14"/>
        <v/>
      </c>
      <c r="B437" s="3" t="str">
        <f t="shared" si="15"/>
        <v/>
      </c>
    </row>
    <row r="438" spans="1:2" ht="15.75" customHeight="1" x14ac:dyDescent="0.25">
      <c r="A438" s="2" t="str">
        <f t="shared" si="14"/>
        <v/>
      </c>
      <c r="B438" s="3" t="str">
        <f t="shared" si="15"/>
        <v/>
      </c>
    </row>
    <row r="439" spans="1:2" ht="15.75" customHeight="1" x14ac:dyDescent="0.25">
      <c r="A439" s="2" t="str">
        <f t="shared" si="14"/>
        <v/>
      </c>
      <c r="B439" s="3" t="str">
        <f t="shared" si="15"/>
        <v/>
      </c>
    </row>
    <row r="440" spans="1:2" ht="15.75" customHeight="1" x14ac:dyDescent="0.25">
      <c r="A440" s="2" t="str">
        <f t="shared" si="14"/>
        <v/>
      </c>
      <c r="B440" s="3" t="str">
        <f t="shared" si="15"/>
        <v/>
      </c>
    </row>
    <row r="441" spans="1:2" ht="15.75" customHeight="1" x14ac:dyDescent="0.25">
      <c r="A441" s="2" t="str">
        <f t="shared" si="14"/>
        <v/>
      </c>
      <c r="B441" s="3" t="str">
        <f t="shared" si="15"/>
        <v/>
      </c>
    </row>
    <row r="442" spans="1:2" ht="15.75" customHeight="1" x14ac:dyDescent="0.25">
      <c r="A442" s="2" t="str">
        <f t="shared" si="14"/>
        <v/>
      </c>
      <c r="B442" s="3" t="str">
        <f t="shared" si="15"/>
        <v/>
      </c>
    </row>
    <row r="443" spans="1:2" ht="15.75" customHeight="1" x14ac:dyDescent="0.25">
      <c r="A443" s="2" t="str">
        <f t="shared" si="14"/>
        <v/>
      </c>
      <c r="B443" s="3" t="str">
        <f t="shared" si="15"/>
        <v/>
      </c>
    </row>
    <row r="444" spans="1:2" ht="15.75" customHeight="1" x14ac:dyDescent="0.25">
      <c r="A444" s="2" t="str">
        <f t="shared" si="14"/>
        <v/>
      </c>
      <c r="B444" s="3" t="str">
        <f t="shared" si="15"/>
        <v/>
      </c>
    </row>
    <row r="445" spans="1:2" ht="15.75" customHeight="1" x14ac:dyDescent="0.25">
      <c r="A445" s="2" t="str">
        <f t="shared" si="14"/>
        <v/>
      </c>
      <c r="B445" s="3" t="str">
        <f t="shared" si="15"/>
        <v/>
      </c>
    </row>
    <row r="446" spans="1:2" ht="15.75" customHeight="1" x14ac:dyDescent="0.25">
      <c r="A446" s="2" t="str">
        <f t="shared" si="14"/>
        <v/>
      </c>
      <c r="B446" s="3" t="str">
        <f t="shared" si="15"/>
        <v/>
      </c>
    </row>
    <row r="447" spans="1:2" ht="15.75" customHeight="1" x14ac:dyDescent="0.25">
      <c r="A447" s="2" t="str">
        <f t="shared" si="14"/>
        <v/>
      </c>
      <c r="B447" s="3" t="str">
        <f t="shared" si="15"/>
        <v/>
      </c>
    </row>
    <row r="448" spans="1:2" ht="15.75" customHeight="1" x14ac:dyDescent="0.25">
      <c r="A448" s="2" t="str">
        <f t="shared" si="14"/>
        <v/>
      </c>
      <c r="B448" s="3" t="str">
        <f t="shared" si="15"/>
        <v/>
      </c>
    </row>
    <row r="449" spans="1:2" ht="15.75" customHeight="1" x14ac:dyDescent="0.25">
      <c r="A449" s="2" t="str">
        <f t="shared" si="14"/>
        <v/>
      </c>
      <c r="B449" s="3" t="str">
        <f t="shared" si="15"/>
        <v/>
      </c>
    </row>
    <row r="450" spans="1:2" ht="15.75" customHeight="1" x14ac:dyDescent="0.25">
      <c r="A450" s="2" t="str">
        <f t="shared" si="14"/>
        <v/>
      </c>
      <c r="B450" s="3" t="str">
        <f t="shared" si="15"/>
        <v/>
      </c>
    </row>
    <row r="451" spans="1:2" ht="15.75" customHeight="1" x14ac:dyDescent="0.25">
      <c r="A451" s="2" t="str">
        <f t="shared" si="14"/>
        <v/>
      </c>
      <c r="B451" s="3" t="str">
        <f t="shared" si="15"/>
        <v/>
      </c>
    </row>
    <row r="452" spans="1:2" ht="15.75" customHeight="1" x14ac:dyDescent="0.25">
      <c r="A452" s="2" t="str">
        <f t="shared" si="14"/>
        <v/>
      </c>
      <c r="B452" s="3" t="str">
        <f t="shared" si="15"/>
        <v/>
      </c>
    </row>
    <row r="453" spans="1:2" ht="15.75" customHeight="1" x14ac:dyDescent="0.25">
      <c r="A453" s="2" t="str">
        <f t="shared" si="14"/>
        <v/>
      </c>
      <c r="B453" s="3" t="str">
        <f t="shared" si="15"/>
        <v/>
      </c>
    </row>
    <row r="454" spans="1:2" ht="15.75" customHeight="1" x14ac:dyDescent="0.25">
      <c r="A454" s="2" t="str">
        <f t="shared" si="14"/>
        <v/>
      </c>
      <c r="B454" s="3" t="str">
        <f t="shared" si="15"/>
        <v/>
      </c>
    </row>
    <row r="455" spans="1:2" ht="15.75" customHeight="1" x14ac:dyDescent="0.25">
      <c r="A455" s="2" t="str">
        <f t="shared" si="14"/>
        <v/>
      </c>
      <c r="B455" s="3" t="str">
        <f t="shared" si="15"/>
        <v/>
      </c>
    </row>
    <row r="456" spans="1:2" ht="15.75" customHeight="1" x14ac:dyDescent="0.25">
      <c r="A456" s="2" t="str">
        <f t="shared" si="14"/>
        <v/>
      </c>
      <c r="B456" s="3" t="str">
        <f t="shared" si="15"/>
        <v/>
      </c>
    </row>
    <row r="457" spans="1:2" ht="15.75" customHeight="1" x14ac:dyDescent="0.25">
      <c r="A457" s="2" t="str">
        <f t="shared" si="14"/>
        <v/>
      </c>
      <c r="B457" s="3" t="str">
        <f t="shared" si="15"/>
        <v/>
      </c>
    </row>
    <row r="458" spans="1:2" ht="15.75" customHeight="1" x14ac:dyDescent="0.25">
      <c r="A458" s="2" t="str">
        <f t="shared" si="14"/>
        <v/>
      </c>
      <c r="B458" s="3" t="str">
        <f t="shared" si="15"/>
        <v/>
      </c>
    </row>
    <row r="459" spans="1:2" ht="15.75" customHeight="1" x14ac:dyDescent="0.25">
      <c r="A459" s="2" t="str">
        <f t="shared" si="14"/>
        <v/>
      </c>
      <c r="B459" s="3" t="str">
        <f t="shared" si="15"/>
        <v/>
      </c>
    </row>
    <row r="460" spans="1:2" ht="15.75" customHeight="1" x14ac:dyDescent="0.25">
      <c r="A460" s="2" t="str">
        <f t="shared" si="14"/>
        <v/>
      </c>
      <c r="B460" s="3" t="str">
        <f t="shared" si="15"/>
        <v/>
      </c>
    </row>
    <row r="461" spans="1:2" ht="15.75" customHeight="1" x14ac:dyDescent="0.25">
      <c r="A461" s="2" t="str">
        <f t="shared" si="14"/>
        <v/>
      </c>
      <c r="B461" s="3" t="str">
        <f t="shared" si="15"/>
        <v/>
      </c>
    </row>
    <row r="462" spans="1:2" ht="15.75" customHeight="1" x14ac:dyDescent="0.25">
      <c r="A462" s="2" t="str">
        <f t="shared" si="14"/>
        <v/>
      </c>
      <c r="B462" s="3" t="str">
        <f t="shared" si="15"/>
        <v/>
      </c>
    </row>
    <row r="463" spans="1:2" ht="15.75" customHeight="1" x14ac:dyDescent="0.25">
      <c r="A463" s="2" t="str">
        <f t="shared" si="14"/>
        <v/>
      </c>
      <c r="B463" s="3" t="str">
        <f t="shared" si="15"/>
        <v/>
      </c>
    </row>
    <row r="464" spans="1:2" ht="15.75" customHeight="1" x14ac:dyDescent="0.25">
      <c r="A464" s="2" t="str">
        <f t="shared" si="14"/>
        <v/>
      </c>
      <c r="B464" s="3" t="str">
        <f t="shared" si="15"/>
        <v/>
      </c>
    </row>
    <row r="465" spans="1:2" ht="15.75" customHeight="1" x14ac:dyDescent="0.25">
      <c r="A465" s="2" t="str">
        <f t="shared" si="14"/>
        <v/>
      </c>
      <c r="B465" s="3" t="str">
        <f t="shared" si="15"/>
        <v/>
      </c>
    </row>
    <row r="466" spans="1:2" ht="15.75" customHeight="1" x14ac:dyDescent="0.25">
      <c r="A466" s="2" t="str">
        <f t="shared" si="14"/>
        <v/>
      </c>
      <c r="B466" s="3" t="str">
        <f t="shared" si="15"/>
        <v/>
      </c>
    </row>
    <row r="467" spans="1:2" ht="15.75" customHeight="1" x14ac:dyDescent="0.25">
      <c r="A467" s="2" t="str">
        <f t="shared" si="14"/>
        <v/>
      </c>
      <c r="B467" s="3" t="str">
        <f t="shared" si="15"/>
        <v/>
      </c>
    </row>
    <row r="468" spans="1:2" ht="15.75" customHeight="1" x14ac:dyDescent="0.25">
      <c r="A468" s="2" t="str">
        <f t="shared" ref="A468:A508" si="16">IF(A467="","",IF(A467+$B$5&lt;=$B$4,A467+$B$5,""))</f>
        <v/>
      </c>
      <c r="B468" s="3" t="str">
        <f t="shared" ref="B468:B508" si="17">IF(A468&lt;&gt;"",B467-$B$1/COUNT($A$15:$A$507),"")</f>
        <v/>
      </c>
    </row>
    <row r="469" spans="1:2" ht="15.75" customHeight="1" x14ac:dyDescent="0.25">
      <c r="A469" s="2" t="str">
        <f t="shared" si="16"/>
        <v/>
      </c>
      <c r="B469" s="3" t="str">
        <f t="shared" si="17"/>
        <v/>
      </c>
    </row>
    <row r="470" spans="1:2" ht="15.75" customHeight="1" x14ac:dyDescent="0.25">
      <c r="A470" s="2" t="str">
        <f t="shared" si="16"/>
        <v/>
      </c>
      <c r="B470" s="3" t="str">
        <f t="shared" si="17"/>
        <v/>
      </c>
    </row>
    <row r="471" spans="1:2" ht="15.75" customHeight="1" x14ac:dyDescent="0.25">
      <c r="A471" s="2" t="str">
        <f t="shared" si="16"/>
        <v/>
      </c>
      <c r="B471" s="3" t="str">
        <f t="shared" si="17"/>
        <v/>
      </c>
    </row>
    <row r="472" spans="1:2" ht="15.75" customHeight="1" x14ac:dyDescent="0.25">
      <c r="A472" s="2" t="str">
        <f t="shared" si="16"/>
        <v/>
      </c>
      <c r="B472" s="3" t="str">
        <f t="shared" si="17"/>
        <v/>
      </c>
    </row>
    <row r="473" spans="1:2" ht="15.75" customHeight="1" x14ac:dyDescent="0.25">
      <c r="A473" s="2" t="str">
        <f t="shared" si="16"/>
        <v/>
      </c>
      <c r="B473" s="3" t="str">
        <f t="shared" si="17"/>
        <v/>
      </c>
    </row>
    <row r="474" spans="1:2" ht="15.75" customHeight="1" x14ac:dyDescent="0.25">
      <c r="A474" s="2" t="str">
        <f t="shared" si="16"/>
        <v/>
      </c>
      <c r="B474" s="3" t="str">
        <f t="shared" si="17"/>
        <v/>
      </c>
    </row>
    <row r="475" spans="1:2" ht="15.75" customHeight="1" x14ac:dyDescent="0.25">
      <c r="A475" s="2" t="str">
        <f t="shared" si="16"/>
        <v/>
      </c>
      <c r="B475" s="3" t="str">
        <f t="shared" si="17"/>
        <v/>
      </c>
    </row>
    <row r="476" spans="1:2" ht="15.75" customHeight="1" x14ac:dyDescent="0.25">
      <c r="A476" s="2" t="str">
        <f t="shared" si="16"/>
        <v/>
      </c>
      <c r="B476" s="3" t="str">
        <f t="shared" si="17"/>
        <v/>
      </c>
    </row>
    <row r="477" spans="1:2" ht="15.75" customHeight="1" x14ac:dyDescent="0.25">
      <c r="A477" s="2" t="str">
        <f t="shared" si="16"/>
        <v/>
      </c>
      <c r="B477" s="3" t="str">
        <f t="shared" si="17"/>
        <v/>
      </c>
    </row>
    <row r="478" spans="1:2" ht="15.75" customHeight="1" x14ac:dyDescent="0.25">
      <c r="A478" s="2" t="str">
        <f t="shared" si="16"/>
        <v/>
      </c>
      <c r="B478" s="3" t="str">
        <f t="shared" si="17"/>
        <v/>
      </c>
    </row>
    <row r="479" spans="1:2" ht="15.75" customHeight="1" x14ac:dyDescent="0.25">
      <c r="A479" s="2" t="str">
        <f t="shared" si="16"/>
        <v/>
      </c>
      <c r="B479" s="3" t="str">
        <f t="shared" si="17"/>
        <v/>
      </c>
    </row>
    <row r="480" spans="1:2" ht="15.75" customHeight="1" x14ac:dyDescent="0.25">
      <c r="A480" s="2" t="str">
        <f t="shared" si="16"/>
        <v/>
      </c>
      <c r="B480" s="3" t="str">
        <f t="shared" si="17"/>
        <v/>
      </c>
    </row>
    <row r="481" spans="1:2" ht="15.75" customHeight="1" x14ac:dyDescent="0.25">
      <c r="A481" s="2" t="str">
        <f t="shared" si="16"/>
        <v/>
      </c>
      <c r="B481" s="3" t="str">
        <f t="shared" si="17"/>
        <v/>
      </c>
    </row>
    <row r="482" spans="1:2" ht="15.75" customHeight="1" x14ac:dyDescent="0.25">
      <c r="A482" s="2" t="str">
        <f t="shared" si="16"/>
        <v/>
      </c>
      <c r="B482" s="3" t="str">
        <f t="shared" si="17"/>
        <v/>
      </c>
    </row>
    <row r="483" spans="1:2" ht="15.75" customHeight="1" x14ac:dyDescent="0.25">
      <c r="A483" s="2" t="str">
        <f t="shared" si="16"/>
        <v/>
      </c>
      <c r="B483" s="3" t="str">
        <f t="shared" si="17"/>
        <v/>
      </c>
    </row>
    <row r="484" spans="1:2" ht="15.75" customHeight="1" x14ac:dyDescent="0.25">
      <c r="A484" s="2" t="str">
        <f t="shared" si="16"/>
        <v/>
      </c>
      <c r="B484" s="3" t="str">
        <f t="shared" si="17"/>
        <v/>
      </c>
    </row>
    <row r="485" spans="1:2" ht="15.75" customHeight="1" x14ac:dyDescent="0.25">
      <c r="A485" s="2" t="str">
        <f t="shared" si="16"/>
        <v/>
      </c>
      <c r="B485" s="3" t="str">
        <f t="shared" si="17"/>
        <v/>
      </c>
    </row>
    <row r="486" spans="1:2" ht="15.75" customHeight="1" x14ac:dyDescent="0.25">
      <c r="A486" s="2" t="str">
        <f t="shared" si="16"/>
        <v/>
      </c>
      <c r="B486" s="3" t="str">
        <f t="shared" si="17"/>
        <v/>
      </c>
    </row>
    <row r="487" spans="1:2" ht="15.75" customHeight="1" x14ac:dyDescent="0.25">
      <c r="A487" s="2" t="str">
        <f t="shared" si="16"/>
        <v/>
      </c>
      <c r="B487" s="3" t="str">
        <f t="shared" si="17"/>
        <v/>
      </c>
    </row>
    <row r="488" spans="1:2" ht="15.75" customHeight="1" x14ac:dyDescent="0.25">
      <c r="A488" s="2" t="str">
        <f t="shared" si="16"/>
        <v/>
      </c>
      <c r="B488" s="3" t="str">
        <f t="shared" si="17"/>
        <v/>
      </c>
    </row>
    <row r="489" spans="1:2" ht="15.75" customHeight="1" x14ac:dyDescent="0.25">
      <c r="A489" s="2" t="str">
        <f t="shared" si="16"/>
        <v/>
      </c>
      <c r="B489" s="3" t="str">
        <f t="shared" si="17"/>
        <v/>
      </c>
    </row>
    <row r="490" spans="1:2" ht="15.75" customHeight="1" x14ac:dyDescent="0.25">
      <c r="A490" s="2" t="str">
        <f t="shared" si="16"/>
        <v/>
      </c>
      <c r="B490" s="3" t="str">
        <f t="shared" si="17"/>
        <v/>
      </c>
    </row>
    <row r="491" spans="1:2" ht="15.75" customHeight="1" x14ac:dyDescent="0.25">
      <c r="A491" s="2" t="str">
        <f t="shared" si="16"/>
        <v/>
      </c>
      <c r="B491" s="3" t="str">
        <f t="shared" si="17"/>
        <v/>
      </c>
    </row>
    <row r="492" spans="1:2" ht="15.75" customHeight="1" x14ac:dyDescent="0.25">
      <c r="A492" s="2" t="str">
        <f t="shared" si="16"/>
        <v/>
      </c>
      <c r="B492" s="3" t="str">
        <f t="shared" si="17"/>
        <v/>
      </c>
    </row>
    <row r="493" spans="1:2" ht="15.75" customHeight="1" x14ac:dyDescent="0.25">
      <c r="A493" s="2" t="str">
        <f t="shared" si="16"/>
        <v/>
      </c>
      <c r="B493" s="3" t="str">
        <f t="shared" si="17"/>
        <v/>
      </c>
    </row>
    <row r="494" spans="1:2" ht="15.75" customHeight="1" x14ac:dyDescent="0.25">
      <c r="A494" s="2" t="str">
        <f t="shared" si="16"/>
        <v/>
      </c>
      <c r="B494" s="3" t="str">
        <f t="shared" si="17"/>
        <v/>
      </c>
    </row>
    <row r="495" spans="1:2" ht="15.75" customHeight="1" x14ac:dyDescent="0.25">
      <c r="A495" s="2" t="str">
        <f t="shared" si="16"/>
        <v/>
      </c>
      <c r="B495" s="3" t="str">
        <f t="shared" si="17"/>
        <v/>
      </c>
    </row>
    <row r="496" spans="1:2" ht="15.75" customHeight="1" x14ac:dyDescent="0.25">
      <c r="A496" s="2" t="str">
        <f t="shared" si="16"/>
        <v/>
      </c>
      <c r="B496" s="3" t="str">
        <f t="shared" si="17"/>
        <v/>
      </c>
    </row>
    <row r="497" spans="1:2" ht="15.75" customHeight="1" x14ac:dyDescent="0.25">
      <c r="A497" s="2" t="str">
        <f t="shared" si="16"/>
        <v/>
      </c>
      <c r="B497" s="3" t="str">
        <f t="shared" si="17"/>
        <v/>
      </c>
    </row>
    <row r="498" spans="1:2" ht="15.75" customHeight="1" x14ac:dyDescent="0.25">
      <c r="A498" s="2" t="str">
        <f t="shared" si="16"/>
        <v/>
      </c>
      <c r="B498" s="3" t="str">
        <f t="shared" si="17"/>
        <v/>
      </c>
    </row>
    <row r="499" spans="1:2" ht="15.75" customHeight="1" x14ac:dyDescent="0.25">
      <c r="A499" s="2" t="str">
        <f t="shared" si="16"/>
        <v/>
      </c>
      <c r="B499" s="3" t="str">
        <f t="shared" si="17"/>
        <v/>
      </c>
    </row>
    <row r="500" spans="1:2" ht="15.75" customHeight="1" x14ac:dyDescent="0.25">
      <c r="A500" s="2" t="str">
        <f t="shared" si="16"/>
        <v/>
      </c>
      <c r="B500" s="3" t="str">
        <f t="shared" si="17"/>
        <v/>
      </c>
    </row>
    <row r="501" spans="1:2" ht="15.75" customHeight="1" x14ac:dyDescent="0.25">
      <c r="A501" s="2" t="str">
        <f t="shared" si="16"/>
        <v/>
      </c>
      <c r="B501" s="3" t="str">
        <f t="shared" si="17"/>
        <v/>
      </c>
    </row>
    <row r="502" spans="1:2" ht="15.75" customHeight="1" x14ac:dyDescent="0.25">
      <c r="A502" s="2" t="str">
        <f t="shared" si="16"/>
        <v/>
      </c>
      <c r="B502" s="3" t="str">
        <f t="shared" si="17"/>
        <v/>
      </c>
    </row>
    <row r="503" spans="1:2" ht="15.75" customHeight="1" x14ac:dyDescent="0.25">
      <c r="A503" s="2" t="str">
        <f t="shared" si="16"/>
        <v/>
      </c>
      <c r="B503" s="3" t="str">
        <f t="shared" si="17"/>
        <v/>
      </c>
    </row>
    <row r="504" spans="1:2" ht="15.75" customHeight="1" x14ac:dyDescent="0.25">
      <c r="A504" s="2" t="str">
        <f t="shared" si="16"/>
        <v/>
      </c>
      <c r="B504" s="3" t="str">
        <f t="shared" si="17"/>
        <v/>
      </c>
    </row>
    <row r="505" spans="1:2" ht="15.75" customHeight="1" x14ac:dyDescent="0.25">
      <c r="A505" s="2" t="str">
        <f t="shared" si="16"/>
        <v/>
      </c>
      <c r="B505" s="3" t="str">
        <f t="shared" si="17"/>
        <v/>
      </c>
    </row>
    <row r="506" spans="1:2" ht="15.75" customHeight="1" x14ac:dyDescent="0.25">
      <c r="A506" s="2" t="str">
        <f t="shared" si="16"/>
        <v/>
      </c>
      <c r="B506" s="3" t="str">
        <f t="shared" si="17"/>
        <v/>
      </c>
    </row>
    <row r="507" spans="1:2" ht="15.75" customHeight="1" x14ac:dyDescent="0.25">
      <c r="A507" s="2" t="str">
        <f t="shared" si="16"/>
        <v/>
      </c>
      <c r="B507" s="3" t="str">
        <f t="shared" si="17"/>
        <v/>
      </c>
    </row>
    <row r="508" spans="1:2" ht="15.75" customHeight="1" x14ac:dyDescent="0.25">
      <c r="A508" s="2" t="str">
        <f t="shared" si="16"/>
        <v/>
      </c>
      <c r="B508" s="3" t="str">
        <f t="shared" si="17"/>
        <v/>
      </c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E1D5994D37BE4E813498EC5196ED65" ma:contentTypeVersion="16" ma:contentTypeDescription="Crie um novo documento." ma:contentTypeScope="" ma:versionID="0e21443c7cc1f94ac3880588bc2e41de">
  <xsd:schema xmlns:xsd="http://www.w3.org/2001/XMLSchema" xmlns:xs="http://www.w3.org/2001/XMLSchema" xmlns:p="http://schemas.microsoft.com/office/2006/metadata/properties" xmlns:ns2="d3cf9736-f4f0-4b88-9960-38ca54e0f4a1" xmlns:ns3="95bb3e90-ac8f-4de2-aa34-60bd8ef1a87e" targetNamespace="http://schemas.microsoft.com/office/2006/metadata/properties" ma:root="true" ma:fieldsID="de371c6d610347a3ac9505ecdf0cc686" ns2:_="" ns3:_="">
    <xsd:import namespace="d3cf9736-f4f0-4b88-9960-38ca54e0f4a1"/>
    <xsd:import namespace="95bb3e90-ac8f-4de2-aa34-60bd8ef1a87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cf9736-f4f0-4b88-9960-38ca54e0f4a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4c633c53-e312-4be1-b60d-aec7598583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bb3e90-ac8f-4de2-aa34-60bd8ef1a87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ab536b-05eb-47f1-b09a-40cfd6cd01b0}" ma:internalName="TaxCatchAll" ma:showField="CatchAllData" ma:web="95bb3e90-ac8f-4de2-aa34-60bd8ef1a8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bb3e90-ac8f-4de2-aa34-60bd8ef1a87e" xsi:nil="true"/>
    <lcf76f155ced4ddcb4097134ff3c332f xmlns="d3cf9736-f4f0-4b88-9960-38ca54e0f4a1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75EB32-1DB4-014B-94FD-D2738D0616C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CA07C01-015C-40A0-B275-AAC76246D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cf9736-f4f0-4b88-9960-38ca54e0f4a1"/>
    <ds:schemaRef ds:uri="95bb3e90-ac8f-4de2-aa34-60bd8ef1a8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D92EC8-7A37-4ABC-8DE8-2C008638382E}">
  <ds:schemaRefs>
    <ds:schemaRef ds:uri="http://schemas.microsoft.com/office/2006/metadata/properties"/>
    <ds:schemaRef ds:uri="http://schemas.microsoft.com/office/infopath/2007/PartnerControls"/>
    <ds:schemaRef ds:uri="95bb3e90-ac8f-4de2-aa34-60bd8ef1a87e"/>
    <ds:schemaRef ds:uri="d3cf9736-f4f0-4b88-9960-38ca54e0f4a1"/>
  </ds:schemaRefs>
</ds:datastoreItem>
</file>

<file path=customXml/itemProps4.xml><?xml version="1.0" encoding="utf-8"?>
<ds:datastoreItem xmlns:ds="http://schemas.openxmlformats.org/officeDocument/2006/customXml" ds:itemID="{DB932285-5AE8-4367-9C96-2228337F59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27</vt:i4>
      </vt:variant>
      <vt:variant>
        <vt:lpstr>Intervalos Nomeados</vt:lpstr>
      </vt:variant>
      <vt:variant>
        <vt:i4>8</vt:i4>
      </vt:variant>
    </vt:vector>
  </HeadingPairs>
  <TitlesOfParts>
    <vt:vector size="35" baseType="lpstr">
      <vt:lpstr>Visão Geral</vt:lpstr>
      <vt:lpstr>Visão O4R1</vt:lpstr>
      <vt:lpstr>Modelo Estrutura</vt:lpstr>
      <vt:lpstr>LEIA-ME</vt:lpstr>
      <vt:lpstr>BASE CONE</vt:lpstr>
      <vt:lpstr>CONE</vt:lpstr>
      <vt:lpstr>GOL - TESTE</vt:lpstr>
      <vt:lpstr>TERA - TESTE</vt:lpstr>
      <vt:lpstr>OPTMIUS - TESTE</vt:lpstr>
      <vt:lpstr>GOL (R1.5)</vt:lpstr>
      <vt:lpstr>Tera</vt:lpstr>
      <vt:lpstr>MATRIZ TIME - excluir</vt:lpstr>
      <vt:lpstr>ESCOPO CRÉDITO</vt:lpstr>
      <vt:lpstr>ESCOPO PROPOSTA</vt:lpstr>
      <vt:lpstr>MATRIZ ESCOPO</vt:lpstr>
      <vt:lpstr>RELEASE</vt:lpstr>
      <vt:lpstr>MATRIZ TIMES TESTE</vt:lpstr>
      <vt:lpstr>MATRIZ TIME</vt:lpstr>
      <vt:lpstr>GOL O4R2</vt:lpstr>
      <vt:lpstr>TERA O4R2</vt:lpstr>
      <vt:lpstr>OPTIMUS O4R2</vt:lpstr>
      <vt:lpstr>NIVUS O4R2</vt:lpstr>
      <vt:lpstr>TAOS O4R2</vt:lpstr>
      <vt:lpstr>FUSCA O4R2</vt:lpstr>
      <vt:lpstr>UP O4R2</vt:lpstr>
      <vt:lpstr>Amarok (via JIRA)</vt:lpstr>
      <vt:lpstr>Gol (Release 3)</vt:lpstr>
      <vt:lpstr>criado</vt:lpstr>
      <vt:lpstr>dtc</vt:lpstr>
      <vt:lpstr>Item</vt:lpstr>
      <vt:lpstr>jornada</vt:lpstr>
      <vt:lpstr>release</vt:lpstr>
      <vt:lpstr>resolvido</vt:lpstr>
      <vt:lpstr>status</vt:lpstr>
      <vt:lpstr>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Andressa Chiara</dc:creator>
  <cp:keywords/>
  <dc:description/>
  <cp:lastModifiedBy>Diego Antonio Caporusso</cp:lastModifiedBy>
  <cp:revision/>
  <dcterms:created xsi:type="dcterms:W3CDTF">2024-10-02T17:20:00Z</dcterms:created>
  <dcterms:modified xsi:type="dcterms:W3CDTF">2026-03-31T20:45:49Z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2024-10-24T13:32:34Z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71c0e7e9-df1e-4556-b988-88d4a25fdbdf</vt:lpwstr>
  </property>
  <property fmtid="{D5CDD505-2E9C-101B-9397-08002B2CF9AE}" pid="7" name="MSIP_Label_defa4170-0d19-0005-0004-bc88714345d2_ActionId">
    <vt:lpwstr>6db8fb14-3c52-45e7-8481-7472e21d62c9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0x01010048E1D5994D37BE4E813498EC5196ED65</vt:lpwstr>
  </property>
  <property fmtid="{D5CDD505-2E9C-101B-9397-08002B2CF9AE}" pid="10" name="MediaServiceImageTags">
    <vt:lpwstr/>
  </property>
</Properties>
</file>